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gif" ContentType="image/gif"/>
  <Override PartName="/xl/media/image7.png" ContentType="image/png"/>
  <Override PartName="/xl/comments34.xml" ContentType="application/vnd.openxmlformats-officedocument.spreadsheetml.comments+xml"/>
  <Override PartName="/xl/comments13.xml" ContentType="application/vnd.openxmlformats-officedocument.spreadsheetml.comments+xml"/>
  <Override PartName="/xl/drawings/vmlDrawing9.vml" ContentType="application/vnd.openxmlformats-officedocument.vmlDrawing"/>
  <Override PartName="/xl/drawings/vmlDrawing10.vml" ContentType="application/vnd.openxmlformats-officedocument.vmlDrawing"/>
  <Override PartName="/xl/drawings/vmlDrawing8.vml" ContentType="application/vnd.openxmlformats-officedocument.vmlDrawing"/>
  <Override PartName="/xl/drawings/drawing9.xml" ContentType="application/vnd.openxmlformats-officedocument.drawing+xml"/>
  <Override PartName="/xl/drawings/vmlDrawing7.vml" ContentType="application/vnd.openxmlformats-officedocument.vmlDrawing"/>
  <Override PartName="/xl/drawings/drawing8.xml" ContentType="application/vnd.openxmlformats-officedocument.drawing+xml"/>
  <Override PartName="/xl/drawings/drawing4.xml" ContentType="application/vnd.openxmlformats-officedocument.drawing+xml"/>
  <Override PartName="/xl/drawings/vmlDrawing3.vml" ContentType="application/vnd.openxmlformats-officedocument.vmlDrawing"/>
  <Override PartName="/xl/drawings/vmlDrawing6.vml" ContentType="application/vnd.openxmlformats-officedocument.vmlDrawing"/>
  <Override PartName="/xl/drawings/drawing7.xml" ContentType="application/vnd.openxmlformats-officedocument.drawing+xml"/>
  <Override PartName="/xl/drawings/_rels/drawing1.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9.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12.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drawings/vmlDrawing16.vml" ContentType="application/vnd.openxmlformats-officedocument.vmlDrawing"/>
  <Override PartName="/xl/drawings/vmlDrawing15.vml" ContentType="application/vnd.openxmlformats-officedocument.vmlDrawing"/>
  <Override PartName="/xl/drawings/vmlDrawing14.vml" ContentType="application/vnd.openxmlformats-officedocument.vmlDrawing"/>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drawing11.xml" ContentType="application/vnd.openxmlformats-officedocument.drawing+xml"/>
  <Override PartName="/xl/comments24.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36.xml" ContentType="application/vnd.openxmlformats-officedocument.spreadsheetml.comments+xml"/>
  <Override PartName="/xl/comments33.xml" ContentType="application/vnd.openxmlformats-officedocument.spreadsheetml.comments+xml"/>
  <Override PartName="/xl/styles.xml" ContentType="application/vnd.openxmlformats-officedocument.spreadsheetml.styles+xml"/>
  <Override PartName="/xl/comments29.xml" ContentType="application/vnd.openxmlformats-officedocument.spreadsheetml.comments+xml"/>
  <Override PartName="/xl/comments7.xml" ContentType="application/vnd.openxmlformats-officedocument.spreadsheetml.comments+xml"/>
  <Override PartName="/xl/comments30.xml" ContentType="application/vnd.openxmlformats-officedocument.spreadsheetml.comments+xml"/>
  <Override PartName="/xl/comments28.xml" ContentType="application/vnd.openxmlformats-officedocument.spreadsheetml.comments+xml"/>
  <Override PartName="/xl/comments23.xml" ContentType="application/vnd.openxmlformats-officedocument.spreadsheetml.comments+xml"/>
  <Override PartName="/xl/comments22.xml" ContentType="application/vnd.openxmlformats-officedocument.spreadsheetml.comments+xml"/>
  <Override PartName="/xl/comments15.xml" ContentType="application/vnd.openxmlformats-officedocument.spreadsheetml.comments+xml"/>
  <Override PartName="/xl/theme/theme1.xml" ContentType="application/vnd.openxmlformats-officedocument.theme+xml"/>
  <Override PartName="/xl/worksheets/_rels/sheet17.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_rels/sheet36.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23.xml.rels" ContentType="application/vnd.openxmlformats-package.relationships+xml"/>
  <Override PartName="/xl/worksheets/_rels/sheet35.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10.xml.rels" ContentType="application/vnd.openxmlformats-package.relationships+xml"/>
  <Override PartName="/xl/worksheets/_rels/sheet20.xml.rels" ContentType="application/vnd.openxmlformats-package.relationships+xml"/>
  <Override PartName="/xl/worksheets/_rels/sheet33.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_rels/externalLink8.xml.rels" ContentType="application/vnd.openxmlformats-package.relationships+xml"/>
  <Override PartName="/xl/externalLinks/_rels/externalLink7.xml.rels" ContentType="application/vnd.openxmlformats-package.relationships+xml"/>
  <Override PartName="/xl/externalLinks/_rels/externalLink6.xml.rels" ContentType="application/vnd.openxmlformats-package.relationships+xml"/>
  <Override PartName="/xl/externalLinks/_rels/externalLink5.xml.rels" ContentType="application/vnd.openxmlformats-package.relationships+xml"/>
  <Override PartName="/xl/externalLinks/_rels/externalLink4.xml.rels" ContentType="application/vnd.openxmlformats-package.relationships+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9" activeTab="9"/>
  </bookViews>
  <sheets>
    <sheet name="Batch1 calculation" sheetId="1" state="hidden" r:id="rId3"/>
    <sheet name="Week news" sheetId="2" state="hidden" r:id="rId4"/>
    <sheet name="ref.Phase 1 (2)" sheetId="3" state="hidden" r:id="rId5"/>
    <sheet name="관련 현황" sheetId="4" state="hidden" r:id="rId6"/>
    <sheet name="Summary" sheetId="5" state="hidden" r:id="rId7"/>
    <sheet name="DEVEX Payment Status" sheetId="6" state="hidden" r:id="rId8"/>
    <sheet name="Amount to be paid in 2025(1004)" sheetId="7" state="hidden" r:id="rId9"/>
    <sheet name="Amount to be paid_POSN2HO" sheetId="8" state="hidden" r:id="rId10"/>
    <sheet name="Amount to be paid in 2025(Total" sheetId="9" state="hidden" r:id="rId11"/>
    <sheet name="INPUTSHEET(Batch2)" sheetId="10" state="visible" r:id="rId12"/>
    <sheet name="Amount to be paid_GM_Batch1" sheetId="11" state="hidden" r:id="rId13"/>
    <sheet name="SPV별 CAPEX 현황" sheetId="12" state="hidden" r:id="rId14"/>
    <sheet name="DEVEX 지급현황" sheetId="13" state="hidden" r:id="rId15"/>
    <sheet name="GM Batch1" sheetId="14" state="hidden" r:id="rId16"/>
    <sheet name="GM Batch2-APA" sheetId="15" state="hidden" r:id="rId17"/>
    <sheet name="GM Batch2-SPA" sheetId="16" state="hidden" r:id="rId18"/>
    <sheet name="DG M&amp;A-SPA_POSN" sheetId="17" state="hidden" r:id="rId19"/>
    <sheet name="PAYMENT RATIO_RAW" sheetId="18" state="hidden" r:id="rId20"/>
    <sheet name="GM Batch2-brokerage" sheetId="19" state="hidden" r:id="rId21"/>
    <sheet name="Sheet4" sheetId="20" state="hidden" r:id="rId22"/>
    <sheet name="Payment plan+comment" sheetId="21" state="hidden" r:id="rId23"/>
    <sheet name="DG-PV Organic" sheetId="22" state="hidden" r:id="rId24"/>
    <sheet name="GM payment(재작성 중)" sheetId="23" state="hidden" r:id="rId25"/>
    <sheet name="SPVs Status 3" sheetId="24" state="hidden" r:id="rId26"/>
    <sheet name="ref.지급기준 (2)" sheetId="25" state="hidden" r:id="rId27"/>
    <sheet name="Solar M&amp;A" sheetId="26" state="hidden" r:id="rId28"/>
    <sheet name="Sheet1" sheetId="27" state="hidden" r:id="rId29"/>
    <sheet name="Rationales_Solar M&amp;A" sheetId="28" state="hidden" r:id="rId30"/>
    <sheet name="Solar Organic" sheetId="29" state="hidden" r:id="rId31"/>
    <sheet name="DG-PV M&amp;A" sheetId="30" state="hidden" r:id="rId32"/>
    <sheet name="Rationales_DG-PV Organic" sheetId="31" state="hidden" r:id="rId33"/>
    <sheet name="DG정리" sheetId="32" state="hidden" r:id="rId34"/>
    <sheet name="Quarterly BD Projection" sheetId="33" state="hidden" r:id="rId35"/>
    <sheet name="Wind" sheetId="34" state="hidden" r:id="rId36"/>
    <sheet name="Rationales_Wind" sheetId="35" state="hidden" r:id="rId37"/>
    <sheet name="Down PJ" sheetId="36" state="hidden" r:id="rId38"/>
    <sheet name="Back up" sheetId="37" state="hidden" r:id="rId39"/>
    <sheet name="Pivot" sheetId="38"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s>
  <definedNames>
    <definedName function="false" hidden="false" localSheetId="16" name="_xlnm.Print_Area" vbProcedure="false">'DG M&amp;A-SPA_POSN'!$A$1:$BY$39</definedName>
    <definedName function="false" hidden="true" localSheetId="29" name="_xlnm._FilterDatabase" vbProcedure="false">'DG-PV M&amp;A'!$A$2:$BB$21</definedName>
    <definedName function="false" hidden="true" localSheetId="21" name="_xlnm._FilterDatabase" vbProcedure="false">'DG-PV Organic'!$A$2:$AD$37</definedName>
    <definedName function="false" hidden="true" localSheetId="35" name="_xlnm._FilterDatabase" vbProcedure="false">'Down PJ'!$A$2:$BB$8</definedName>
    <definedName function="false" hidden="false" localSheetId="13" name="_xlnm.Print_Area" vbProcedure="false">'GM Batch1'!$A$1:$BY$63</definedName>
    <definedName function="false" hidden="false" localSheetId="14" name="_xlnm.Print_Area" vbProcedure="false">'GM Batch2-APA'!$A$1:$BY$51</definedName>
    <definedName function="false" hidden="false" localSheetId="18" name="_xlnm.Print_Area" vbProcedure="false">'GM Batch2-brokerage'!$A$1:$I$17</definedName>
    <definedName function="false" hidden="false" localSheetId="15" name="_xlnm.Print_Area" vbProcedure="false">'GM Batch2-SPA'!$A$1:$BY$39</definedName>
    <definedName function="false" hidden="false" localSheetId="22" name="_xlnm.Print_Area" vbProcedure="false">'GM payment(재작성 중)'!$A$1:$BB$74</definedName>
    <definedName function="false" hidden="false" localSheetId="32" name="_xlnm.Print_Area" vbProcedure="false">'Quarterly BD Projection'!$A$1:$AA$79</definedName>
    <definedName function="false" hidden="true" localSheetId="32" name="_xlnm._FilterDatabase" vbProcedure="false">'Quarterly BD Projection'!$B$4:$S$137</definedName>
    <definedName function="false" hidden="true" localSheetId="27" name="_xlnm._FilterDatabase" vbProcedure="false">'Rationales_Solar M&amp;A'!$A$2:$BD$13</definedName>
    <definedName function="false" hidden="true" localSheetId="34" name="_xlnm._FilterDatabase" vbProcedure="false">Rationales_Wind!$A$2:$F$8</definedName>
    <definedName function="false" hidden="false" localSheetId="25" name="_xlnm.Print_Area" vbProcedure="false">'Solar M&amp;A'!$A$1:$S$57</definedName>
    <definedName function="false" hidden="true" localSheetId="25" name="_xlnm._FilterDatabase" vbProcedure="false">'Solar M&amp;A'!$A$2:$AY$29</definedName>
    <definedName function="false" hidden="true" localSheetId="28" name="_xlnm._FilterDatabase" vbProcedure="false">'Solar Organic'!$A$2:$BB$8</definedName>
    <definedName function="false" hidden="false" localSheetId="23" name="_xlnm.Print_Area" vbProcedure="false">'SPVs Status 3'!$A$1:$BC$159</definedName>
    <definedName function="false" hidden="true" localSheetId="33" name="_xlnm._FilterDatabase" vbProcedure="false">Wind!$A$2:$AP$2</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C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The remaining available grid connection capacity has decreased, reducing the initial capacity from 406kW to 300kW, which has been reflected in the figures.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E60" authorId="0">
      <text>
        <r>
          <rPr>
            <sz val="10"/>
            <rFont val="맑은 고딕"/>
            <family val="2"/>
          </rPr>
          <t xml:space="preserve">KRW</t>
        </r>
      </text>
    </comment>
    <comment ref="E69" authorId="0">
      <text>
        <r>
          <rPr>
            <sz val="10"/>
            <rFont val="맑은 고딕"/>
            <family val="2"/>
          </rPr>
          <t xml:space="preserve">KRW</t>
        </r>
      </text>
    </comment>
    <comment ref="E87" authorId="0">
      <text>
        <r>
          <rPr>
            <sz val="10"/>
            <rFont val="맑은 고딕"/>
            <family val="2"/>
          </rPr>
          <t xml:space="preserve">KRW</t>
        </r>
      </text>
    </comment>
    <comment ref="E105" authorId="0">
      <text>
        <r>
          <rPr>
            <sz val="10"/>
            <rFont val="맑은 고딕"/>
            <family val="2"/>
          </rPr>
          <t xml:space="preserve">KRW</t>
        </r>
      </text>
    </comment>
    <comment ref="E123" authorId="0">
      <text>
        <r>
          <rPr>
            <sz val="10"/>
            <rFont val="맑은 고딕"/>
            <family val="2"/>
          </rPr>
          <t xml:space="preserve">KRW
</t>
        </r>
      </text>
    </comment>
    <comment ref="E151" authorId="0">
      <text>
        <r>
          <rPr>
            <sz val="10"/>
            <rFont val="맑은 고딕"/>
            <family val="2"/>
          </rPr>
          <t xml:space="preserve">KRW</t>
        </r>
      </text>
    </comment>
    <comment ref="E164" authorId="0">
      <text>
        <r>
          <rPr>
            <sz val="10"/>
            <rFont val="맑은 고딕"/>
            <family val="2"/>
          </rPr>
          <t xml:space="preserve">KRW</t>
        </r>
      </text>
    </comment>
    <comment ref="E182" authorId="0">
      <text>
        <r>
          <rPr>
            <sz val="10"/>
            <rFont val="맑은 고딕"/>
            <family val="2"/>
          </rPr>
          <t xml:space="preserve">KRW</t>
        </r>
      </text>
    </comment>
    <comment ref="E218" authorId="0">
      <text>
        <r>
          <rPr>
            <sz val="10"/>
            <rFont val="맑은 고딕"/>
            <family val="2"/>
          </rPr>
          <t xml:space="preserve">KRW</t>
        </r>
      </text>
    </comment>
    <comment ref="F87" authorId="0">
      <text>
        <r>
          <rPr>
            <sz val="10"/>
            <rFont val="맑은 고딕"/>
            <family val="2"/>
          </rPr>
          <t xml:space="preserve">KRW</t>
        </r>
      </text>
    </comment>
    <comment ref="F151" authorId="0">
      <text>
        <r>
          <rPr>
            <sz val="10"/>
            <rFont val="맑은 고딕"/>
            <family val="2"/>
          </rPr>
          <t xml:space="preserve">KRW</t>
        </r>
      </text>
    </comment>
    <comment ref="G87" authorId="0">
      <text>
        <r>
          <rPr>
            <sz val="10"/>
            <rFont val="맑은 고딕"/>
            <family val="2"/>
          </rPr>
          <t xml:space="preserve">KRW</t>
        </r>
      </text>
    </comment>
    <comment ref="G151" authorId="0">
      <text>
        <r>
          <rPr>
            <sz val="10"/>
            <rFont val="맑은 고딕"/>
            <family val="2"/>
          </rPr>
          <t xml:space="preserve">KRW</t>
        </r>
      </text>
    </comment>
    <comment ref="H87" authorId="0">
      <text>
        <r>
          <rPr>
            <sz val="10"/>
            <rFont val="맑은 고딕"/>
            <family val="2"/>
          </rPr>
          <t xml:space="preserve">KRW</t>
        </r>
      </text>
    </comment>
    <comment ref="H151" authorId="0">
      <text>
        <r>
          <rPr>
            <sz val="10"/>
            <rFont val="맑은 고딕"/>
            <family val="2"/>
          </rPr>
          <t xml:space="preserve">KRW</t>
        </r>
      </text>
    </comment>
    <comment ref="I87" authorId="0">
      <text>
        <r>
          <rPr>
            <sz val="10"/>
            <rFont val="맑은 고딕"/>
            <family val="2"/>
          </rPr>
          <t xml:space="preserve">KRW</t>
        </r>
      </text>
    </comment>
    <comment ref="I151" authorId="0">
      <text>
        <r>
          <rPr>
            <sz val="10"/>
            <rFont val="맑은 고딕"/>
            <family val="2"/>
          </rPr>
          <t xml:space="preserve">KRW</t>
        </r>
      </text>
    </comment>
    <comment ref="J60" authorId="0">
      <text>
        <r>
          <rPr>
            <sz val="10"/>
            <rFont val="맑은 고딕"/>
            <family val="2"/>
          </rPr>
          <t xml:space="preserve">KRW</t>
        </r>
      </text>
    </comment>
    <comment ref="J69" authorId="0">
      <text>
        <r>
          <rPr>
            <sz val="10"/>
            <rFont val="맑은 고딕"/>
            <family val="2"/>
          </rPr>
          <t xml:space="preserve">KRW</t>
        </r>
      </text>
    </comment>
    <comment ref="J87" authorId="0">
      <text>
        <r>
          <rPr>
            <sz val="10"/>
            <rFont val="맑은 고딕"/>
            <family val="2"/>
          </rPr>
          <t xml:space="preserve">KRW</t>
        </r>
      </text>
    </comment>
    <comment ref="J105" authorId="0">
      <text>
        <r>
          <rPr>
            <sz val="10"/>
            <rFont val="맑은 고딕"/>
            <family val="2"/>
          </rPr>
          <t xml:space="preserve">KRW</t>
        </r>
      </text>
    </comment>
    <comment ref="J123" authorId="0">
      <text>
        <r>
          <rPr>
            <sz val="10"/>
            <rFont val="맑은 고딕"/>
            <family val="2"/>
          </rPr>
          <t xml:space="preserve">KRW
</t>
        </r>
      </text>
    </comment>
    <comment ref="J151" authorId="0">
      <text>
        <r>
          <rPr>
            <sz val="10"/>
            <rFont val="맑은 고딕"/>
            <family val="2"/>
          </rPr>
          <t xml:space="preserve">KRW</t>
        </r>
      </text>
    </comment>
    <comment ref="J164" authorId="0">
      <text>
        <r>
          <rPr>
            <sz val="10"/>
            <rFont val="맑은 고딕"/>
            <family val="2"/>
          </rPr>
          <t xml:space="preserve">KRW</t>
        </r>
      </text>
    </comment>
    <comment ref="J182" authorId="0">
      <text>
        <r>
          <rPr>
            <sz val="10"/>
            <rFont val="맑은 고딕"/>
            <family val="2"/>
          </rPr>
          <t xml:space="preserve">KRW</t>
        </r>
      </text>
    </comment>
    <comment ref="J218" authorId="0">
      <text>
        <r>
          <rPr>
            <sz val="10"/>
            <rFont val="맑은 고딕"/>
            <family val="2"/>
          </rPr>
          <t xml:space="preserve">KRW</t>
        </r>
      </text>
    </comment>
    <comment ref="K60" authorId="0">
      <text>
        <r>
          <rPr>
            <sz val="10"/>
            <rFont val="맑은 고딕"/>
            <family val="2"/>
          </rPr>
          <t xml:space="preserve">KRW</t>
        </r>
      </text>
    </comment>
    <comment ref="K69" authorId="0">
      <text>
        <r>
          <rPr>
            <sz val="10"/>
            <rFont val="맑은 고딕"/>
            <family val="2"/>
          </rPr>
          <t xml:space="preserve">KRW</t>
        </r>
      </text>
    </comment>
    <comment ref="K87" authorId="0">
      <text>
        <r>
          <rPr>
            <sz val="10"/>
            <rFont val="맑은 고딕"/>
            <family val="2"/>
          </rPr>
          <t xml:space="preserve">KRW</t>
        </r>
      </text>
    </comment>
    <comment ref="K105" authorId="0">
      <text>
        <r>
          <rPr>
            <sz val="10"/>
            <rFont val="맑은 고딕"/>
            <family val="2"/>
          </rPr>
          <t xml:space="preserve">KRW</t>
        </r>
      </text>
    </comment>
    <comment ref="K123" authorId="0">
      <text>
        <r>
          <rPr>
            <sz val="10"/>
            <rFont val="맑은 고딕"/>
            <family val="2"/>
          </rPr>
          <t xml:space="preserve">KRW
</t>
        </r>
      </text>
    </comment>
    <comment ref="K151" authorId="0">
      <text>
        <r>
          <rPr>
            <sz val="10"/>
            <rFont val="맑은 고딕"/>
            <family val="2"/>
          </rPr>
          <t xml:space="preserve">KRW</t>
        </r>
      </text>
    </comment>
    <comment ref="K164" authorId="0">
      <text>
        <r>
          <rPr>
            <sz val="10"/>
            <rFont val="맑은 고딕"/>
            <family val="2"/>
          </rPr>
          <t xml:space="preserve">KRW</t>
        </r>
      </text>
    </comment>
    <comment ref="K182" authorId="0">
      <text>
        <r>
          <rPr>
            <sz val="10"/>
            <rFont val="맑은 고딕"/>
            <family val="2"/>
          </rPr>
          <t xml:space="preserve">KRW</t>
        </r>
      </text>
    </comment>
    <comment ref="K218" authorId="0">
      <text>
        <r>
          <rPr>
            <sz val="10"/>
            <rFont val="맑은 고딕"/>
            <family val="2"/>
          </rPr>
          <t xml:space="preserve">KRW</t>
        </r>
      </text>
    </comment>
    <comment ref="L60" authorId="0">
      <text>
        <r>
          <rPr>
            <sz val="10"/>
            <rFont val="맑은 고딕"/>
            <family val="2"/>
          </rPr>
          <t xml:space="preserve">KRW</t>
        </r>
      </text>
    </comment>
    <comment ref="L69" authorId="0">
      <text>
        <r>
          <rPr>
            <sz val="10"/>
            <rFont val="맑은 고딕"/>
            <family val="2"/>
          </rPr>
          <t xml:space="preserve">KRW</t>
        </r>
      </text>
    </comment>
    <comment ref="L87" authorId="0">
      <text>
        <r>
          <rPr>
            <sz val="10"/>
            <rFont val="맑은 고딕"/>
            <family val="2"/>
          </rPr>
          <t xml:space="preserve">KRW</t>
        </r>
      </text>
    </comment>
    <comment ref="L105" authorId="0">
      <text>
        <r>
          <rPr>
            <sz val="10"/>
            <rFont val="맑은 고딕"/>
            <family val="2"/>
          </rPr>
          <t xml:space="preserve">KRW</t>
        </r>
      </text>
    </comment>
    <comment ref="L123" authorId="0">
      <text>
        <r>
          <rPr>
            <sz val="10"/>
            <rFont val="맑은 고딕"/>
            <family val="2"/>
          </rPr>
          <t xml:space="preserve">KRW
</t>
        </r>
      </text>
    </comment>
    <comment ref="L151" authorId="0">
      <text>
        <r>
          <rPr>
            <sz val="10"/>
            <rFont val="맑은 고딕"/>
            <family val="2"/>
          </rPr>
          <t xml:space="preserve">KRW</t>
        </r>
      </text>
    </comment>
    <comment ref="L164" authorId="0">
      <text>
        <r>
          <rPr>
            <sz val="10"/>
            <rFont val="맑은 고딕"/>
            <family val="2"/>
          </rPr>
          <t xml:space="preserve">KRW</t>
        </r>
      </text>
    </comment>
    <comment ref="L182" authorId="0">
      <text>
        <r>
          <rPr>
            <sz val="10"/>
            <rFont val="맑은 고딕"/>
            <family val="2"/>
          </rPr>
          <t xml:space="preserve">KRW</t>
        </r>
      </text>
    </comment>
    <comment ref="L218" authorId="0">
      <text>
        <r>
          <rPr>
            <sz val="10"/>
            <rFont val="맑은 고딕"/>
            <family val="2"/>
          </rPr>
          <t xml:space="preserve">KRW</t>
        </r>
      </text>
    </comment>
    <comment ref="M60" authorId="0">
      <text>
        <r>
          <rPr>
            <sz val="10"/>
            <rFont val="맑은 고딕"/>
            <family val="2"/>
          </rPr>
          <t xml:space="preserve">KRW</t>
        </r>
      </text>
    </comment>
    <comment ref="M69" authorId="0">
      <text>
        <r>
          <rPr>
            <sz val="10"/>
            <rFont val="맑은 고딕"/>
            <family val="2"/>
          </rPr>
          <t xml:space="preserve">KRW</t>
        </r>
      </text>
    </comment>
    <comment ref="M87" authorId="0">
      <text>
        <r>
          <rPr>
            <sz val="10"/>
            <rFont val="맑은 고딕"/>
            <family val="2"/>
          </rPr>
          <t xml:space="preserve">KRW</t>
        </r>
      </text>
    </comment>
    <comment ref="M105" authorId="0">
      <text>
        <r>
          <rPr>
            <sz val="10"/>
            <rFont val="맑은 고딕"/>
            <family val="2"/>
          </rPr>
          <t xml:space="preserve">KRW</t>
        </r>
      </text>
    </comment>
    <comment ref="M123" authorId="0">
      <text>
        <r>
          <rPr>
            <sz val="10"/>
            <rFont val="맑은 고딕"/>
            <family val="2"/>
          </rPr>
          <t xml:space="preserve">KRW
</t>
        </r>
      </text>
    </comment>
    <comment ref="M151" authorId="0">
      <text>
        <r>
          <rPr>
            <sz val="10"/>
            <rFont val="맑은 고딕"/>
            <family val="2"/>
          </rPr>
          <t xml:space="preserve">KRW</t>
        </r>
      </text>
    </comment>
    <comment ref="M164" authorId="0">
      <text>
        <r>
          <rPr>
            <sz val="10"/>
            <rFont val="맑은 고딕"/>
            <family val="2"/>
          </rPr>
          <t xml:space="preserve">KRW</t>
        </r>
      </text>
    </comment>
    <comment ref="M182" authorId="0">
      <text>
        <r>
          <rPr>
            <sz val="10"/>
            <rFont val="맑은 고딕"/>
            <family val="2"/>
          </rPr>
          <t xml:space="preserve">KRW</t>
        </r>
      </text>
    </comment>
    <comment ref="M218" authorId="0">
      <text>
        <r>
          <rPr>
            <sz val="10"/>
            <rFont val="맑은 고딕"/>
            <family val="2"/>
          </rPr>
          <t xml:space="preserve">KRW</t>
        </r>
      </text>
    </comment>
    <comment ref="N60" authorId="0">
      <text>
        <r>
          <rPr>
            <sz val="10"/>
            <rFont val="맑은 고딕"/>
            <family val="2"/>
          </rPr>
          <t xml:space="preserve">KRW</t>
        </r>
      </text>
    </comment>
    <comment ref="N69" authorId="0">
      <text>
        <r>
          <rPr>
            <sz val="10"/>
            <rFont val="맑은 고딕"/>
            <family val="2"/>
          </rPr>
          <t xml:space="preserve">KRW</t>
        </r>
      </text>
    </comment>
    <comment ref="N87" authorId="0">
      <text>
        <r>
          <rPr>
            <sz val="10"/>
            <rFont val="맑은 고딕"/>
            <family val="2"/>
          </rPr>
          <t xml:space="preserve">KRW</t>
        </r>
      </text>
    </comment>
    <comment ref="N105" authorId="0">
      <text>
        <r>
          <rPr>
            <sz val="10"/>
            <rFont val="맑은 고딕"/>
            <family val="2"/>
          </rPr>
          <t xml:space="preserve">KRW</t>
        </r>
      </text>
    </comment>
    <comment ref="N123" authorId="0">
      <text>
        <r>
          <rPr>
            <sz val="10"/>
            <rFont val="맑은 고딕"/>
            <family val="2"/>
          </rPr>
          <t xml:space="preserve">KRW
</t>
        </r>
      </text>
    </comment>
    <comment ref="N151" authorId="0">
      <text>
        <r>
          <rPr>
            <sz val="10"/>
            <rFont val="맑은 고딕"/>
            <family val="2"/>
          </rPr>
          <t xml:space="preserve">KRW</t>
        </r>
      </text>
    </comment>
    <comment ref="N164" authorId="0">
      <text>
        <r>
          <rPr>
            <sz val="10"/>
            <rFont val="맑은 고딕"/>
            <family val="2"/>
          </rPr>
          <t xml:space="preserve">KRW</t>
        </r>
      </text>
    </comment>
    <comment ref="N182" authorId="0">
      <text>
        <r>
          <rPr>
            <sz val="10"/>
            <rFont val="맑은 고딕"/>
            <family val="2"/>
          </rPr>
          <t xml:space="preserve">KRW</t>
        </r>
      </text>
    </comment>
    <comment ref="N218" authorId="0">
      <text>
        <r>
          <rPr>
            <sz val="10"/>
            <rFont val="맑은 고딕"/>
            <family val="2"/>
          </rPr>
          <t xml:space="preserve">KRW</t>
        </r>
      </text>
    </comment>
    <comment ref="O60" authorId="0">
      <text>
        <r>
          <rPr>
            <sz val="10"/>
            <rFont val="맑은 고딕"/>
            <family val="2"/>
          </rPr>
          <t xml:space="preserve">KRW</t>
        </r>
      </text>
    </comment>
    <comment ref="O69" authorId="0">
      <text>
        <r>
          <rPr>
            <sz val="10"/>
            <rFont val="맑은 고딕"/>
            <family val="2"/>
          </rPr>
          <t xml:space="preserve">KRW</t>
        </r>
      </text>
    </comment>
    <comment ref="O87" authorId="0">
      <text>
        <r>
          <rPr>
            <sz val="10"/>
            <rFont val="맑은 고딕"/>
            <family val="2"/>
          </rPr>
          <t xml:space="preserve">KRW</t>
        </r>
      </text>
    </comment>
    <comment ref="O105" authorId="0">
      <text>
        <r>
          <rPr>
            <sz val="10"/>
            <rFont val="맑은 고딕"/>
            <family val="2"/>
          </rPr>
          <t xml:space="preserve">KRW</t>
        </r>
      </text>
    </comment>
    <comment ref="O123" authorId="0">
      <text>
        <r>
          <rPr>
            <sz val="10"/>
            <rFont val="맑은 고딕"/>
            <family val="2"/>
          </rPr>
          <t xml:space="preserve">KRW
</t>
        </r>
      </text>
    </comment>
    <comment ref="O151" authorId="0">
      <text>
        <r>
          <rPr>
            <sz val="10"/>
            <rFont val="맑은 고딕"/>
            <family val="2"/>
          </rPr>
          <t xml:space="preserve">KRW</t>
        </r>
      </text>
    </comment>
    <comment ref="O164" authorId="0">
      <text>
        <r>
          <rPr>
            <sz val="10"/>
            <rFont val="맑은 고딕"/>
            <family val="2"/>
          </rPr>
          <t xml:space="preserve">KRW</t>
        </r>
      </text>
    </comment>
    <comment ref="O182" authorId="0">
      <text>
        <r>
          <rPr>
            <sz val="10"/>
            <rFont val="맑은 고딕"/>
            <family val="2"/>
          </rPr>
          <t xml:space="preserve">KRW</t>
        </r>
      </text>
    </comment>
    <comment ref="O218" authorId="0">
      <text>
        <r>
          <rPr>
            <sz val="10"/>
            <rFont val="맑은 고딕"/>
            <family val="2"/>
          </rPr>
          <t xml:space="preserve">KRW</t>
        </r>
      </text>
    </comment>
    <comment ref="R60" authorId="0">
      <text>
        <r>
          <rPr>
            <sz val="10"/>
            <rFont val="맑은 고딕"/>
            <family val="2"/>
          </rPr>
          <t xml:space="preserve">KRW</t>
        </r>
      </text>
    </comment>
    <comment ref="R69" authorId="0">
      <text>
        <r>
          <rPr>
            <sz val="10"/>
            <rFont val="맑은 고딕"/>
            <family val="2"/>
          </rPr>
          <t xml:space="preserve">KRW</t>
        </r>
      </text>
    </comment>
    <comment ref="R87" authorId="0">
      <text>
        <r>
          <rPr>
            <sz val="10"/>
            <rFont val="맑은 고딕"/>
            <family val="2"/>
          </rPr>
          <t xml:space="preserve">KRW</t>
        </r>
      </text>
    </comment>
    <comment ref="R105" authorId="0">
      <text>
        <r>
          <rPr>
            <sz val="10"/>
            <rFont val="맑은 고딕"/>
            <family val="2"/>
          </rPr>
          <t xml:space="preserve">KRW</t>
        </r>
      </text>
    </comment>
    <comment ref="R123" authorId="0">
      <text>
        <r>
          <rPr>
            <sz val="10"/>
            <rFont val="맑은 고딕"/>
            <family val="2"/>
          </rPr>
          <t xml:space="preserve">KRW
</t>
        </r>
      </text>
    </comment>
    <comment ref="R151" authorId="0">
      <text>
        <r>
          <rPr>
            <sz val="10"/>
            <rFont val="맑은 고딕"/>
            <family val="2"/>
          </rPr>
          <t xml:space="preserve">KRW</t>
        </r>
      </text>
    </comment>
    <comment ref="R164" authorId="0">
      <text>
        <r>
          <rPr>
            <sz val="10"/>
            <rFont val="맑은 고딕"/>
            <family val="2"/>
          </rPr>
          <t xml:space="preserve">KRW</t>
        </r>
      </text>
    </comment>
    <comment ref="R182" authorId="0">
      <text>
        <r>
          <rPr>
            <sz val="10"/>
            <rFont val="맑은 고딕"/>
            <family val="2"/>
          </rPr>
          <t xml:space="preserve">KRW</t>
        </r>
      </text>
    </comment>
    <comment ref="R218" authorId="0">
      <text>
        <r>
          <rPr>
            <sz val="10"/>
            <rFont val="맑은 고딕"/>
            <family val="2"/>
          </rPr>
          <t xml:space="preserve">KRW</t>
        </r>
      </text>
    </comment>
    <comment ref="S87" authorId="0">
      <text>
        <r>
          <rPr>
            <sz val="10"/>
            <rFont val="맑은 고딕"/>
            <family val="2"/>
          </rPr>
          <t xml:space="preserve">KRW</t>
        </r>
      </text>
    </comment>
    <comment ref="S151" authorId="0">
      <text>
        <r>
          <rPr>
            <sz val="10"/>
            <rFont val="맑은 고딕"/>
            <family val="2"/>
          </rPr>
          <t xml:space="preserve">KRW</t>
        </r>
      </text>
    </comment>
    <comment ref="T87" authorId="0">
      <text>
        <r>
          <rPr>
            <sz val="10"/>
            <rFont val="맑은 고딕"/>
            <family val="2"/>
          </rPr>
          <t xml:space="preserve">KRW</t>
        </r>
      </text>
    </comment>
    <comment ref="T151" authorId="0">
      <text>
        <r>
          <rPr>
            <sz val="10"/>
            <rFont val="맑은 고딕"/>
            <family val="2"/>
          </rPr>
          <t xml:space="preserve">KRW</t>
        </r>
      </text>
    </comment>
    <comment ref="U87" authorId="0">
      <text>
        <r>
          <rPr>
            <sz val="10"/>
            <rFont val="맑은 고딕"/>
            <family val="2"/>
          </rPr>
          <t xml:space="preserve">KRW</t>
        </r>
      </text>
    </comment>
    <comment ref="U151" authorId="0">
      <text>
        <r>
          <rPr>
            <sz val="10"/>
            <rFont val="맑은 고딕"/>
            <family val="2"/>
          </rPr>
          <t xml:space="preserve">KRW</t>
        </r>
      </text>
    </comment>
    <comment ref="V87" authorId="0">
      <text>
        <r>
          <rPr>
            <sz val="10"/>
            <rFont val="맑은 고딕"/>
            <family val="2"/>
          </rPr>
          <t xml:space="preserve">KRW</t>
        </r>
      </text>
    </comment>
    <comment ref="V151" authorId="0">
      <text>
        <r>
          <rPr>
            <sz val="10"/>
            <rFont val="맑은 고딕"/>
            <family val="2"/>
          </rPr>
          <t xml:space="preserve">KRW</t>
        </r>
      </text>
    </comment>
    <comment ref="W60" authorId="0">
      <text>
        <r>
          <rPr>
            <sz val="10"/>
            <rFont val="맑은 고딕"/>
            <family val="2"/>
          </rPr>
          <t xml:space="preserve">KRW</t>
        </r>
      </text>
    </comment>
    <comment ref="W69" authorId="0">
      <text>
        <r>
          <rPr>
            <sz val="10"/>
            <rFont val="맑은 고딕"/>
            <family val="2"/>
          </rPr>
          <t xml:space="preserve">KRW</t>
        </r>
      </text>
    </comment>
    <comment ref="W87" authorId="0">
      <text>
        <r>
          <rPr>
            <sz val="10"/>
            <rFont val="맑은 고딕"/>
            <family val="2"/>
          </rPr>
          <t xml:space="preserve">KRW</t>
        </r>
      </text>
    </comment>
    <comment ref="W105" authorId="0">
      <text>
        <r>
          <rPr>
            <sz val="10"/>
            <rFont val="맑은 고딕"/>
            <family val="2"/>
          </rPr>
          <t xml:space="preserve">KRW</t>
        </r>
      </text>
    </comment>
    <comment ref="W123" authorId="0">
      <text>
        <r>
          <rPr>
            <sz val="10"/>
            <rFont val="맑은 고딕"/>
            <family val="2"/>
          </rPr>
          <t xml:space="preserve">KRW
</t>
        </r>
      </text>
    </comment>
    <comment ref="W151" authorId="0">
      <text>
        <r>
          <rPr>
            <sz val="10"/>
            <rFont val="맑은 고딕"/>
            <family val="2"/>
          </rPr>
          <t xml:space="preserve">KRW</t>
        </r>
      </text>
    </comment>
    <comment ref="W164" authorId="0">
      <text>
        <r>
          <rPr>
            <sz val="10"/>
            <rFont val="맑은 고딕"/>
            <family val="2"/>
          </rPr>
          <t xml:space="preserve">KRW</t>
        </r>
      </text>
    </comment>
    <comment ref="W182" authorId="0">
      <text>
        <r>
          <rPr>
            <sz val="10"/>
            <rFont val="맑은 고딕"/>
            <family val="2"/>
          </rPr>
          <t xml:space="preserve">KRW</t>
        </r>
      </text>
    </comment>
    <comment ref="W218" authorId="0">
      <text>
        <r>
          <rPr>
            <sz val="10"/>
            <rFont val="맑은 고딕"/>
            <family val="2"/>
          </rPr>
          <t xml:space="preserve">KRW</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2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동성메탈 임차250612_54,539,100 EBL 250717_54,539,100 지급분 Drop에 따른 Daechon Busan Milestone3에 반영 함</t>
        </r>
      </text>
    </comment>
    <comment ref="C4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계약서는 228kW로 되어 있음</t>
        </r>
      </text>
    </comment>
    <comment ref="C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계약서 금액은 241kW로 되어 있음</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D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999.24kW에서 용량 변경</t>
        </r>
      </text>
    </comment>
    <comment ref="D3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최초용량 993.60에서 617.76으로 변경 됨</t>
        </r>
      </text>
    </comment>
    <comment ref="D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최초용량 993.60에서 564.96으로 변경 됨</t>
        </r>
      </text>
    </comment>
    <comment ref="D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최초용량 993.60에서 634.92로 변경 됨</t>
        </r>
      </text>
    </comment>
    <comment ref="D3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최초용량 993.60에서 625.68로 변경 됨</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A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Jul.2025 RTB</t>
        </r>
      </text>
    </comment>
    <comment ref="AA1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1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Jul.2025 RTB</t>
        </r>
      </text>
    </comment>
    <comment ref="AA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Jul.2025 RTB</t>
        </r>
      </text>
    </comment>
    <comment ref="AA2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2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Jul.2025 RTB</t>
        </r>
      </text>
    </comment>
    <comment ref="AA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Sep. 2025 RTB</t>
        </r>
      </text>
    </comment>
    <comment ref="AA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Sep. 2025 RTB</t>
        </r>
      </text>
    </comment>
    <comment ref="AA4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Sep. 2025 RTB</t>
        </r>
      </text>
    </comment>
    <comment ref="AA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AA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Sep. 2025 RTB</t>
        </r>
      </text>
    </comment>
    <comment ref="AA5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SOC</t>
        </r>
      </text>
    </comment>
    <comment ref="BJ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Jan 2026 COD</t>
        </r>
      </text>
    </comment>
    <comment ref="BJ1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Jan 2026 COD</t>
        </r>
      </text>
    </comment>
    <comment ref="BJ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Jan 2026 COD</t>
        </r>
      </text>
    </comment>
    <comment ref="BJ2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Jan 2026 COD</t>
        </r>
      </text>
    </comment>
    <comment ref="BJ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May. 2026 COD</t>
        </r>
      </text>
    </comment>
    <comment ref="BJ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May. 2026 COD</t>
        </r>
      </text>
    </comment>
    <comment ref="BJ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May. 2026 COD</t>
        </r>
      </text>
    </comment>
    <comment ref="BJ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May. 2026 COD</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F1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COD 때 일괄 지급 예정</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B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[Tasks]
이 주석에 고정 된 작업이 클라이언트에서 표시 되지 않습니다.
댓글:
    @Kim Jeongsik 이사님 41-행 부터 에너지플랜 새 물건 업데이트 해놨습니다. 숫자 업데이트 부탁드립니다.</t>
        </r>
      </text>
    </comment>
    <comment ref="G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2명의 다른 개인사업자(명현테크, 배효) 중 명현테크의 신용도만 확인됨, 둘은 가족관계</t>
        </r>
      </text>
    </comment>
    <comment ref="L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NEH is the same as AT Busan as it's 200M away from this site</t>
        </r>
      </text>
    </comment>
    <comment ref="L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NEH is the same as KORENS EM factory as it's 1KM away from this site</t>
        </r>
      </text>
    </comment>
    <comment ref="M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DNA모터스 기준: 18km이격) 1,387시간(3.80h/day) – 
	(Kier 자원지도분석시스템) 정남 4.0시간/일 타방향  3.6 X시간/일) 
	제안자의 PV Syst 접수시까지 DNA PV와 KIER중간인 3.7h/day로 상정 </t>
        </r>
      </text>
    </comment>
    <comment ref="M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Cheongwoo 1 : 3.92 
Cheongwoo 2 : 3.99</t>
        </r>
      </text>
    </comment>
    <comment ref="N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O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545.460 -&gt; 515.62kWp</t>
        </r>
      </text>
    </comment>
    <comment ref="O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151.130 -&gt; 148.59</t>
        </r>
      </text>
    </comment>
    <comment ref="O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Reduced from 909.32kW</t>
        </r>
      </text>
    </comment>
    <comment ref="O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Reduced from 654.05kW</t>
        </r>
      </text>
    </comment>
    <comment ref="Z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Preparing materials for EBL application</t>
        </r>
      </text>
    </comment>
    <comment ref="Z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Preparing materials for EBL application</t>
        </r>
      </text>
    </comment>
    <comment ref="Z1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EBL to be submitted in Feb '25</t>
        </r>
      </text>
    </comment>
    <comment ref="AC1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26-27 system (no spare capacity after contract), negotiated to be given priority for permission as it is the first contract</t>
        </r>
      </text>
    </comment>
    <comment ref="AG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KRW 40M/MW from the 6th to the 20th year for School development fund </t>
        </r>
      </text>
    </comment>
    <comment ref="AI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KRW 35M/MW for 5years then KRW 40M after 6th year</t>
        </r>
      </text>
    </comment>
    <comment ref="AI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KRW 35M/MW for the first then KRW 40M after 6th year</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H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This IRR is an estimate based on the Greenvolt sensitivity analysis methodology.</t>
        </r>
      </text>
    </comment>
    <comment ref="X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55% at DP(1)</t>
        </r>
      </text>
    </comment>
    <comment ref="X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X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9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X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AA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Out of 15% at DP(2)</t>
        </r>
      </text>
    </comment>
    <comment ref="AA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5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5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6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6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7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7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8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8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A9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A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D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COD</t>
        </r>
      </text>
    </comment>
    <comment ref="AD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t>
        </r>
      </text>
    </comment>
    <comment ref="AD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9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D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30% at Pre-use Inspection</t>
        </r>
      </text>
    </comment>
    <comment ref="AG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G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9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G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J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J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L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This IRR is an estimate based on the Greenvolt sensitivity analysis methodology.</t>
        </r>
      </text>
    </comment>
    <comment ref="W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9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9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0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0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0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DP</t>
        </r>
      </text>
    </comment>
    <comment ref="W1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6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DP</t>
        </r>
      </text>
    </comment>
    <comment ref="W1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W17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DP</t>
        </r>
      </text>
    </comment>
    <comment ref="AB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9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9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9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0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0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0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0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0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0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
답글:
    Expected to obtain 7th May '25</t>
        </r>
      </text>
    </comment>
    <comment ref="AB1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NTP</t>
        </r>
      </text>
    </comment>
    <comment ref="AB1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B1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 at EBL</t>
        </r>
      </text>
    </comment>
    <comment ref="AE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9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9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9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0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0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0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0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0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0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40% at Module arrival
</t>
        </r>
      </text>
    </comment>
    <comment ref="AE1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E1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50% at DAP</t>
        </r>
      </text>
    </comment>
    <comment ref="AH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8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8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8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8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9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9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9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9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9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0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0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0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0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0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0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2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2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2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2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3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3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3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3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4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4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4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4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5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5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5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5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6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6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6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6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7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7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25% at Pre-use inspection</t>
        </r>
      </text>
    </comment>
    <comment ref="AH17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H17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10% at COD</t>
        </r>
      </text>
    </comment>
    <comment ref="AK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8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8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9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9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0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0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2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3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3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4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4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5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5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6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6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 ref="AK17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5% at COD</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G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R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connection:2025</t>
        </r>
      </text>
    </comment>
    <comment ref="R1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connection:2025</t>
        </r>
      </text>
    </comment>
    <comment ref="R1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connection:2026</t>
        </r>
      </text>
    </comment>
    <comment ref="R1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connection:2026</t>
        </r>
      </text>
    </comment>
    <comment ref="R1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connection:2026</t>
        </r>
      </text>
    </comment>
    <comment ref="R1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connection:2026</t>
        </r>
      </text>
    </comment>
    <comment ref="R1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connection:2027</t>
        </r>
      </text>
    </comment>
    <comment ref="R1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connection:2027</t>
        </r>
      </text>
    </comment>
    <comment ref="R1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connection:2027</t>
        </r>
      </text>
    </comment>
    <comment ref="R2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Grid connection:2027</t>
        </r>
      </text>
    </comment>
    <comment ref="T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KRW 40M/MW</t>
        </r>
      </text>
    </comment>
    <comment ref="Z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Mountain 56 : 385㎡ - KRW 7,510/Pyeong &amp; #619: 8311㎡ - KRW 7,800/Pyeong</t>
        </r>
      </text>
    </comment>
    <comment ref="AO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O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Q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8"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Q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Permit set at KRW 180,000,000 per 1Mw</t>
        </r>
      </text>
    </comment>
    <comment ref="AU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Expected production</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E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T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20Milion KRW Per MW</t>
        </r>
      </text>
    </comment>
    <comment ref="AB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Mountain 56 : 385㎡ - KRW 7,510/Pyeong &amp; #619: 8311㎡ - KRW 7,800/Pyeong</t>
        </r>
      </text>
    </comment>
    <comment ref="AY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Expected production</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G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U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20Milion KRW Per MW</t>
        </r>
      </text>
    </comment>
    <comment ref="AZ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Expected production</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Z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Conditionally authorized</t>
        </r>
      </text>
    </comment>
    <comment ref="AC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r>
      </text>
    </comment>
    <comment ref="AC4"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r>
      </text>
    </comment>
    <comment ref="AC5"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r>
      </text>
    </comment>
    <comment ref="AC6"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r>
      </text>
    </comment>
    <comment ref="AC7"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전체 인허가비용 40,000,000KRW 로 발전용량 대비 비율로 산정함.</t>
        </r>
      </text>
    </comment>
  </commentList>
</comments>
</file>

<file path=xl/comments33.xml><?xml version="1.0" encoding="utf-8"?>
<comments xmlns="http://schemas.openxmlformats.org/spreadsheetml/2006/main" xmlns:xdr="http://schemas.openxmlformats.org/drawingml/2006/spreadsheetDrawing">
  <authors>
    <author>Unknown Author</author>
  </authors>
  <commentList>
    <comment ref="AA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KRW 35,000,000 for 5years then KRW 40,000,000 after 6th year</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F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T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20Milion KRW Per MW</t>
        </r>
      </text>
    </comment>
    <comment ref="AM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=영업비</t>
        </r>
      </text>
    </comment>
    <comment ref="AX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Expected production</t>
        </r>
      </text>
    </comment>
  </commentList>
</comments>
</file>

<file path=xl/comments36.xml><?xml version="1.0" encoding="utf-8"?>
<comments xmlns="http://schemas.openxmlformats.org/spreadsheetml/2006/main" xmlns:xdr="http://schemas.openxmlformats.org/drawingml/2006/spreadsheetDrawing">
  <authors>
    <author>Unknown Author</author>
  </authors>
  <commentList>
    <comment ref="F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각종 공사 착공 신고</t>
        </r>
      </text>
    </comment>
    <comment ref="U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20Milion KRW Per MW</t>
        </r>
      </text>
    </comment>
    <comment ref="AG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Forest: 12,363, Farmland 5,954</t>
        </r>
      </text>
    </comment>
    <comment ref="AN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Apply Land depot related cost in "Wind 98MW, M&amp;A98MW" sheet of budget sheet</t>
        </r>
      </text>
    </comment>
    <comment ref="AP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Reflected as the amount of the lease consolidation fee of "GM_1.8 MW" in the budget sheet</t>
        </r>
      </text>
    </comment>
    <comment ref="AP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Apply EBL related cost in "Wind 98MW, M&amp;A98MW" sheet of budget sheet</t>
        </r>
      </text>
    </comment>
    <comment ref="AQ9"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Q1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Q11"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Extracted from land release material in ref-batch1 of budget sheet
8 sites of Batch1 are extracted from ref-batch1</t>
        </r>
      </text>
    </comment>
    <comment ref="AQ70"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EPC is set at KRW 2,400,000,000 per MW and reflected</t>
        </r>
      </text>
    </comment>
    <comment ref="AR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Reflected as the permit amount of "ref-GM" on the budget sheet</t>
        </r>
      </text>
    </comment>
    <comment ref="AS3"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Reflected as EPC amount of "GM_1.8MW" in budget sheet</t>
        </r>
      </text>
    </comment>
    <comment ref="AZ2" authorId="0">
      <text>
        <r>
          <rPr>
            <sz val="10"/>
            <rFont val="맑은 고딕"/>
            <family val="2"/>
          </rPr>
          <t xml:space="preserve">[스레드 댓글]
사용 중인 버전의 Excel에서 이 스레드 댓글을 읽을 수 있지만 파일을 이후 버전의 Excel에서 열면 편집 내용이 모두 제거됩니다. 자세한 정보: https://go.microsoft.com/fwlink/?linkid=870924.
댓글:
    Expected production</t>
        </r>
      </text>
    </comment>
  </commentList>
</comments>
</file>

<file path=xl/sharedStrings.xml><?xml version="1.0" encoding="utf-8"?>
<sst xmlns="http://schemas.openxmlformats.org/spreadsheetml/2006/main" count="9978" uniqueCount="2346">
  <si>
    <t xml:space="preserve">Unit KRW</t>
  </si>
  <si>
    <t xml:space="preserve">Phase 1</t>
  </si>
  <si>
    <t xml:space="preserve">Paid amount for each site</t>
  </si>
  <si>
    <t xml:space="preserve">Total Paid amount</t>
  </si>
  <si>
    <t xml:space="preserve">김한용</t>
  </si>
  <si>
    <t xml:space="preserve">드림1</t>
  </si>
  <si>
    <t xml:space="preserve">드림2</t>
  </si>
  <si>
    <t xml:space="preserve">제일테크1</t>
  </si>
  <si>
    <t xml:space="preserve">제일테크2</t>
  </si>
  <si>
    <t xml:space="preserve">이홍연</t>
  </si>
  <si>
    <t xml:space="preserve">가시솔라1 (오은주)</t>
  </si>
  <si>
    <t xml:space="preserve">가시솔라2 (오은주)</t>
  </si>
  <si>
    <t xml:space="preserve">행원햇빛</t>
  </si>
  <si>
    <t xml:space="preserve">와이제이 수산</t>
  </si>
  <si>
    <t xml:space="preserve">Phase 2</t>
  </si>
  <si>
    <t xml:space="preserve">Divide for Phase 1</t>
  </si>
  <si>
    <t xml:space="preserve">Amount of Divided into 5</t>
  </si>
  <si>
    <t xml:space="preserve">빛나리2</t>
  </si>
  <si>
    <t xml:space="preserve">빛나리3</t>
  </si>
  <si>
    <t xml:space="preserve">빛나리4</t>
  </si>
  <si>
    <t xml:space="preserve">빛나리7</t>
  </si>
  <si>
    <t xml:space="preserve">흥산2 (김명현)</t>
  </si>
  <si>
    <t xml:space="preserve">와이제이 덕천 </t>
  </si>
  <si>
    <t xml:space="preserve">   Korea Weekly Update</t>
  </si>
  <si>
    <t xml:space="preserve">SN</t>
  </si>
  <si>
    <t xml:space="preserve">Subject</t>
  </si>
  <si>
    <t xml:space="preserve">Discription</t>
  </si>
  <si>
    <t xml:space="preserve">Political Environment Update</t>
  </si>
  <si>
    <t xml:space="preserve">a. The Prime Minister is in power, the President is being slowly removed from his functions and the former Minister of Defense jailed. The country is likely to be preparing for elections in 2025 and few is expected from the government side in terms of new policies. This is basically a frozen environment. However, in the beginning of next year 2 major things are expected on REN side: grid release schedule and PPA price adjustment for DG.</t>
  </si>
  <si>
    <t xml:space="preserve">KEPCO / Grid availability</t>
  </si>
  <si>
    <t xml:space="preserve">a.	Grid release tips this week shows 1.3GW of grid release in Honam and Jeju regions announcement in January 2025. Originated plans to look after a few more ground PV from the pipeline that had secured GIA to add 3 to 5 MW to Batch 1 and 2 and completed a 21MW+ GM PV batch overall.</t>
  </si>
  <si>
    <t xml:space="preserve">b.	More GW are expected to be released in 2026 as MoTIE extended the period of construction to frozen projects having received connection to YE 2025. Meaning many projects with limited capital may be on sale in 2025.</t>
  </si>
  <si>
    <t xml:space="preserve">4MWp PPA at 180won/KRW</t>
  </si>
  <si>
    <t xml:space="preserve">a.	RWE Energy Trading reached out to Originated to get an urgent 4MWp RtB available for cPPA for one of their coal power producer clients. The expected price per MWh is said to be 180,000KRW (EUR120)</t>
  </si>
  <si>
    <t xml:space="preserve">b.	Detailed meeting about contracting planned on Dec. 30th.</t>
  </si>
  <si>
    <t xml:space="preserve">   Outstanding by year end</t>
  </si>
  <si>
    <t xml:space="preserve">Project</t>
  </si>
  <si>
    <t xml:space="preserve">What to do next</t>
  </si>
  <si>
    <t xml:space="preserve">Ground mounted Batch 1: 8MW</t>
  </si>
  <si>
    <t xml:space="preserve">a. EPC contract
b. pre-PPA binding contract
c. KEPCO grid release date</t>
  </si>
  <si>
    <t xml:space="preserve">Ground mounted Batch 2: 6.8MW</t>
  </si>
  <si>
    <t xml:space="preserve">a. APA x 6 / SPA x 4
b. LDD and taxation DD final
c. 4MWp PPA with RWE @ 180KRW/kWh
d. Transfer of c. 2m EUR</t>
  </si>
  <si>
    <t xml:space="preserve">DG organic 3.633MW (+8MW tender)</t>
  </si>
  <si>
    <t xml:space="preserve">a. SPA completed
b. Approval of 3.2MW
c. Sign lease
d. Transfer of 20% DEVEX to Solar City
e. (Tender 8MW DG Port Kukyang Logitek)</t>
  </si>
  <si>
    <t xml:space="preserve">Wind 37.2MW</t>
  </si>
  <si>
    <t xml:space="preserve">a. NBO
b. LDD, Technical DD, Texation DD
c. SPA/SHA/DSA
d. Site extension + 37.2MW</t>
  </si>
  <si>
    <t xml:space="preserve">Conclusion Korea on the map with 55.7 locked in pipeline for construction in 2025 18.5MW and development 37.2MW.
Next lock in campaign: + 13.8MW of DG in pipeline to be locked in by end of January 2025.</t>
  </si>
  <si>
    <t xml:space="preserve">[단위 : 원]</t>
  </si>
  <si>
    <t xml:space="preserve">구분</t>
  </si>
  <si>
    <t xml:space="preserve">지급일자</t>
  </si>
  <si>
    <t xml:space="preserve">YJ NANSAN1</t>
  </si>
  <si>
    <t xml:space="preserve">YJ NANSAN2</t>
  </si>
  <si>
    <t xml:space="preserve">YJ GASI1</t>
  </si>
  <si>
    <t xml:space="preserve">YJ GASI2</t>
  </si>
  <si>
    <t xml:space="preserve">Dream1</t>
  </si>
  <si>
    <t xml:space="preserve">Dream2</t>
  </si>
  <si>
    <t xml:space="preserve">Jeil Tech1</t>
  </si>
  <si>
    <t xml:space="preserve">Jeil Tech2</t>
  </si>
  <si>
    <t xml:space="preserve">합계</t>
  </si>
  <si>
    <t xml:space="preserve">발전용량(kw)</t>
  </si>
  <si>
    <t xml:space="preserve">입금액(EUR)</t>
  </si>
  <si>
    <t xml:space="preserve">전체금액</t>
  </si>
  <si>
    <t xml:space="preserve">추가입금액 (10%)</t>
  </si>
  <si>
    <t xml:space="preserve">입금 금액</t>
  </si>
  <si>
    <t xml:space="preserve">잔금</t>
  </si>
  <si>
    <t xml:space="preserve">입금처</t>
  </si>
  <si>
    <t xml:space="preserve">YJ SOLAR CO.LTD</t>
  </si>
  <si>
    <t xml:space="preserve">KIM HAN YONG</t>
  </si>
  <si>
    <t xml:space="preserve">LEE SU KYUNG</t>
  </si>
  <si>
    <t xml:space="preserve">KIM JUNG HEE</t>
  </si>
  <si>
    <t xml:space="preserve">JEIL TECH CO.LTD</t>
  </si>
  <si>
    <t xml:space="preserve"> </t>
  </si>
  <si>
    <t xml:space="preserve">Hangwon Hatbit PV</t>
  </si>
  <si>
    <t xml:space="preserve">YJ SUSAN PV</t>
  </si>
  <si>
    <t xml:space="preserve">Gasi Solar 1PV</t>
  </si>
  <si>
    <t xml:space="preserve">Gasi Solar 2PV</t>
  </si>
  <si>
    <t xml:space="preserve">Bitnari 2</t>
  </si>
  <si>
    <t xml:space="preserve">Bitnari 3</t>
  </si>
  <si>
    <t xml:space="preserve">Bitnari 4</t>
  </si>
  <si>
    <t xml:space="preserve">Bitnari 7</t>
  </si>
  <si>
    <t xml:space="preserve">Heungsan 2 PV</t>
  </si>
  <si>
    <t xml:space="preserve">YJ DUCKHUN</t>
  </si>
  <si>
    <t xml:space="preserve">OH EUN JU</t>
  </si>
  <si>
    <t xml:space="preserve">KIM MYUNG HYUN</t>
  </si>
  <si>
    <t xml:space="preserve">▶ 작성 내용</t>
  </si>
  <si>
    <t xml:space="preserve">1. Pipeline에 있는 각 Project 별 내용을 SPV별로 나눠 관리를 하기 위해 SPV별로 정리</t>
  </si>
  <si>
    <t xml:space="preserve">2. 승인 받은 DG (Liquidity projection for April &amp; May 2025) 관련 내용을 근거로 작성(지급일자)</t>
  </si>
  <si>
    <t xml:space="preserve">   - 지급일자 4월로 승인받았으나 자금 지급이 늦어짐으로 4월을 5월로 지급하는 일정으로 작성 됨</t>
  </si>
  <si>
    <t xml:space="preserve">▶ 지급일자 확인</t>
  </si>
  <si>
    <t xml:space="preserve">1. 지급일자는 DEVEX 추가 지급 일정이 확정 됐을때 자료 보완 필요(계속적인 업데이트 필요)</t>
  </si>
  <si>
    <t xml:space="preserve">  - SPV 별 자금 현황 확인 및 Broker(솔라시티, 에너지플랜 등)과 협의 후 일정 업데이트</t>
  </si>
  <si>
    <t xml:space="preserve">▶Project 추가 여부</t>
  </si>
  <si>
    <t xml:space="preserve">1. 그린볼트 승인 및 자금 투여 시 해당 SPV에 추가 업데이트 진행</t>
  </si>
  <si>
    <t xml:space="preserve">2. 현 추가 사업자등록 완료 된 4,5,8,9,10호의 사업자도 추가 진행 가능</t>
  </si>
  <si>
    <t xml:space="preserve">Balance by SPV</t>
  </si>
  <si>
    <t xml:space="preserve">[Dated : 2025.10.04]</t>
  </si>
  <si>
    <t xml:space="preserve">SPV</t>
  </si>
  <si>
    <t xml:space="preserve">Currency</t>
  </si>
  <si>
    <t xml:space="preserve">KRW </t>
  </si>
  <si>
    <t xml:space="preserve">to be Paid in Oct.</t>
  </si>
  <si>
    <t xml:space="preserve">Requested Amount (KRW)</t>
  </si>
  <si>
    <t xml:space="preserve">Requested Amount (EUR)</t>
  </si>
  <si>
    <t xml:space="preserve">Details</t>
  </si>
  <si>
    <t xml:space="preserve">Bolt Taeyanggwang 1HO</t>
  </si>
  <si>
    <t xml:space="preserve">KRW</t>
  </si>
  <si>
    <t xml:space="preserve">Please check the following.</t>
  </si>
  <si>
    <t xml:space="preserve">EUR</t>
  </si>
  <si>
    <t xml:space="preserve">KRW Total</t>
  </si>
  <si>
    <t xml:space="preserve">POSN2HO</t>
  </si>
  <si>
    <t xml:space="preserve">Total</t>
  </si>
  <si>
    <t xml:space="preserve">Exchange</t>
  </si>
  <si>
    <t xml:space="preserve">Category</t>
  </si>
  <si>
    <t xml:space="preserve">CAPEX</t>
  </si>
  <si>
    <t xml:space="preserve">50% of GM_Batch1 4MWp payment is required. Scheduled payment date: 13 Oct.</t>
  </si>
  <si>
    <t xml:space="preserve">DEVEX</t>
  </si>
  <si>
    <t xml:space="preserve">Payment of the outstanding amount for GM_Batch1 4MWp is scheduled.</t>
  </si>
  <si>
    <t xml:space="preserve">Excluding the previously paid Grid Connection Fee and considering the additional requested amount, \931,349,470 (EUR 633,571.07) is requested.</t>
  </si>
  <si>
    <t xml:space="preserve">Funds are requested for the payment of 20% of the acquisition amount.</t>
  </si>
  <si>
    <t xml:space="preserve">OPEX</t>
  </si>
  <si>
    <t xml:space="preserve">Payment of \187,305,773 (EUR 127,418.89) is requested for the Prepaid Lease Fee and OE Fee.</t>
  </si>
  <si>
    <t xml:space="preserve">DEVEX Payment Status</t>
  </si>
  <si>
    <t xml:space="preserve">NO</t>
  </si>
  <si>
    <t xml:space="preserve">Name of Project</t>
  </si>
  <si>
    <t xml:space="preserve">Capacity (kWp)</t>
  </si>
  <si>
    <t xml:space="preserve">DEVEX/MWp</t>
  </si>
  <si>
    <t xml:space="preserve">DEVEX Total Amount</t>
  </si>
  <si>
    <t xml:space="preserve">Payment ratio</t>
  </si>
  <si>
    <t xml:space="preserve">2024 Total</t>
  </si>
  <si>
    <t xml:space="preserve">2025 Total</t>
  </si>
  <si>
    <t xml:space="preserve">2026 Total</t>
  </si>
  <si>
    <t xml:space="preserve">Bolt T 1HO Total</t>
  </si>
  <si>
    <t xml:space="preserve">Galsan Solar Total</t>
  </si>
  <si>
    <t xml:space="preserve">Mineuri Solar Total</t>
  </si>
  <si>
    <t xml:space="preserve">SeagolSolar Total</t>
  </si>
  <si>
    <t xml:space="preserve">Jaesan Solar Total</t>
  </si>
  <si>
    <t xml:space="preserve">POSN2HO Total</t>
  </si>
  <si>
    <t xml:space="preserve">Galsan Solar</t>
  </si>
  <si>
    <t xml:space="preserve">Mineuri Solar</t>
  </si>
  <si>
    <t xml:space="preserve">SeagolSolar</t>
  </si>
  <si>
    <t xml:space="preserve">Jaesan Solar</t>
  </si>
  <si>
    <t xml:space="preserve">SPV Name</t>
  </si>
  <si>
    <t xml:space="preserve">Business 
License
Number</t>
  </si>
  <si>
    <t xml:space="preserve">388-86-03459</t>
  </si>
  <si>
    <t xml:space="preserve">Corporate
Registry Number</t>
  </si>
  <si>
    <t xml:space="preserve">110111-9077515</t>
  </si>
  <si>
    <t xml:space="preserve">SPV Address</t>
  </si>
  <si>
    <t xml:space="preserve">#214, 42, Eonju-ro 147-gil, Gangnam-gu, Seoul, Korea</t>
  </si>
  <si>
    <t xml:space="preserve">Project 
Tech.</t>
  </si>
  <si>
    <t xml:space="preserve">GM_Batch1,2, DG_M&amp;A</t>
  </si>
  <si>
    <t xml:space="preserve">Bank &amp; 
Bank account Number</t>
  </si>
  <si>
    <t xml:space="preserve">KB Bank : 096368-11-010020</t>
  </si>
  <si>
    <t xml:space="preserve">[Unit : KRW, EUR]</t>
  </si>
  <si>
    <t xml:space="preserve">CAPEX per kWp</t>
  </si>
  <si>
    <t xml:space="preserve">DEVEX per kWp</t>
  </si>
  <si>
    <t xml:space="preserve">Total amount to be settled</t>
  </si>
  <si>
    <t xml:space="preserve">Amount scheduled to be paid in Jul. to Sep.</t>
  </si>
  <si>
    <r>
      <rPr>
        <sz val="10"/>
        <rFont val="맑은 고딕"/>
        <family val="2"/>
        <charset val="129"/>
      </rPr>
      <t xml:space="preserve">전체</t>
    </r>
    <r>
      <rPr>
        <sz val="10"/>
        <rFont val="맑은 고딕"/>
        <family val="2"/>
        <charset val="128"/>
      </rPr>
      <t xml:space="preserve"> </t>
    </r>
    <r>
      <rPr>
        <sz val="10"/>
        <rFont val="맑은 고딕"/>
        <family val="2"/>
        <charset val="129"/>
      </rPr>
      <t xml:space="preserve">지급예정</t>
    </r>
  </si>
  <si>
    <t xml:space="preserve">Paid  (By Sep. 30, 2025)</t>
  </si>
  <si>
    <t xml:space="preserve">Balance on Sep. 30, 2025</t>
  </si>
  <si>
    <t xml:space="preserve">Required funds for Oct.</t>
  </si>
  <si>
    <t xml:space="preserve">Amount scheduled to be paid in Oct.</t>
  </si>
  <si>
    <t xml:space="preserve">Oct.</t>
  </si>
  <si>
    <t xml:space="preserve">Amount scheduled to be paid in Nov.</t>
  </si>
  <si>
    <t xml:space="preserve">Nov.</t>
  </si>
  <si>
    <t xml:space="preserve">Dec.</t>
  </si>
  <si>
    <t xml:space="preserve">Jan. 2026</t>
  </si>
  <si>
    <t xml:space="preserve">After Jan.2026</t>
  </si>
  <si>
    <t xml:space="preserve">Review</t>
  </si>
  <si>
    <t xml:space="preserve">Date</t>
  </si>
  <si>
    <t xml:space="preserve">Payment</t>
  </si>
  <si>
    <t xml:space="preserve">YJ NANSAN 1</t>
  </si>
  <si>
    <t xml:space="preserve">YJ NANSAN 2</t>
  </si>
  <si>
    <t xml:space="preserve">YJ GASI 1</t>
  </si>
  <si>
    <t xml:space="preserve">YJ GASI 2</t>
  </si>
  <si>
    <t xml:space="preserve">Dream 1</t>
  </si>
  <si>
    <t xml:space="preserve">Dream 2</t>
  </si>
  <si>
    <t xml:space="preserve">JEIL TECH 1</t>
  </si>
  <si>
    <t xml:space="preserve">JEIL TECH 2</t>
  </si>
  <si>
    <t xml:space="preserve">Jangchon 1 (APA)</t>
  </si>
  <si>
    <t xml:space="preserve">Soltop Masan 1 (APA)</t>
  </si>
  <si>
    <t xml:space="preserve">Hanil Mugok 15 (APA)</t>
  </si>
  <si>
    <t xml:space="preserve">Hanil Jigyeong 1 (APA)</t>
  </si>
  <si>
    <t xml:space="preserve">Hanil Jigyeong 2 (APA)</t>
  </si>
  <si>
    <t xml:space="preserve">Ho Duck4 (APA)</t>
  </si>
  <si>
    <t xml:space="preserve">Galsan (SPA)</t>
  </si>
  <si>
    <t xml:space="preserve">Mineuri (SPA)</t>
  </si>
  <si>
    <t xml:space="preserve">Saegol (SPA)</t>
  </si>
  <si>
    <t xml:space="preserve">Jaesan (SPA)</t>
  </si>
  <si>
    <t xml:space="preserve">CAPEX Total</t>
  </si>
  <si>
    <t xml:space="preserve">DEVEX Total</t>
  </si>
  <si>
    <r>
      <rPr>
        <sz val="10"/>
        <rFont val="맑은 고딕"/>
        <family val="2"/>
        <charset val="129"/>
      </rPr>
      <t xml:space="preserve">※</t>
    </r>
    <r>
      <rPr>
        <sz val="10"/>
        <rFont val="Calibri"/>
        <family val="2"/>
        <charset val="1"/>
      </rPr>
      <t xml:space="preserve">CAPEX payment schedule for Oct.</t>
    </r>
  </si>
  <si>
    <t xml:space="preserve">Amount scheduled to be paid in Jul. to Aug.</t>
  </si>
  <si>
    <t xml:space="preserve">Paid</t>
  </si>
  <si>
    <t xml:space="preserve">Balance on Jul. 21, 2025</t>
  </si>
  <si>
    <r>
      <rPr>
        <sz val="10"/>
        <rFont val="Calibri"/>
        <family val="2"/>
        <charset val="1"/>
      </rPr>
      <t xml:space="preserve">Amount scheduled to be paid in Aug. to Sep.
</t>
    </r>
    <r>
      <rPr>
        <b val="true"/>
        <sz val="10"/>
        <color rgb="FFFF0000"/>
        <rFont val="Calibri"/>
        <family val="2"/>
        <charset val="1"/>
      </rPr>
      <t xml:space="preserve">(2nd Drawdown Amount)</t>
    </r>
  </si>
  <si>
    <t xml:space="preserve">Jul.</t>
  </si>
  <si>
    <t xml:space="preserve">Aug.</t>
  </si>
  <si>
    <t xml:space="preserve">Sep.</t>
  </si>
  <si>
    <t xml:space="preserve">After Oct.</t>
  </si>
  <si>
    <t xml:space="preserve">POS-1</t>
  </si>
  <si>
    <t xml:space="preserve">POS-3</t>
  </si>
  <si>
    <t xml:space="preserve">POS-4</t>
  </si>
  <si>
    <t xml:space="preserve">POS-8</t>
  </si>
  <si>
    <t xml:space="preserve"> - The supervision fee of 27,500,000 KRW per MWp must be paid in Oct.</t>
  </si>
  <si>
    <r>
      <rPr>
        <sz val="10"/>
        <color theme="0"/>
        <rFont val="Calibri"/>
        <family val="2"/>
        <charset val="1"/>
      </rPr>
      <t xml:space="preserve">CAPEX </t>
    </r>
    <r>
      <rPr>
        <sz val="10"/>
        <color theme="0"/>
        <rFont val="맑은 고딕"/>
        <family val="2"/>
        <charset val="129"/>
      </rPr>
      <t xml:space="preserve">추가</t>
    </r>
    <r>
      <rPr>
        <sz val="10"/>
        <color theme="0"/>
        <rFont val="맑은 고딕"/>
        <family val="2"/>
        <charset val="128"/>
      </rPr>
      <t xml:space="preserve"> </t>
    </r>
    <r>
      <rPr>
        <sz val="10"/>
        <color theme="0"/>
        <rFont val="맑은 고딕"/>
        <family val="2"/>
        <charset val="129"/>
      </rPr>
      <t xml:space="preserve">금액</t>
    </r>
    <r>
      <rPr>
        <sz val="10"/>
        <color theme="0"/>
        <rFont val="맑은 고딕"/>
        <family val="2"/>
        <charset val="128"/>
      </rPr>
      <t xml:space="preserve"> </t>
    </r>
    <r>
      <rPr>
        <sz val="10"/>
        <color theme="0"/>
        <rFont val="Calibri"/>
        <family val="2"/>
        <charset val="1"/>
      </rPr>
      <t xml:space="preserve">-</t>
    </r>
    <r>
      <rPr>
        <sz val="10"/>
        <color theme="0"/>
        <rFont val="맑은 고딕"/>
        <family val="2"/>
        <charset val="129"/>
      </rPr>
      <t xml:space="preserve">감리</t>
    </r>
  </si>
  <si>
    <t xml:space="preserve">609-87-03315</t>
  </si>
  <si>
    <t xml:space="preserve">110111-8843256</t>
  </si>
  <si>
    <t xml:space="preserve">#228, 42, Eonju-ro 147-gil, Gangnam-gu, Seoul, Korea</t>
  </si>
  <si>
    <t xml:space="preserve">DG_M&amp;A</t>
  </si>
  <si>
    <t xml:space="preserve">KB Bank : 096301-04-106357</t>
  </si>
  <si>
    <t xml:space="preserve">[Unit : KRW, EUR / 1EUR=1,470KRW]</t>
  </si>
  <si>
    <t xml:space="preserve">Batch</t>
  </si>
  <si>
    <t xml:space="preserve">Paid
(By Sep. 30, 2025)</t>
  </si>
  <si>
    <t xml:space="preserve">Amount scheduled to be paid in Oct. to After Oct.</t>
  </si>
  <si>
    <r>
      <rPr>
        <sz val="10"/>
        <rFont val="맑은 고딕"/>
        <family val="2"/>
        <charset val="129"/>
      </rPr>
      <t xml:space="preserve">※</t>
    </r>
    <r>
      <rPr>
        <sz val="10"/>
        <rFont val="Calibri"/>
        <family val="2"/>
        <charset val="1"/>
      </rPr>
      <t xml:space="preserve"> CAPEX amount to be paid on 15 Oct.</t>
    </r>
  </si>
  <si>
    <t xml:space="preserve">Amount</t>
  </si>
  <si>
    <t xml:space="preserve">Remark</t>
  </si>
  <si>
    <t xml:space="preserve">내일 </t>
  </si>
  <si>
    <t xml:space="preserve">Grid Connection Fee</t>
  </si>
  <si>
    <t xml:space="preserve">Paid in advance on 12 Sep.</t>
  </si>
  <si>
    <t xml:space="preserve">포스엔 하고 2호 돈이 얼마가 들어왔고</t>
  </si>
  <si>
    <t xml:space="preserve">Additional CAPEX Cost</t>
  </si>
  <si>
    <t xml:space="preserve">Reflected in the Oct. billing amount</t>
  </si>
  <si>
    <t xml:space="preserve">나가야 되는 돈</t>
  </si>
  <si>
    <t xml:space="preserve">Prepaid Lease Fee</t>
  </si>
  <si>
    <t xml:space="preserve">Remaining lease fees for 5 years prepaid for POS_1, 3, 4, and 8</t>
  </si>
  <si>
    <t xml:space="preserve">임대료</t>
  </si>
  <si>
    <r>
      <rPr>
        <sz val="10"/>
        <rFont val="Calibri"/>
        <family val="2"/>
        <charset val="1"/>
      </rPr>
      <t xml:space="preserve">2</t>
    </r>
    <r>
      <rPr>
        <sz val="10"/>
        <rFont val="맑은 고딕"/>
        <family val="2"/>
        <charset val="129"/>
      </rPr>
      <t xml:space="preserve">에서 나가야 되는 돈</t>
    </r>
  </si>
  <si>
    <t xml:space="preserve">OE Fee</t>
  </si>
  <si>
    <t xml:space="preserve"> CAPEX</t>
  </si>
  <si>
    <t xml:space="preserve">이렇게 이렇게 나갈거다…. 도영이사가 마테오 한테 메일 보내라…. 익일.</t>
  </si>
  <si>
    <t xml:space="preserve">지급현황</t>
  </si>
  <si>
    <t xml:space="preserve">공사비 50%</t>
  </si>
  <si>
    <r>
      <rPr>
        <sz val="10"/>
        <rFont val="맑은 고딕"/>
        <family val="2"/>
        <charset val="129"/>
      </rPr>
      <t xml:space="preserve">지급</t>
    </r>
    <r>
      <rPr>
        <sz val="10"/>
        <rFont val="맑은 고딕"/>
        <family val="2"/>
        <charset val="128"/>
      </rPr>
      <t xml:space="preserve"> </t>
    </r>
    <r>
      <rPr>
        <sz val="10"/>
        <rFont val="맑은 고딕"/>
        <family val="2"/>
        <charset val="129"/>
      </rPr>
      <t xml:space="preserve">내역</t>
    </r>
  </si>
  <si>
    <t xml:space="preserve">효성에너지팜 지급금액</t>
  </si>
  <si>
    <t xml:space="preserve">CAPEX 50%</t>
  </si>
  <si>
    <t xml:space="preserve">계통연계비1</t>
  </si>
  <si>
    <t xml:space="preserve">계통연계비2</t>
  </si>
  <si>
    <t xml:space="preserve">실 지급액</t>
  </si>
  <si>
    <r>
      <rPr>
        <sz val="10"/>
        <rFont val="Calibri"/>
        <family val="2"/>
        <charset val="1"/>
      </rPr>
      <t xml:space="preserve">OR </t>
    </r>
    <r>
      <rPr>
        <sz val="10"/>
        <rFont val="맑은 고딕"/>
        <family val="2"/>
        <charset val="129"/>
      </rPr>
      <t xml:space="preserve">반환 금액</t>
    </r>
  </si>
  <si>
    <t xml:space="preserve">추가비용</t>
  </si>
  <si>
    <r>
      <rPr>
        <sz val="10"/>
        <rFont val="Calibri"/>
        <family val="2"/>
        <charset val="1"/>
      </rPr>
      <t xml:space="preserve">NEXT_S </t>
    </r>
    <r>
      <rPr>
        <sz val="10"/>
        <rFont val="맑은 고딕"/>
        <family val="2"/>
        <charset val="129"/>
      </rPr>
      <t xml:space="preserve">반환 금액</t>
    </r>
  </si>
  <si>
    <t xml:space="preserve">선납임차료</t>
  </si>
  <si>
    <t xml:space="preserve">인수비용</t>
  </si>
  <si>
    <r>
      <rPr>
        <sz val="10"/>
        <color rgb="FFFF0000"/>
        <rFont val="Calibri"/>
        <family val="2"/>
        <charset val="1"/>
      </rPr>
      <t xml:space="preserve">NEXT S </t>
    </r>
    <r>
      <rPr>
        <sz val="10"/>
        <color rgb="FFFF0000"/>
        <rFont val="맑은 고딕"/>
        <family val="2"/>
        <charset val="129"/>
      </rPr>
      <t xml:space="preserve">추가선납임차료</t>
    </r>
  </si>
  <si>
    <t xml:space="preserve">잔여 선납임차료</t>
  </si>
  <si>
    <t xml:space="preserve">POS1</t>
  </si>
  <si>
    <t xml:space="preserve">POS4</t>
  </si>
  <si>
    <t xml:space="preserve">POS3</t>
  </si>
  <si>
    <t xml:space="preserve">POS8</t>
  </si>
  <si>
    <t xml:space="preserve">KB Bank : 096301-04-103314</t>
  </si>
  <si>
    <t xml:space="preserve">Paid
(By Aug. 31, 2025)</t>
  </si>
  <si>
    <t xml:space="preserve">Balance on Aug. 20, 2025</t>
  </si>
  <si>
    <r>
      <rPr>
        <sz val="10"/>
        <rFont val="Calibri"/>
        <family val="2"/>
        <charset val="1"/>
      </rPr>
      <t xml:space="preserve">Amount scheduled to be paid in Oct. to After Oct.
</t>
    </r>
    <r>
      <rPr>
        <b val="true"/>
        <sz val="10"/>
        <color rgb="FFFF0000"/>
        <rFont val="Calibri"/>
        <family val="2"/>
        <charset val="1"/>
      </rPr>
      <t xml:space="preserve">(3rd Drawdown Amount)</t>
    </r>
  </si>
  <si>
    <t xml:space="preserve">After Nov.</t>
  </si>
  <si>
    <t xml:space="preserve">GM_Batch1</t>
  </si>
  <si>
    <t xml:space="preserve">GM_Batch2 APA</t>
  </si>
  <si>
    <t xml:space="preserve">GM_Batch2 SPA</t>
  </si>
  <si>
    <t xml:space="preserve">DG_M&amp;A_SPA_POSN</t>
  </si>
  <si>
    <t xml:space="preserve">GM_Batch1,2</t>
  </si>
  <si>
    <t xml:space="preserve">Input sheet for financial modelling purpose</t>
  </si>
  <si>
    <t xml:space="preserve">Project 1</t>
  </si>
  <si>
    <t xml:space="preserve">Project 2</t>
  </si>
  <si>
    <t xml:space="preserve">Project 3</t>
  </si>
  <si>
    <t xml:space="preserve">Project 4</t>
  </si>
  <si>
    <t xml:space="preserve">Project 5</t>
  </si>
  <si>
    <t xml:space="preserve">Project 6</t>
  </si>
  <si>
    <t xml:space="preserve">Project 7</t>
  </si>
  <si>
    <t xml:space="preserve">Project 8</t>
  </si>
  <si>
    <t xml:space="preserve">Project 9</t>
  </si>
  <si>
    <t xml:space="preserve">Project 10</t>
  </si>
  <si>
    <t xml:space="preserve">General inputs</t>
  </si>
  <si>
    <t xml:space="preserve">[Unit: KRW]</t>
  </si>
  <si>
    <t xml:space="preserve">Seller/developer name</t>
  </si>
  <si>
    <t xml:space="preserve">name</t>
  </si>
  <si>
    <t xml:space="preserve">Ssoltop Miracle Inc.</t>
  </si>
  <si>
    <t xml:space="preserve">Ssoltop Masan 1 Solar</t>
  </si>
  <si>
    <t xml:space="preserve">Mugok Inc.</t>
  </si>
  <si>
    <t xml:space="preserve">Jigyeong Inc.</t>
  </si>
  <si>
    <t xml:space="preserve">Seongsi 3 Solar</t>
  </si>
  <si>
    <t xml:space="preserve">Hoduck 4 Solar</t>
  </si>
  <si>
    <t xml:space="preserve">Saegol Solar</t>
  </si>
  <si>
    <t xml:space="preserve">Project name</t>
  </si>
  <si>
    <t xml:space="preserve">Jangchon 1</t>
  </si>
  <si>
    <t xml:space="preserve">Soltop Masan 1</t>
  </si>
  <si>
    <t xml:space="preserve">Hanil Mugok 15</t>
  </si>
  <si>
    <t xml:space="preserve">Hanil Jigyeong 1</t>
  </si>
  <si>
    <t xml:space="preserve">Hanil Jigyeong 2</t>
  </si>
  <si>
    <t xml:space="preserve">Ho Duck4</t>
  </si>
  <si>
    <t xml:space="preserve">Country</t>
  </si>
  <si>
    <t xml:space="preserve">Please select --</t>
  </si>
  <si>
    <t xml:space="preserve">Korea</t>
  </si>
  <si>
    <t xml:space="preserve">Region</t>
  </si>
  <si>
    <t xml:space="preserve">Please specify the location of the plant</t>
  </si>
  <si>
    <t xml:space="preserve">Haenam-gun, Jeollanam-do</t>
  </si>
  <si>
    <t xml:space="preserve">Youngdong-gun, Chungcheongbuk-do</t>
  </si>
  <si>
    <t xml:space="preserve">Hapcheon-gun, Gyeongsangnam-do</t>
  </si>
  <si>
    <t xml:space="preserve">Youngyang-gun, Gyeongsangbuk-do</t>
  </si>
  <si>
    <t xml:space="preserve">Goheung-gun, Jeollanam-do</t>
  </si>
  <si>
    <t xml:space="preserve">Bonghwa-gun, Gyeongsangbuk-do</t>
  </si>
  <si>
    <t xml:space="preserve">Busan</t>
  </si>
  <si>
    <t xml:space="preserve">Chungcheongbuk-do</t>
  </si>
  <si>
    <t xml:space="preserve">Gyeonggi-do</t>
  </si>
  <si>
    <t xml:space="preserve">Technology</t>
  </si>
  <si>
    <t xml:space="preserve">PV</t>
  </si>
  <si>
    <t xml:space="preserve">Project Status</t>
  </si>
  <si>
    <t xml:space="preserve">EBL</t>
  </si>
  <si>
    <t xml:space="preserve">RtB</t>
  </si>
  <si>
    <t xml:space="preserve">Transaction structure</t>
  </si>
  <si>
    <t xml:space="preserve">Please provide background on the deal</t>
  </si>
  <si>
    <t xml:space="preserve">Ground</t>
  </si>
  <si>
    <t xml:space="preserve">ROOFTOP   </t>
  </si>
  <si>
    <t xml:space="preserve">Input source</t>
  </si>
  <si>
    <t xml:space="preserve">Please specify if this input list is based on internal assumptions or seller assumptions. </t>
  </si>
  <si>
    <t xml:space="preserve">Internal assumptions</t>
  </si>
  <si>
    <t xml:space="preserve">Please select currency for financial modelling purposes --</t>
  </si>
  <si>
    <t xml:space="preserve">RTB date</t>
  </si>
  <si>
    <t xml:space="preserve">date (day/month/year)</t>
  </si>
  <si>
    <t xml:space="preserve">Construction phase</t>
  </si>
  <si>
    <t xml:space="preserve">Months</t>
  </si>
  <si>
    <t xml:space="preserve">SOC date</t>
  </si>
  <si>
    <t xml:space="preserve">COD date</t>
  </si>
  <si>
    <t xml:space="preserve">date  (day/month/year)</t>
  </si>
  <si>
    <t xml:space="preserve">Asset Useful Life</t>
  </si>
  <si>
    <t xml:space="preserve">years</t>
  </si>
  <si>
    <t xml:space="preserve">Default will be 20 years</t>
  </si>
  <si>
    <t xml:space="preserve">WTG / Panels number</t>
  </si>
  <si>
    <t xml:space="preserve">If PV in E9 please put N/A</t>
  </si>
  <si>
    <t xml:space="preserve">N/A</t>
  </si>
  <si>
    <t xml:space="preserve">WTG / Panels name</t>
  </si>
  <si>
    <t xml:space="preserve">Total Capacity DC</t>
  </si>
  <si>
    <t xml:space="preserve">MWp</t>
  </si>
  <si>
    <t xml:space="preserve">Total Capacity AC</t>
  </si>
  <si>
    <t xml:space="preserve">Mwac . If Wind in E9 please put N/A</t>
  </si>
  <si>
    <t xml:space="preserve">DC/AC ratio</t>
  </si>
  <si>
    <t xml:space="preserve">If Wind in E9 please put N/A</t>
  </si>
  <si>
    <t xml:space="preserve">Production</t>
  </si>
  <si>
    <t xml:space="preserve">Load Factor (After Curtailment)</t>
  </si>
  <si>
    <t xml:space="preserve">P50</t>
  </si>
  <si>
    <t xml:space="preserve">%</t>
  </si>
  <si>
    <t xml:space="preserve">P75</t>
  </si>
  <si>
    <t xml:space="preserve">P90</t>
  </si>
  <si>
    <t xml:space="preserve">Number of Equivalent Hours (day)</t>
  </si>
  <si>
    <t xml:space="preserve">Hours</t>
  </si>
  <si>
    <t xml:space="preserve">MWh</t>
  </si>
  <si>
    <t xml:space="preserve">Specific Production</t>
  </si>
  <si>
    <t xml:space="preserve"> [kWh/kWp]</t>
  </si>
  <si>
    <t xml:space="preserve">Availability</t>
  </si>
  <si>
    <t xml:space="preserve">Months before degradation</t>
  </si>
  <si>
    <t xml:space="preserve">Start of degradation</t>
  </si>
  <si>
    <t xml:space="preserve">Degradation Factor</t>
  </si>
  <si>
    <t xml:space="preserve">Electricity losses</t>
  </si>
  <si>
    <t xml:space="preserve">Grid and BoS losses</t>
  </si>
  <si>
    <t xml:space="preserve">Other losses</t>
  </si>
  <si>
    <t xml:space="preserve">Opex - year 1</t>
  </si>
  <si>
    <t xml:space="preserve">Unit</t>
  </si>
  <si>
    <t xml:space="preserve">Cost</t>
  </si>
  <si>
    <t xml:space="preserve">O&amp;M</t>
  </si>
  <si>
    <t xml:space="preserve">Please select D60 --</t>
  </si>
  <si>
    <t xml:space="preserve">000/year</t>
  </si>
  <si>
    <t xml:space="preserve">Indexed?</t>
  </si>
  <si>
    <t xml:space="preserve">0 or 1</t>
  </si>
  <si>
    <t xml:space="preserve">No</t>
  </si>
  <si>
    <t xml:space="preserve">Indexation reference date</t>
  </si>
  <si>
    <t xml:space="preserve">date</t>
  </si>
  <si>
    <t xml:space="preserve">Default will be 2026</t>
  </si>
  <si>
    <t xml:space="preserve">Indexation %</t>
  </si>
  <si>
    <t xml:space="preserve">Please specify if it's CPI or other</t>
  </si>
  <si>
    <t xml:space="preserve">CPI</t>
  </si>
  <si>
    <t xml:space="preserve">Cost starting date</t>
  </si>
  <si>
    <t xml:space="preserve">Comments</t>
  </si>
  <si>
    <t xml:space="preserve">The total amount of O&amp;M is KRW 12.5 million/MW.
OR intends to proceed O&amp;M through an outsourced O&amp;M company.</t>
  </si>
  <si>
    <t xml:space="preserve">Asset Management</t>
  </si>
  <si>
    <t xml:space="preserve">-</t>
  </si>
  <si>
    <t xml:space="preserve">Security Services</t>
  </si>
  <si>
    <t xml:space="preserve">Default will be 2023</t>
  </si>
  <si>
    <t xml:space="preserve">Included in O&amp;M cost</t>
  </si>
  <si>
    <t xml:space="preserve">MAS (accounting and other administrative not included AM)</t>
  </si>
  <si>
    <t xml:space="preserve">Calculated as KRW 2.6 Million/MW</t>
  </si>
  <si>
    <t xml:space="preserve">Energy Consumption</t>
  </si>
  <si>
    <t xml:space="preserve">% Revenue</t>
  </si>
  <si>
    <t xml:space="preserve">Insurance</t>
  </si>
  <si>
    <t xml:space="preserve">Calculated as KRW 6 Million/MW</t>
  </si>
  <si>
    <t xml:space="preserve">Local tax payment</t>
  </si>
  <si>
    <t xml:space="preserve">Included in Contingency cost</t>
  </si>
  <si>
    <t xml:space="preserve">Land lease</t>
  </si>
  <si>
    <t xml:space="preserve">Hectares</t>
  </si>
  <si>
    <t xml:space="preserve">Other 1</t>
  </si>
  <si>
    <t xml:space="preserve">Other 2</t>
  </si>
  <si>
    <t xml:space="preserve">Contingency</t>
  </si>
  <si>
    <t xml:space="preserve">Calculated as KRW 3.9 Million/MW. Facility operation, On-site electricity charges, Maintenance and repair operating expenses(including inverters), Security Services are included.</t>
  </si>
  <si>
    <t xml:space="preserve">[excl. VAT 10%]</t>
  </si>
  <si>
    <t xml:space="preserve">Capex </t>
  </si>
  <si>
    <t xml:space="preserve">BOS</t>
  </si>
  <si>
    <t xml:space="preserve">000/MWp</t>
  </si>
  <si>
    <t xml:space="preserve">Monthly distribution</t>
  </si>
  <si>
    <t xml:space="preserve">Month</t>
  </si>
  <si>
    <t xml:space="preserve">-50% at Signing, 40% at Pre-use inspection, 10% at COD.</t>
  </si>
  <si>
    <t xml:space="preserve">Modules</t>
  </si>
  <si>
    <t xml:space="preserve">000</t>
  </si>
  <si>
    <t xml:space="preserve">\</t>
  </si>
  <si>
    <t xml:space="preserve">Grid Connection Cost</t>
  </si>
  <si>
    <t xml:space="preserve">no</t>
  </si>
  <si>
    <t xml:space="preserve">Development cost</t>
  </si>
  <si>
    <t xml:space="preserve">Land Purchase</t>
  </si>
  <si>
    <t xml:space="preserve">Other DEVEX(Broker Fee)</t>
  </si>
  <si>
    <t xml:space="preserve">Other Capex</t>
  </si>
  <si>
    <t xml:space="preserve">30% of CAPEX</t>
  </si>
  <si>
    <t xml:space="preserve">40% of CAPEX</t>
  </si>
  <si>
    <t xml:space="preserve">Amount scheduled to be paid in Aug. to Sep.
(2nd Drawdown Amount)</t>
  </si>
  <si>
    <t xml:space="preserve">추가 비용(감리 및 안전용역)</t>
  </si>
  <si>
    <r>
      <rPr>
        <sz val="10"/>
        <rFont val="Calibri"/>
        <family val="2"/>
        <charset val="1"/>
      </rPr>
      <t xml:space="preserve">Capacity </t>
    </r>
    <r>
      <rPr>
        <sz val="10"/>
        <rFont val="맑은 고딕"/>
        <family val="2"/>
        <charset val="129"/>
      </rPr>
      <t xml:space="preserve">계약</t>
    </r>
    <r>
      <rPr>
        <sz val="10"/>
        <rFont val="Calibri"/>
        <family val="2"/>
        <charset val="1"/>
      </rPr>
      <t xml:space="preserve">(kWp)</t>
    </r>
  </si>
  <si>
    <r>
      <rPr>
        <sz val="10"/>
        <rFont val="Calibri"/>
        <family val="2"/>
        <charset val="1"/>
      </rPr>
      <t xml:space="preserve">CAPEX/MW EPC </t>
    </r>
    <r>
      <rPr>
        <sz val="10"/>
        <rFont val="맑은 고딕"/>
        <family val="2"/>
        <charset val="129"/>
      </rPr>
      <t xml:space="preserve">계약</t>
    </r>
  </si>
  <si>
    <r>
      <rPr>
        <sz val="10"/>
        <rFont val="Calibri"/>
        <family val="2"/>
        <charset val="1"/>
      </rPr>
      <t xml:space="preserve">CAPEX/MW COD </t>
    </r>
    <r>
      <rPr>
        <sz val="10"/>
        <rFont val="맑은 고딕"/>
        <family val="2"/>
        <charset val="129"/>
      </rPr>
      <t xml:space="preserve">적용</t>
    </r>
  </si>
  <si>
    <t xml:space="preserve">지급완료</t>
  </si>
  <si>
    <t xml:space="preserve">Drop 지급액</t>
  </si>
  <si>
    <t xml:space="preserve">계통연계비</t>
  </si>
  <si>
    <t xml:space="preserve">Milestone 1(DP)</t>
  </si>
  <si>
    <t xml:space="preserve">Milestone 2(NTP)</t>
  </si>
  <si>
    <r>
      <rPr>
        <sz val="10"/>
        <rFont val="Calibri"/>
        <family val="2"/>
        <charset val="1"/>
      </rPr>
      <t xml:space="preserve">Milestone 3(</t>
    </r>
    <r>
      <rPr>
        <sz val="10"/>
        <rFont val="맑은 고딕"/>
        <family val="2"/>
        <charset val="129"/>
      </rPr>
      <t xml:space="preserve">토목</t>
    </r>
    <r>
      <rPr>
        <sz val="10"/>
        <rFont val="Calibri"/>
        <family val="2"/>
        <charset val="1"/>
      </rPr>
      <t xml:space="preserve">,</t>
    </r>
    <r>
      <rPr>
        <sz val="10"/>
        <rFont val="맑은 고딕"/>
        <family val="2"/>
        <charset val="129"/>
      </rPr>
      <t xml:space="preserve">전기</t>
    </r>
    <r>
      <rPr>
        <sz val="10"/>
        <rFont val="Calibri"/>
        <family val="2"/>
        <charset val="1"/>
      </rPr>
      <t xml:space="preserve">)</t>
    </r>
  </si>
  <si>
    <r>
      <rPr>
        <sz val="10"/>
        <rFont val="Calibri"/>
        <family val="2"/>
        <charset val="1"/>
      </rPr>
      <t xml:space="preserve">Milestone 4(</t>
    </r>
    <r>
      <rPr>
        <sz val="10"/>
        <rFont val="맑은 고딕"/>
        <family val="2"/>
        <charset val="129"/>
      </rPr>
      <t xml:space="preserve">구조물 현장입고</t>
    </r>
    <r>
      <rPr>
        <sz val="10"/>
        <rFont val="Calibri"/>
        <family val="2"/>
        <charset val="1"/>
      </rPr>
      <t xml:space="preserve">)</t>
    </r>
  </si>
  <si>
    <r>
      <rPr>
        <sz val="10"/>
        <rFont val="Calibri"/>
        <family val="2"/>
        <charset val="1"/>
      </rPr>
      <t xml:space="preserve">Milestone 5(</t>
    </r>
    <r>
      <rPr>
        <sz val="10"/>
        <rFont val="맑은 고딕"/>
        <family val="2"/>
        <charset val="129"/>
      </rPr>
      <t xml:space="preserve">모듈 현장입고</t>
    </r>
    <r>
      <rPr>
        <sz val="10"/>
        <rFont val="Calibri"/>
        <family val="2"/>
        <charset val="1"/>
      </rPr>
      <t xml:space="preserve">)</t>
    </r>
  </si>
  <si>
    <r>
      <rPr>
        <sz val="10"/>
        <rFont val="Calibri"/>
        <family val="2"/>
        <charset val="1"/>
      </rPr>
      <t xml:space="preserve">Milestone 6(</t>
    </r>
    <r>
      <rPr>
        <sz val="10"/>
        <rFont val="맑은 고딕"/>
        <family val="2"/>
        <charset val="129"/>
      </rPr>
      <t xml:space="preserve">사용전검사</t>
    </r>
    <r>
      <rPr>
        <sz val="10"/>
        <rFont val="Calibri"/>
        <family val="2"/>
        <charset val="1"/>
      </rPr>
      <t xml:space="preserve">)</t>
    </r>
  </si>
  <si>
    <t xml:space="preserve">Milestone 7(COD)</t>
  </si>
  <si>
    <t xml:space="preserve">선로비 Total</t>
  </si>
  <si>
    <t xml:space="preserve">기타시설부담금1</t>
  </si>
  <si>
    <t xml:space="preserve">기타시설부담금2</t>
  </si>
  <si>
    <t xml:space="preserve">기술검토비</t>
  </si>
  <si>
    <t xml:space="preserve">표준시설부담금</t>
  </si>
  <si>
    <t xml:space="preserve">Payment Date</t>
  </si>
  <si>
    <t xml:space="preserve">Paid Amount</t>
  </si>
  <si>
    <t xml:space="preserve">미지급액</t>
  </si>
  <si>
    <t xml:space="preserve">지급금액</t>
  </si>
  <si>
    <t xml:space="preserve">차액</t>
  </si>
  <si>
    <t xml:space="preserve">Bolt #1</t>
  </si>
  <si>
    <t xml:space="preserve">Milestone 1</t>
  </si>
  <si>
    <t xml:space="preserve">Milestone 2</t>
  </si>
  <si>
    <t xml:space="preserve">Milestone 3</t>
  </si>
  <si>
    <t xml:space="preserve">Milestone 4</t>
  </si>
  <si>
    <t xml:space="preserve">Bolt #3</t>
  </si>
  <si>
    <t xml:space="preserve">Seun Steel Gyeongju</t>
  </si>
  <si>
    <t xml:space="preserve">Oneel</t>
  </si>
  <si>
    <t xml:space="preserve">LSG</t>
  </si>
  <si>
    <t xml:space="preserve">Hanseo Motors</t>
  </si>
  <si>
    <t xml:space="preserve">Daechon Headquarters</t>
  </si>
  <si>
    <t xml:space="preserve">Changseong High Tech</t>
  </si>
  <si>
    <t xml:space="preserve">Daechon Busan</t>
  </si>
  <si>
    <t xml:space="preserve">E-Tech</t>
  </si>
  <si>
    <t xml:space="preserve">Bolt #4</t>
  </si>
  <si>
    <t xml:space="preserve">RMK</t>
  </si>
  <si>
    <t xml:space="preserve">Daesung Fruit Industry</t>
  </si>
  <si>
    <t xml:space="preserve">Ilsan Metal</t>
  </si>
  <si>
    <t xml:space="preserve">Ilshin Industry(HQ)</t>
  </si>
  <si>
    <t xml:space="preserve">Ilshin Industry(Branch)(Drop)</t>
  </si>
  <si>
    <t xml:space="preserve">LC-Tech</t>
  </si>
  <si>
    <t xml:space="preserve">Taeseong Mold Industry 1(Drop)</t>
  </si>
  <si>
    <t xml:space="preserve">Taeseong Mold Industry 2(Drop)</t>
  </si>
  <si>
    <t xml:space="preserve">Lijin Factory 1</t>
  </si>
  <si>
    <t xml:space="preserve">Lijin Factory 2</t>
  </si>
  <si>
    <t xml:space="preserve">Bolt #6</t>
  </si>
  <si>
    <t xml:space="preserve">Esun</t>
  </si>
  <si>
    <t xml:space="preserve">Sejin SMC(Drop)</t>
  </si>
  <si>
    <t xml:space="preserve">Seoyong(Drop)</t>
  </si>
  <si>
    <t xml:space="preserve">Cosmo chemical</t>
  </si>
  <si>
    <t xml:space="preserve">Bolt #7</t>
  </si>
  <si>
    <t xml:space="preserve">Eco Inshutech(Drop)</t>
  </si>
  <si>
    <t xml:space="preserve">Younggwang Industry</t>
  </si>
  <si>
    <t xml:space="preserve">BNB Composite(Drop)</t>
  </si>
  <si>
    <t xml:space="preserve">MPM Trade</t>
  </si>
  <si>
    <r>
      <rPr>
        <sz val="10"/>
        <rFont val="Calibri"/>
        <family val="2"/>
        <charset val="1"/>
      </rPr>
      <t xml:space="preserve">Ajin P&amp;S(</t>
    </r>
    <r>
      <rPr>
        <sz val="10"/>
        <rFont val="맑은 고딕"/>
        <family val="2"/>
        <charset val="129"/>
      </rPr>
      <t xml:space="preserve">개인사업자)</t>
    </r>
  </si>
  <si>
    <r>
      <rPr>
        <sz val="10"/>
        <rFont val="Calibri"/>
        <family val="2"/>
        <charset val="1"/>
      </rPr>
      <t xml:space="preserve">Myunghyun Tech 1(</t>
    </r>
    <r>
      <rPr>
        <sz val="10"/>
        <rFont val="맑은 고딕"/>
        <family val="2"/>
        <charset val="129"/>
      </rPr>
      <t xml:space="preserve">개인사업자</t>
    </r>
    <r>
      <rPr>
        <sz val="10"/>
        <rFont val="Calibri"/>
        <family val="2"/>
        <charset val="1"/>
      </rPr>
      <t xml:space="preserve">)</t>
    </r>
  </si>
  <si>
    <r>
      <rPr>
        <sz val="10"/>
        <rFont val="Calibri"/>
        <family val="2"/>
        <charset val="1"/>
      </rPr>
      <t xml:space="preserve">Myunghyun Tech 2(</t>
    </r>
    <r>
      <rPr>
        <sz val="10"/>
        <rFont val="맑은 고딕"/>
        <family val="2"/>
        <charset val="129"/>
      </rPr>
      <t xml:space="preserve">개인사업자</t>
    </r>
    <r>
      <rPr>
        <sz val="10"/>
        <rFont val="Calibri"/>
        <family val="2"/>
        <charset val="1"/>
      </rPr>
      <t xml:space="preserve">)</t>
    </r>
  </si>
  <si>
    <r>
      <rPr>
        <sz val="10"/>
        <rFont val="Calibri"/>
        <family val="2"/>
        <charset val="1"/>
      </rPr>
      <t xml:space="preserve">Sehyun Chemical(</t>
    </r>
    <r>
      <rPr>
        <sz val="10"/>
        <rFont val="맑은 고딕"/>
        <family val="2"/>
        <charset val="129"/>
      </rPr>
      <t xml:space="preserve">개인사업자</t>
    </r>
    <r>
      <rPr>
        <sz val="10"/>
        <rFont val="Calibri"/>
        <family val="2"/>
        <charset val="1"/>
      </rPr>
      <t xml:space="preserve">)</t>
    </r>
  </si>
  <si>
    <r>
      <rPr>
        <sz val="10"/>
        <rFont val="Calibri"/>
        <family val="2"/>
        <charset val="1"/>
      </rPr>
      <t xml:space="preserve">DEVEX/MW COD </t>
    </r>
    <r>
      <rPr>
        <sz val="10"/>
        <rFont val="맑은 고딕"/>
        <family val="2"/>
        <charset val="129"/>
      </rPr>
      <t xml:space="preserve">적용</t>
    </r>
  </si>
  <si>
    <t xml:space="preserve">미지급금</t>
  </si>
  <si>
    <t xml:space="preserve">예정금액</t>
  </si>
  <si>
    <t xml:space="preserve">용량 소폭 변경에 따른 차액 Milestones 4에 반영</t>
  </si>
  <si>
    <t xml:space="preserve">Project(Batch2)</t>
  </si>
  <si>
    <t xml:space="preserve">용량 변경(999.24-&gt;551.04) 지급 금액 Milestones 3에 반영</t>
  </si>
  <si>
    <t xml:space="preserve">※ Batch2의 DEVEX 금액은 8.5억/MW으로 기본적 DEVEX 금액은 3.5억/MW, 토지매입비 3억/MW,  Broker Fee 2억/MW입니다. 현재 Milestone 1은 전체 금액 중 40%를 지급하였습니다.</t>
  </si>
  <si>
    <t xml:space="preserve">지급 비율은 40%, 20%, 30%, 10% 지급 계획이며 1차 지급분만 지급 되어 있는 것으로 판단 됩니다. GV 쪽 자료도 40% 지급된 것으로 확인하였습니다.</t>
  </si>
  <si>
    <t xml:space="preserve">Broker Fee는 최초 100% 지급으로 되어 있으나 1차 지급분 40% 지급된것으로 표시하였으나 GV 쪽 자료는 Broker Fee는 지급한 내역이 없습니다. 이부분은 확인 부탁드립니다. 수정해 놓겠습니다. _ 확인하였으며 미지급 되었고 Milestone 4에 전부 반영 예정</t>
  </si>
  <si>
    <t xml:space="preserve"> - GV 직접 매입으로 VAT는 감안하지 않은 상황입니다. </t>
  </si>
  <si>
    <t xml:space="preserve">Milestone 1(SPA)</t>
  </si>
  <si>
    <t xml:space="preserve">Milestone 4(Broker Fee)</t>
  </si>
  <si>
    <t xml:space="preserve">※ SPA 관련하여 Astronergy에 전액 지급하여 당사 관리하에 있습니다. 미지급 된 사항은 Broker Fee 2억/MW 에 해당하는 금액을 아직 지급하지 않은 상황입니다.</t>
  </si>
  <si>
    <t xml:space="preserve">Broker Fee(2억/MW)는 Milestone 4에 반영하였습니다. 반영된 금액은 현재 용량으로 수정하여 기입하였습니다.</t>
  </si>
  <si>
    <t xml:space="preserve">Broker</t>
  </si>
  <si>
    <t xml:space="preserve">Expenditure Categories</t>
  </si>
  <si>
    <t xml:space="preserve">Total Amount</t>
  </si>
  <si>
    <t xml:space="preserve">10% VAT 
of Total Amount</t>
  </si>
  <si>
    <t xml:space="preserve">Total Amount 
+ 
10% VAT</t>
  </si>
  <si>
    <t xml:space="preserve">Current Payment Status</t>
  </si>
  <si>
    <t xml:space="preserve">Milestone 5</t>
  </si>
  <si>
    <t xml:space="preserve">Milestone 6</t>
  </si>
  <si>
    <t xml:space="preserve">Milestone 7</t>
  </si>
  <si>
    <t xml:space="preserve">Milestone 8</t>
  </si>
  <si>
    <t xml:space="preserve">Check.</t>
  </si>
  <si>
    <t xml:space="preserve">Paid Amount
(KRW)</t>
  </si>
  <si>
    <t xml:space="preserve">Total Unpaid Amount</t>
  </si>
  <si>
    <t xml:space="preserve">scheduled Date to Paid</t>
  </si>
  <si>
    <t xml:space="preserve">Date to Paid</t>
  </si>
  <si>
    <t xml:space="preserve">scheduled Paid Amount</t>
  </si>
  <si>
    <t xml:space="preserve">Unpaid Amount</t>
  </si>
  <si>
    <t xml:space="preserve">content</t>
  </si>
  <si>
    <t xml:space="preserve">Solar city</t>
  </si>
  <si>
    <t xml:space="preserve">선급금20%</t>
  </si>
  <si>
    <t xml:space="preserve">Brokerage+Finder fee</t>
  </si>
  <si>
    <t xml:space="preserve">Pre-payment  Amount</t>
  </si>
  <si>
    <t xml:space="preserve">Total Amount 
(Direct transfer, No VAT)</t>
  </si>
  <si>
    <t xml:space="preserve">estimated date of transfer</t>
  </si>
  <si>
    <t xml:space="preserve">Seagol(SPA)</t>
  </si>
  <si>
    <t xml:space="preserve">CAPEX 추가 금액</t>
  </si>
  <si>
    <t xml:space="preserve">미반영</t>
  </si>
  <si>
    <t xml:space="preserve">미리준금액</t>
  </si>
  <si>
    <t xml:space="preserve">그린볼트</t>
  </si>
  <si>
    <t xml:space="preserve">넥스트에스</t>
  </si>
  <si>
    <r>
      <rPr>
        <sz val="10"/>
        <color theme="0"/>
        <rFont val="Calibri"/>
        <family val="2"/>
        <charset val="1"/>
      </rPr>
      <t xml:space="preserve">1</t>
    </r>
    <r>
      <rPr>
        <sz val="10"/>
        <color theme="0"/>
        <rFont val="맑은 고딕"/>
        <family val="2"/>
        <charset val="129"/>
      </rPr>
      <t xml:space="preserve">차청구시 금액</t>
    </r>
  </si>
  <si>
    <r>
      <rPr>
        <sz val="10"/>
        <color theme="0"/>
        <rFont val="Calibri"/>
        <family val="2"/>
        <charset val="1"/>
      </rPr>
      <t xml:space="preserve">2</t>
    </r>
    <r>
      <rPr>
        <sz val="10"/>
        <color theme="0"/>
        <rFont val="맑은 고딕"/>
        <family val="2"/>
        <charset val="129"/>
      </rPr>
      <t xml:space="preserve">차 청구</t>
    </r>
  </si>
  <si>
    <t xml:space="preserve">현재 미집행액</t>
  </si>
  <si>
    <t xml:space="preserve">지급해야할 잔여금액</t>
  </si>
  <si>
    <t xml:space="preserve">전력연결비용</t>
  </si>
  <si>
    <t xml:space="preserve">선납임대료</t>
  </si>
  <si>
    <t xml:space="preserve">지급한 비용</t>
  </si>
  <si>
    <t xml:space="preserve">잔여 취득 금액</t>
  </si>
  <si>
    <t xml:space="preserve">공사 시작 시(20%)</t>
  </si>
  <si>
    <t xml:space="preserve">OK</t>
  </si>
  <si>
    <t xml:space="preserve">COD(10%)</t>
  </si>
  <si>
    <t xml:space="preserve">추가 금액</t>
  </si>
  <si>
    <r>
      <rPr>
        <sz val="10"/>
        <color theme="1"/>
        <rFont val="맑은 고딕"/>
        <family val="2"/>
        <charset val="129"/>
      </rPr>
      <t xml:space="preserve">선납임대료는 </t>
    </r>
    <r>
      <rPr>
        <sz val="10"/>
        <color theme="1"/>
        <rFont val="Calibri"/>
        <family val="2"/>
        <charset val="1"/>
      </rPr>
      <t xml:space="preserve">NEXS S </t>
    </r>
    <r>
      <rPr>
        <sz val="10"/>
        <color theme="1"/>
        <rFont val="맑은 고딕"/>
        <family val="2"/>
        <charset val="129"/>
      </rPr>
      <t xml:space="preserve">가 이미 지급한 것이나 2025-09-12 쯤에 그린볼트에서 받아서 지급할 예정임.</t>
    </r>
  </si>
  <si>
    <r>
      <rPr>
        <sz val="10"/>
        <color theme="1"/>
        <rFont val="돋움"/>
        <family val="3"/>
        <charset val="129"/>
      </rPr>
      <t xml:space="preserve"> </t>
    </r>
    <r>
      <rPr>
        <sz val="10"/>
        <color theme="1"/>
        <rFont val="Calibri"/>
        <family val="2"/>
        <charset val="1"/>
      </rPr>
      <t xml:space="preserve">- POS1(</t>
    </r>
    <r>
      <rPr>
        <sz val="10"/>
        <color theme="1"/>
        <rFont val="돋움"/>
        <family val="3"/>
        <charset val="129"/>
      </rPr>
      <t xml:space="preserve">직지산업개발</t>
    </r>
    <r>
      <rPr>
        <sz val="10"/>
        <color theme="1"/>
        <rFont val="Calibri"/>
        <family val="2"/>
        <charset val="1"/>
      </rPr>
      <t xml:space="preserve">): 20,528,640 </t>
    </r>
    <r>
      <rPr>
        <sz val="10"/>
        <color theme="1"/>
        <rFont val="돋움"/>
        <family val="3"/>
        <charset val="129"/>
      </rPr>
      <t xml:space="preserve">원</t>
    </r>
  </si>
  <si>
    <r>
      <rPr>
        <sz val="10"/>
        <color theme="1"/>
        <rFont val="Calibri"/>
        <family val="2"/>
        <charset val="1"/>
      </rPr>
      <t xml:space="preserve"> - POS3(</t>
    </r>
    <r>
      <rPr>
        <sz val="10"/>
        <color theme="1"/>
        <rFont val="돋움"/>
        <family val="3"/>
        <charset val="129"/>
      </rPr>
      <t xml:space="preserve">세진플러스</t>
    </r>
    <r>
      <rPr>
        <sz val="10"/>
        <color theme="1"/>
        <rFont val="Calibri"/>
        <family val="2"/>
        <charset val="1"/>
      </rPr>
      <t xml:space="preserve">): 12,573,792 </t>
    </r>
    <r>
      <rPr>
        <sz val="10"/>
        <color theme="1"/>
        <rFont val="돋움"/>
        <family val="3"/>
        <charset val="129"/>
      </rPr>
      <t xml:space="preserve">원</t>
    </r>
  </si>
  <si>
    <r>
      <rPr>
        <sz val="10"/>
        <color theme="1"/>
        <rFont val="Calibri"/>
        <family val="2"/>
        <charset val="1"/>
      </rPr>
      <t xml:space="preserve"> - POS4(</t>
    </r>
    <r>
      <rPr>
        <sz val="10"/>
        <color theme="1"/>
        <rFont val="돋움"/>
        <family val="3"/>
        <charset val="129"/>
      </rPr>
      <t xml:space="preserve">세안</t>
    </r>
    <r>
      <rPr>
        <sz val="10"/>
        <color theme="1"/>
        <rFont val="맑은 고딕"/>
        <family val="2"/>
        <charset val="129"/>
      </rPr>
      <t xml:space="preserve"> </t>
    </r>
    <r>
      <rPr>
        <sz val="10"/>
        <color theme="1"/>
        <rFont val="돋움"/>
        <family val="3"/>
        <charset val="129"/>
      </rPr>
      <t xml:space="preserve">충주지점</t>
    </r>
    <r>
      <rPr>
        <sz val="10"/>
        <color theme="1"/>
        <rFont val="Calibri"/>
        <family val="2"/>
        <charset val="1"/>
      </rPr>
      <t xml:space="preserve">): 23,482,305 </t>
    </r>
    <r>
      <rPr>
        <sz val="10"/>
        <color theme="1"/>
        <rFont val="돋움"/>
        <family val="3"/>
        <charset val="129"/>
      </rPr>
      <t xml:space="preserve">원</t>
    </r>
  </si>
  <si>
    <r>
      <rPr>
        <sz val="10"/>
        <color theme="1"/>
        <rFont val="Calibri"/>
        <family val="2"/>
        <charset val="1"/>
      </rPr>
      <t xml:space="preserve">5</t>
    </r>
    <r>
      <rPr>
        <sz val="10"/>
        <color theme="1"/>
        <rFont val="맑은 고딕"/>
        <family val="2"/>
        <charset val="129"/>
      </rPr>
      <t xml:space="preserve">개월 전</t>
    </r>
  </si>
  <si>
    <t xml:space="preserve">전월</t>
  </si>
  <si>
    <t xml:space="preserve">cod</t>
  </si>
  <si>
    <t xml:space="preserve">솔라시티 지급기준</t>
  </si>
  <si>
    <r>
      <rPr>
        <sz val="10"/>
        <color theme="1"/>
        <rFont val="맑은 고딕"/>
        <family val="2"/>
        <charset val="129"/>
      </rPr>
      <t xml:space="preserve">지급기준</t>
    </r>
    <r>
      <rPr>
        <sz val="10"/>
        <color theme="1"/>
        <rFont val="Calibri"/>
        <family val="2"/>
        <charset val="1"/>
      </rPr>
      <t xml:space="preserve">(MW</t>
    </r>
    <r>
      <rPr>
        <sz val="10"/>
        <color theme="1"/>
        <rFont val="맑은 고딕"/>
        <family val="2"/>
        <charset val="129"/>
      </rPr>
      <t xml:space="preserve">당</t>
    </r>
    <r>
      <rPr>
        <sz val="10"/>
        <color theme="1"/>
        <rFont val="Calibri"/>
        <family val="2"/>
        <charset val="1"/>
      </rPr>
      <t xml:space="preserve">)</t>
    </r>
  </si>
  <si>
    <r>
      <rPr>
        <sz val="10"/>
        <color theme="1"/>
        <rFont val="Calibri"/>
        <family val="2"/>
        <charset val="1"/>
      </rPr>
      <t xml:space="preserve">1</t>
    </r>
    <r>
      <rPr>
        <sz val="10"/>
        <color theme="1"/>
        <rFont val="맑은 고딕"/>
        <family val="2"/>
        <charset val="129"/>
      </rPr>
      <t xml:space="preserve">차</t>
    </r>
  </si>
  <si>
    <r>
      <rPr>
        <sz val="10"/>
        <color theme="1"/>
        <rFont val="Calibri"/>
        <family val="2"/>
        <charset val="1"/>
      </rPr>
      <t xml:space="preserve">2</t>
    </r>
    <r>
      <rPr>
        <sz val="10"/>
        <color theme="1"/>
        <rFont val="맑은 고딕"/>
        <family val="2"/>
        <charset val="129"/>
      </rPr>
      <t xml:space="preserve">차</t>
    </r>
  </si>
  <si>
    <r>
      <rPr>
        <sz val="10"/>
        <color theme="1"/>
        <rFont val="Calibri"/>
        <family val="2"/>
        <charset val="1"/>
      </rPr>
      <t xml:space="preserve">3</t>
    </r>
    <r>
      <rPr>
        <sz val="10"/>
        <color theme="1"/>
        <rFont val="맑은 고딕"/>
        <family val="2"/>
        <charset val="129"/>
      </rPr>
      <t xml:space="preserve">차</t>
    </r>
  </si>
  <si>
    <r>
      <rPr>
        <sz val="10"/>
        <color theme="1"/>
        <rFont val="Calibri"/>
        <family val="2"/>
        <charset val="1"/>
      </rPr>
      <t xml:space="preserve">4</t>
    </r>
    <r>
      <rPr>
        <sz val="10"/>
        <color theme="1"/>
        <rFont val="맑은 고딕"/>
        <family val="2"/>
        <charset val="129"/>
      </rPr>
      <t xml:space="preserve">차</t>
    </r>
  </si>
  <si>
    <r>
      <rPr>
        <sz val="10"/>
        <color theme="1"/>
        <rFont val="Calibri"/>
        <family val="2"/>
        <charset val="1"/>
      </rPr>
      <t xml:space="preserve">5</t>
    </r>
    <r>
      <rPr>
        <sz val="10"/>
        <color theme="1"/>
        <rFont val="맑은 고딕"/>
        <family val="2"/>
        <charset val="129"/>
      </rPr>
      <t xml:space="preserve">차</t>
    </r>
  </si>
  <si>
    <r>
      <rPr>
        <sz val="10"/>
        <color theme="1"/>
        <rFont val="Calibri"/>
        <family val="2"/>
        <charset val="1"/>
      </rPr>
      <t xml:space="preserve">6</t>
    </r>
    <r>
      <rPr>
        <sz val="10"/>
        <color theme="1"/>
        <rFont val="맑은 고딕"/>
        <family val="2"/>
        <charset val="129"/>
      </rPr>
      <t xml:space="preserve">차</t>
    </r>
  </si>
  <si>
    <r>
      <rPr>
        <sz val="10"/>
        <color theme="1"/>
        <rFont val="Calibri"/>
        <family val="2"/>
        <charset val="1"/>
      </rPr>
      <t xml:space="preserve">7</t>
    </r>
    <r>
      <rPr>
        <sz val="10"/>
        <color theme="1"/>
        <rFont val="맑은 고딕"/>
        <family val="2"/>
        <charset val="129"/>
      </rPr>
      <t xml:space="preserve">차</t>
    </r>
  </si>
  <si>
    <r>
      <rPr>
        <sz val="10"/>
        <color theme="1"/>
        <rFont val="Calibri"/>
        <family val="2"/>
        <charset val="1"/>
      </rPr>
      <t xml:space="preserve">8</t>
    </r>
    <r>
      <rPr>
        <sz val="10"/>
        <color theme="1"/>
        <rFont val="맑은 고딕"/>
        <family val="2"/>
        <charset val="129"/>
      </rPr>
      <t xml:space="preserve">차</t>
    </r>
  </si>
  <si>
    <r>
      <rPr>
        <sz val="10"/>
        <color theme="1"/>
        <rFont val="Calibri"/>
        <family val="2"/>
        <charset val="1"/>
      </rPr>
      <t xml:space="preserve">9</t>
    </r>
    <r>
      <rPr>
        <sz val="10"/>
        <color theme="1"/>
        <rFont val="맑은 고딕"/>
        <family val="2"/>
        <charset val="129"/>
      </rPr>
      <t xml:space="preserve">차</t>
    </r>
  </si>
  <si>
    <r>
      <rPr>
        <sz val="10"/>
        <color theme="1"/>
        <rFont val="Calibri"/>
        <family val="2"/>
        <charset val="1"/>
      </rPr>
      <t xml:space="preserve">10</t>
    </r>
    <r>
      <rPr>
        <sz val="10"/>
        <color theme="1"/>
        <rFont val="맑은 고딕"/>
        <family val="2"/>
        <charset val="129"/>
      </rPr>
      <t xml:space="preserve">차</t>
    </r>
  </si>
  <si>
    <r>
      <rPr>
        <sz val="10"/>
        <color theme="1"/>
        <rFont val="Calibri"/>
        <family val="2"/>
        <charset val="1"/>
      </rPr>
      <t xml:space="preserve">11</t>
    </r>
    <r>
      <rPr>
        <sz val="10"/>
        <color theme="1"/>
        <rFont val="맑은 고딕"/>
        <family val="2"/>
        <charset val="129"/>
      </rPr>
      <t xml:space="preserve">차</t>
    </r>
  </si>
  <si>
    <r>
      <rPr>
        <sz val="10"/>
        <color theme="1"/>
        <rFont val="Calibri"/>
        <family val="2"/>
        <charset val="1"/>
      </rPr>
      <t xml:space="preserve">12</t>
    </r>
    <r>
      <rPr>
        <sz val="10"/>
        <color theme="1"/>
        <rFont val="맑은 고딕"/>
        <family val="2"/>
        <charset val="129"/>
      </rPr>
      <t xml:space="preserve">차</t>
    </r>
  </si>
  <si>
    <r>
      <rPr>
        <sz val="10"/>
        <color theme="1"/>
        <rFont val="Calibri"/>
        <family val="2"/>
        <charset val="1"/>
      </rPr>
      <t xml:space="preserve">13</t>
    </r>
    <r>
      <rPr>
        <sz val="10"/>
        <color theme="1"/>
        <rFont val="맑은 고딕"/>
        <family val="2"/>
        <charset val="129"/>
      </rPr>
      <t xml:space="preserve">차</t>
    </r>
  </si>
  <si>
    <r>
      <rPr>
        <sz val="10"/>
        <color theme="1"/>
        <rFont val="맑은 고딕"/>
        <family val="2"/>
        <charset val="128"/>
      </rPr>
      <t xml:space="preserve">솔라시티</t>
    </r>
    <r>
      <rPr>
        <sz val="10"/>
        <color theme="1"/>
        <rFont val="Calibri"/>
        <family val="2"/>
        <charset val="1"/>
      </rPr>
      <t xml:space="preserve">1</t>
    </r>
  </si>
  <si>
    <t xml:space="preserve">토지매입</t>
  </si>
  <si>
    <t xml:space="preserve">Broker Fee</t>
  </si>
  <si>
    <t xml:space="preserve">선급임차료</t>
  </si>
  <si>
    <r>
      <rPr>
        <sz val="10"/>
        <color theme="1"/>
        <rFont val="맑은 고딕"/>
        <family val="2"/>
        <charset val="128"/>
      </rPr>
      <t xml:space="preserve">솔라시티</t>
    </r>
    <r>
      <rPr>
        <sz val="10"/>
        <color theme="1"/>
        <rFont val="Calibri"/>
        <family val="2"/>
        <charset val="1"/>
      </rPr>
      <t xml:space="preserve">2</t>
    </r>
  </si>
  <si>
    <t xml:space="preserve">GM_Batch2</t>
  </si>
  <si>
    <t xml:space="preserve">APA</t>
  </si>
  <si>
    <r>
      <rPr>
        <sz val="10"/>
        <color theme="1"/>
        <rFont val="맑은 고딕"/>
        <family val="2"/>
        <charset val="128"/>
      </rPr>
      <t xml:space="preserve">솔라시티</t>
    </r>
    <r>
      <rPr>
        <sz val="10"/>
        <color theme="1"/>
        <rFont val="Calibri"/>
        <family val="2"/>
        <charset val="1"/>
      </rPr>
      <t xml:space="preserve">3</t>
    </r>
  </si>
  <si>
    <t xml:space="preserve">SPA</t>
  </si>
  <si>
    <t xml:space="preserve">DG</t>
  </si>
  <si>
    <r>
      <rPr>
        <sz val="10"/>
        <color theme="1"/>
        <rFont val="맑은 고딕"/>
        <family val="2"/>
        <charset val="128"/>
      </rPr>
      <t xml:space="preserve">지급</t>
    </r>
    <r>
      <rPr>
        <sz val="10"/>
        <color theme="1"/>
        <rFont val="Calibri"/>
        <family val="2"/>
        <charset val="1"/>
      </rPr>
      <t xml:space="preserve">1</t>
    </r>
  </si>
  <si>
    <r>
      <rPr>
        <sz val="10"/>
        <color theme="1"/>
        <rFont val="맑은 고딕"/>
        <family val="2"/>
        <charset val="128"/>
      </rPr>
      <t xml:space="preserve">솔라시티</t>
    </r>
    <r>
      <rPr>
        <sz val="10"/>
        <color theme="1"/>
        <rFont val="Calibri"/>
        <family val="2"/>
        <charset val="1"/>
      </rPr>
      <t xml:space="preserve">4</t>
    </r>
  </si>
  <si>
    <r>
      <rPr>
        <sz val="10"/>
        <color theme="1"/>
        <rFont val="맑은 고딕"/>
        <family val="2"/>
        <charset val="128"/>
      </rPr>
      <t xml:space="preserve">솔라시티</t>
    </r>
    <r>
      <rPr>
        <sz val="10"/>
        <color theme="1"/>
        <rFont val="Calibri"/>
        <family val="2"/>
        <charset val="1"/>
      </rPr>
      <t xml:space="preserve">5</t>
    </r>
  </si>
  <si>
    <r>
      <rPr>
        <sz val="10"/>
        <color theme="1"/>
        <rFont val="맑은 고딕"/>
        <family val="2"/>
        <charset val="128"/>
      </rPr>
      <t xml:space="preserve">지급</t>
    </r>
    <r>
      <rPr>
        <sz val="10"/>
        <color theme="1"/>
        <rFont val="Calibri"/>
        <family val="2"/>
        <charset val="1"/>
      </rPr>
      <t xml:space="preserve">2</t>
    </r>
  </si>
  <si>
    <r>
      <rPr>
        <sz val="10"/>
        <color theme="1"/>
        <rFont val="맑은 고딕"/>
        <family val="2"/>
        <charset val="128"/>
      </rPr>
      <t xml:space="preserve">에너지플랜</t>
    </r>
    <r>
      <rPr>
        <sz val="10"/>
        <color theme="1"/>
        <rFont val="Calibri"/>
        <family val="2"/>
        <charset val="1"/>
      </rPr>
      <t xml:space="preserve">1</t>
    </r>
  </si>
  <si>
    <t xml:space="preserve">일반</t>
  </si>
  <si>
    <r>
      <rPr>
        <sz val="10"/>
        <color theme="1"/>
        <rFont val="맑은 고딕"/>
        <family val="2"/>
        <charset val="128"/>
      </rPr>
      <t xml:space="preserve">에너지플랜</t>
    </r>
    <r>
      <rPr>
        <sz val="10"/>
        <color theme="1"/>
        <rFont val="Calibri"/>
        <family val="2"/>
        <charset val="1"/>
      </rPr>
      <t xml:space="preserve">2</t>
    </r>
  </si>
  <si>
    <r>
      <rPr>
        <sz val="10"/>
        <color theme="1"/>
        <rFont val="맑은 고딕"/>
        <family val="2"/>
        <charset val="128"/>
      </rPr>
      <t xml:space="preserve">에너지플랜</t>
    </r>
    <r>
      <rPr>
        <sz val="10"/>
        <color theme="1"/>
        <rFont val="Calibri"/>
        <family val="2"/>
        <charset val="1"/>
      </rPr>
      <t xml:space="preserve">3</t>
    </r>
  </si>
  <si>
    <t xml:space="preserve">발전용량</t>
  </si>
  <si>
    <t xml:space="preserve">추가 지급액</t>
  </si>
  <si>
    <t xml:space="preserve">EPC</t>
  </si>
  <si>
    <r>
      <rPr>
        <sz val="10"/>
        <color theme="1"/>
        <rFont val="Calibri"/>
        <family val="2"/>
        <charset val="1"/>
      </rPr>
      <t xml:space="preserve">MWp/ </t>
    </r>
    <r>
      <rPr>
        <sz val="10"/>
        <color theme="1"/>
        <rFont val="맑은 고딕"/>
        <family val="2"/>
        <charset val="129"/>
      </rPr>
      <t xml:space="preserve">금액</t>
    </r>
  </si>
  <si>
    <r>
      <rPr>
        <sz val="10"/>
        <color theme="1"/>
        <rFont val="Calibri"/>
        <family val="2"/>
        <charset val="1"/>
      </rPr>
      <t xml:space="preserve">3</t>
    </r>
    <r>
      <rPr>
        <sz val="10"/>
        <color theme="1"/>
        <rFont val="맑은 고딕"/>
        <family val="2"/>
        <charset val="129"/>
      </rPr>
      <t xml:space="preserve">차</t>
    </r>
    <r>
      <rPr>
        <sz val="10"/>
        <color theme="1"/>
        <rFont val="Calibri"/>
        <family val="2"/>
        <charset val="1"/>
      </rPr>
      <t xml:space="preserve">(25.09)</t>
    </r>
  </si>
  <si>
    <r>
      <rPr>
        <sz val="10"/>
        <color theme="1"/>
        <rFont val="Calibri"/>
        <family val="2"/>
        <charset val="1"/>
      </rPr>
      <t xml:space="preserve">8</t>
    </r>
    <r>
      <rPr>
        <sz val="10"/>
        <color theme="1"/>
        <rFont val="맑은 고딕"/>
        <family val="2"/>
        <charset val="129"/>
      </rPr>
      <t xml:space="preserve">차</t>
    </r>
    <r>
      <rPr>
        <sz val="10"/>
        <color theme="1"/>
        <rFont val="Calibri"/>
        <family val="2"/>
        <charset val="1"/>
      </rPr>
      <t xml:space="preserve">(25.12)</t>
    </r>
  </si>
  <si>
    <t xml:space="preserve">POSN</t>
  </si>
  <si>
    <t xml:space="preserve">DG-M&amp;A</t>
  </si>
  <si>
    <t xml:space="preserve">POSN-1</t>
  </si>
  <si>
    <t xml:space="preserve">POSN-3</t>
  </si>
  <si>
    <t xml:space="preserve">POSN-4</t>
  </si>
  <si>
    <t xml:space="preserve">POSN-8</t>
  </si>
  <si>
    <r>
      <rPr>
        <sz val="10"/>
        <color theme="1"/>
        <rFont val="Calibri"/>
        <family val="2"/>
        <charset val="1"/>
      </rPr>
      <t xml:space="preserve">VAT </t>
    </r>
    <r>
      <rPr>
        <sz val="10"/>
        <color theme="1"/>
        <rFont val="맑은 고딕"/>
        <family val="2"/>
        <charset val="129"/>
      </rPr>
      <t xml:space="preserve">포함</t>
    </r>
  </si>
  <si>
    <t xml:space="preserve">가시, 난산</t>
  </si>
  <si>
    <r>
      <rPr>
        <sz val="10"/>
        <color theme="1"/>
        <rFont val="Calibri"/>
        <family val="2"/>
        <charset val="1"/>
      </rPr>
      <t xml:space="preserve">DK </t>
    </r>
    <r>
      <rPr>
        <sz val="10"/>
        <color theme="1"/>
        <rFont val="맑은 고딕"/>
        <family val="2"/>
        <charset val="129"/>
      </rPr>
      <t xml:space="preserve">요청 선지급</t>
    </r>
  </si>
  <si>
    <t xml:space="preserve">드림</t>
  </si>
  <si>
    <t xml:space="preserve">제일</t>
  </si>
  <si>
    <r>
      <rPr>
        <sz val="10"/>
        <color theme="1"/>
        <rFont val="Calibri"/>
        <family val="2"/>
        <charset val="1"/>
      </rPr>
      <t xml:space="preserve">GM_Batch2 broker Fee </t>
    </r>
    <r>
      <rPr>
        <sz val="10"/>
        <color theme="1"/>
        <rFont val="맑은 고딕"/>
        <family val="2"/>
        <charset val="129"/>
      </rPr>
      <t xml:space="preserve">지급 계획</t>
    </r>
  </si>
  <si>
    <t xml:space="preserve">Beginning of July</t>
  </si>
  <si>
    <t xml:space="preserve">Feb. 2026</t>
  </si>
  <si>
    <t xml:space="preserve">Jun. 2026</t>
  </si>
  <si>
    <t xml:space="preserve">Jul. 2026</t>
  </si>
  <si>
    <t xml:space="preserve">Mar. 2026</t>
  </si>
  <si>
    <t xml:space="preserve">Aug. 2026</t>
  </si>
  <si>
    <t xml:space="preserve">Sep. 2025</t>
  </si>
  <si>
    <t xml:space="preserve">Oct. 2025</t>
  </si>
  <si>
    <t xml:space="preserve">Apr. 2026</t>
  </si>
  <si>
    <t xml:space="preserve">May. 2026</t>
  </si>
  <si>
    <t xml:space="preserve">APA Total</t>
  </si>
  <si>
    <t xml:space="preserve">SPA Total</t>
  </si>
  <si>
    <t xml:space="preserve">APA + SPA Total</t>
  </si>
  <si>
    <t xml:space="preserve">*</t>
  </si>
  <si>
    <t xml:space="preserve">Once SPA's brokerage condition fulfilled, SPA's and APA's Milestone 1 would be paid at once - agreed by broker</t>
  </si>
  <si>
    <t xml:space="preserve">난산</t>
  </si>
  <si>
    <t xml:space="preserve">가사</t>
  </si>
  <si>
    <t xml:space="preserve">첫달</t>
  </si>
  <si>
    <t xml:space="preserve">두번째 달</t>
  </si>
  <si>
    <t xml:space="preserve">4번째 달</t>
  </si>
  <si>
    <t xml:space="preserve">COD</t>
  </si>
  <si>
    <t xml:space="preserve">GreenVolt New Batch 2_RTB</t>
  </si>
  <si>
    <t xml:space="preserve">　</t>
  </si>
  <si>
    <t xml:space="preserve">땅값</t>
  </si>
  <si>
    <t xml:space="preserve">3억</t>
  </si>
  <si>
    <t xml:space="preserve">솔라시티</t>
  </si>
  <si>
    <t xml:space="preserve">2억</t>
  </si>
  <si>
    <t xml:space="preserve">셀러프리미엄</t>
  </si>
  <si>
    <t xml:space="preserve">3억 5천</t>
  </si>
  <si>
    <t xml:space="preserve">License Holder</t>
  </si>
  <si>
    <t xml:space="preserve">Power Plant Name</t>
  </si>
  <si>
    <t xml:space="preserve">Permitted Capacity(kw)</t>
  </si>
  <si>
    <t xml:space="preserve">MW기준650,000,000원(토지금액3억원포함)</t>
  </si>
  <si>
    <t xml:space="preserve">비고</t>
  </si>
  <si>
    <t xml:space="preserve">deal type/reason</t>
  </si>
  <si>
    <t xml:space="preserve">계약시</t>
  </si>
  <si>
    <t xml:space="preserve">SOC시(착공시)</t>
  </si>
  <si>
    <t xml:space="preserve">사용전검사완료시</t>
  </si>
  <si>
    <t xml:space="preserve">COD완료시</t>
  </si>
  <si>
    <t xml:space="preserve">Ssoltop Miracle</t>
  </si>
  <si>
    <t xml:space="preserve">APA/유한회사</t>
  </si>
  <si>
    <t xml:space="preserve">장촌1호</t>
  </si>
  <si>
    <t xml:space="preserve">₩259,802,400</t>
  </si>
  <si>
    <t xml:space="preserve">₩129,901,200</t>
  </si>
  <si>
    <t xml:space="preserve">₩194,851,800</t>
  </si>
  <si>
    <t xml:space="preserve">₩64,950,600</t>
  </si>
  <si>
    <t xml:space="preserve">₩649,506,000</t>
  </si>
  <si>
    <r>
      <rPr>
        <b val="true"/>
        <sz val="10"/>
        <color rgb="FF000000"/>
        <rFont val="맑은 고딕"/>
        <family val="3"/>
        <charset val="129"/>
      </rPr>
      <t xml:space="preserve">1.사업권 2.8억 → 3.5억원으로 금액 상승
</t>
    </r>
    <r>
      <rPr>
        <sz val="10"/>
        <color rgb="FF000000"/>
        <rFont val="맑은 고딕"/>
        <family val="3"/>
        <charset val="129"/>
      </rPr>
      <t xml:space="preserve">NBO 및 계약서에 26년 12월 31일까지 계통연계 불가시 MW 5,000만원 감액 이후 초과일수(일일계산) 명시
기존 솔라시티 영업비에서 위 금액을 부담하고 계통연계가 늦어질때도
매도자에게는 보장금액을 적용하려 했으나 솔라시티 영업비용이 너무 높게 보여짐
</t>
    </r>
    <r>
      <rPr>
        <b val="true"/>
        <sz val="10"/>
        <color rgb="FF000000"/>
        <rFont val="맑은 고딕"/>
        <family val="3"/>
        <charset val="129"/>
      </rPr>
      <t xml:space="preserve">2.지급비율 재조정
해당 발전소 토지는 매매계약조건상 개발행위 완료후 토지계약 100% 지급 필요하나
매도자 자금 사정으로 토지 잔금 지급 보류상태 이에 매매계약 체결 계약금으로 해당 잔금 지불예정
전체 13개소 토지 매입 잔금 17억5천만원 필요 - 40%시 19.7억
계약금 지급시 7일이내 SPC명의 토지인수 완료 후 변경된 등기사항 제출하는 조건 NBO 및 계약서에 명시</t>
    </r>
    <r>
      <rPr>
        <sz val="10"/>
        <color rgb="FF000000"/>
        <rFont val="맑은 고딕"/>
        <family val="3"/>
        <charset val="129"/>
      </rPr>
      <t xml:space="preserve">  
</t>
    </r>
    <r>
      <rPr>
        <sz val="10"/>
        <color rgb="FFFF0000"/>
        <rFont val="맑은 고딕"/>
        <family val="3"/>
        <charset val="129"/>
      </rPr>
      <t xml:space="preserve">3. (Rex) 상기 이유 불구하고, 해당 모든 거래는 APA형태이므로, 최초 협의된 40% 지급하나, 명의 이전까지 최소 30% 남겨둘 계획임. 따라서, 계약시 40% / 착공시 지급 안함 / 사용전검사 완료시 30% / COD 완료시 30% 계획 중</t>
    </r>
  </si>
  <si>
    <r>
      <rPr>
        <b val="true"/>
        <sz val="10"/>
        <color rgb="FF000000"/>
        <rFont val="맑은 고딕"/>
        <family val="3"/>
        <charset val="129"/>
      </rPr>
      <t xml:space="preserve">1. Project premium 2.8 billion → 3.5 billion won in amount increase
</t>
    </r>
    <r>
      <rPr>
        <sz val="10"/>
        <color rgb="FF000000"/>
        <rFont val="맑은 고딕"/>
        <family val="3"/>
        <charset val="129"/>
      </rPr>
      <t xml:space="preserve">NBO and contract specify the number of days in excess (calculated daily) after the reduction of 50 million won per MW if grid connection is not possible by 31 December 2026.
The seller tried to apply the guaranteed amount even when the grid connection was delayed, but the seller's operating costs seemed too high.
</t>
    </r>
    <r>
      <rPr>
        <b val="true"/>
        <sz val="10"/>
        <color rgb="FF000000"/>
        <rFont val="맑은 고딕"/>
        <family val="3"/>
        <charset val="129"/>
      </rPr>
      <t xml:space="preserve">
2. Re-adjustment of payment ratio
</t>
    </r>
    <r>
      <rPr>
        <sz val="10"/>
        <color rgb="FF000000"/>
        <rFont val="맑은 고딕"/>
        <family val="3"/>
        <charset val="129"/>
      </rPr>
      <t xml:space="preserve">The land of the power plant is required to pay 100% of the land contract after the completion of the development activities under the terms of the sale and purchase agreement, but the seller has withheld the payment of the land balance due to financial reasons. Therefore, the seller will pay the remaining balance as the down payment for the sale and purchase agreement.
The remaining balance of 1.75 billion won is required to purchase the land of 13 locations in total - 1.97 billion won at 40%
The condition is that the SPC completes the acquisition of the land within 7 days after the payment of the down payment and submits the changed registration information. It is specified in the NBO and the contract.  
</t>
    </r>
    <r>
      <rPr>
        <sz val="10"/>
        <color rgb="FFFF0000"/>
        <rFont val="맑은 고딕"/>
        <family val="3"/>
        <charset val="129"/>
      </rPr>
      <t xml:space="preserve">3. (Rex) Regardless of above reason, we decide to inject fund as 40% at signing / nothing at SOC / 30% at energizing / 30% at COD</t>
    </r>
  </si>
  <si>
    <t xml:space="preserve">Ssoltop Masan</t>
  </si>
  <si>
    <t xml:space="preserve">APA/indivisual</t>
  </si>
  <si>
    <t xml:space="preserve">마산1호</t>
  </si>
  <si>
    <t xml:space="preserve">₩103,750,400</t>
  </si>
  <si>
    <t xml:space="preserve">₩51,875,200</t>
  </si>
  <si>
    <t xml:space="preserve">₩77,812,800</t>
  </si>
  <si>
    <t xml:space="preserve">₩25,937,600</t>
  </si>
  <si>
    <t xml:space="preserve">₩259,376,000</t>
  </si>
  <si>
    <t xml:space="preserve">Mugok</t>
  </si>
  <si>
    <t xml:space="preserve">한일무곡15호</t>
  </si>
  <si>
    <t xml:space="preserve">₩129,989,600</t>
  </si>
  <si>
    <t xml:space="preserve">₩64,994,800</t>
  </si>
  <si>
    <t xml:space="preserve">₩324,974,000</t>
  </si>
  <si>
    <t xml:space="preserve">Jigyeong</t>
  </si>
  <si>
    <t xml:space="preserve">한일지경1호</t>
  </si>
  <si>
    <t xml:space="preserve">Sungsi3</t>
  </si>
  <si>
    <t xml:space="preserve">한일지경2호</t>
  </si>
  <si>
    <t xml:space="preserve">₩38,906,400</t>
  </si>
  <si>
    <t xml:space="preserve">₩19,453,200</t>
  </si>
  <si>
    <t xml:space="preserve">₩97,266,000</t>
  </si>
  <si>
    <t xml:space="preserve">Sim Cheol-woo</t>
  </si>
  <si>
    <t xml:space="preserve">호덕4호</t>
  </si>
  <si>
    <t xml:space="preserve">₩194,532,000</t>
  </si>
  <si>
    <t xml:space="preserve">소계</t>
  </si>
  <si>
    <t xml:space="preserve">₩740,251,200</t>
  </si>
  <si>
    <t xml:space="preserve">₩370,125,600</t>
  </si>
  <si>
    <t xml:space="preserve">₩461,013,800</t>
  </si>
  <si>
    <t xml:space="preserve">₩279,237,400</t>
  </si>
  <si>
    <t xml:space="preserve">₩1,850,628,000</t>
  </si>
  <si>
    <t xml:space="preserve">MW기준630,000,000원(토지금액3억원포함)</t>
  </si>
  <si>
    <t xml:space="preserve">HaengWoon16</t>
  </si>
  <si>
    <t xml:space="preserve">봉양1호</t>
  </si>
  <si>
    <t xml:space="preserve">₩251,793,360</t>
  </si>
  <si>
    <t xml:space="preserve">₩125,896,680</t>
  </si>
  <si>
    <t xml:space="preserve">₩188,845,020</t>
  </si>
  <si>
    <t xml:space="preserve">₩62,948,340</t>
  </si>
  <si>
    <t xml:space="preserve">₩629,483,400</t>
  </si>
  <si>
    <r>
      <rPr>
        <b val="true"/>
        <sz val="10"/>
        <color rgb="FF000000"/>
        <rFont val="맑은 고딕"/>
        <family val="3"/>
        <charset val="129"/>
      </rPr>
      <t xml:space="preserve">1.사업권 2.8억 → 3.3억원으로 금액 상승
</t>
    </r>
    <r>
      <rPr>
        <sz val="10"/>
        <color rgb="FF000000"/>
        <rFont val="맑은 고딕"/>
        <family val="3"/>
        <charset val="129"/>
      </rPr>
      <t xml:space="preserve">1~6번과 동일이유 및 감액조건 적용 + 현재 개발행위 예정 발전소로 1~6번보다 2,000만원 감액
계약 체결시 계약금 지급일로부터 3개월이내 개발행위완료 및 PPA접수완료 조건협의중
미이행시 계약금 지급금액의 반환조건 및 위약금 조항 조건 협의중
</t>
    </r>
    <r>
      <rPr>
        <b val="true"/>
        <sz val="10"/>
        <color rgb="FF000000"/>
        <rFont val="맑은 고딕"/>
        <family val="3"/>
        <charset val="129"/>
      </rPr>
      <t xml:space="preserve">2. 지급비율 재조정
1~6번과 동일이유
전체 13개소 토지 매입 잔금 17억5천만원 필요 - 40%시 19.7억(농지전용비,취등록세 비용으로 사용)
계약금 지급시 7일이내 SPC명의 토지인수 완료 후 변경된 등기사항 제출하는조건 NBO 및 계약서에 명시</t>
    </r>
  </si>
  <si>
    <t xml:space="preserve">HaengWoon15</t>
  </si>
  <si>
    <t xml:space="preserve">봉양3호</t>
  </si>
  <si>
    <t xml:space="preserve">₩94,422,510</t>
  </si>
  <si>
    <t xml:space="preserve">₩31,474,170</t>
  </si>
  <si>
    <t xml:space="preserve">₩314,741,700</t>
  </si>
  <si>
    <t xml:space="preserve">BongYang4</t>
  </si>
  <si>
    <t xml:space="preserve">봉양4호</t>
  </si>
  <si>
    <t xml:space="preserve">₩125,989,920</t>
  </si>
  <si>
    <t xml:space="preserve">₩62,994,960</t>
  </si>
  <si>
    <t xml:space="preserve">₩314,974,800</t>
  </si>
  <si>
    <t xml:space="preserve">BongYang6</t>
  </si>
  <si>
    <t xml:space="preserve">봉양6호</t>
  </si>
  <si>
    <t xml:space="preserve">₩176,268,960</t>
  </si>
  <si>
    <t xml:space="preserve">₩88,134,480</t>
  </si>
  <si>
    <t xml:space="preserve">₩440,672,400</t>
  </si>
  <si>
    <t xml:space="preserve">BongYang10</t>
  </si>
  <si>
    <t xml:space="preserve">봉양10호</t>
  </si>
  <si>
    <t xml:space="preserve">₩226,835,280</t>
  </si>
  <si>
    <t xml:space="preserve">₩113,417,640</t>
  </si>
  <si>
    <t xml:space="preserve">₩567,088,200</t>
  </si>
  <si>
    <t xml:space="preserve">MunChon</t>
  </si>
  <si>
    <t xml:space="preserve">문촌태양광</t>
  </si>
  <si>
    <t xml:space="preserve">₩201,408,480</t>
  </si>
  <si>
    <t xml:space="preserve">₩100,704,240</t>
  </si>
  <si>
    <t xml:space="preserve">₩503,521,200</t>
  </si>
  <si>
    <t xml:space="preserve">WolTan</t>
  </si>
  <si>
    <t xml:space="preserve">월탄태양광</t>
  </si>
  <si>
    <t xml:space="preserve">₩1,234,182,600</t>
  </si>
  <si>
    <t xml:space="preserve">₩617,091,300</t>
  </si>
  <si>
    <t xml:space="preserve">₩711,513,810</t>
  </si>
  <si>
    <t xml:space="preserve">₩522,668,790</t>
  </si>
  <si>
    <t xml:space="preserve">₩3,085,456,500</t>
  </si>
  <si>
    <t xml:space="preserve">1.5억</t>
  </si>
  <si>
    <t xml:space="preserve">땅값은 3억</t>
  </si>
  <si>
    <t xml:space="preserve">솔라시티 프리미엄</t>
  </si>
  <si>
    <t xml:space="preserve">2025년 3월 전액</t>
  </si>
  <si>
    <t xml:space="preserve">MW기준450,000,000원(토지금액3억원포함)</t>
  </si>
  <si>
    <t xml:space="preserve">갈산태양광</t>
  </si>
  <si>
    <t xml:space="preserve">₩447,120,000</t>
  </si>
  <si>
    <r>
      <rPr>
        <b val="true"/>
        <sz val="11"/>
        <color rgb="FF000000"/>
        <rFont val="맑은 고딕"/>
        <family val="3"/>
        <charset val="129"/>
      </rPr>
      <t xml:space="preserve"> 1. 지급비율
</t>
    </r>
    <r>
      <rPr>
        <sz val="11"/>
        <color rgb="FF000000"/>
        <rFont val="맑은 고딕"/>
        <family val="3"/>
        <charset val="129"/>
      </rPr>
      <t xml:space="preserve">사업권 매각금액이 타사보다 비교적 적은 금액으로 계약시 100%지급을 희망함
계통연계비용 및 민원은 매수자 측 해결하는 조건
그린볼트 수용 불가시 2안으로 MW기준 6.5억(토지포함) (1~6번과 동일한조건)
계약시 30% 착공시 30% 사용전검사시 30%  COD완료시 10% 제안 예정
이번주 목요일 사업주와 솔라시티 직접 미팅 예정</t>
    </r>
  </si>
  <si>
    <t xml:space="preserve"> 1. Payment ratio
- The seller wishes to receive 100% of the sale price of the business right at the time of the contract, as the sale price is relatively lower than that of other companies.
- Conditions for the buyer to resolve grid connection costs and complaints.
- If the Green Bolt is not accepted, the second option is 650 million won per MW (including land) (same conditions as No. 1-6).
- 30% at the time of contract, 30% at the time of construction commencement, 30% at the time of pre-inspection, and 10% at the time of COD completion.
- A meeting between the business owner and SolarCity is scheduled for Thursday of this week.</t>
  </si>
  <si>
    <t xml:space="preserve">미느리태양광</t>
  </si>
  <si>
    <t xml:space="preserve">20/60이 유력한데, 한달 안에 지급이 중요하니 80/20 또는 90/10 이 될 수 있다. 그리고나서 og가 가져오는 걸로</t>
  </si>
  <si>
    <t xml:space="preserve">새골태양광</t>
  </si>
  <si>
    <t xml:space="preserve">1억5천+3억 = 4억5천인데 80% 바로 지급 후 나머지 20% 페이</t>
  </si>
  <si>
    <t xml:space="preserve">재산태양광</t>
  </si>
  <si>
    <t xml:space="preserve">그래서 원래는 총 26억 이였는데 18억이 되므로 8억 아낌</t>
  </si>
  <si>
    <t xml:space="preserve">18억의 10% 보증보험 발행하고, 공사 시작 시 해지</t>
  </si>
  <si>
    <t xml:space="preserve">₩1,788,480,000</t>
  </si>
  <si>
    <t xml:space="preserve">Seodeul Solar</t>
  </si>
  <si>
    <t xml:space="preserve">서들태양광</t>
  </si>
  <si>
    <t xml:space="preserve">₩175,353,750</t>
  </si>
  <si>
    <t xml:space="preserve">₩58,451,250</t>
  </si>
  <si>
    <t xml:space="preserve">₩584,512,500</t>
  </si>
  <si>
    <r>
      <rPr>
        <b val="true"/>
        <sz val="10"/>
        <color rgb="FF000000"/>
        <rFont val="맑은 고딕"/>
        <family val="3"/>
        <charset val="129"/>
      </rPr>
      <t xml:space="preserve">1.사업권 2.3억 → 3.5억으로 금액 상승
</t>
    </r>
    <r>
      <rPr>
        <sz val="10"/>
        <color rgb="FF000000"/>
        <rFont val="맑은 고딕"/>
        <family val="3"/>
        <charset val="129"/>
      </rPr>
      <t xml:space="preserve">1~6번과 동일이유 및 감액조건 적용
기존 토지주 최근 사망으로 자녀들 상속 예정이며 
토지 매각을 희망하지 않는의사를 밝혀 수요일까지 토지주와 직접 협의 중
협의가 안되는 경우 사업권 허가 취소 가처분 신청 예정 매각 불가시 다른 사이트로 대체
27년계통예정 함양 </t>
    </r>
    <r>
      <rPr>
        <sz val="10"/>
        <color rgb="FFFF0000"/>
        <rFont val="맑은 고딕"/>
        <family val="3"/>
        <charset val="129"/>
      </rPr>
      <t xml:space="preserve">3.1MW MW기준 6억(토지3억포함)
</t>
    </r>
    <r>
      <rPr>
        <sz val="10"/>
        <color rgb="FF000000"/>
        <rFont val="맑은 고딕"/>
        <family val="3"/>
        <charset val="129"/>
      </rPr>
      <t xml:space="preserve">발전허가/개발행위허가/PPA접수증 첨부</t>
    </r>
  </si>
  <si>
    <t xml:space="preserve">Siwol Solar</t>
  </si>
  <si>
    <t xml:space="preserve">시월태양광</t>
  </si>
  <si>
    <t xml:space="preserve">₩151,760,700</t>
  </si>
  <si>
    <t xml:space="preserve">₩50,586,900</t>
  </si>
  <si>
    <t xml:space="preserve">₩505,869,000</t>
  </si>
  <si>
    <t xml:space="preserve">Geumjeong Solar</t>
  </si>
  <si>
    <t xml:space="preserve">금정태양광</t>
  </si>
  <si>
    <t xml:space="preserve">₩97,344,000</t>
  </si>
  <si>
    <t xml:space="preserve">₩389,376,000</t>
  </si>
  <si>
    <t xml:space="preserve">₩424,458,450</t>
  </si>
  <si>
    <t xml:space="preserve">₩206,382,150</t>
  </si>
  <si>
    <t xml:space="preserve">₩1,479,757,500</t>
  </si>
  <si>
    <t xml:space="preserve">DEVEX/MW</t>
  </si>
  <si>
    <t xml:space="preserve">Land Purchase/MW</t>
  </si>
  <si>
    <t xml:space="preserve">Brokerage/MW</t>
  </si>
  <si>
    <t xml:space="preserve">Brokerage</t>
  </si>
  <si>
    <t xml:space="preserve">Galsan Solar (SPA)</t>
  </si>
  <si>
    <t xml:space="preserve">Mineuri Solar (SPA)</t>
  </si>
  <si>
    <t xml:space="preserve">Saegol Solar (SPA)</t>
  </si>
  <si>
    <t xml:space="preserve">Jaesan Solar (SPA)</t>
  </si>
  <si>
    <t xml:space="preserve">DG-PV Organic</t>
  </si>
  <si>
    <t xml:space="preserve">UTILITY  </t>
  </si>
  <si>
    <t xml:space="preserve">LAND</t>
  </si>
  <si>
    <t xml:space="preserve">MoTIE
PERMITS</t>
  </si>
  <si>
    <t xml:space="preserve">PERMITS</t>
  </si>
  <si>
    <t xml:space="preserve">EXPENSE FORECAST(KRW)</t>
  </si>
  <si>
    <t xml:space="preserve">Project &amp; 
Total Capacity(kWp)</t>
  </si>
  <si>
    <t xml:space="preserve">Site Name</t>
  </si>
  <si>
    <t xml:space="preserve">Location (English)</t>
  </si>
  <si>
    <t xml:space="preserve">Location (Korean)</t>
  </si>
  <si>
    <t xml:space="preserve">Coordinates
N / E</t>
  </si>
  <si>
    <t xml:space="preserve">Credit Worthiness</t>
  </si>
  <si>
    <t xml:space="preserve">IRR</t>
  </si>
  <si>
    <t xml:space="preserve">IRR ASSUM based on GV</t>
  </si>
  <si>
    <t xml:space="preserve">GV
sensitivity analysis</t>
  </si>
  <si>
    <t xml:space="preserve">Specific 
Production  (MWh/year)</t>
  </si>
  <si>
    <t xml:space="preserve">NEH
(Year/Day)</t>
  </si>
  <si>
    <t xml:space="preserve">Pipeline registration date</t>
  </si>
  <si>
    <t xml:space="preserve">DC
(kWp)</t>
  </si>
  <si>
    <t xml:space="preserve">Supply
Voltage (V)</t>
  </si>
  <si>
    <t xml:space="preserve">RTB
Date</t>
  </si>
  <si>
    <t xml:space="preserve">PPA
Company</t>
  </si>
  <si>
    <t xml:space="preserve">PPA
Date</t>
  </si>
  <si>
    <t xml:space="preserve">GV COD
Date</t>
  </si>
  <si>
    <t xml:space="preserve">Set</t>
  </si>
  <si>
    <t xml:space="preserve">Interconnection fee(KRW)/MW</t>
  </si>
  <si>
    <t xml:space="preserve">construction period (months)</t>
  </si>
  <si>
    <t xml:space="preserve">Utility Company Area</t>
  </si>
  <si>
    <t xml:space="preserve">Roof Lease Contract</t>
  </si>
  <si>
    <r>
      <rPr>
        <b val="true"/>
        <sz val="10"/>
        <color theme="0"/>
        <rFont val="Calibri"/>
        <family val="2"/>
        <charset val="1"/>
      </rPr>
      <t xml:space="preserve">EBL
</t>
    </r>
    <r>
      <rPr>
        <b val="true"/>
        <sz val="8"/>
        <color theme="0"/>
        <rFont val="Calibri"/>
        <family val="2"/>
        <charset val="1"/>
      </rPr>
      <t xml:space="preserve">Expirated Date</t>
    </r>
  </si>
  <si>
    <r>
      <rPr>
        <b val="true"/>
        <sz val="10"/>
        <color theme="0"/>
        <rFont val="Calibri"/>
        <family val="2"/>
        <charset val="1"/>
      </rPr>
      <t xml:space="preserve">EIA
</t>
    </r>
    <r>
      <rPr>
        <b val="true"/>
        <sz val="8"/>
        <color theme="0"/>
        <rFont val="Calibri"/>
        <family val="2"/>
        <charset val="1"/>
      </rPr>
      <t xml:space="preserve">Expirated Date</t>
    </r>
  </si>
  <si>
    <r>
      <rPr>
        <b val="true"/>
        <sz val="10"/>
        <color theme="0"/>
        <rFont val="Calibri"/>
        <family val="2"/>
        <charset val="1"/>
      </rPr>
      <t xml:space="preserve">DAP
</t>
    </r>
    <r>
      <rPr>
        <b val="true"/>
        <sz val="8"/>
        <color theme="0"/>
        <rFont val="Calibri"/>
        <family val="2"/>
        <charset val="1"/>
      </rPr>
      <t xml:space="preserve">Expirated Date</t>
    </r>
  </si>
  <si>
    <t xml:space="preserve">Grid available to connect</t>
  </si>
  <si>
    <r>
      <rPr>
        <b val="true"/>
        <sz val="10"/>
        <color theme="0"/>
        <rFont val="Calibri"/>
        <family val="2"/>
        <charset val="1"/>
      </rPr>
      <t xml:space="preserve">Roof Area(</t>
    </r>
    <r>
      <rPr>
        <b val="true"/>
        <sz val="10"/>
        <color rgb="FFFFFFFF"/>
        <rFont val="맑은 고딕"/>
        <family val="3"/>
        <charset val="129"/>
      </rPr>
      <t xml:space="preserve">㎡</t>
    </r>
    <r>
      <rPr>
        <b val="true"/>
        <sz val="10"/>
        <color rgb="FFFFFFFF"/>
        <rFont val="Calibri"/>
        <family val="2"/>
        <charset val="1"/>
      </rPr>
      <t xml:space="preserve">)</t>
    </r>
  </si>
  <si>
    <t xml:space="preserve">Roof Lease amount/kWp</t>
  </si>
  <si>
    <t xml:space="preserve">Annual  Roof Lease Payment</t>
  </si>
  <si>
    <t xml:space="preserve">Pre-payment (Year)</t>
  </si>
  <si>
    <t xml:space="preserve">Brokerage 
Fee</t>
  </si>
  <si>
    <t xml:space="preserve">Devex</t>
  </si>
  <si>
    <t xml:space="preserve">Eco Inshutech(Maegok GV Power)</t>
  </si>
  <si>
    <t xml:space="preserve">8, Greengongdan 2-gil, Yangsan-si, Gyeongsangnam-do</t>
  </si>
  <si>
    <r>
      <rPr>
        <sz val="9"/>
        <color rgb="FF000000"/>
        <rFont val="맑은 고딕"/>
        <family val="3"/>
        <charset val="129"/>
      </rPr>
      <t xml:space="preserve">경상남도</t>
    </r>
    <r>
      <rPr>
        <sz val="9"/>
        <color rgb="FF000000"/>
        <rFont val="맑은 고딕"/>
        <family val="2"/>
        <charset val="128"/>
      </rPr>
      <t xml:space="preserve"> </t>
    </r>
    <r>
      <rPr>
        <sz val="9"/>
        <color rgb="FF000000"/>
        <rFont val="맑은 고딕"/>
        <family val="3"/>
        <charset val="129"/>
      </rPr>
      <t xml:space="preserve">양산시</t>
    </r>
    <r>
      <rPr>
        <sz val="9"/>
        <color rgb="FF000000"/>
        <rFont val="맑은 고딕"/>
        <family val="2"/>
        <charset val="128"/>
      </rPr>
      <t xml:space="preserve"> </t>
    </r>
    <r>
      <rPr>
        <sz val="9"/>
        <color rgb="FF000000"/>
        <rFont val="맑은 고딕"/>
        <family val="3"/>
        <charset val="129"/>
      </rPr>
      <t xml:space="preserve">그린공단</t>
    </r>
    <r>
      <rPr>
        <sz val="9"/>
        <color rgb="FF000000"/>
        <rFont val="Calibri"/>
        <family val="2"/>
        <charset val="1"/>
      </rPr>
      <t xml:space="preserve">2</t>
    </r>
    <r>
      <rPr>
        <sz val="9"/>
        <color rgb="FF000000"/>
        <rFont val="맑은 고딕"/>
        <family val="3"/>
        <charset val="129"/>
      </rPr>
      <t xml:space="preserve">길</t>
    </r>
    <r>
      <rPr>
        <sz val="9"/>
        <color rgb="FF000000"/>
        <rFont val="맑은 고딕"/>
        <family val="2"/>
        <charset val="128"/>
      </rPr>
      <t xml:space="preserve"> </t>
    </r>
    <r>
      <rPr>
        <sz val="9"/>
        <color rgb="FF000000"/>
        <rFont val="Calibri"/>
        <family val="2"/>
        <charset val="1"/>
      </rPr>
      <t xml:space="preserve">8</t>
    </r>
  </si>
  <si>
    <t xml:space="preserve"> 35.364962 / 129.169206</t>
  </si>
  <si>
    <t xml:space="preserve">Bolt Taeyanggwang 7HO</t>
  </si>
  <si>
    <t xml:space="preserve">BB0</t>
  </si>
  <si>
    <t xml:space="preserve">Gyeongsangnam-do</t>
  </si>
  <si>
    <t xml:space="preserve">Yes</t>
  </si>
  <si>
    <t xml:space="preserve">Seochang S/S, Deokil D/L 12MW</t>
  </si>
  <si>
    <t xml:space="preserve">EBL Obtained</t>
  </si>
  <si>
    <t xml:space="preserve">Younggwang Industry(Kisol GV Power)</t>
  </si>
  <si>
    <t xml:space="preserve">278-27, Guksabong-ro, Samjuk-myeon, Anseong-si, Gyeonggi-do</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</si>
  <si>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안성시</t>
    </r>
    <r>
      <rPr>
        <sz val="9"/>
        <color rgb="FF000000"/>
        <rFont val="맑은 고딕"/>
        <family val="2"/>
        <charset val="128"/>
      </rPr>
      <t xml:space="preserve"> </t>
    </r>
    <r>
      <rPr>
        <sz val="9"/>
        <color rgb="FF000000"/>
        <rFont val="맑은 고딕"/>
        <family val="3"/>
        <charset val="129"/>
      </rPr>
      <t xml:space="preserve">삼죽면</t>
    </r>
    <r>
      <rPr>
        <sz val="9"/>
        <color rgb="FF000000"/>
        <rFont val="맑은 고딕"/>
        <family val="2"/>
        <charset val="128"/>
      </rPr>
      <t xml:space="preserve"> </t>
    </r>
    <r>
      <rPr>
        <sz val="9"/>
        <color rgb="FF000000"/>
        <rFont val="맑은 고딕"/>
        <family val="3"/>
        <charset val="129"/>
      </rPr>
      <t xml:space="preserve">국사봉로</t>
    </r>
    <r>
      <rPr>
        <sz val="9"/>
        <color rgb="FF000000"/>
        <rFont val="맑은 고딕"/>
        <family val="2"/>
        <charset val="128"/>
      </rPr>
      <t xml:space="preserve"> </t>
    </r>
    <r>
      <rPr>
        <sz val="9"/>
        <color rgb="FF000000"/>
        <rFont val="Calibri"/>
        <family val="2"/>
        <charset val="1"/>
      </rPr>
      <t xml:space="preserve">279</t>
    </r>
  </si>
  <si>
    <t xml:space="preserve">37.054948 / 127.342079</t>
  </si>
  <si>
    <t xml:space="preserve">CCC0</t>
  </si>
  <si>
    <t xml:space="preserve">SeowoonSA S/S, Yongwol D/L 8MW</t>
  </si>
  <si>
    <t xml:space="preserve">EBL Obtained on 23rd April 2025</t>
  </si>
  <si>
    <t xml:space="preserve">Ajin P&amp;S(Jangdong GV Power)</t>
  </si>
  <si>
    <t xml:space="preserve">20, Munhwahoegwan 11an-gil, Dalseo-gu, Daegu, Republic of Korea</t>
  </si>
  <si>
    <r>
      <rPr>
        <sz val="9"/>
        <color rgb="FF000000"/>
        <rFont val="맑은 고딕"/>
        <family val="2"/>
        <charset val="128"/>
      </rPr>
      <t xml:space="preserve">대구광역시 달서구 문화회관 </t>
    </r>
    <r>
      <rPr>
        <sz val="9"/>
        <color rgb="FF000000"/>
        <rFont val="Calibri"/>
        <family val="2"/>
        <charset val="1"/>
      </rPr>
      <t xml:space="preserve">11</t>
    </r>
    <r>
      <rPr>
        <sz val="9"/>
        <color rgb="FF000000"/>
        <rFont val="맑은 고딕"/>
        <family val="2"/>
        <charset val="128"/>
      </rPr>
      <t xml:space="preserve">안길 </t>
    </r>
    <r>
      <rPr>
        <sz val="9"/>
        <color rgb="FF000000"/>
        <rFont val="Calibri"/>
        <family val="2"/>
        <charset val="1"/>
      </rPr>
      <t xml:space="preserve">20</t>
    </r>
  </si>
  <si>
    <t xml:space="preserve">35.839857 / 128.525736</t>
  </si>
  <si>
    <t xml:space="preserve">B+</t>
  </si>
  <si>
    <t xml:space="preserve">Daegu</t>
  </si>
  <si>
    <t xml:space="preserve">Wolbae S/S, Choolpan D/L 10MW</t>
  </si>
  <si>
    <t xml:space="preserve">EBL Applied, Expected to obtain 07 May 2025</t>
  </si>
  <si>
    <t xml:space="preserve">Myunghyun Tech(Jicheon GV Power)</t>
  </si>
  <si>
    <t xml:space="preserve">9-62 &amp; 9-64 Geumho-ro 1-gil, Jicheon-myeon, Chilgok-gun, Gyeongsangbuk-do</t>
  </si>
  <si>
    <r>
      <rPr>
        <sz val="9"/>
        <color rgb="FF000000"/>
        <rFont val="맑은 고딕"/>
        <family val="2"/>
        <charset val="129"/>
      </rPr>
      <t xml:space="preserve">경상북도</t>
    </r>
    <r>
      <rPr>
        <sz val="9"/>
        <color rgb="FF000000"/>
        <rFont val="맑은 고딕"/>
        <family val="2"/>
        <charset val="128"/>
      </rPr>
      <t xml:space="preserve"> </t>
    </r>
    <r>
      <rPr>
        <sz val="9"/>
        <color rgb="FF000000"/>
        <rFont val="맑은 고딕"/>
        <family val="2"/>
        <charset val="129"/>
      </rPr>
      <t xml:space="preserve">칠곡군</t>
    </r>
    <r>
      <rPr>
        <sz val="9"/>
        <color rgb="FF000000"/>
        <rFont val="맑은 고딕"/>
        <family val="2"/>
        <charset val="128"/>
      </rPr>
      <t xml:space="preserve"> </t>
    </r>
    <r>
      <rPr>
        <sz val="9"/>
        <color rgb="FF000000"/>
        <rFont val="맑은 고딕"/>
        <family val="2"/>
        <charset val="129"/>
      </rPr>
      <t xml:space="preserve">지천면</t>
    </r>
    <r>
      <rPr>
        <sz val="9"/>
        <color rgb="FF000000"/>
        <rFont val="맑은 고딕"/>
        <family val="2"/>
        <charset val="128"/>
      </rPr>
      <t xml:space="preserve"> </t>
    </r>
    <r>
      <rPr>
        <sz val="9"/>
        <color rgb="FF000000"/>
        <rFont val="맑은 고딕"/>
        <family val="2"/>
        <charset val="129"/>
      </rPr>
      <t xml:space="preserve">금호리</t>
    </r>
    <r>
      <rPr>
        <sz val="9"/>
        <color rgb="FF000000"/>
        <rFont val="맑은 고딕"/>
        <family val="2"/>
        <charset val="128"/>
      </rPr>
      <t xml:space="preserve"> </t>
    </r>
    <r>
      <rPr>
        <sz val="9"/>
        <color rgb="FF000000"/>
        <rFont val="Calibri"/>
        <family val="2"/>
        <charset val="1"/>
      </rPr>
      <t xml:space="preserve">196-7, 196-8</t>
    </r>
  </si>
  <si>
    <t xml:space="preserve">35.953814 / 128.439590</t>
  </si>
  <si>
    <t xml:space="preserve">Gyeongsangbuk-do</t>
  </si>
  <si>
    <t xml:space="preserve">Applied</t>
  </si>
  <si>
    <t xml:space="preserve">Waegwan S/S, Waesan D/L 6MW</t>
  </si>
  <si>
    <t xml:space="preserve">EBL Applied 06 Mar 2025, Expected to obtain 30 May 2025. Only the creditworthiness of Myunghyun Tech is confirmed among the two other sole proprietors (Myunghyun Tech, Bae Hyo), and the two are related by family.</t>
  </si>
  <si>
    <t xml:space="preserve">Sejin SMC</t>
  </si>
  <si>
    <t xml:space="preserve">174-7, Yangseong-ro, Yangseong-myeon, Anseong-si,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</si>
  <si>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안성시</t>
    </r>
    <r>
      <rPr>
        <sz val="9"/>
        <color rgb="FF000000"/>
        <rFont val="맑은 고딕"/>
        <family val="2"/>
        <charset val="128"/>
      </rPr>
      <t xml:space="preserve"> </t>
    </r>
    <r>
      <rPr>
        <sz val="9"/>
        <color rgb="FF000000"/>
        <rFont val="맑은 고딕"/>
        <family val="2"/>
        <charset val="1"/>
      </rPr>
      <t xml:space="preserve">양성면</t>
    </r>
    <r>
      <rPr>
        <sz val="9"/>
        <color rgb="FF000000"/>
        <rFont val="맑은 고딕"/>
        <family val="2"/>
        <charset val="128"/>
      </rPr>
      <t xml:space="preserve"> </t>
    </r>
    <r>
      <rPr>
        <sz val="9"/>
        <color rgb="FF000000"/>
        <rFont val="맑은 고딕"/>
        <family val="2"/>
        <charset val="1"/>
      </rPr>
      <t xml:space="preserve">양성로</t>
    </r>
    <r>
      <rPr>
        <sz val="9"/>
        <color rgb="FF000000"/>
        <rFont val="맑은 고딕"/>
        <family val="2"/>
        <charset val="128"/>
      </rPr>
      <t xml:space="preserve"> </t>
    </r>
    <r>
      <rPr>
        <sz val="9"/>
        <color rgb="FF000000"/>
        <rFont val="Calibri"/>
        <family val="2"/>
        <charset val="1"/>
      </rPr>
      <t xml:space="preserve">174-7</t>
    </r>
  </si>
  <si>
    <t xml:space="preserve">37.068518 / 127.206031</t>
  </si>
  <si>
    <t xml:space="preserve">Bolt Taeyanggwang 6HO</t>
  </si>
  <si>
    <t xml:space="preserve">CCC-</t>
  </si>
  <si>
    <t xml:space="preserve">Namsa S/S, Seokhwa D/L 12MW</t>
  </si>
  <si>
    <t xml:space="preserve">Scheduled to be submitted EBL</t>
  </si>
  <si>
    <t xml:space="preserve">Seoyong</t>
  </si>
  <si>
    <t xml:space="preserve">155, Yanggyo 1-gil, Oseong-myeon, Pyeongtaek-si,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</si>
  <si>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오성면</t>
    </r>
    <r>
      <rPr>
        <sz val="9"/>
        <color rgb="FF000000"/>
        <rFont val="맑은 고딕"/>
        <family val="2"/>
        <charset val="128"/>
      </rPr>
      <t xml:space="preserve"> </t>
    </r>
    <r>
      <rPr>
        <sz val="9"/>
        <color rgb="FF000000"/>
        <rFont val="맑은 고딕"/>
        <family val="2"/>
        <charset val="1"/>
      </rPr>
      <t xml:space="preserve">양교</t>
    </r>
    <r>
      <rPr>
        <sz val="9"/>
        <color rgb="FF000000"/>
        <rFont val="Calibri"/>
        <family val="2"/>
        <charset val="1"/>
      </rPr>
      <t xml:space="preserve">1</t>
    </r>
    <r>
      <rPr>
        <sz val="9"/>
        <color rgb="FF000000"/>
        <rFont val="맑은 고딕"/>
        <family val="2"/>
        <charset val="1"/>
      </rPr>
      <t xml:space="preserve">길</t>
    </r>
    <r>
      <rPr>
        <sz val="9"/>
        <color rgb="FF000000"/>
        <rFont val="맑은 고딕"/>
        <family val="2"/>
        <charset val="128"/>
      </rPr>
      <t xml:space="preserve"> </t>
    </r>
    <r>
      <rPr>
        <sz val="9"/>
        <color rgb="FF000000"/>
        <rFont val="Calibri"/>
        <family val="2"/>
        <charset val="1"/>
      </rPr>
      <t xml:space="preserve">155</t>
    </r>
  </si>
  <si>
    <t xml:space="preserve">37.025554 / 126.965970</t>
  </si>
  <si>
    <t xml:space="preserve">CC+</t>
  </si>
  <si>
    <t xml:space="preserve">Cheongbuk S/S, Baekyang D/L 2MW</t>
  </si>
  <si>
    <t xml:space="preserve">Jinyoung Metal Factory 1
Jinyoung Metal Factory 2</t>
  </si>
  <si>
    <t xml:space="preserve">50, Garisae 2-ro, Gangseo-gu,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</si>
  <si>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강서구</t>
    </r>
    <r>
      <rPr>
        <sz val="9"/>
        <color rgb="FF000000"/>
        <rFont val="맑은 고딕"/>
        <family val="2"/>
        <charset val="128"/>
      </rPr>
      <t xml:space="preserve"> </t>
    </r>
    <r>
      <rPr>
        <sz val="9"/>
        <color rgb="FF000000"/>
        <rFont val="맑은 고딕"/>
        <family val="3"/>
        <charset val="129"/>
      </rPr>
      <t xml:space="preserve">가리새</t>
    </r>
    <r>
      <rPr>
        <sz val="9"/>
        <color rgb="FF000000"/>
        <rFont val="Calibri"/>
        <family val="2"/>
        <charset val="1"/>
      </rPr>
      <t xml:space="preserve">2</t>
    </r>
    <r>
      <rPr>
        <sz val="9"/>
        <color rgb="FF000000"/>
        <rFont val="맑은 고딕"/>
        <family val="3"/>
        <charset val="129"/>
      </rPr>
      <t xml:space="preserve">로</t>
    </r>
    <r>
      <rPr>
        <sz val="9"/>
        <color rgb="FF000000"/>
        <rFont val="맑은 고딕"/>
        <family val="2"/>
        <charset val="128"/>
      </rPr>
      <t xml:space="preserve"> </t>
    </r>
    <r>
      <rPr>
        <sz val="9"/>
        <color rgb="FF000000"/>
        <rFont val="Calibri"/>
        <family val="2"/>
        <charset val="1"/>
      </rPr>
      <t xml:space="preserve">50(</t>
    </r>
    <r>
      <rPr>
        <sz val="9"/>
        <color rgb="FF000000"/>
        <rFont val="맑은 고딕"/>
        <family val="3"/>
        <charset val="129"/>
      </rPr>
      <t xml:space="preserve">범방동</t>
    </r>
    <r>
      <rPr>
        <sz val="9"/>
        <color rgb="FF000000"/>
        <rFont val="맑은 고딕"/>
        <family val="2"/>
        <charset val="128"/>
      </rPr>
      <t xml:space="preserve"> </t>
    </r>
    <r>
      <rPr>
        <sz val="9"/>
        <color rgb="FF000000"/>
        <rFont val="Calibri"/>
        <family val="2"/>
        <charset val="1"/>
      </rPr>
      <t xml:space="preserve">1921-9)</t>
    </r>
  </si>
  <si>
    <t xml:space="preserve">37.185887 / 128.886199</t>
  </si>
  <si>
    <t xml:space="preserve">Bolt Taeyanggwang 2HO</t>
  </si>
  <si>
    <t xml:space="preserve">B0</t>
  </si>
  <si>
    <t xml:space="preserve">Mieum S/S, Saemi D/L 6MW</t>
  </si>
  <si>
    <t xml:space="preserve">Energy Plan</t>
  </si>
  <si>
    <t xml:space="preserve">EBL application submitted</t>
  </si>
  <si>
    <t xml:space="preserve">124, Mieumgukje 2-ro, Gangseo-gu,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</si>
  <si>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강서구</t>
    </r>
    <r>
      <rPr>
        <sz val="9"/>
        <color rgb="FF000000"/>
        <rFont val="맑은 고딕"/>
        <family val="2"/>
        <charset val="128"/>
      </rPr>
      <t xml:space="preserve"> </t>
    </r>
    <r>
      <rPr>
        <sz val="9"/>
        <color rgb="FF000000"/>
        <rFont val="맑은 고딕"/>
        <family val="3"/>
        <charset val="129"/>
      </rPr>
      <t xml:space="preserve">미음국제</t>
    </r>
    <r>
      <rPr>
        <sz val="9"/>
        <color rgb="FF000000"/>
        <rFont val="Calibri"/>
        <family val="2"/>
        <charset val="1"/>
      </rPr>
      <t xml:space="preserve">2</t>
    </r>
    <r>
      <rPr>
        <sz val="9"/>
        <color rgb="FF000000"/>
        <rFont val="맑은 고딕"/>
        <family val="3"/>
        <charset val="129"/>
      </rPr>
      <t xml:space="preserve">로</t>
    </r>
    <r>
      <rPr>
        <sz val="9"/>
        <color rgb="FF000000"/>
        <rFont val="맑은 고딕"/>
        <family val="2"/>
        <charset val="128"/>
      </rPr>
      <t xml:space="preserve"> </t>
    </r>
    <r>
      <rPr>
        <sz val="9"/>
        <color rgb="FF000000"/>
        <rFont val="Calibri"/>
        <family val="2"/>
        <charset val="1"/>
      </rPr>
      <t xml:space="preserve">124(</t>
    </r>
    <r>
      <rPr>
        <sz val="9"/>
        <color rgb="FF000000"/>
        <rFont val="맑은 고딕"/>
        <family val="3"/>
        <charset val="129"/>
      </rPr>
      <t xml:space="preserve">미음동</t>
    </r>
    <r>
      <rPr>
        <sz val="9"/>
        <color rgb="FF000000"/>
        <rFont val="맑은 고딕"/>
        <family val="2"/>
        <charset val="128"/>
      </rPr>
      <t xml:space="preserve"> </t>
    </r>
    <r>
      <rPr>
        <sz val="9"/>
        <color rgb="FF000000"/>
        <rFont val="Calibri"/>
        <family val="2"/>
        <charset val="1"/>
      </rPr>
      <t xml:space="preserve">1644-3)</t>
    </r>
  </si>
  <si>
    <t xml:space="preserve">35.148711 / 128.863679</t>
  </si>
  <si>
    <t xml:space="preserve">Jisa S/S, Misan D/L 7MW</t>
  </si>
  <si>
    <t xml:space="preserve">Kairos</t>
  </si>
  <si>
    <t xml:space="preserve">35, Je 3sandan 3-ro, Jecheon-si, Chungcheongbuk-do</t>
  </si>
  <si>
    <r>
      <rPr>
        <sz val="9"/>
        <color rgb="FF000000"/>
        <rFont val="맑은 고딕"/>
        <family val="2"/>
        <charset val="129"/>
      </rPr>
      <t xml:space="preserve">충청북도</t>
    </r>
    <r>
      <rPr>
        <sz val="9"/>
        <color rgb="FF000000"/>
        <rFont val="맑은 고딕"/>
        <family val="2"/>
        <charset val="128"/>
      </rPr>
      <t xml:space="preserve"> </t>
    </r>
    <r>
      <rPr>
        <sz val="9"/>
        <color rgb="FF000000"/>
        <rFont val="맑은 고딕"/>
        <family val="2"/>
        <charset val="129"/>
      </rPr>
      <t xml:space="preserve">제천시</t>
    </r>
    <r>
      <rPr>
        <sz val="9"/>
        <color rgb="FF000000"/>
        <rFont val="맑은 고딕"/>
        <family val="2"/>
        <charset val="128"/>
      </rPr>
      <t xml:space="preserve"> </t>
    </r>
    <r>
      <rPr>
        <sz val="9"/>
        <color rgb="FF000000"/>
        <rFont val="맑은 고딕"/>
        <family val="2"/>
        <charset val="129"/>
      </rPr>
      <t xml:space="preserve">제</t>
    </r>
    <r>
      <rPr>
        <sz val="9"/>
        <color rgb="FF000000"/>
        <rFont val="Calibri"/>
        <family val="2"/>
        <charset val="1"/>
      </rPr>
      <t xml:space="preserve">3</t>
    </r>
    <r>
      <rPr>
        <sz val="9"/>
        <color rgb="FF000000"/>
        <rFont val="맑은 고딕"/>
        <family val="2"/>
        <charset val="129"/>
      </rPr>
      <t xml:space="preserve">산단</t>
    </r>
    <r>
      <rPr>
        <sz val="9"/>
        <color rgb="FF000000"/>
        <rFont val="Calibri"/>
        <family val="2"/>
        <charset val="1"/>
      </rPr>
      <t xml:space="preserve">3</t>
    </r>
    <r>
      <rPr>
        <sz val="9"/>
        <color rgb="FF000000"/>
        <rFont val="맑은 고딕"/>
        <family val="2"/>
        <charset val="129"/>
      </rPr>
      <t xml:space="preserve">로</t>
    </r>
    <r>
      <rPr>
        <sz val="9"/>
        <color rgb="FF000000"/>
        <rFont val="맑은 고딕"/>
        <family val="2"/>
        <charset val="128"/>
      </rPr>
      <t xml:space="preserve"> </t>
    </r>
    <r>
      <rPr>
        <sz val="9"/>
        <color rgb="FF000000"/>
        <rFont val="Calibri"/>
        <family val="2"/>
        <charset val="1"/>
      </rPr>
      <t xml:space="preserve">35 (</t>
    </r>
    <r>
      <rPr>
        <sz val="9"/>
        <color rgb="FF000000"/>
        <rFont val="맑은 고딕"/>
        <family val="2"/>
        <charset val="129"/>
      </rPr>
      <t xml:space="preserve">충청북도</t>
    </r>
    <r>
      <rPr>
        <sz val="9"/>
        <color rgb="FF000000"/>
        <rFont val="맑은 고딕"/>
        <family val="2"/>
        <charset val="128"/>
      </rPr>
      <t xml:space="preserve"> </t>
    </r>
    <r>
      <rPr>
        <sz val="9"/>
        <color rgb="FF000000"/>
        <rFont val="맑은 고딕"/>
        <family val="2"/>
        <charset val="129"/>
      </rPr>
      <t xml:space="preserve">제천시</t>
    </r>
    <r>
      <rPr>
        <sz val="9"/>
        <color rgb="FF000000"/>
        <rFont val="맑은 고딕"/>
        <family val="2"/>
        <charset val="128"/>
      </rPr>
      <t xml:space="preserve"> </t>
    </r>
    <r>
      <rPr>
        <sz val="9"/>
        <color rgb="FF000000"/>
        <rFont val="맑은 고딕"/>
        <family val="2"/>
        <charset val="129"/>
      </rPr>
      <t xml:space="preserve">왕암동</t>
    </r>
    <r>
      <rPr>
        <sz val="9"/>
        <color rgb="FF000000"/>
        <rFont val="맑은 고딕"/>
        <family val="2"/>
        <charset val="128"/>
      </rPr>
      <t xml:space="preserve"> </t>
    </r>
    <r>
      <rPr>
        <sz val="9"/>
        <color rgb="FF000000"/>
        <rFont val="Calibri"/>
        <family val="2"/>
        <charset val="1"/>
      </rPr>
      <t xml:space="preserve">1434 or 1435)</t>
    </r>
  </si>
  <si>
    <t xml:space="preserve">Wangam S/S, MyeongIl D/L 11MW</t>
  </si>
  <si>
    <t xml:space="preserve">Sehyun Chemical</t>
  </si>
  <si>
    <t xml:space="preserve">9, Pungjeong 2-gil, Naesu-eup, Cheongwon-gu, Cheongju-si, Chungcheongbuk-do</t>
  </si>
  <si>
    <r>
      <rPr>
        <sz val="9"/>
        <color rgb="FF000000"/>
        <rFont val="맑은 고딕"/>
        <family val="2"/>
        <charset val="129"/>
      </rPr>
      <t xml:space="preserve">충청북도</t>
    </r>
    <r>
      <rPr>
        <sz val="9"/>
        <color rgb="FF000000"/>
        <rFont val="맑은 고딕"/>
        <family val="2"/>
        <charset val="128"/>
      </rPr>
      <t xml:space="preserve"> </t>
    </r>
    <r>
      <rPr>
        <sz val="9"/>
        <color rgb="FF000000"/>
        <rFont val="맑은 고딕"/>
        <family val="2"/>
        <charset val="129"/>
      </rPr>
      <t xml:space="preserve">청주시</t>
    </r>
    <r>
      <rPr>
        <sz val="9"/>
        <color rgb="FF000000"/>
        <rFont val="맑은 고딕"/>
        <family val="2"/>
        <charset val="128"/>
      </rPr>
      <t xml:space="preserve"> </t>
    </r>
    <r>
      <rPr>
        <sz val="9"/>
        <color rgb="FF000000"/>
        <rFont val="맑은 고딕"/>
        <family val="2"/>
        <charset val="129"/>
      </rPr>
      <t xml:space="preserve">청원구</t>
    </r>
    <r>
      <rPr>
        <sz val="9"/>
        <color rgb="FF000000"/>
        <rFont val="맑은 고딕"/>
        <family val="2"/>
        <charset val="128"/>
      </rPr>
      <t xml:space="preserve"> </t>
    </r>
    <r>
      <rPr>
        <sz val="9"/>
        <color rgb="FF000000"/>
        <rFont val="맑은 고딕"/>
        <family val="2"/>
        <charset val="129"/>
      </rPr>
      <t xml:space="preserve">내수읍</t>
    </r>
    <r>
      <rPr>
        <sz val="9"/>
        <color rgb="FF000000"/>
        <rFont val="맑은 고딕"/>
        <family val="2"/>
        <charset val="128"/>
      </rPr>
      <t xml:space="preserve"> </t>
    </r>
    <r>
      <rPr>
        <sz val="9"/>
        <color rgb="FF000000"/>
        <rFont val="맑은 고딕"/>
        <family val="2"/>
        <charset val="129"/>
      </rPr>
      <t xml:space="preserve">풍정</t>
    </r>
    <r>
      <rPr>
        <sz val="9"/>
        <color rgb="FF000000"/>
        <rFont val="Calibri"/>
        <family val="2"/>
        <charset val="1"/>
      </rPr>
      <t xml:space="preserve">2</t>
    </r>
    <r>
      <rPr>
        <sz val="9"/>
        <color rgb="FF000000"/>
        <rFont val="맑은 고딕"/>
        <family val="2"/>
        <charset val="129"/>
      </rPr>
      <t xml:space="preserve">길</t>
    </r>
    <r>
      <rPr>
        <sz val="9"/>
        <color rgb="FF000000"/>
        <rFont val="맑은 고딕"/>
        <family val="2"/>
        <charset val="128"/>
      </rPr>
      <t xml:space="preserve"> </t>
    </r>
    <r>
      <rPr>
        <sz val="9"/>
        <color rgb="FF000000"/>
        <rFont val="Calibri"/>
        <family val="2"/>
        <charset val="1"/>
      </rPr>
      <t xml:space="preserve">9</t>
    </r>
  </si>
  <si>
    <t xml:space="preserve">36.712544 / 127.555940</t>
  </si>
  <si>
    <t xml:space="preserve">B-</t>
  </si>
  <si>
    <t xml:space="preserve">Chojeong S/S, DeokAm D/L 10MW</t>
  </si>
  <si>
    <t xml:space="preserve">EBL application rejected, Request for submission after supplementing the balance certificate</t>
  </si>
  <si>
    <t xml:space="preserve">55, Wonbong-ro, Onsan-eup, Ulju-gun, Ulsan</t>
  </si>
  <si>
    <r>
      <rPr>
        <sz val="9"/>
        <color rgb="FF000000"/>
        <rFont val="맑은 고딕"/>
        <family val="3"/>
        <charset val="129"/>
      </rPr>
      <t xml:space="preserve">울산</t>
    </r>
    <r>
      <rPr>
        <sz val="9"/>
        <color rgb="FF000000"/>
        <rFont val="맑은 고딕"/>
        <family val="2"/>
        <charset val="128"/>
      </rPr>
      <t xml:space="preserve"> </t>
    </r>
    <r>
      <rPr>
        <sz val="9"/>
        <color rgb="FF000000"/>
        <rFont val="맑은 고딕"/>
        <family val="3"/>
        <charset val="129"/>
      </rPr>
      <t xml:space="preserve">울주군</t>
    </r>
    <r>
      <rPr>
        <sz val="9"/>
        <color rgb="FF000000"/>
        <rFont val="맑은 고딕"/>
        <family val="2"/>
        <charset val="128"/>
      </rPr>
      <t xml:space="preserve"> </t>
    </r>
    <r>
      <rPr>
        <sz val="9"/>
        <color rgb="FF000000"/>
        <rFont val="맑은 고딕"/>
        <family val="3"/>
        <charset val="129"/>
      </rPr>
      <t xml:space="preserve">온산읍</t>
    </r>
    <r>
      <rPr>
        <sz val="9"/>
        <color rgb="FF000000"/>
        <rFont val="맑은 고딕"/>
        <family val="2"/>
        <charset val="128"/>
      </rPr>
      <t xml:space="preserve"> </t>
    </r>
    <r>
      <rPr>
        <sz val="9"/>
        <color rgb="FF000000"/>
        <rFont val="맑은 고딕"/>
        <family val="3"/>
        <charset val="129"/>
      </rPr>
      <t xml:space="preserve">원산리</t>
    </r>
    <r>
      <rPr>
        <sz val="9"/>
        <color rgb="FF000000"/>
        <rFont val="맑은 고딕"/>
        <family val="2"/>
        <charset val="128"/>
      </rPr>
      <t xml:space="preserve"> </t>
    </r>
    <r>
      <rPr>
        <sz val="9"/>
        <color rgb="FF000000"/>
        <rFont val="Calibri"/>
        <family val="2"/>
        <charset val="1"/>
      </rPr>
      <t xml:space="preserve">891</t>
    </r>
  </si>
  <si>
    <t xml:space="preserve">35.421052 / 129.346203</t>
  </si>
  <si>
    <t xml:space="preserve">Bolt Taeyanggwang 3HO</t>
  </si>
  <si>
    <t xml:space="preserve">BB+</t>
  </si>
  <si>
    <t xml:space="preserve">Ulsan</t>
  </si>
  <si>
    <t xml:space="preserve">Daeduck D/L 10MW : 2026</t>
  </si>
  <si>
    <t xml:space="preserve">Daeheung Industry</t>
  </si>
  <si>
    <t xml:space="preserve">673, Yeonhwa-ri, Jicheon-myeon, Chilgok-gun, Gyeongsangbuk-do</t>
  </si>
  <si>
    <r>
      <rPr>
        <strike val="true"/>
        <sz val="9"/>
        <color rgb="FFC00000"/>
        <rFont val="맑은 고딕"/>
        <family val="2"/>
        <charset val="128"/>
      </rPr>
      <t xml:space="preserve">경상북도 칠곡군 지천면 연화리 </t>
    </r>
    <r>
      <rPr>
        <strike val="true"/>
        <sz val="9"/>
        <color rgb="FFC00000"/>
        <rFont val="Calibri"/>
        <family val="2"/>
        <charset val="1"/>
      </rPr>
      <t xml:space="preserve">673-2,673-5</t>
    </r>
  </si>
  <si>
    <t xml:space="preserve">35.958172 / 128.447976</t>
  </si>
  <si>
    <t xml:space="preserve">BB-</t>
  </si>
  <si>
    <t xml:space="preserve">Due to a delay in signing a contract with us, a contract was signed with another company first.</t>
  </si>
  <si>
    <t xml:space="preserve">Jeonjin Tech</t>
  </si>
  <si>
    <t xml:space="preserve">148-80, Geumho-ro, Jicheon-myeon, Chilgok-gun, Gyeongsangbuk-do</t>
  </si>
  <si>
    <r>
      <rPr>
        <strike val="true"/>
        <sz val="9"/>
        <color rgb="FFC00000"/>
        <rFont val="맑은 고딕"/>
        <family val="2"/>
        <charset val="128"/>
      </rPr>
      <t xml:space="preserve">경상북도 칠곡군 지천면 금호리 </t>
    </r>
    <r>
      <rPr>
        <strike val="true"/>
        <sz val="9"/>
        <color rgb="FFC00000"/>
        <rFont val="Calibri"/>
        <family val="2"/>
        <charset val="1"/>
      </rPr>
      <t xml:space="preserve">396-32</t>
    </r>
  </si>
  <si>
    <t xml:space="preserve">35.946724 / 128.445923</t>
  </si>
  <si>
    <t xml:space="preserve">Dasa S/S, Hyeonnae D/L 7.7MW</t>
  </si>
  <si>
    <t xml:space="preserve">Fine Precision Industrial</t>
  </si>
  <si>
    <t xml:space="preserve">174-42, Jeongoksandan-ro, Seosin-myeon, Hwaseong-si, Gyeonggi-do</t>
  </si>
  <si>
    <r>
      <rPr>
        <strike val="true"/>
        <sz val="9"/>
        <color rgb="FFC00000"/>
        <rFont val="맑은 고딕"/>
        <family val="3"/>
        <charset val="129"/>
      </rPr>
      <t xml:space="preserve">경기도</t>
    </r>
    <r>
      <rPr>
        <strike val="true"/>
        <sz val="9"/>
        <color rgb="FFC00000"/>
        <rFont val="맑은 고딕"/>
        <family val="2"/>
        <charset val="128"/>
      </rPr>
      <t xml:space="preserve"> </t>
    </r>
    <r>
      <rPr>
        <strike val="true"/>
        <sz val="9"/>
        <color rgb="FFC00000"/>
        <rFont val="맑은 고딕"/>
        <family val="3"/>
        <charset val="129"/>
      </rPr>
      <t xml:space="preserve">화성시</t>
    </r>
    <r>
      <rPr>
        <strike val="true"/>
        <sz val="9"/>
        <color rgb="FFC00000"/>
        <rFont val="맑은 고딕"/>
        <family val="2"/>
        <charset val="128"/>
      </rPr>
      <t xml:space="preserve"> </t>
    </r>
    <r>
      <rPr>
        <strike val="true"/>
        <sz val="9"/>
        <color rgb="FFC00000"/>
        <rFont val="맑은 고딕"/>
        <family val="3"/>
        <charset val="129"/>
      </rPr>
      <t xml:space="preserve">서신면</t>
    </r>
    <r>
      <rPr>
        <strike val="true"/>
        <sz val="9"/>
        <color rgb="FFC00000"/>
        <rFont val="맑은 고딕"/>
        <family val="2"/>
        <charset val="128"/>
      </rPr>
      <t xml:space="preserve"> </t>
    </r>
    <r>
      <rPr>
        <strike val="true"/>
        <sz val="9"/>
        <color rgb="FFC00000"/>
        <rFont val="맑은 고딕"/>
        <family val="3"/>
        <charset val="129"/>
      </rPr>
      <t xml:space="preserve">전곡산단로</t>
    </r>
    <r>
      <rPr>
        <strike val="true"/>
        <sz val="9"/>
        <color rgb="FFC00000"/>
        <rFont val="맑은 고딕"/>
        <family val="2"/>
        <charset val="128"/>
      </rPr>
      <t xml:space="preserve"> </t>
    </r>
    <r>
      <rPr>
        <strike val="true"/>
        <sz val="9"/>
        <color rgb="FFC00000"/>
        <rFont val="Calibri"/>
        <family val="2"/>
        <charset val="1"/>
      </rPr>
      <t xml:space="preserve">174-42(</t>
    </r>
    <r>
      <rPr>
        <strike val="true"/>
        <sz val="9"/>
        <color rgb="FFC00000"/>
        <rFont val="맑은 고딕"/>
        <family val="2"/>
        <charset val="129"/>
      </rPr>
      <t xml:space="preserve">장외리</t>
    </r>
    <r>
      <rPr>
        <strike val="true"/>
        <sz val="9"/>
        <color rgb="FFC00000"/>
        <rFont val="맑은 고딕"/>
        <family val="2"/>
        <charset val="128"/>
      </rPr>
      <t xml:space="preserve"> </t>
    </r>
    <r>
      <rPr>
        <strike val="true"/>
        <sz val="9"/>
        <color rgb="FFC00000"/>
        <rFont val="Calibri"/>
        <family val="2"/>
        <charset val="1"/>
      </rPr>
      <t xml:space="preserve">651-7)</t>
    </r>
  </si>
  <si>
    <t xml:space="preserve">37.185887 / 126.666793</t>
  </si>
  <si>
    <t xml:space="preserve">Sagang S/S, Sanup D/L 7MW</t>
  </si>
  <si>
    <t xml:space="preserve">26, Euntongsandan 1-gil, Yeoncheon-eup, Yeoncheon-gun, Gyeonggi-do</t>
  </si>
  <si>
    <r>
      <rPr>
        <sz val="9"/>
        <color rgb="FF000000"/>
        <rFont val="맑은 고딕"/>
        <family val="2"/>
        <charset val="1"/>
      </rPr>
      <t xml:space="preserve">경기</t>
    </r>
    <r>
      <rPr>
        <sz val="9"/>
        <color rgb="FF000000"/>
        <rFont val="맑은 고딕"/>
        <family val="2"/>
        <charset val="128"/>
      </rPr>
      <t xml:space="preserve"> </t>
    </r>
    <r>
      <rPr>
        <sz val="9"/>
        <color rgb="FF000000"/>
        <rFont val="맑은 고딕"/>
        <family val="2"/>
        <charset val="1"/>
      </rPr>
      <t xml:space="preserve">연천군</t>
    </r>
    <r>
      <rPr>
        <sz val="9"/>
        <color rgb="FF000000"/>
        <rFont val="맑은 고딕"/>
        <family val="2"/>
        <charset val="128"/>
      </rPr>
      <t xml:space="preserve"> </t>
    </r>
    <r>
      <rPr>
        <sz val="9"/>
        <color rgb="FF000000"/>
        <rFont val="맑은 고딕"/>
        <family val="2"/>
        <charset val="1"/>
      </rPr>
      <t xml:space="preserve">연천읍</t>
    </r>
    <r>
      <rPr>
        <sz val="9"/>
        <color rgb="FF000000"/>
        <rFont val="맑은 고딕"/>
        <family val="2"/>
        <charset val="128"/>
      </rPr>
      <t xml:space="preserve"> </t>
    </r>
    <r>
      <rPr>
        <sz val="9"/>
        <color rgb="FF000000"/>
        <rFont val="맑은 고딕"/>
        <family val="2"/>
        <charset val="1"/>
      </rPr>
      <t xml:space="preserve">통현리</t>
    </r>
    <r>
      <rPr>
        <sz val="9"/>
        <color rgb="FF000000"/>
        <rFont val="맑은 고딕"/>
        <family val="2"/>
        <charset val="128"/>
      </rPr>
      <t xml:space="preserve"> </t>
    </r>
    <r>
      <rPr>
        <sz val="9"/>
        <color rgb="FF000000"/>
        <rFont val="Calibri"/>
        <family val="2"/>
        <charset val="1"/>
      </rPr>
      <t xml:space="preserve">1069-7</t>
    </r>
  </si>
  <si>
    <t xml:space="preserve">38.071849 / 127.077021</t>
  </si>
  <si>
    <t xml:space="preserve">Jeongok S/S, Naesan S/S : 2026-27</t>
  </si>
  <si>
    <t xml:space="preserve">Seun BNC</t>
  </si>
  <si>
    <t xml:space="preserve">201, Cheolgangsandan-ro 130beon-gil, Ocheon-eup, Nam-gu, Pohang-si, Gyeongsangbuk-do</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</si>
  <si>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포항시</t>
    </r>
    <r>
      <rPr>
        <sz val="9"/>
        <color rgb="FF000000"/>
        <rFont val="맑은 고딕"/>
        <family val="2"/>
        <charset val="128"/>
      </rPr>
      <t xml:space="preserve"> </t>
    </r>
    <r>
      <rPr>
        <sz val="9"/>
        <color rgb="FF000000"/>
        <rFont val="맑은 고딕"/>
        <family val="2"/>
        <charset val="1"/>
      </rPr>
      <t xml:space="preserve">남구</t>
    </r>
    <r>
      <rPr>
        <sz val="9"/>
        <color rgb="FF000000"/>
        <rFont val="맑은 고딕"/>
        <family val="2"/>
        <charset val="128"/>
      </rPr>
      <t xml:space="preserve"> </t>
    </r>
    <r>
      <rPr>
        <sz val="9"/>
        <color rgb="FF000000"/>
        <rFont val="맑은 고딕"/>
        <family val="2"/>
        <charset val="1"/>
      </rPr>
      <t xml:space="preserve">오천읍</t>
    </r>
    <r>
      <rPr>
        <sz val="9"/>
        <color rgb="FF000000"/>
        <rFont val="맑은 고딕"/>
        <family val="2"/>
        <charset val="128"/>
      </rPr>
      <t xml:space="preserve"> </t>
    </r>
    <r>
      <rPr>
        <sz val="9"/>
        <color rgb="FF000000"/>
        <rFont val="맑은 고딕"/>
        <family val="2"/>
        <charset val="1"/>
      </rPr>
      <t xml:space="preserve">철강산단로</t>
    </r>
    <r>
      <rPr>
        <sz val="9"/>
        <color rgb="FF000000"/>
        <rFont val="맑은 고딕"/>
        <family val="2"/>
        <charset val="128"/>
      </rPr>
      <t xml:space="preserve"> </t>
    </r>
    <r>
      <rPr>
        <sz val="9"/>
        <color rgb="FF000000"/>
        <rFont val="Calibri"/>
        <family val="2"/>
        <charset val="1"/>
      </rPr>
      <t xml:space="preserve">130</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201</t>
    </r>
  </si>
  <si>
    <t xml:space="preserve">35.957090 / 129.391365</t>
  </si>
  <si>
    <t xml:space="preserve">Under Lease (Waiting list)</t>
  </si>
  <si>
    <t xml:space="preserve">Daesong S/S, Dohak D/L 10MW</t>
  </si>
  <si>
    <t xml:space="preserve">184-20, Cheonbuksandan-ro, Cheonbuk-myeon, Gyeongju-si, Gyeongsangbuk-do</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</si>
  <si>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경주시</t>
    </r>
    <r>
      <rPr>
        <sz val="9"/>
        <color rgb="FF000000"/>
        <rFont val="맑은 고딕"/>
        <family val="2"/>
        <charset val="128"/>
      </rPr>
      <t xml:space="preserve"> </t>
    </r>
    <r>
      <rPr>
        <sz val="9"/>
        <color rgb="FF000000"/>
        <rFont val="맑은 고딕"/>
        <family val="2"/>
        <charset val="1"/>
      </rPr>
      <t xml:space="preserve">천북면</t>
    </r>
    <r>
      <rPr>
        <sz val="9"/>
        <color rgb="FF000000"/>
        <rFont val="맑은 고딕"/>
        <family val="2"/>
        <charset val="128"/>
      </rPr>
      <t xml:space="preserve"> </t>
    </r>
    <r>
      <rPr>
        <sz val="9"/>
        <color rgb="FF000000"/>
        <rFont val="맑은 고딕"/>
        <family val="2"/>
        <charset val="1"/>
      </rPr>
      <t xml:space="preserve">천북산단로</t>
    </r>
    <r>
      <rPr>
        <sz val="9"/>
        <color rgb="FF000000"/>
        <rFont val="맑은 고딕"/>
        <family val="2"/>
        <charset val="128"/>
      </rPr>
      <t xml:space="preserve"> </t>
    </r>
    <r>
      <rPr>
        <sz val="9"/>
        <color rgb="FF000000"/>
        <rFont val="Calibri"/>
        <family val="2"/>
        <charset val="1"/>
      </rPr>
      <t xml:space="preserve">184-20</t>
    </r>
  </si>
  <si>
    <t xml:space="preserve"> 35.944606 / 129.271791</t>
  </si>
  <si>
    <t xml:space="preserve">Cheonbuk SA S/S, Yangdong D/L 9MW</t>
  </si>
  <si>
    <t xml:space="preserve">Tyson Foods Korea </t>
  </si>
  <si>
    <t xml:space="preserve">258, Sandan-gil, Jeonui-myeon, Sejong</t>
  </si>
  <si>
    <r>
      <rPr>
        <sz val="9"/>
        <color rgb="FF000000"/>
        <rFont val="맑은 고딕"/>
        <family val="3"/>
        <charset val="129"/>
      </rPr>
      <t xml:space="preserve">세종특별자치시</t>
    </r>
    <r>
      <rPr>
        <sz val="9"/>
        <color rgb="FF000000"/>
        <rFont val="맑은 고딕"/>
        <family val="2"/>
        <charset val="128"/>
      </rPr>
      <t xml:space="preserve"> </t>
    </r>
    <r>
      <rPr>
        <sz val="9"/>
        <color rgb="FF000000"/>
        <rFont val="맑은 고딕"/>
        <family val="3"/>
        <charset val="129"/>
      </rPr>
      <t xml:space="preserve">전의면</t>
    </r>
    <r>
      <rPr>
        <sz val="9"/>
        <color rgb="FF000000"/>
        <rFont val="맑은 고딕"/>
        <family val="2"/>
        <charset val="128"/>
      </rPr>
      <t xml:space="preserve"> </t>
    </r>
    <r>
      <rPr>
        <sz val="9"/>
        <color rgb="FF000000"/>
        <rFont val="맑은 고딕"/>
        <family val="3"/>
        <charset val="129"/>
      </rPr>
      <t xml:space="preserve">산단길</t>
    </r>
    <r>
      <rPr>
        <sz val="9"/>
        <color rgb="FF000000"/>
        <rFont val="맑은 고딕"/>
        <family val="2"/>
        <charset val="128"/>
      </rPr>
      <t xml:space="preserve"> </t>
    </r>
    <r>
      <rPr>
        <sz val="9"/>
        <color rgb="FF000000"/>
        <rFont val="Calibri"/>
        <family val="2"/>
        <charset val="1"/>
      </rPr>
      <t xml:space="preserve">258</t>
    </r>
  </si>
  <si>
    <t xml:space="preserve">36.700583 / 127.221549</t>
  </si>
  <si>
    <t xml:space="preserve">BBB0</t>
  </si>
  <si>
    <t xml:space="preserve">Sejong</t>
  </si>
  <si>
    <t xml:space="preserve">Jeon S/S Gwanjeong D/L 6MW</t>
  </si>
  <si>
    <t xml:space="preserve">Late March - early April 2025 Date of signing the lease agreement</t>
  </si>
  <si>
    <t xml:space="preserve">238, Amsogogae-ro, Yanggam-myeon, Hwaseong-si, Gyeonggi-do</t>
  </si>
  <si>
    <r>
      <rPr>
        <sz val="9"/>
        <color rgb="FF000000"/>
        <rFont val="맑은 고딕"/>
        <family val="2"/>
        <charset val="128"/>
      </rPr>
      <t xml:space="preserve">경기도 화성시 양감면 암소고개로 </t>
    </r>
    <r>
      <rPr>
        <sz val="9"/>
        <color rgb="FF000000"/>
        <rFont val="Calibri"/>
        <family val="2"/>
        <charset val="1"/>
      </rPr>
      <t xml:space="preserve">238</t>
    </r>
  </si>
  <si>
    <t xml:space="preserve">37.077854 / 126.915375</t>
  </si>
  <si>
    <t xml:space="preserve">Guseong S/S Guhyang D/L 12MW</t>
  </si>
  <si>
    <t xml:space="preserve">Oneel </t>
  </si>
  <si>
    <t xml:space="preserve">876-5, Mangdeok-ri, Juchon-myeon, Gimhae-si, Gyeongsangnam-do</t>
  </si>
  <si>
    <r>
      <rPr>
        <sz val="9"/>
        <color rgb="FF000000"/>
        <rFont val="맑은 고딕"/>
        <family val="2"/>
        <charset val="128"/>
      </rPr>
      <t xml:space="preserve">경상남도 김해시 주촌면 망덕리 </t>
    </r>
    <r>
      <rPr>
        <sz val="9"/>
        <color rgb="FF000000"/>
        <rFont val="Calibri"/>
        <family val="2"/>
        <charset val="1"/>
      </rPr>
      <t xml:space="preserve">876-5</t>
    </r>
  </si>
  <si>
    <t xml:space="preserve">35.13768 / 128.492227</t>
  </si>
  <si>
    <t xml:space="preserve">BBB</t>
  </si>
  <si>
    <t xml:space="preserve">Joochon S/S, Hoopo D/L  12MW</t>
  </si>
  <si>
    <t xml:space="preserve">25.03.21</t>
  </si>
  <si>
    <t xml:space="preserve">BNB Composite</t>
  </si>
  <si>
    <t xml:space="preserve">82, Geomsaegil, Samnangjin-eup, Miryang-si, Gyeongsangnam-do</t>
  </si>
  <si>
    <r>
      <rPr>
        <sz val="9"/>
        <color rgb="FF000000"/>
        <rFont val="맑은 고딕"/>
        <family val="2"/>
        <charset val="129"/>
      </rPr>
      <t xml:space="preserve">경상남도</t>
    </r>
    <r>
      <rPr>
        <sz val="9"/>
        <color rgb="FF000000"/>
        <rFont val="맑은 고딕"/>
        <family val="2"/>
        <charset val="128"/>
      </rPr>
      <t xml:space="preserve"> </t>
    </r>
    <r>
      <rPr>
        <sz val="9"/>
        <color rgb="FF000000"/>
        <rFont val="맑은 고딕"/>
        <family val="2"/>
        <charset val="129"/>
      </rPr>
      <t xml:space="preserve">밀양시</t>
    </r>
    <r>
      <rPr>
        <sz val="9"/>
        <color rgb="FF000000"/>
        <rFont val="맑은 고딕"/>
        <family val="2"/>
        <charset val="128"/>
      </rPr>
      <t xml:space="preserve"> </t>
    </r>
    <r>
      <rPr>
        <sz val="9"/>
        <color rgb="FF000000"/>
        <rFont val="맑은 고딕"/>
        <family val="2"/>
        <charset val="129"/>
      </rPr>
      <t xml:space="preserve">삼랑진읍</t>
    </r>
    <r>
      <rPr>
        <sz val="9"/>
        <color rgb="FF000000"/>
        <rFont val="맑은 고딕"/>
        <family val="2"/>
        <charset val="128"/>
      </rPr>
      <t xml:space="preserve"> </t>
    </r>
    <r>
      <rPr>
        <sz val="9"/>
        <color rgb="FF000000"/>
        <rFont val="맑은 고딕"/>
        <family val="2"/>
        <charset val="129"/>
      </rPr>
      <t xml:space="preserve">검세길</t>
    </r>
    <r>
      <rPr>
        <sz val="9"/>
        <color rgb="FF000000"/>
        <rFont val="맑은 고딕"/>
        <family val="2"/>
        <charset val="128"/>
      </rPr>
      <t xml:space="preserve"> </t>
    </r>
    <r>
      <rPr>
        <sz val="9"/>
        <color rgb="FF000000"/>
        <rFont val="Calibri"/>
        <family val="2"/>
        <charset val="1"/>
      </rPr>
      <t xml:space="preserve">82</t>
    </r>
  </si>
  <si>
    <t xml:space="preserve">35.242419/ 128.51722</t>
  </si>
  <si>
    <t xml:space="preserve">Applied Apr 16</t>
  </si>
  <si>
    <t xml:space="preserve">Milyang S/S, Yongil D/L 5MW</t>
  </si>
  <si>
    <t xml:space="preserve">Sammi </t>
  </si>
  <si>
    <t xml:space="preserve">113, Bosero-ro, Dong-gu, Incheon</t>
  </si>
  <si>
    <r>
      <rPr>
        <sz val="9"/>
        <color rgb="FF000000"/>
        <rFont val="맑은 고딕"/>
        <family val="3"/>
        <charset val="129"/>
      </rPr>
      <t xml:space="preserve">인천광역시</t>
    </r>
    <r>
      <rPr>
        <sz val="9"/>
        <color rgb="FF000000"/>
        <rFont val="맑은 고딕"/>
        <family val="2"/>
        <charset val="128"/>
      </rPr>
      <t xml:space="preserve"> </t>
    </r>
    <r>
      <rPr>
        <sz val="9"/>
        <color rgb="FF000000"/>
        <rFont val="맑은 고딕"/>
        <family val="3"/>
        <charset val="129"/>
      </rPr>
      <t xml:space="preserve">동구</t>
    </r>
    <r>
      <rPr>
        <sz val="9"/>
        <color rgb="FF000000"/>
        <rFont val="맑은 고딕"/>
        <family val="2"/>
        <charset val="128"/>
      </rPr>
      <t xml:space="preserve"> </t>
    </r>
    <r>
      <rPr>
        <sz val="9"/>
        <color rgb="FF000000"/>
        <rFont val="맑은 고딕"/>
        <family val="3"/>
        <charset val="129"/>
      </rPr>
      <t xml:space="preserve">보세로</t>
    </r>
    <r>
      <rPr>
        <sz val="9"/>
        <color rgb="FF000000"/>
        <rFont val="맑은 고딕"/>
        <family val="2"/>
        <charset val="128"/>
      </rPr>
      <t xml:space="preserve"> </t>
    </r>
    <r>
      <rPr>
        <sz val="9"/>
        <color rgb="FF000000"/>
        <rFont val="Calibri"/>
        <family val="2"/>
        <charset val="1"/>
      </rPr>
      <t xml:space="preserve">113</t>
    </r>
  </si>
  <si>
    <t xml:space="preserve">37.291186/ 126,364101</t>
  </si>
  <si>
    <t xml:space="preserve">BBB-</t>
  </si>
  <si>
    <t xml:space="preserve">Incheon</t>
  </si>
  <si>
    <t xml:space="preserve">Songwol S/S, Hwasu D/L 12MW</t>
  </si>
  <si>
    <t xml:space="preserve">Kyunghan Korea 1</t>
  </si>
  <si>
    <t xml:space="preserve">424, Gongdan-ro, Seongsan-gu, Changwon-si, Gyeongsangnam-do</t>
  </si>
  <si>
    <r>
      <rPr>
        <sz val="9"/>
        <color theme="1"/>
        <rFont val="맑은 고딕"/>
        <family val="2"/>
        <charset val="128"/>
      </rPr>
      <t xml:space="preserve">경상남도 창원시 성산구 공단로 </t>
    </r>
    <r>
      <rPr>
        <sz val="9"/>
        <color theme="1"/>
        <rFont val="Calibri"/>
        <family val="2"/>
        <charset val="1"/>
      </rPr>
      <t xml:space="preserve">424</t>
    </r>
  </si>
  <si>
    <t xml:space="preserve">AAA</t>
  </si>
  <si>
    <t xml:space="preserve">Wanam S/S Banwol D/L 10MW</t>
  </si>
  <si>
    <t xml:space="preserve">Kyunghan Korea 2</t>
  </si>
  <si>
    <t xml:space="preserve">172-18, Chasang-ro, Uichang-gu, Changwon-si, Gyeongsangnam-do</t>
  </si>
  <si>
    <r>
      <rPr>
        <strike val="true"/>
        <sz val="9"/>
        <color rgb="FFC00000"/>
        <rFont val="맑은 고딕"/>
        <family val="3"/>
        <charset val="129"/>
      </rPr>
      <t xml:space="preserve">경상남도</t>
    </r>
    <r>
      <rPr>
        <strike val="true"/>
        <sz val="9"/>
        <color rgb="FFC00000"/>
        <rFont val="맑은 고딕"/>
        <family val="2"/>
        <charset val="128"/>
      </rPr>
      <t xml:space="preserve"> </t>
    </r>
    <r>
      <rPr>
        <strike val="true"/>
        <sz val="9"/>
        <color rgb="FFC00000"/>
        <rFont val="맑은 고딕"/>
        <family val="3"/>
        <charset val="129"/>
      </rPr>
      <t xml:space="preserve">창원시</t>
    </r>
    <r>
      <rPr>
        <strike val="true"/>
        <sz val="9"/>
        <color rgb="FFC00000"/>
        <rFont val="맑은 고딕"/>
        <family val="2"/>
        <charset val="128"/>
      </rPr>
      <t xml:space="preserve"> </t>
    </r>
    <r>
      <rPr>
        <strike val="true"/>
        <sz val="9"/>
        <color rgb="FFC00000"/>
        <rFont val="맑은 고딕"/>
        <family val="3"/>
        <charset val="129"/>
      </rPr>
      <t xml:space="preserve">의창구</t>
    </r>
    <r>
      <rPr>
        <strike val="true"/>
        <sz val="9"/>
        <color rgb="FFC00000"/>
        <rFont val="맑은 고딕"/>
        <family val="2"/>
        <charset val="128"/>
      </rPr>
      <t xml:space="preserve"> </t>
    </r>
    <r>
      <rPr>
        <strike val="true"/>
        <sz val="9"/>
        <color rgb="FFC00000"/>
        <rFont val="맑은 고딕"/>
        <family val="3"/>
        <charset val="129"/>
      </rPr>
      <t xml:space="preserve">차상로</t>
    </r>
    <r>
      <rPr>
        <strike val="true"/>
        <sz val="9"/>
        <color rgb="FFC00000"/>
        <rFont val="맑은 고딕"/>
        <family val="2"/>
        <charset val="128"/>
      </rPr>
      <t xml:space="preserve"> </t>
    </r>
    <r>
      <rPr>
        <strike val="true"/>
        <sz val="9"/>
        <color rgb="FFC00000"/>
        <rFont val="Calibri"/>
        <family val="2"/>
        <charset val="1"/>
      </rPr>
      <t xml:space="preserve">172-18</t>
    </r>
  </si>
  <si>
    <t xml:space="preserve">Bolt Taeyanggwang 3HO(TBD)</t>
  </si>
  <si>
    <t xml:space="preserve">Charyong S/S Dongmyeong D/L  11MW</t>
  </si>
  <si>
    <t xml:space="preserve">Yooil Rubber 1</t>
  </si>
  <si>
    <t xml:space="preserve">152, Jangan Industrial Complex-ro, Jangan-eup, Gijang-gun,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</si>
  <si>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기장군</t>
    </r>
    <r>
      <rPr>
        <sz val="9"/>
        <color rgb="FF000000"/>
        <rFont val="맑은 고딕"/>
        <family val="2"/>
        <charset val="128"/>
      </rPr>
      <t xml:space="preserve"> </t>
    </r>
    <r>
      <rPr>
        <sz val="9"/>
        <color rgb="FF000000"/>
        <rFont val="맑은 고딕"/>
        <family val="3"/>
        <charset val="129"/>
      </rPr>
      <t xml:space="preserve">장안읍</t>
    </r>
    <r>
      <rPr>
        <sz val="9"/>
        <color rgb="FF000000"/>
        <rFont val="맑은 고딕"/>
        <family val="2"/>
        <charset val="128"/>
      </rPr>
      <t xml:space="preserve"> </t>
    </r>
    <r>
      <rPr>
        <sz val="9"/>
        <color rgb="FF000000"/>
        <rFont val="맑은 고딕"/>
        <family val="3"/>
        <charset val="129"/>
      </rPr>
      <t xml:space="preserve">장안산단로</t>
    </r>
    <r>
      <rPr>
        <sz val="9"/>
        <color rgb="FF000000"/>
        <rFont val="맑은 고딕"/>
        <family val="2"/>
        <charset val="128"/>
      </rPr>
      <t xml:space="preserve"> </t>
    </r>
    <r>
      <rPr>
        <sz val="9"/>
        <color rgb="FF000000"/>
        <rFont val="Calibri"/>
        <family val="2"/>
        <charset val="1"/>
      </rPr>
      <t xml:space="preserve">152</t>
    </r>
  </si>
  <si>
    <t xml:space="preserve">Myeongnye S/S Bansan D/L 8MW</t>
  </si>
  <si>
    <t xml:space="preserve">Yooil Rubber 2</t>
  </si>
  <si>
    <t xml:space="preserve">801, Jeonggwan-ro, Jeonggwan-eup, Gijang-gun,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</si>
  <si>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기장군</t>
    </r>
    <r>
      <rPr>
        <sz val="9"/>
        <color rgb="FF000000"/>
        <rFont val="맑은 고딕"/>
        <family val="2"/>
        <charset val="128"/>
      </rPr>
      <t xml:space="preserve"> </t>
    </r>
    <r>
      <rPr>
        <sz val="9"/>
        <color rgb="FF000000"/>
        <rFont val="맑은 고딕"/>
        <family val="3"/>
        <charset val="129"/>
      </rPr>
      <t xml:space="preserve">정관읍</t>
    </r>
    <r>
      <rPr>
        <sz val="9"/>
        <color rgb="FF000000"/>
        <rFont val="맑은 고딕"/>
        <family val="2"/>
        <charset val="128"/>
      </rPr>
      <t xml:space="preserve"> </t>
    </r>
    <r>
      <rPr>
        <sz val="9"/>
        <color rgb="FF000000"/>
        <rFont val="맑은 고딕"/>
        <family val="3"/>
        <charset val="129"/>
      </rPr>
      <t xml:space="preserve">정관로</t>
    </r>
    <r>
      <rPr>
        <sz val="9"/>
        <color rgb="FF000000"/>
        <rFont val="맑은 고딕"/>
        <family val="2"/>
        <charset val="128"/>
      </rPr>
      <t xml:space="preserve"> </t>
    </r>
    <r>
      <rPr>
        <sz val="9"/>
        <color rgb="FF000000"/>
        <rFont val="Calibri"/>
        <family val="2"/>
        <charset val="1"/>
      </rPr>
      <t xml:space="preserve">801</t>
    </r>
  </si>
  <si>
    <t xml:space="preserve">Jeonggwan S/S Yuil D/L 12MW</t>
  </si>
  <si>
    <t xml:space="preserve">Doori Industry</t>
  </si>
  <si>
    <t xml:space="preserve">Gyeonggi-do, Yangju-si, Gwangjeong-myeon, Gwanggogae-ro 188beon-gil 49 (Gyeonggi-do, Yangju-si, Gwangjeong-myeon, Ganap-ri 80)</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</si>
  <si>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양주시</t>
    </r>
    <r>
      <rPr>
        <sz val="9"/>
        <color rgb="FF000000"/>
        <rFont val="맑은 고딕"/>
        <family val="2"/>
        <charset val="128"/>
      </rPr>
      <t xml:space="preserve"> </t>
    </r>
    <r>
      <rPr>
        <sz val="9"/>
        <color rgb="FF000000"/>
        <rFont val="맑은 고딕"/>
        <family val="3"/>
        <charset val="129"/>
      </rPr>
      <t xml:space="preserve">광적면</t>
    </r>
    <r>
      <rPr>
        <sz val="9"/>
        <color rgb="FF000000"/>
        <rFont val="맑은 고딕"/>
        <family val="2"/>
        <charset val="128"/>
      </rPr>
      <t xml:space="preserve"> </t>
    </r>
    <r>
      <rPr>
        <sz val="9"/>
        <color rgb="FF000000"/>
        <rFont val="맑은 고딕"/>
        <family val="3"/>
        <charset val="129"/>
      </rPr>
      <t xml:space="preserve">그루고개로</t>
    </r>
    <r>
      <rPr>
        <sz val="9"/>
        <color rgb="FF000000"/>
        <rFont val="맑은 고딕"/>
        <family val="2"/>
        <charset val="128"/>
      </rPr>
      <t xml:space="preserve"> </t>
    </r>
    <r>
      <rPr>
        <sz val="9"/>
        <color rgb="FF000000"/>
        <rFont val="Calibri"/>
        <family val="2"/>
        <charset val="1"/>
      </rPr>
      <t xml:space="preserve">188</t>
    </r>
    <r>
      <rPr>
        <sz val="9"/>
        <color rgb="FF000000"/>
        <rFont val="맑은 고딕"/>
        <family val="3"/>
        <charset val="129"/>
      </rPr>
      <t xml:space="preserve">번길</t>
    </r>
    <r>
      <rPr>
        <sz val="9"/>
        <color rgb="FF000000"/>
        <rFont val="맑은 고딕"/>
        <family val="2"/>
        <charset val="128"/>
      </rPr>
      <t xml:space="preserve"> </t>
    </r>
    <r>
      <rPr>
        <sz val="9"/>
        <color rgb="FF000000"/>
        <rFont val="Calibri"/>
        <family val="2"/>
        <charset val="1"/>
      </rPr>
      <t xml:space="preserve">49(</t>
    </r>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양주시</t>
    </r>
    <r>
      <rPr>
        <sz val="9"/>
        <color rgb="FF000000"/>
        <rFont val="맑은 고딕"/>
        <family val="2"/>
        <charset val="128"/>
      </rPr>
      <t xml:space="preserve"> </t>
    </r>
    <r>
      <rPr>
        <sz val="9"/>
        <color rgb="FF000000"/>
        <rFont val="맑은 고딕"/>
        <family val="3"/>
        <charset val="129"/>
      </rPr>
      <t xml:space="preserve">광적면</t>
    </r>
    <r>
      <rPr>
        <sz val="9"/>
        <color rgb="FF000000"/>
        <rFont val="맑은 고딕"/>
        <family val="2"/>
        <charset val="128"/>
      </rPr>
      <t xml:space="preserve"> </t>
    </r>
    <r>
      <rPr>
        <sz val="9"/>
        <color rgb="FF000000"/>
        <rFont val="맑은 고딕"/>
        <family val="3"/>
        <charset val="129"/>
      </rPr>
      <t xml:space="preserve">가납리</t>
    </r>
    <r>
      <rPr>
        <sz val="9"/>
        <color rgb="FF000000"/>
        <rFont val="맑은 고딕"/>
        <family val="2"/>
        <charset val="128"/>
      </rPr>
      <t xml:space="preserve"> </t>
    </r>
    <r>
      <rPr>
        <sz val="9"/>
        <color rgb="FF000000"/>
        <rFont val="Calibri"/>
        <family val="2"/>
        <charset val="1"/>
      </rPr>
      <t xml:space="preserve">80)</t>
    </r>
  </si>
  <si>
    <t xml:space="preserve">37.494289 / 127.0617</t>
  </si>
  <si>
    <t xml:space="preserve">Baekseok SS, GwangSeong D/L 11MW</t>
  </si>
  <si>
    <t xml:space="preserve">Gyeongju Hyosung Energy farm</t>
  </si>
  <si>
    <t xml:space="preserve">295-6, Cheongang-ro, Cheonbuk-myeon, Gyeongju-si (803-8, Hwasang-ri, Cheonbuk-myeon, Gyeongju-si)</t>
  </si>
  <si>
    <r>
      <rPr>
        <sz val="9"/>
        <color rgb="FF000000"/>
        <rFont val="맑은 고딕"/>
        <family val="3"/>
        <charset val="129"/>
      </rPr>
      <t xml:space="preserve">경북</t>
    </r>
    <r>
      <rPr>
        <sz val="9"/>
        <color rgb="FF000000"/>
        <rFont val="맑은 고딕"/>
        <family val="2"/>
        <charset val="128"/>
      </rPr>
      <t xml:space="preserve"> </t>
    </r>
    <r>
      <rPr>
        <sz val="9"/>
        <color rgb="FF000000"/>
        <rFont val="맑은 고딕"/>
        <family val="3"/>
        <charset val="129"/>
      </rPr>
      <t xml:space="preserve">경주시</t>
    </r>
    <r>
      <rPr>
        <sz val="9"/>
        <color rgb="FF000000"/>
        <rFont val="맑은 고딕"/>
        <family val="2"/>
        <charset val="128"/>
      </rPr>
      <t xml:space="preserve"> </t>
    </r>
    <r>
      <rPr>
        <sz val="9"/>
        <color rgb="FF000000"/>
        <rFont val="맑은 고딕"/>
        <family val="3"/>
        <charset val="129"/>
      </rPr>
      <t xml:space="preserve">천북면</t>
    </r>
    <r>
      <rPr>
        <sz val="9"/>
        <color rgb="FF000000"/>
        <rFont val="맑은 고딕"/>
        <family val="2"/>
        <charset val="128"/>
      </rPr>
      <t xml:space="preserve"> </t>
    </r>
    <r>
      <rPr>
        <sz val="9"/>
        <color rgb="FF000000"/>
        <rFont val="맑은 고딕"/>
        <family val="3"/>
        <charset val="129"/>
      </rPr>
      <t xml:space="preserve">천강로</t>
    </r>
    <r>
      <rPr>
        <sz val="9"/>
        <color rgb="FF000000"/>
        <rFont val="맑은 고딕"/>
        <family val="2"/>
        <charset val="128"/>
      </rPr>
      <t xml:space="preserve"> </t>
    </r>
    <r>
      <rPr>
        <sz val="9"/>
        <color rgb="FF000000"/>
        <rFont val="Calibri"/>
        <family val="2"/>
        <charset val="1"/>
      </rPr>
      <t xml:space="preserve">295-6(</t>
    </r>
    <r>
      <rPr>
        <sz val="9"/>
        <color rgb="FF000000"/>
        <rFont val="맑은 고딕"/>
        <family val="3"/>
        <charset val="129"/>
      </rPr>
      <t xml:space="preserve">경주시</t>
    </r>
    <r>
      <rPr>
        <sz val="9"/>
        <color rgb="FF000000"/>
        <rFont val="맑은 고딕"/>
        <family val="2"/>
        <charset val="128"/>
      </rPr>
      <t xml:space="preserve"> </t>
    </r>
    <r>
      <rPr>
        <sz val="9"/>
        <color rgb="FF000000"/>
        <rFont val="맑은 고딕"/>
        <family val="3"/>
        <charset val="129"/>
      </rPr>
      <t xml:space="preserve">천북면</t>
    </r>
    <r>
      <rPr>
        <sz val="9"/>
        <color rgb="FF000000"/>
        <rFont val="맑은 고딕"/>
        <family val="2"/>
        <charset val="128"/>
      </rPr>
      <t xml:space="preserve"> </t>
    </r>
    <r>
      <rPr>
        <sz val="9"/>
        <color rgb="FF000000"/>
        <rFont val="맑은 고딕"/>
        <family val="3"/>
        <charset val="129"/>
      </rPr>
      <t xml:space="preserve">화산리</t>
    </r>
    <r>
      <rPr>
        <sz val="9"/>
        <color rgb="FF000000"/>
        <rFont val="맑은 고딕"/>
        <family val="2"/>
        <charset val="128"/>
      </rPr>
      <t xml:space="preserve"> </t>
    </r>
    <r>
      <rPr>
        <sz val="9"/>
        <color rgb="FF000000"/>
        <rFont val="Calibri"/>
        <family val="2"/>
        <charset val="1"/>
      </rPr>
      <t xml:space="preserve">803-8)</t>
    </r>
  </si>
  <si>
    <t xml:space="preserve">35.545396 / 129.17425</t>
  </si>
  <si>
    <t xml:space="preserve">Cheonbuk SA S/S, Gukdang D/L 9MW</t>
  </si>
  <si>
    <t xml:space="preserve">Early April 2025 Date of signing the lease agreement</t>
  </si>
  <si>
    <t xml:space="preserve">Kojimom Bio</t>
  </si>
  <si>
    <t xml:space="preserve">288, Seongbonsandan 2-ro, Daeso-myeon, Eumseong-gun, Chungcheongbuk-gun (1038, Seongbon-ri, Daeso-myeon, Eumseong-gun)</t>
  </si>
  <si>
    <r>
      <rPr>
        <sz val="9"/>
        <color rgb="FF000000"/>
        <rFont val="맑은 고딕"/>
        <family val="3"/>
        <charset val="129"/>
      </rPr>
      <t xml:space="preserve">충북</t>
    </r>
    <r>
      <rPr>
        <sz val="9"/>
        <color rgb="FF000000"/>
        <rFont val="맑은 고딕"/>
        <family val="2"/>
        <charset val="128"/>
      </rPr>
      <t xml:space="preserve"> </t>
    </r>
    <r>
      <rPr>
        <sz val="9"/>
        <color rgb="FF000000"/>
        <rFont val="맑은 고딕"/>
        <family val="3"/>
        <charset val="129"/>
      </rPr>
      <t xml:space="preserve">음성군</t>
    </r>
    <r>
      <rPr>
        <sz val="9"/>
        <color rgb="FF000000"/>
        <rFont val="맑은 고딕"/>
        <family val="2"/>
        <charset val="128"/>
      </rPr>
      <t xml:space="preserve"> </t>
    </r>
    <r>
      <rPr>
        <sz val="9"/>
        <color rgb="FF000000"/>
        <rFont val="맑은 고딕"/>
        <family val="3"/>
        <charset val="129"/>
      </rPr>
      <t xml:space="preserve">대소면</t>
    </r>
    <r>
      <rPr>
        <sz val="9"/>
        <color rgb="FF000000"/>
        <rFont val="맑은 고딕"/>
        <family val="2"/>
        <charset val="128"/>
      </rPr>
      <t xml:space="preserve"> </t>
    </r>
    <r>
      <rPr>
        <sz val="9"/>
        <color rgb="FF000000"/>
        <rFont val="맑은 고딕"/>
        <family val="3"/>
        <charset val="129"/>
      </rPr>
      <t xml:space="preserve">성본산단</t>
    </r>
    <r>
      <rPr>
        <sz val="9"/>
        <color rgb="FF000000"/>
        <rFont val="Calibri"/>
        <family val="2"/>
        <charset val="1"/>
      </rPr>
      <t xml:space="preserve">2</t>
    </r>
    <r>
      <rPr>
        <sz val="9"/>
        <color rgb="FF000000"/>
        <rFont val="맑은 고딕"/>
        <family val="3"/>
        <charset val="129"/>
      </rPr>
      <t xml:space="preserve">로</t>
    </r>
    <r>
      <rPr>
        <sz val="9"/>
        <color rgb="FF000000"/>
        <rFont val="맑은 고딕"/>
        <family val="2"/>
        <charset val="128"/>
      </rPr>
      <t xml:space="preserve"> </t>
    </r>
    <r>
      <rPr>
        <sz val="9"/>
        <color rgb="FF000000"/>
        <rFont val="Calibri"/>
        <family val="2"/>
        <charset val="1"/>
      </rPr>
      <t xml:space="preserve">288 (</t>
    </r>
    <r>
      <rPr>
        <sz val="9"/>
        <color rgb="FF000000"/>
        <rFont val="맑은 고딕"/>
        <family val="3"/>
        <charset val="129"/>
      </rPr>
      <t xml:space="preserve">음성군</t>
    </r>
    <r>
      <rPr>
        <sz val="9"/>
        <color rgb="FF000000"/>
        <rFont val="맑은 고딕"/>
        <family val="2"/>
        <charset val="128"/>
      </rPr>
      <t xml:space="preserve"> </t>
    </r>
    <r>
      <rPr>
        <sz val="9"/>
        <color rgb="FF000000"/>
        <rFont val="맑은 고딕"/>
        <family val="3"/>
        <charset val="129"/>
      </rPr>
      <t xml:space="preserve">대소면</t>
    </r>
    <r>
      <rPr>
        <sz val="9"/>
        <color rgb="FF000000"/>
        <rFont val="맑은 고딕"/>
        <family val="2"/>
        <charset val="128"/>
      </rPr>
      <t xml:space="preserve"> </t>
    </r>
    <r>
      <rPr>
        <sz val="9"/>
        <color rgb="FF000000"/>
        <rFont val="맑은 고딕"/>
        <family val="3"/>
        <charset val="129"/>
      </rPr>
      <t xml:space="preserve">성본리</t>
    </r>
    <r>
      <rPr>
        <sz val="9"/>
        <color rgb="FF000000"/>
        <rFont val="맑은 고딕"/>
        <family val="2"/>
        <charset val="128"/>
      </rPr>
      <t xml:space="preserve"> </t>
    </r>
    <r>
      <rPr>
        <sz val="9"/>
        <color rgb="FF000000"/>
        <rFont val="Calibri"/>
        <family val="2"/>
        <charset val="1"/>
      </rPr>
      <t xml:space="preserve">1038)</t>
    </r>
  </si>
  <si>
    <t xml:space="preserve">36.574152 / 127.315020</t>
  </si>
  <si>
    <t xml:space="preserve">SouthEumseong S/S, Daeguem D/L 8MW</t>
  </si>
  <si>
    <t xml:space="preserve">Dongshin Motek</t>
  </si>
  <si>
    <t xml:space="preserve">34, Seo-ro 179beon-gil, Jinyeong-eup, Gimhae-si, Gyeongsangnam-do (22-2, Jukgok-ri, Jinyeong-eup, Gimhae-si, Gyeongsangnam-do)</t>
  </si>
  <si>
    <r>
      <rPr>
        <sz val="9"/>
        <color rgb="FF000000"/>
        <rFont val="맑은 고딕"/>
        <family val="3"/>
        <charset val="129"/>
      </rPr>
      <t xml:space="preserve">경남</t>
    </r>
    <r>
      <rPr>
        <sz val="9"/>
        <color rgb="FF000000"/>
        <rFont val="맑은 고딕"/>
        <family val="2"/>
        <charset val="1"/>
      </rPr>
      <t xml:space="preserve"> </t>
    </r>
    <r>
      <rPr>
        <sz val="9"/>
        <color rgb="FF000000"/>
        <rFont val="맑은 고딕"/>
        <family val="3"/>
        <charset val="129"/>
      </rPr>
      <t xml:space="preserve">김해시</t>
    </r>
    <r>
      <rPr>
        <sz val="9"/>
        <color rgb="FF000000"/>
        <rFont val="맑은 고딕"/>
        <family val="2"/>
        <charset val="1"/>
      </rPr>
      <t xml:space="preserve"> </t>
    </r>
    <r>
      <rPr>
        <sz val="9"/>
        <color rgb="FF000000"/>
        <rFont val="맑은 고딕"/>
        <family val="3"/>
        <charset val="129"/>
      </rPr>
      <t xml:space="preserve">진영읍</t>
    </r>
    <r>
      <rPr>
        <sz val="9"/>
        <color rgb="FF000000"/>
        <rFont val="맑은 고딕"/>
        <family val="2"/>
        <charset val="1"/>
      </rPr>
      <t xml:space="preserve"> </t>
    </r>
    <r>
      <rPr>
        <sz val="9"/>
        <color rgb="FF000000"/>
        <rFont val="맑은 고딕"/>
        <family val="3"/>
        <charset val="129"/>
      </rPr>
      <t xml:space="preserve">서부로</t>
    </r>
    <r>
      <rPr>
        <sz val="9"/>
        <color rgb="FF000000"/>
        <rFont val="맑은 고딕"/>
        <family val="2"/>
        <charset val="1"/>
      </rPr>
      <t xml:space="preserve"> </t>
    </r>
    <r>
      <rPr>
        <sz val="9"/>
        <color rgb="FF000000"/>
        <rFont val="Calibri"/>
        <family val="2"/>
        <charset val="1"/>
      </rPr>
      <t xml:space="preserve">179</t>
    </r>
    <r>
      <rPr>
        <sz val="9"/>
        <color rgb="FF000000"/>
        <rFont val="맑은 고딕"/>
        <family val="3"/>
        <charset val="129"/>
      </rPr>
      <t xml:space="preserve">번길</t>
    </r>
    <r>
      <rPr>
        <sz val="9"/>
        <color rgb="FF000000"/>
        <rFont val="맑은 고딕"/>
        <family val="2"/>
        <charset val="1"/>
      </rPr>
      <t xml:space="preserve"> </t>
    </r>
    <r>
      <rPr>
        <sz val="9"/>
        <color rgb="FF000000"/>
        <rFont val="Calibri"/>
        <family val="2"/>
        <charset val="1"/>
      </rPr>
      <t xml:space="preserve">34 (</t>
    </r>
    <r>
      <rPr>
        <sz val="9"/>
        <color rgb="FF000000"/>
        <rFont val="맑은 고딕"/>
        <family val="3"/>
        <charset val="129"/>
      </rPr>
      <t xml:space="preserve">경남</t>
    </r>
    <r>
      <rPr>
        <sz val="9"/>
        <color rgb="FF000000"/>
        <rFont val="맑은 고딕"/>
        <family val="2"/>
        <charset val="1"/>
      </rPr>
      <t xml:space="preserve"> </t>
    </r>
    <r>
      <rPr>
        <sz val="9"/>
        <color rgb="FF000000"/>
        <rFont val="맑은 고딕"/>
        <family val="3"/>
        <charset val="129"/>
      </rPr>
      <t xml:space="preserve">김해시</t>
    </r>
    <r>
      <rPr>
        <sz val="9"/>
        <color rgb="FF000000"/>
        <rFont val="맑은 고딕"/>
        <family val="2"/>
        <charset val="1"/>
      </rPr>
      <t xml:space="preserve"> </t>
    </r>
    <r>
      <rPr>
        <sz val="9"/>
        <color rgb="FF000000"/>
        <rFont val="맑은 고딕"/>
        <family val="3"/>
        <charset val="129"/>
      </rPr>
      <t xml:space="preserve">진영읍</t>
    </r>
    <r>
      <rPr>
        <sz val="9"/>
        <color rgb="FF000000"/>
        <rFont val="맑은 고딕"/>
        <family val="2"/>
        <charset val="1"/>
      </rPr>
      <t xml:space="preserve"> </t>
    </r>
    <r>
      <rPr>
        <sz val="9"/>
        <color rgb="FF000000"/>
        <rFont val="맑은 고딕"/>
        <family val="3"/>
        <charset val="129"/>
      </rPr>
      <t xml:space="preserve">죽곡리</t>
    </r>
    <r>
      <rPr>
        <sz val="9"/>
        <color rgb="FF000000"/>
        <rFont val="맑은 고딕"/>
        <family val="2"/>
        <charset val="1"/>
      </rPr>
      <t xml:space="preserve"> </t>
    </r>
    <r>
      <rPr>
        <sz val="9"/>
        <color rgb="FF000000"/>
        <rFont val="Calibri"/>
        <family val="2"/>
        <charset val="1"/>
      </rPr>
      <t xml:space="preserve">22-2) </t>
    </r>
  </si>
  <si>
    <t xml:space="preserve">35.17134 / 128.461570</t>
  </si>
  <si>
    <t xml:space="preserve">TBD</t>
  </si>
  <si>
    <t xml:space="preserve">Jinyoung S/S, Yangsu D/L 11MW</t>
  </si>
  <si>
    <t xml:space="preserve">Late April 2025 Date of signing the lease agreement</t>
  </si>
  <si>
    <t xml:space="preserve">Vega</t>
  </si>
  <si>
    <t xml:space="preserve">51-9, Bonggi 1-gil, Punggak-myeon, Cheongdo-gun, Gyeongbuk (1126, Bonggiri, Punggak-myeon, Cheongdo-gun, Gyeongbuk Province)</t>
  </si>
  <si>
    <r>
      <rPr>
        <sz val="9"/>
        <color rgb="FF000000"/>
        <rFont val="맑은 고딕"/>
        <family val="3"/>
        <charset val="129"/>
      </rPr>
      <t xml:space="preserve">경북</t>
    </r>
    <r>
      <rPr>
        <sz val="9"/>
        <color rgb="FF000000"/>
        <rFont val="맑은 고딕"/>
        <family val="2"/>
        <charset val="128"/>
      </rPr>
      <t xml:space="preserve"> </t>
    </r>
    <r>
      <rPr>
        <sz val="9"/>
        <color rgb="FF000000"/>
        <rFont val="맑은 고딕"/>
        <family val="3"/>
        <charset val="129"/>
      </rPr>
      <t xml:space="preserve">청도군</t>
    </r>
    <r>
      <rPr>
        <sz val="9"/>
        <color rgb="FF000000"/>
        <rFont val="맑은 고딕"/>
        <family val="2"/>
        <charset val="128"/>
      </rPr>
      <t xml:space="preserve"> </t>
    </r>
    <r>
      <rPr>
        <sz val="9"/>
        <color rgb="FF000000"/>
        <rFont val="맑은 고딕"/>
        <family val="3"/>
        <charset val="129"/>
      </rPr>
      <t xml:space="preserve">풍각면</t>
    </r>
    <r>
      <rPr>
        <sz val="9"/>
        <color rgb="FF000000"/>
        <rFont val="맑은 고딕"/>
        <family val="2"/>
        <charset val="128"/>
      </rPr>
      <t xml:space="preserve"> </t>
    </r>
    <r>
      <rPr>
        <sz val="9"/>
        <color rgb="FF000000"/>
        <rFont val="맑은 고딕"/>
        <family val="3"/>
        <charset val="129"/>
      </rPr>
      <t xml:space="preserve">봉기</t>
    </r>
    <r>
      <rPr>
        <sz val="9"/>
        <color rgb="FF000000"/>
        <rFont val="Calibri"/>
        <family val="2"/>
        <charset val="1"/>
      </rPr>
      <t xml:space="preserve">1</t>
    </r>
    <r>
      <rPr>
        <sz val="9"/>
        <color rgb="FF000000"/>
        <rFont val="맑은 고딕"/>
        <family val="3"/>
        <charset val="129"/>
      </rPr>
      <t xml:space="preserve">길</t>
    </r>
    <r>
      <rPr>
        <sz val="9"/>
        <color rgb="FF000000"/>
        <rFont val="맑은 고딕"/>
        <family val="2"/>
        <charset val="128"/>
      </rPr>
      <t xml:space="preserve"> </t>
    </r>
    <r>
      <rPr>
        <sz val="9"/>
        <color rgb="FF000000"/>
        <rFont val="Calibri"/>
        <family val="2"/>
        <charset val="1"/>
      </rPr>
      <t xml:space="preserve">51-9 (</t>
    </r>
    <r>
      <rPr>
        <sz val="9"/>
        <color rgb="FF000000"/>
        <rFont val="맑은 고딕"/>
        <family val="3"/>
        <charset val="129"/>
      </rPr>
      <t xml:space="preserve">경북</t>
    </r>
    <r>
      <rPr>
        <sz val="9"/>
        <color rgb="FF000000"/>
        <rFont val="맑은 고딕"/>
        <family val="2"/>
        <charset val="128"/>
      </rPr>
      <t xml:space="preserve"> </t>
    </r>
    <r>
      <rPr>
        <sz val="9"/>
        <color rgb="FF000000"/>
        <rFont val="맑은 고딕"/>
        <family val="3"/>
        <charset val="129"/>
      </rPr>
      <t xml:space="preserve">청도군</t>
    </r>
    <r>
      <rPr>
        <sz val="9"/>
        <color rgb="FF000000"/>
        <rFont val="맑은 고딕"/>
        <family val="2"/>
        <charset val="128"/>
      </rPr>
      <t xml:space="preserve"> </t>
    </r>
    <r>
      <rPr>
        <sz val="9"/>
        <color rgb="FF000000"/>
        <rFont val="맑은 고딕"/>
        <family val="3"/>
        <charset val="129"/>
      </rPr>
      <t xml:space="preserve">풍각면</t>
    </r>
    <r>
      <rPr>
        <sz val="9"/>
        <color rgb="FF000000"/>
        <rFont val="맑은 고딕"/>
        <family val="2"/>
        <charset val="128"/>
      </rPr>
      <t xml:space="preserve"> </t>
    </r>
    <r>
      <rPr>
        <sz val="9"/>
        <color rgb="FF000000"/>
        <rFont val="맑은 고딕"/>
        <family val="3"/>
        <charset val="129"/>
      </rPr>
      <t xml:space="preserve">봉기리</t>
    </r>
    <r>
      <rPr>
        <sz val="9"/>
        <color rgb="FF000000"/>
        <rFont val="맑은 고딕"/>
        <family val="2"/>
        <charset val="128"/>
      </rPr>
      <t xml:space="preserve"> </t>
    </r>
    <r>
      <rPr>
        <sz val="9"/>
        <color rgb="FF000000"/>
        <rFont val="Calibri"/>
        <family val="2"/>
        <charset val="1"/>
      </rPr>
      <t xml:space="preserve">1126) </t>
    </r>
  </si>
  <si>
    <t xml:space="preserve">35.381079 / 128.36622</t>
  </si>
  <si>
    <t xml:space="preserve">CCC+</t>
  </si>
  <si>
    <t xml:space="preserve">Cheondo S/S, Poonggak D/L 11MW</t>
  </si>
  <si>
    <t xml:space="preserve">In April 2025 Date of signing the lease agreement</t>
  </si>
  <si>
    <t xml:space="preserve">Korea Kospack</t>
  </si>
  <si>
    <t xml:space="preserve">37, Jeongjung 3-gil, Osong-eup, Heungdeok-gu, Cheongju-si, Chungbuk (718, Jeongjung-ri, Osong-eup, Heungdeok-gu, Cheongju-si, Chungcheongbuk-do)</t>
  </si>
  <si>
    <r>
      <rPr>
        <sz val="9"/>
        <color rgb="FF000000"/>
        <rFont val="맑은 고딕"/>
        <family val="3"/>
        <charset val="129"/>
      </rPr>
      <t xml:space="preserve">충북</t>
    </r>
    <r>
      <rPr>
        <sz val="9"/>
        <color rgb="FF000000"/>
        <rFont val="맑은 고딕"/>
        <family val="2"/>
        <charset val="128"/>
      </rPr>
      <t xml:space="preserve"> </t>
    </r>
    <r>
      <rPr>
        <sz val="9"/>
        <color rgb="FF000000"/>
        <rFont val="맑은 고딕"/>
        <family val="3"/>
        <charset val="129"/>
      </rPr>
      <t xml:space="preserve">청주시</t>
    </r>
    <r>
      <rPr>
        <sz val="9"/>
        <color rgb="FF000000"/>
        <rFont val="맑은 고딕"/>
        <family val="2"/>
        <charset val="128"/>
      </rPr>
      <t xml:space="preserve"> </t>
    </r>
    <r>
      <rPr>
        <sz val="9"/>
        <color rgb="FF000000"/>
        <rFont val="맑은 고딕"/>
        <family val="3"/>
        <charset val="129"/>
      </rPr>
      <t xml:space="preserve">흥덕구</t>
    </r>
    <r>
      <rPr>
        <sz val="9"/>
        <color rgb="FF000000"/>
        <rFont val="맑은 고딕"/>
        <family val="2"/>
        <charset val="128"/>
      </rPr>
      <t xml:space="preserve"> </t>
    </r>
    <r>
      <rPr>
        <sz val="9"/>
        <color rgb="FF000000"/>
        <rFont val="맑은 고딕"/>
        <family val="3"/>
        <charset val="129"/>
      </rPr>
      <t xml:space="preserve">오송읍</t>
    </r>
    <r>
      <rPr>
        <sz val="9"/>
        <color rgb="FF000000"/>
        <rFont val="맑은 고딕"/>
        <family val="2"/>
        <charset val="128"/>
      </rPr>
      <t xml:space="preserve"> </t>
    </r>
    <r>
      <rPr>
        <sz val="9"/>
        <color rgb="FF000000"/>
        <rFont val="맑은 고딕"/>
        <family val="3"/>
        <charset val="129"/>
      </rPr>
      <t xml:space="preserve">정중</t>
    </r>
    <r>
      <rPr>
        <sz val="9"/>
        <color rgb="FF000000"/>
        <rFont val="Calibri"/>
        <family val="2"/>
        <charset val="1"/>
      </rPr>
      <t xml:space="preserve">3</t>
    </r>
    <r>
      <rPr>
        <sz val="9"/>
        <color rgb="FF000000"/>
        <rFont val="맑은 고딕"/>
        <family val="3"/>
        <charset val="129"/>
      </rPr>
      <t xml:space="preserve">길</t>
    </r>
    <r>
      <rPr>
        <sz val="9"/>
        <color rgb="FF000000"/>
        <rFont val="맑은 고딕"/>
        <family val="2"/>
        <charset val="128"/>
      </rPr>
      <t xml:space="preserve"> </t>
    </r>
    <r>
      <rPr>
        <sz val="9"/>
        <color rgb="FF000000"/>
        <rFont val="Calibri"/>
        <family val="2"/>
        <charset val="1"/>
      </rPr>
      <t xml:space="preserve">37 (</t>
    </r>
    <r>
      <rPr>
        <sz val="9"/>
        <color rgb="FF000000"/>
        <rFont val="맑은 고딕"/>
        <family val="3"/>
        <charset val="129"/>
      </rPr>
      <t xml:space="preserve">충북</t>
    </r>
    <r>
      <rPr>
        <sz val="9"/>
        <color rgb="FF000000"/>
        <rFont val="맑은 고딕"/>
        <family val="2"/>
        <charset val="128"/>
      </rPr>
      <t xml:space="preserve"> </t>
    </r>
    <r>
      <rPr>
        <sz val="9"/>
        <color rgb="FF000000"/>
        <rFont val="맑은 고딕"/>
        <family val="3"/>
        <charset val="129"/>
      </rPr>
      <t xml:space="preserve">청주시</t>
    </r>
    <r>
      <rPr>
        <sz val="9"/>
        <color rgb="FF000000"/>
        <rFont val="맑은 고딕"/>
        <family val="2"/>
        <charset val="128"/>
      </rPr>
      <t xml:space="preserve"> </t>
    </r>
    <r>
      <rPr>
        <sz val="9"/>
        <color rgb="FF000000"/>
        <rFont val="맑은 고딕"/>
        <family val="3"/>
        <charset val="129"/>
      </rPr>
      <t xml:space="preserve">흥덕구</t>
    </r>
    <r>
      <rPr>
        <sz val="9"/>
        <color rgb="FF000000"/>
        <rFont val="맑은 고딕"/>
        <family val="2"/>
        <charset val="128"/>
      </rPr>
      <t xml:space="preserve"> </t>
    </r>
    <r>
      <rPr>
        <sz val="9"/>
        <color rgb="FF000000"/>
        <rFont val="맑은 고딕"/>
        <family val="3"/>
        <charset val="129"/>
      </rPr>
      <t xml:space="preserve">오송읍</t>
    </r>
    <r>
      <rPr>
        <sz val="9"/>
        <color rgb="FF000000"/>
        <rFont val="맑은 고딕"/>
        <family val="2"/>
        <charset val="128"/>
      </rPr>
      <t xml:space="preserve"> </t>
    </r>
    <r>
      <rPr>
        <sz val="9"/>
        <color rgb="FF000000"/>
        <rFont val="맑은 고딕"/>
        <family val="3"/>
        <charset val="129"/>
      </rPr>
      <t xml:space="preserve">정중리</t>
    </r>
    <r>
      <rPr>
        <sz val="9"/>
        <color rgb="FF000000"/>
        <rFont val="맑은 고딕"/>
        <family val="2"/>
        <charset val="128"/>
      </rPr>
      <t xml:space="preserve"> </t>
    </r>
    <r>
      <rPr>
        <sz val="9"/>
        <color rgb="FF000000"/>
        <rFont val="Calibri"/>
        <family val="2"/>
        <charset val="1"/>
      </rPr>
      <t xml:space="preserve">718) </t>
    </r>
  </si>
  <si>
    <t xml:space="preserve">37391285/ 126.33627</t>
  </si>
  <si>
    <t xml:space="preserve">Osong S/S, Jeongjoong D/L 12MW</t>
  </si>
  <si>
    <t xml:space="preserve">Mid April 2025 Date of signing the lease agreement</t>
  </si>
  <si>
    <t xml:space="preserve">Pungcheon Im clan</t>
  </si>
  <si>
    <t xml:space="preserve">95, Daegot-ro, Gimpo-si, Gyeonggi-do (221-3, Daemyung-ri, Daegot-myeon, Gimpo-si, Gyeonggi-do)</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</si>
  <si>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김포시</t>
    </r>
    <r>
      <rPr>
        <sz val="9"/>
        <color rgb="FF000000"/>
        <rFont val="맑은 고딕"/>
        <family val="2"/>
        <charset val="128"/>
      </rPr>
      <t xml:space="preserve"> </t>
    </r>
    <r>
      <rPr>
        <sz val="9"/>
        <color rgb="FF000000"/>
        <rFont val="맑은 고딕"/>
        <family val="3"/>
        <charset val="129"/>
      </rPr>
      <t xml:space="preserve">대곶로</t>
    </r>
    <r>
      <rPr>
        <sz val="9"/>
        <color rgb="FF000000"/>
        <rFont val="맑은 고딕"/>
        <family val="2"/>
        <charset val="128"/>
      </rPr>
      <t xml:space="preserve"> </t>
    </r>
    <r>
      <rPr>
        <sz val="9"/>
        <color rgb="FF000000"/>
        <rFont val="Calibri"/>
        <family val="2"/>
        <charset val="1"/>
      </rPr>
      <t xml:space="preserve">95 (</t>
    </r>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김포시</t>
    </r>
    <r>
      <rPr>
        <sz val="9"/>
        <color rgb="FF000000"/>
        <rFont val="맑은 고딕"/>
        <family val="2"/>
        <charset val="128"/>
      </rPr>
      <t xml:space="preserve"> </t>
    </r>
    <r>
      <rPr>
        <sz val="9"/>
        <color rgb="FF000000"/>
        <rFont val="맑은 고딕"/>
        <family val="3"/>
        <charset val="129"/>
      </rPr>
      <t xml:space="preserve">대곶면</t>
    </r>
    <r>
      <rPr>
        <sz val="9"/>
        <color rgb="FF000000"/>
        <rFont val="맑은 고딕"/>
        <family val="2"/>
        <charset val="128"/>
      </rPr>
      <t xml:space="preserve"> </t>
    </r>
    <r>
      <rPr>
        <sz val="9"/>
        <color rgb="FF000000"/>
        <rFont val="맑은 고딕"/>
        <family val="3"/>
        <charset val="129"/>
      </rPr>
      <t xml:space="preserve">대명리</t>
    </r>
    <r>
      <rPr>
        <sz val="9"/>
        <color rgb="FF000000"/>
        <rFont val="맑은 고딕"/>
        <family val="2"/>
        <charset val="128"/>
      </rPr>
      <t xml:space="preserve"> </t>
    </r>
    <r>
      <rPr>
        <sz val="9"/>
        <color rgb="FF000000"/>
        <rFont val="Calibri"/>
        <family val="2"/>
        <charset val="1"/>
      </rPr>
      <t xml:space="preserve">221-3) </t>
    </r>
  </si>
  <si>
    <t xml:space="preserve">37.391285 / 126.33627</t>
  </si>
  <si>
    <t xml:space="preserve">Tongjin S/S, Sooan D/L 10MW</t>
  </si>
  <si>
    <t xml:space="preserve">The board meeting of the family association is scheduled for the end of May, and the lease agreement will be finalized after the meeting.</t>
  </si>
  <si>
    <t xml:space="preserve">"T. Batch 1 &amp; 2"</t>
  </si>
  <si>
    <t xml:space="preserve">Guemjeong Techno</t>
  </si>
  <si>
    <t xml:space="preserve">Gyeonggi-do, Hwaseong-si, Paltan-myeon, Budlo 1362beon-gil 53-5</t>
  </si>
  <si>
    <r>
      <rPr>
        <sz val="9"/>
        <color rgb="FF000000"/>
        <rFont val="맑은 고딕"/>
        <family val="2"/>
        <charset val="128"/>
      </rPr>
      <t xml:space="preserve">경기도 화성시 팔탄면 버들로</t>
    </r>
    <r>
      <rPr>
        <sz val="9"/>
        <color rgb="FF000000"/>
        <rFont val="Calibri"/>
        <family val="2"/>
        <charset val="1"/>
      </rPr>
      <t xml:space="preserve">1362</t>
    </r>
    <r>
      <rPr>
        <sz val="9"/>
        <color rgb="FF000000"/>
        <rFont val="맑은 고딕"/>
        <family val="2"/>
        <charset val="128"/>
      </rPr>
      <t xml:space="preserve">번길 </t>
    </r>
    <r>
      <rPr>
        <sz val="9"/>
        <color rgb="FF000000"/>
        <rFont val="Calibri"/>
        <family val="2"/>
        <charset val="1"/>
      </rPr>
      <t xml:space="preserve">53-5</t>
    </r>
  </si>
  <si>
    <t xml:space="preserve"> B-</t>
  </si>
  <si>
    <r>
      <rPr>
        <sz val="9"/>
        <color theme="1"/>
        <rFont val="Calibri"/>
        <family val="3"/>
        <charset val="1"/>
      </rPr>
      <t xml:space="preserve">Suchon S/S, Sujeong D/L</t>
    </r>
    <r>
      <rPr>
        <sz val="9"/>
        <color theme="1"/>
        <rFont val="Calibri"/>
        <family val="2"/>
        <charset val="1"/>
      </rPr>
      <t xml:space="preserve"> 10MW</t>
    </r>
  </si>
  <si>
    <t xml:space="preserve">After receiving the business license documents, due to the holiday period, we plan to submit the documents on May 7.</t>
  </si>
  <si>
    <t xml:space="preserve">Epyeonan nursing home</t>
  </si>
  <si>
    <t xml:space="preserve">Gyeonggi-do Pyeongtaek Anjung-eup Seodong-daero 1831-16</t>
  </si>
  <si>
    <r>
      <rPr>
        <sz val="9"/>
        <color rgb="FF000000"/>
        <rFont val="맑은 고딕"/>
        <family val="2"/>
        <charset val="128"/>
      </rPr>
      <t xml:space="preserve">경기도 평택시 안중읍 서동대로 </t>
    </r>
    <r>
      <rPr>
        <sz val="9"/>
        <color rgb="FF000000"/>
        <rFont val="Calibri"/>
        <family val="2"/>
        <charset val="1"/>
      </rPr>
      <t xml:space="preserve">1831-16</t>
    </r>
  </si>
  <si>
    <t xml:space="preserve"> B+</t>
  </si>
  <si>
    <r>
      <rPr>
        <sz val="9"/>
        <color theme="1"/>
        <rFont val="Calibri"/>
        <family val="3"/>
        <charset val="1"/>
      </rPr>
      <t xml:space="preserve">Poseong</t>
    </r>
    <r>
      <rPr>
        <sz val="9"/>
        <color theme="1"/>
        <rFont val="Calibri"/>
        <family val="2"/>
        <charset val="1"/>
      </rPr>
      <t xml:space="preserve"> S/S, Hyeongok D/L 9MW</t>
    </r>
  </si>
  <si>
    <t xml:space="preserve">Gemtech</t>
  </si>
  <si>
    <t xml:space="preserve">83 Innovalley-ro Dong-gu Daegu</t>
  </si>
  <si>
    <r>
      <rPr>
        <sz val="9"/>
        <color rgb="FF000000"/>
        <rFont val="맑은 고딕"/>
        <family val="2"/>
        <charset val="128"/>
      </rPr>
      <t xml:space="preserve">대구광역시 동구 이노밸리로 </t>
    </r>
    <r>
      <rPr>
        <sz val="9"/>
        <color rgb="FF000000"/>
        <rFont val="Calibri"/>
        <family val="2"/>
        <charset val="1"/>
      </rPr>
      <t xml:space="preserve">83</t>
    </r>
  </si>
  <si>
    <t xml:space="preserve">Bolt Taeyanggwang 2HO(TBD)</t>
  </si>
  <si>
    <r>
      <rPr>
        <sz val="9"/>
        <color theme="1"/>
        <rFont val="Calibri"/>
        <family val="3"/>
        <charset val="1"/>
      </rPr>
      <t xml:space="preserve">Ansim </t>
    </r>
    <r>
      <rPr>
        <sz val="9"/>
        <color theme="1"/>
        <rFont val="Calibri"/>
        <family val="2"/>
        <charset val="1"/>
      </rPr>
      <t xml:space="preserve">S/S, Shinji D/L 10MW</t>
    </r>
  </si>
  <si>
    <t xml:space="preserve">lease agreement is scheduled to be signed on May 2.</t>
  </si>
  <si>
    <t xml:space="preserve">Hutchison Pier</t>
  </si>
  <si>
    <t xml:space="preserve">Busan Nam-gu Bukhang-ro 59 / Busan Nam-gu Bukhang-ro 179</t>
  </si>
  <si>
    <r>
      <rPr>
        <sz val="9"/>
        <color rgb="FF000000"/>
        <rFont val="맑은 고딕"/>
        <family val="2"/>
        <charset val="128"/>
      </rPr>
      <t xml:space="preserve">부산광역시 남구 북항로 </t>
    </r>
    <r>
      <rPr>
        <sz val="9"/>
        <color rgb="FF000000"/>
        <rFont val="Calibri"/>
        <family val="2"/>
        <charset val="1"/>
      </rPr>
      <t xml:space="preserve">59 / </t>
    </r>
    <r>
      <rPr>
        <sz val="9"/>
        <color rgb="FF000000"/>
        <rFont val="맑은 고딕"/>
        <family val="2"/>
        <charset val="128"/>
      </rPr>
      <t xml:space="preserve">부산광역시 남구 북항로 </t>
    </r>
    <r>
      <rPr>
        <sz val="9"/>
        <color rgb="FF000000"/>
        <rFont val="Calibri"/>
        <family val="2"/>
        <charset val="1"/>
      </rPr>
      <t xml:space="preserve">179</t>
    </r>
  </si>
  <si>
    <t xml:space="preserve">Under Lease</t>
  </si>
  <si>
    <r>
      <rPr>
        <sz val="9"/>
        <color theme="1"/>
        <rFont val="Calibri"/>
        <family val="3"/>
        <charset val="1"/>
      </rPr>
      <t xml:space="preserve">Yongho S/S, Manbu D/L 12MW
Yongho S/S, </t>
    </r>
    <r>
      <rPr>
        <sz val="9"/>
        <color theme="1"/>
        <rFont val="돋움"/>
        <family val="3"/>
        <charset val="129"/>
      </rPr>
      <t xml:space="preserve">Yongbu</t>
    </r>
    <r>
      <rPr>
        <sz val="9"/>
        <color theme="1"/>
        <rFont val="Calibri"/>
        <family val="3"/>
        <charset val="1"/>
      </rPr>
      <t xml:space="preserve"> D/L 12MW</t>
    </r>
  </si>
  <si>
    <r>
      <rPr>
        <sz val="9"/>
        <color rgb="FF000000"/>
        <rFont val="Calibri"/>
        <family val="2"/>
        <charset val="1"/>
      </rPr>
      <t xml:space="preserve">5</t>
    </r>
    <r>
      <rPr>
        <sz val="9"/>
        <color rgb="FF000000"/>
        <rFont val="맑은 고딕"/>
        <family val="2"/>
        <charset val="129"/>
      </rPr>
      <t xml:space="preserve">년 선납 35,000/kWp、 scheduled to meet with Hutchison and the Port Authority in May.</t>
    </r>
  </si>
  <si>
    <t xml:space="preserve">Nuriplan</t>
  </si>
  <si>
    <t xml:space="preserve">Chungcheongnam-do Cheonan-si Dongnam-gu Susu-myeon Ugakgol-gil 53</t>
  </si>
  <si>
    <r>
      <rPr>
        <sz val="9"/>
        <color rgb="FF000000"/>
        <rFont val="맑은 고딕"/>
        <family val="2"/>
        <charset val="128"/>
      </rPr>
      <t xml:space="preserve">충청남도 천안시 동남구 수신면 우각골길 </t>
    </r>
    <r>
      <rPr>
        <sz val="9"/>
        <color rgb="FF000000"/>
        <rFont val="Calibri"/>
        <family val="2"/>
        <charset val="1"/>
      </rPr>
      <t xml:space="preserve">53</t>
    </r>
  </si>
  <si>
    <t xml:space="preserve">Chungcheongnam-do</t>
  </si>
  <si>
    <t xml:space="preserve">Dongcheonan S/S, Shinpung D/L 12MW</t>
  </si>
  <si>
    <r>
      <rPr>
        <sz val="9"/>
        <color rgb="FF000000"/>
        <rFont val="Calibri"/>
        <family val="2"/>
        <charset val="1"/>
      </rPr>
      <t xml:space="preserve">5</t>
    </r>
    <r>
      <rPr>
        <sz val="9"/>
        <color rgb="FF000000"/>
        <rFont val="맑은 고딕"/>
        <family val="2"/>
        <charset val="129"/>
      </rPr>
      <t xml:space="preserve">년 선납 35,000/kWp</t>
    </r>
  </si>
  <si>
    <t xml:space="preserve">Sangwon Engineering</t>
  </si>
  <si>
    <t xml:space="preserve">Gyeongnam Gimhae Jinrye-myeon Gomoro 675</t>
  </si>
  <si>
    <r>
      <rPr>
        <sz val="9"/>
        <color rgb="FF000000"/>
        <rFont val="맑은 고딕"/>
        <family val="2"/>
        <charset val="128"/>
      </rPr>
      <t xml:space="preserve">경남 김해시 진례면 고모로 </t>
    </r>
    <r>
      <rPr>
        <sz val="9"/>
        <color rgb="FF000000"/>
        <rFont val="Calibri"/>
        <family val="2"/>
        <charset val="1"/>
      </rPr>
      <t xml:space="preserve">675</t>
    </r>
  </si>
  <si>
    <t xml:space="preserve">bb-</t>
  </si>
  <si>
    <t xml:space="preserve">Jinyoung S/S, Naemyeong D/L 5MW</t>
  </si>
  <si>
    <r>
      <rPr>
        <sz val="9"/>
        <color rgb="FFFF0000"/>
        <rFont val="Calibri"/>
        <family val="2"/>
        <charset val="1"/>
      </rPr>
      <t xml:space="preserve">5</t>
    </r>
    <r>
      <rPr>
        <sz val="9"/>
        <color rgb="FFFF0000"/>
        <rFont val="맑은 고딕"/>
        <family val="2"/>
        <charset val="129"/>
      </rPr>
      <t xml:space="preserve">년 선납 40,000/kWp</t>
    </r>
  </si>
  <si>
    <t xml:space="preserve">Tteokdaum</t>
  </si>
  <si>
    <t xml:space="preserve">Gyeonggi-do, Hwaseong-si, Jangan-myeon, Hancheon 1-gil 56-9</t>
  </si>
  <si>
    <r>
      <rPr>
        <sz val="9"/>
        <color rgb="FF000000"/>
        <rFont val="맑은 고딕"/>
        <family val="2"/>
        <charset val="128"/>
      </rPr>
      <t xml:space="preserve">경기도 화성시 장안면 한천</t>
    </r>
    <r>
      <rPr>
        <sz val="9"/>
        <color rgb="FF000000"/>
        <rFont val="Calibri"/>
        <family val="2"/>
        <charset val="1"/>
      </rPr>
      <t xml:space="preserve">1</t>
    </r>
    <r>
      <rPr>
        <sz val="9"/>
        <color rgb="FF000000"/>
        <rFont val="맑은 고딕"/>
        <family val="2"/>
        <charset val="128"/>
      </rPr>
      <t xml:space="preserve">길 </t>
    </r>
    <r>
      <rPr>
        <sz val="9"/>
        <color rgb="FF000000"/>
        <rFont val="Calibri"/>
        <family val="2"/>
        <charset val="1"/>
      </rPr>
      <t xml:space="preserve">56-9</t>
    </r>
  </si>
  <si>
    <t xml:space="preserve">b-</t>
  </si>
  <si>
    <r>
      <rPr>
        <sz val="9"/>
        <color theme="1"/>
        <rFont val="Calibri"/>
        <family val="3"/>
        <charset val="1"/>
      </rPr>
      <t xml:space="preserve">Joam S/S, Jushin D/L </t>
    </r>
    <r>
      <rPr>
        <sz val="9"/>
        <color theme="1"/>
        <rFont val="Calibri"/>
        <family val="2"/>
        <charset val="1"/>
      </rPr>
      <t xml:space="preserve">11MW</t>
    </r>
  </si>
  <si>
    <r>
      <rPr>
        <sz val="9"/>
        <color rgb="FF000000"/>
        <rFont val="Calibri"/>
        <family val="2"/>
        <charset val="1"/>
      </rPr>
      <t xml:space="preserve">5</t>
    </r>
    <r>
      <rPr>
        <sz val="9"/>
        <color rgb="FF000000"/>
        <rFont val="맑은 고딕"/>
        <family val="2"/>
        <charset val="129"/>
      </rPr>
      <t xml:space="preserve">년 선납 35,000/kWp、 lease agreement is scheduled to proceed after a final meeting in May.</t>
    </r>
  </si>
  <si>
    <t xml:space="preserve">Cheongwoo 1&amp;2</t>
  </si>
  <si>
    <t xml:space="preserve">Gyeonggi-do, Gimpo-si, Tongjin-eup, Gahyeon-ri 865-28 &amp; 865-8</t>
  </si>
  <si>
    <r>
      <rPr>
        <sz val="9"/>
        <color rgb="FF000000"/>
        <rFont val="맑은 고딕"/>
        <family val="2"/>
        <charset val="128"/>
      </rPr>
      <t xml:space="preserve">경기도 김포시 통진읍 가현리 </t>
    </r>
    <r>
      <rPr>
        <sz val="9"/>
        <color rgb="FF000000"/>
        <rFont val="Calibri"/>
        <family val="2"/>
        <charset val="1"/>
      </rPr>
      <t xml:space="preserve">865-28,</t>
    </r>
    <r>
      <rPr>
        <sz val="9"/>
        <color rgb="FF000000"/>
        <rFont val="맑은 고딕"/>
        <family val="2"/>
        <charset val="128"/>
      </rPr>
      <t xml:space="preserve">경기도 김포시 통진읍 가현리 </t>
    </r>
    <r>
      <rPr>
        <sz val="9"/>
        <color rgb="FF000000"/>
        <rFont val="Calibri"/>
        <family val="2"/>
        <charset val="1"/>
      </rPr>
      <t xml:space="preserve">865-8</t>
    </r>
  </si>
  <si>
    <t xml:space="preserve">a-</t>
  </si>
  <si>
    <r>
      <rPr>
        <sz val="9"/>
        <color theme="1"/>
        <rFont val="Calibri"/>
        <family val="3"/>
        <charset val="1"/>
      </rPr>
      <t xml:space="preserve">Tongjin S/S, Ganghwa D/L </t>
    </r>
    <r>
      <rPr>
        <sz val="9"/>
        <color theme="1"/>
        <rFont val="Calibri"/>
        <family val="2"/>
        <charset val="1"/>
      </rPr>
      <t xml:space="preserve"> 5MW</t>
    </r>
  </si>
  <si>
    <t xml:space="preserve">KR Green Energy</t>
  </si>
  <si>
    <t xml:space="preserve">176, Sanggae-gil, Hapdeok-eup, Dangjin-si, Chungcheongnam-do</t>
  </si>
  <si>
    <r>
      <rPr>
        <sz val="9"/>
        <color rgb="FF000000"/>
        <rFont val="맑은 고딕"/>
        <family val="2"/>
        <charset val="128"/>
      </rPr>
      <t xml:space="preserve">충청남도 당진시 합덕읍 상개길 </t>
    </r>
    <r>
      <rPr>
        <sz val="9"/>
        <color rgb="FF000000"/>
        <rFont val="Calibri"/>
        <family val="2"/>
        <charset val="1"/>
      </rPr>
      <t xml:space="preserve">176</t>
    </r>
  </si>
  <si>
    <t xml:space="preserve">Yesan S/S, Woogang D/L 8.9MW</t>
  </si>
  <si>
    <t xml:space="preserve">Gangwon-do Wonju-si Taejang-dong 1720-40</t>
  </si>
  <si>
    <r>
      <rPr>
        <sz val="9"/>
        <color rgb="FF000000"/>
        <rFont val="맑은 고딕"/>
        <family val="2"/>
        <charset val="128"/>
      </rPr>
      <t xml:space="preserve">강원도 원주시 태장동 </t>
    </r>
    <r>
      <rPr>
        <sz val="9"/>
        <color rgb="FF000000"/>
        <rFont val="Calibri"/>
        <family val="2"/>
        <charset val="1"/>
      </rPr>
      <t xml:space="preserve">1720-40</t>
    </r>
  </si>
  <si>
    <t xml:space="preserve">Gangwon-do</t>
  </si>
  <si>
    <t xml:space="preserve">Bukwonju S/S Dundeun D/L 12MW</t>
  </si>
  <si>
    <t xml:space="preserve">Gangwon-do Wonju-si Gwanseol-dong 298-3</t>
  </si>
  <si>
    <r>
      <rPr>
        <sz val="9"/>
        <color rgb="FF000000"/>
        <rFont val="맑은 고딕"/>
        <family val="2"/>
        <charset val="128"/>
      </rPr>
      <t xml:space="preserve">강원도 원주시 관설동 </t>
    </r>
    <r>
      <rPr>
        <sz val="9"/>
        <color rgb="FF000000"/>
        <rFont val="Calibri"/>
        <family val="2"/>
        <charset val="1"/>
      </rPr>
      <t xml:space="preserve">298-3</t>
    </r>
  </si>
  <si>
    <t xml:space="preserve">Dongwonju S/S Panbu D/L 10MW</t>
  </si>
  <si>
    <t xml:space="preserve">Dongsung Metal</t>
  </si>
  <si>
    <t xml:space="preserve">Gyeongsangbuk-do Goryeong-gun Dasan-myeon Dasansandan-ro 28-24</t>
  </si>
  <si>
    <r>
      <rPr>
        <sz val="9"/>
        <color rgb="FF000000"/>
        <rFont val="맑은 고딕"/>
        <family val="2"/>
        <charset val="128"/>
      </rPr>
      <t xml:space="preserve">경상북도 고령군 다산면 다산산단로 </t>
    </r>
    <r>
      <rPr>
        <sz val="9"/>
        <color rgb="FF000000"/>
        <rFont val="Calibri"/>
        <family val="2"/>
        <charset val="1"/>
      </rPr>
      <t xml:space="preserve">28-24</t>
    </r>
  </si>
  <si>
    <t xml:space="preserve">Dasan S/S Nogok D/L 11MW</t>
  </si>
  <si>
    <t xml:space="preserve">Seun Steel Ulsan</t>
  </si>
  <si>
    <t xml:space="preserve">17, Jukjeon-ro, Buk-gu, Ulsan</t>
  </si>
  <si>
    <r>
      <rPr>
        <sz val="9"/>
        <color rgb="FF000000"/>
        <rFont val="맑은 고딕"/>
        <family val="2"/>
        <charset val="1"/>
      </rPr>
      <t xml:space="preserve">울산광역시</t>
    </r>
    <r>
      <rPr>
        <sz val="9"/>
        <color rgb="FF000000"/>
        <rFont val="맑은 고딕"/>
        <family val="2"/>
        <charset val="128"/>
      </rPr>
      <t xml:space="preserve"> </t>
    </r>
    <r>
      <rPr>
        <sz val="9"/>
        <color rgb="FF000000"/>
        <rFont val="맑은 고딕"/>
        <family val="2"/>
        <charset val="1"/>
      </rPr>
      <t xml:space="preserve">북구</t>
    </r>
    <r>
      <rPr>
        <sz val="9"/>
        <color rgb="FF000000"/>
        <rFont val="맑은 고딕"/>
        <family val="2"/>
        <charset val="128"/>
      </rPr>
      <t xml:space="preserve"> </t>
    </r>
    <r>
      <rPr>
        <sz val="9"/>
        <color rgb="FF000000"/>
        <rFont val="맑은 고딕"/>
        <family val="2"/>
        <charset val="1"/>
      </rPr>
      <t xml:space="preserve">죽전로</t>
    </r>
    <r>
      <rPr>
        <sz val="9"/>
        <color rgb="FF000000"/>
        <rFont val="맑은 고딕"/>
        <family val="2"/>
        <charset val="128"/>
      </rPr>
      <t xml:space="preserve"> </t>
    </r>
    <r>
      <rPr>
        <sz val="9"/>
        <color rgb="FF000000"/>
        <rFont val="Calibri"/>
        <family val="2"/>
        <charset val="1"/>
      </rPr>
      <t xml:space="preserve">17</t>
    </r>
  </si>
  <si>
    <t xml:space="preserve">35.565890 / 129.365446</t>
  </si>
  <si>
    <t xml:space="preserve">Hyomun S/S Yangjeong D/L 12MW</t>
  </si>
  <si>
    <t xml:space="preserve">Excluded due to ground subsidence near the building site</t>
  </si>
  <si>
    <t xml:space="preserve">Seun Steel Busan Factory &amp; Warehouse Building</t>
  </si>
  <si>
    <t xml:space="preserve">112, Yutongdanji 1-ro, Gangseo-gu,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</si>
  <si>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강서구</t>
    </r>
    <r>
      <rPr>
        <sz val="9"/>
        <color rgb="FF000000"/>
        <rFont val="맑은 고딕"/>
        <family val="2"/>
        <charset val="128"/>
      </rPr>
      <t xml:space="preserve"> </t>
    </r>
    <r>
      <rPr>
        <sz val="9"/>
        <color rgb="FF000000"/>
        <rFont val="맑은 고딕"/>
        <family val="2"/>
        <charset val="1"/>
      </rPr>
      <t xml:space="preserve">유통단지</t>
    </r>
    <r>
      <rPr>
        <sz val="9"/>
        <color rgb="FF000000"/>
        <rFont val="Calibri"/>
        <family val="2"/>
        <charset val="1"/>
      </rPr>
      <t xml:space="preserve">1</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112 </t>
    </r>
  </si>
  <si>
    <t xml:space="preserve">35.165792 / 128.947869</t>
  </si>
  <si>
    <t xml:space="preserve">Mora S/S Buju D/L 9MW</t>
  </si>
  <si>
    <t xml:space="preserve">Daesun Josun Bongrae</t>
  </si>
  <si>
    <t xml:space="preserve">254, Bongnaenaru-ro, Yeongdo-gu,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</si>
  <si>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영도구</t>
    </r>
    <r>
      <rPr>
        <sz val="9"/>
        <color rgb="FF000000"/>
        <rFont val="맑은 고딕"/>
        <family val="2"/>
        <charset val="128"/>
      </rPr>
      <t xml:space="preserve"> </t>
    </r>
    <r>
      <rPr>
        <sz val="9"/>
        <color rgb="FF000000"/>
        <rFont val="맑은 고딕"/>
        <family val="2"/>
        <charset val="1"/>
      </rPr>
      <t xml:space="preserve">봉래나루로</t>
    </r>
    <r>
      <rPr>
        <sz val="9"/>
        <color rgb="FF000000"/>
        <rFont val="맑은 고딕"/>
        <family val="2"/>
        <charset val="128"/>
      </rPr>
      <t xml:space="preserve"> </t>
    </r>
    <r>
      <rPr>
        <sz val="9"/>
        <color rgb="FF000000"/>
        <rFont val="Calibri"/>
        <family val="2"/>
        <charset val="1"/>
      </rPr>
      <t xml:space="preserve">254</t>
    </r>
  </si>
  <si>
    <t xml:space="preserve">35.095200 / 129.046419</t>
  </si>
  <si>
    <t xml:space="preserve">Yeongdo S/S Jodo D/L 12MW</t>
  </si>
  <si>
    <t xml:space="preserve">Daesun Josun Dadae</t>
  </si>
  <si>
    <t xml:space="preserve">454, Gamcheonhang-ro, Saha-gu,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</si>
  <si>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사하구</t>
    </r>
    <r>
      <rPr>
        <sz val="9"/>
        <color rgb="FF000000"/>
        <rFont val="맑은 고딕"/>
        <family val="2"/>
        <charset val="128"/>
      </rPr>
      <t xml:space="preserve"> </t>
    </r>
    <r>
      <rPr>
        <sz val="9"/>
        <color rgb="FF000000"/>
        <rFont val="맑은 고딕"/>
        <family val="2"/>
        <charset val="1"/>
      </rPr>
      <t xml:space="preserve">감천항로</t>
    </r>
    <r>
      <rPr>
        <sz val="9"/>
        <color rgb="FF000000"/>
        <rFont val="맑은 고딕"/>
        <family val="2"/>
        <charset val="128"/>
      </rPr>
      <t xml:space="preserve"> </t>
    </r>
    <r>
      <rPr>
        <sz val="9"/>
        <color rgb="FF000000"/>
        <rFont val="Calibri"/>
        <family val="2"/>
        <charset val="1"/>
      </rPr>
      <t xml:space="preserve">454</t>
    </r>
  </si>
  <si>
    <t xml:space="preserve">35.051661 / 128.991991</t>
  </si>
  <si>
    <t xml:space="preserve">Dadae S/S Bondeung DL 13MW</t>
  </si>
  <si>
    <t xml:space="preserve">Fine vestil</t>
  </si>
  <si>
    <t xml:space="preserve">259-33 Changmil-ro, Changnyeong-eup, Changnyeong-gun,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</si>
  <si>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창녕군</t>
    </r>
    <r>
      <rPr>
        <sz val="9"/>
        <color rgb="FF000000"/>
        <rFont val="맑은 고딕"/>
        <family val="2"/>
        <charset val="128"/>
      </rPr>
      <t xml:space="preserve"> </t>
    </r>
    <r>
      <rPr>
        <sz val="9"/>
        <color rgb="FF000000"/>
        <rFont val="맑은 고딕"/>
        <family val="2"/>
        <charset val="1"/>
      </rPr>
      <t xml:space="preserve">창녕읍</t>
    </r>
    <r>
      <rPr>
        <sz val="9"/>
        <color rgb="FF000000"/>
        <rFont val="맑은 고딕"/>
        <family val="2"/>
        <charset val="128"/>
      </rPr>
      <t xml:space="preserve"> </t>
    </r>
    <r>
      <rPr>
        <sz val="9"/>
        <color rgb="FF000000"/>
        <rFont val="맑은 고딕"/>
        <family val="2"/>
        <charset val="1"/>
      </rPr>
      <t xml:space="preserve">창밀로</t>
    </r>
    <r>
      <rPr>
        <sz val="9"/>
        <color rgb="FF000000"/>
        <rFont val="맑은 고딕"/>
        <family val="2"/>
        <charset val="128"/>
      </rPr>
      <t xml:space="preserve"> </t>
    </r>
    <r>
      <rPr>
        <sz val="9"/>
        <color rgb="FF000000"/>
        <rFont val="Calibri"/>
        <family val="2"/>
        <charset val="1"/>
      </rPr>
      <t xml:space="preserve">259-33</t>
    </r>
  </si>
  <si>
    <t xml:space="preserve">35.564485 / 128.500461</t>
  </si>
  <si>
    <t xml:space="preserve">Yuga S/S Galjeon D/L 8MW</t>
  </si>
  <si>
    <t xml:space="preserve">Dongil Steel</t>
  </si>
  <si>
    <t xml:space="preserve">46, Gaya-daero, Sasang-gu,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</si>
  <si>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사상구</t>
    </r>
    <r>
      <rPr>
        <sz val="9"/>
        <color rgb="FF000000"/>
        <rFont val="맑은 고딕"/>
        <family val="2"/>
        <charset val="128"/>
      </rPr>
      <t xml:space="preserve"> </t>
    </r>
    <r>
      <rPr>
        <sz val="9"/>
        <color rgb="FF000000"/>
        <rFont val="맑은 고딕"/>
        <family val="2"/>
        <charset val="1"/>
      </rPr>
      <t xml:space="preserve">가야대로</t>
    </r>
    <r>
      <rPr>
        <sz val="9"/>
        <color rgb="FF000000"/>
        <rFont val="맑은 고딕"/>
        <family val="2"/>
        <charset val="128"/>
      </rPr>
      <t xml:space="preserve"> </t>
    </r>
    <r>
      <rPr>
        <sz val="9"/>
        <color rgb="FF000000"/>
        <rFont val="Calibri"/>
        <family val="2"/>
        <charset val="1"/>
      </rPr>
      <t xml:space="preserve">46</t>
    </r>
  </si>
  <si>
    <t xml:space="preserve"> 35.150749 / 128.977356</t>
  </si>
  <si>
    <t xml:space="preserve">Dean S/S Central D/L 13MW</t>
  </si>
  <si>
    <t xml:space="preserve">Vision E&amp;C</t>
  </si>
  <si>
    <t xml:space="preserve">289, Jungwonsaneop-ro, Judeok-eup, Chungju-si, Chungcheongbuk-do</t>
  </si>
  <si>
    <r>
      <rPr>
        <strike val="true"/>
        <sz val="9"/>
        <color rgb="FFC00000"/>
        <rFont val="맑은 고딕"/>
        <family val="2"/>
        <charset val="128"/>
      </rPr>
      <t xml:space="preserve">충청북도 충주시 주덕읍 중원산업로 </t>
    </r>
    <r>
      <rPr>
        <strike val="true"/>
        <sz val="9"/>
        <color rgb="FFC00000"/>
        <rFont val="Calibri"/>
        <family val="2"/>
        <charset val="1"/>
      </rPr>
      <t xml:space="preserve">289</t>
    </r>
  </si>
  <si>
    <t xml:space="preserve">37.009729 / 127.752899</t>
  </si>
  <si>
    <t xml:space="preserve">Excluded due to difficulties in negotiations due to contact with other companies or self-business during the contract amendment period and thereafter</t>
  </si>
  <si>
    <t xml:space="preserve">Daekyung Susan</t>
  </si>
  <si>
    <t xml:space="preserve">2080, Jaranman-ro, Haeil-myeon, Goseong-gun, Gyeongsangnam-do</t>
  </si>
  <si>
    <r>
      <rPr>
        <sz val="9"/>
        <color rgb="FF000000"/>
        <rFont val="맑은 고딕"/>
        <family val="2"/>
        <charset val="128"/>
      </rPr>
      <t xml:space="preserve">경상남도 고성군 하일면 자란만로 </t>
    </r>
    <r>
      <rPr>
        <sz val="9"/>
        <color rgb="FF000000"/>
        <rFont val="Calibri"/>
        <family val="2"/>
        <charset val="1"/>
      </rPr>
      <t xml:space="preserve">2080</t>
    </r>
  </si>
  <si>
    <t xml:space="preserve">Individual business owner</t>
  </si>
  <si>
    <t xml:space="preserve">Goseong S/S Samsan D/L 5MW</t>
  </si>
  <si>
    <t xml:space="preserve">End of April 2025 Lease contract signing date</t>
  </si>
  <si>
    <t xml:space="preserve">Kangsung Industry</t>
  </si>
  <si>
    <t xml:space="preserve">18-164, Hwangsa-gil, Beopsu-myeon, Haman-gun, Gyeongsangnam-do</t>
  </si>
  <si>
    <r>
      <rPr>
        <sz val="9"/>
        <color rgb="FF000000"/>
        <rFont val="맑은 고딕"/>
        <family val="2"/>
        <charset val="128"/>
      </rPr>
      <t xml:space="preserve">경상남도 함안군 법수면 황사길 </t>
    </r>
    <r>
      <rPr>
        <sz val="9"/>
        <color rgb="FF000000"/>
        <rFont val="Calibri"/>
        <family val="2"/>
        <charset val="1"/>
      </rPr>
      <t xml:space="preserve">18-164</t>
    </r>
  </si>
  <si>
    <t xml:space="preserve">Guryong S/S Hwangsa D/L 2MW</t>
  </si>
  <si>
    <t xml:space="preserve">Taewon Industry</t>
  </si>
  <si>
    <t xml:space="preserve">27, Hyanggyo-gil, Gwangdo-myeon, Tongyeong-si, Gyeongsangnam-do</t>
  </si>
  <si>
    <r>
      <rPr>
        <sz val="9"/>
        <color rgb="FF000000"/>
        <rFont val="맑은 고딕"/>
        <family val="2"/>
        <charset val="128"/>
      </rPr>
      <t xml:space="preserve">경상남도 통영시 광도면 향교길</t>
    </r>
    <r>
      <rPr>
        <sz val="9"/>
        <color rgb="FF000000"/>
        <rFont val="Calibri"/>
        <family val="2"/>
        <charset val="1"/>
      </rPr>
      <t xml:space="preserve">27</t>
    </r>
  </si>
  <si>
    <t xml:space="preserve">Tongyeong S/S Jukrim D/L 12MW </t>
  </si>
  <si>
    <t xml:space="preserve">World Paper 1-1</t>
  </si>
  <si>
    <t xml:space="preserve">61-42, Hageo 3-gil, Yeoju-si, Gyeonggi-do (444-5, Hageo-dong, Yeoju-si, Gyeonggi-do)</t>
  </si>
  <si>
    <r>
      <rPr>
        <sz val="9"/>
        <color rgb="FF000000"/>
        <rFont val="맑은 고딕"/>
        <family val="2"/>
        <charset val="128"/>
      </rPr>
      <t xml:space="preserve">경기도 파주시 소라지로 </t>
    </r>
    <r>
      <rPr>
        <sz val="9"/>
        <color rgb="FF000000"/>
        <rFont val="Calibri"/>
        <family val="2"/>
        <charset val="1"/>
      </rPr>
      <t xml:space="preserve">167</t>
    </r>
    <r>
      <rPr>
        <sz val="9"/>
        <color rgb="FF000000"/>
        <rFont val="맑은 고딕"/>
        <family val="2"/>
        <charset val="128"/>
      </rPr>
      <t xml:space="preserve">번길 </t>
    </r>
    <r>
      <rPr>
        <sz val="9"/>
        <color rgb="FF000000"/>
        <rFont val="Calibri"/>
        <family val="2"/>
        <charset val="1"/>
      </rPr>
      <t xml:space="preserve">107</t>
    </r>
  </si>
  <si>
    <t xml:space="preserve">Munbal S/S Munbae D/L 12MW</t>
  </si>
  <si>
    <t xml:space="preserve">World paper 1-2</t>
  </si>
  <si>
    <t xml:space="preserve">86, Soraji-ro 167beon-gil, Paju-si, Gyeonggi-do</t>
  </si>
  <si>
    <r>
      <rPr>
        <sz val="9"/>
        <color rgb="FF000000"/>
        <rFont val="맑은 고딕"/>
        <family val="2"/>
        <charset val="128"/>
      </rPr>
      <t xml:space="preserve">경기도 파주시 소라지로 </t>
    </r>
    <r>
      <rPr>
        <sz val="9"/>
        <color rgb="FF000000"/>
        <rFont val="Calibri"/>
        <family val="2"/>
        <charset val="1"/>
      </rPr>
      <t xml:space="preserve">167</t>
    </r>
    <r>
      <rPr>
        <sz val="9"/>
        <color rgb="FF000000"/>
        <rFont val="맑은 고딕"/>
        <family val="2"/>
        <charset val="128"/>
      </rPr>
      <t xml:space="preserve">번길 </t>
    </r>
    <r>
      <rPr>
        <sz val="9"/>
        <color rgb="FF000000"/>
        <rFont val="Calibri"/>
        <family val="2"/>
        <charset val="1"/>
      </rPr>
      <t xml:space="preserve">86</t>
    </r>
  </si>
  <si>
    <t xml:space="preserve">Moonbal S/S Moonbae D/L 12MW</t>
  </si>
  <si>
    <t xml:space="preserve">Hanjin Susan  (building owned by an individual)</t>
  </si>
  <si>
    <t xml:space="preserve">Gyeongsangnam-si Tongyeong-si Dosan-myeon Dosan Ilju-ro 342-30</t>
  </si>
  <si>
    <r>
      <rPr>
        <sz val="9"/>
        <color rgb="FF000000"/>
        <rFont val="맑은 고딕"/>
        <family val="2"/>
        <charset val="128"/>
      </rPr>
      <t xml:space="preserve">경남 통영시 도산면 도산일주로 </t>
    </r>
    <r>
      <rPr>
        <sz val="9"/>
        <color rgb="FF000000"/>
        <rFont val="Calibri"/>
        <family val="2"/>
        <charset val="1"/>
      </rPr>
      <t xml:space="preserve">342-30</t>
    </r>
  </si>
  <si>
    <t xml:space="preserve">Anjeong S/S Gwangdo D/L 12MW</t>
  </si>
  <si>
    <t xml:space="preserve">Chemsfield Korea</t>
  </si>
  <si>
    <t xml:space="preserve">161, Baekhak-san-dan-gil, Baekhak-myeon, Yeoncheon-gun, Gyeonggi-do</t>
  </si>
  <si>
    <r>
      <rPr>
        <sz val="9"/>
        <color rgb="FF000000"/>
        <rFont val="맑은 고딕"/>
        <family val="2"/>
        <charset val="128"/>
      </rPr>
      <t xml:space="preserve">경기도 연천군 백학면 백학산단길 </t>
    </r>
    <r>
      <rPr>
        <sz val="9"/>
        <color rgb="FF000000"/>
        <rFont val="Calibri"/>
        <family val="2"/>
        <charset val="1"/>
      </rPr>
      <t xml:space="preserve">161</t>
    </r>
  </si>
  <si>
    <t xml:space="preserve">Baekhak S/S Dong-i D/L 1MW</t>
  </si>
  <si>
    <t xml:space="preserve">Lux Electric</t>
  </si>
  <si>
    <t xml:space="preserve">354-46, Mojon 1-gil, Seonggeo-eup, Seobuk-gu, Cheonan-si, Chungcheongnam-do,</t>
  </si>
  <si>
    <r>
      <rPr>
        <sz val="9"/>
        <color rgb="FF000000"/>
        <rFont val="맑은 고딕"/>
        <family val="2"/>
        <charset val="128"/>
      </rPr>
      <t xml:space="preserve">충청남도 천안시 서북구 성거읍 모전</t>
    </r>
    <r>
      <rPr>
        <sz val="9"/>
        <color rgb="FF000000"/>
        <rFont val="Calibri"/>
        <family val="2"/>
        <charset val="1"/>
      </rPr>
      <t xml:space="preserve">1</t>
    </r>
    <r>
      <rPr>
        <sz val="9"/>
        <color rgb="FF000000"/>
        <rFont val="맑은 고딕"/>
        <family val="2"/>
        <charset val="128"/>
      </rPr>
      <t xml:space="preserve">길 </t>
    </r>
    <r>
      <rPr>
        <sz val="9"/>
        <color rgb="FF000000"/>
        <rFont val="Calibri"/>
        <family val="2"/>
        <charset val="1"/>
      </rPr>
      <t xml:space="preserve">354-46</t>
    </r>
  </si>
  <si>
    <t xml:space="preserve">Seonggeo S/S Sam-eun D/L 10MW</t>
  </si>
  <si>
    <t xml:space="preserve">Keohwa</t>
  </si>
  <si>
    <t xml:space="preserve">720-1, Purundolpan-ro, Paltan-myeon, Hwaseong-si, Gyeonggi-do</t>
  </si>
  <si>
    <r>
      <rPr>
        <sz val="9"/>
        <color rgb="FF000000"/>
        <rFont val="맑은 고딕"/>
        <family val="2"/>
        <charset val="128"/>
      </rPr>
      <t xml:space="preserve">경기도 화성시 팔탄면 푸른들판로 </t>
    </r>
    <r>
      <rPr>
        <sz val="9"/>
        <color rgb="FF000000"/>
        <rFont val="Calibri"/>
        <family val="2"/>
        <charset val="1"/>
      </rPr>
      <t xml:space="preserve">720-1</t>
    </r>
  </si>
  <si>
    <t xml:space="preserve">Hwaseong S/S Gusan D/L 12MW</t>
  </si>
  <si>
    <t xml:space="preserve">Dong-A</t>
  </si>
  <si>
    <t xml:space="preserve">385, Yeongok-gil, Ipjang-myeon, Seobuk-gu, Cheonan-si, Chungcheongnam-do</t>
  </si>
  <si>
    <r>
      <rPr>
        <sz val="9"/>
        <color rgb="FF000000"/>
        <rFont val="맑은 고딕"/>
        <family val="2"/>
        <charset val="128"/>
      </rPr>
      <t xml:space="preserve">충청남도 천안시 서북구 입장면 연곡길 </t>
    </r>
    <r>
      <rPr>
        <sz val="9"/>
        <color rgb="FF000000"/>
        <rFont val="Calibri"/>
        <family val="2"/>
        <charset val="1"/>
      </rPr>
      <t xml:space="preserve">385</t>
    </r>
  </si>
  <si>
    <t xml:space="preserve">Seonggeo S/S Yeongok D/L 10MW</t>
  </si>
  <si>
    <t xml:space="preserve">Kookje University</t>
  </si>
  <si>
    <t xml:space="preserve">56, Janganut-gil, Pyeongtaek-si, Gyeonggi-do</t>
  </si>
  <si>
    <r>
      <rPr>
        <sz val="9"/>
        <color rgb="FF000000"/>
        <rFont val="맑은 고딕"/>
        <family val="2"/>
        <charset val="128"/>
      </rPr>
      <t xml:space="preserve">경기도 평택시 장안동 </t>
    </r>
    <r>
      <rPr>
        <sz val="9"/>
        <color rgb="FF000000"/>
        <rFont val="Calibri"/>
        <family val="2"/>
        <charset val="1"/>
      </rPr>
      <t xml:space="preserve">353</t>
    </r>
  </si>
  <si>
    <t xml:space="preserve">37.064506 / 127.080781</t>
  </si>
  <si>
    <t xml:space="preserve">University (non-profit organization)</t>
  </si>
  <si>
    <t xml:space="preserve">Songtan S/S Jangan D/L 13MW</t>
  </si>
  <si>
    <t xml:space="preserve">Good Road</t>
  </si>
  <si>
    <t xml:space="preserve">207-13, Cheolgangsandan-ro 130beon-gil, Ocheon-eup, Nam-gu, Pohang-si, Gyeongsangbuk-do</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</si>
  <si>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포항시</t>
    </r>
    <r>
      <rPr>
        <sz val="9"/>
        <color rgb="FF000000"/>
        <rFont val="맑은 고딕"/>
        <family val="2"/>
        <charset val="128"/>
      </rPr>
      <t xml:space="preserve"> </t>
    </r>
    <r>
      <rPr>
        <sz val="9"/>
        <color rgb="FF000000"/>
        <rFont val="맑은 고딕"/>
        <family val="2"/>
        <charset val="1"/>
      </rPr>
      <t xml:space="preserve">남구</t>
    </r>
    <r>
      <rPr>
        <sz val="9"/>
        <color rgb="FF000000"/>
        <rFont val="맑은 고딕"/>
        <family val="2"/>
        <charset val="128"/>
      </rPr>
      <t xml:space="preserve"> </t>
    </r>
    <r>
      <rPr>
        <sz val="9"/>
        <color rgb="FF000000"/>
        <rFont val="맑은 고딕"/>
        <family val="2"/>
        <charset val="1"/>
      </rPr>
      <t xml:space="preserve">오천읍</t>
    </r>
    <r>
      <rPr>
        <sz val="9"/>
        <color rgb="FF000000"/>
        <rFont val="맑은 고딕"/>
        <family val="2"/>
        <charset val="128"/>
      </rPr>
      <t xml:space="preserve"> </t>
    </r>
    <r>
      <rPr>
        <sz val="9"/>
        <color rgb="FF000000"/>
        <rFont val="맑은 고딕"/>
        <family val="2"/>
        <charset val="1"/>
      </rPr>
      <t xml:space="preserve">철강산단로</t>
    </r>
    <r>
      <rPr>
        <sz val="9"/>
        <color rgb="FF000000"/>
        <rFont val="Calibri"/>
        <family val="2"/>
        <charset val="1"/>
      </rPr>
      <t xml:space="preserve">130</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207-13</t>
    </r>
  </si>
  <si>
    <t xml:space="preserve"> 35.958561/ 129.391720</t>
  </si>
  <si>
    <t xml:space="preserve">Daesong S/S Dohak D/L 10MW</t>
  </si>
  <si>
    <t xml:space="preserve">KORENS EM</t>
  </si>
  <si>
    <t xml:space="preserve">Busan Gangseo-gu Mieum International 8-ro 121</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</si>
  <si>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강서구</t>
    </r>
    <r>
      <rPr>
        <sz val="9"/>
        <color rgb="FF000000"/>
        <rFont val="맑은 고딕"/>
        <family val="2"/>
        <charset val="128"/>
      </rPr>
      <t xml:space="preserve"> </t>
    </r>
    <r>
      <rPr>
        <sz val="9"/>
        <color rgb="FF000000"/>
        <rFont val="맑은 고딕"/>
        <family val="2"/>
        <charset val="1"/>
      </rPr>
      <t xml:space="preserve">미음국제</t>
    </r>
    <r>
      <rPr>
        <sz val="9"/>
        <color rgb="FF000000"/>
        <rFont val="Calibri"/>
        <family val="2"/>
        <charset val="1"/>
      </rPr>
      <t xml:space="preserve">8</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121</t>
    </r>
  </si>
  <si>
    <t xml:space="preserve"> 35.137311 / 128.864834</t>
  </si>
  <si>
    <t xml:space="preserve">Jisa S/S Mieum D/L 5MW</t>
  </si>
  <si>
    <t xml:space="preserve">KORENS RTX</t>
  </si>
  <si>
    <t xml:space="preserve">Gyeryong-si, Chungcheongnam, Duma-myeon, Ipam-ri 647</t>
  </si>
  <si>
    <r>
      <rPr>
        <sz val="9"/>
        <color rgb="FF000000"/>
        <rFont val="맑은 고딕"/>
        <family val="2"/>
        <charset val="1"/>
      </rPr>
      <t xml:space="preserve">충남</t>
    </r>
    <r>
      <rPr>
        <sz val="9"/>
        <color rgb="FF000000"/>
        <rFont val="맑은 고딕"/>
        <family val="2"/>
        <charset val="128"/>
      </rPr>
      <t xml:space="preserve"> </t>
    </r>
    <r>
      <rPr>
        <sz val="9"/>
        <color rgb="FF000000"/>
        <rFont val="맑은 고딕"/>
        <family val="2"/>
        <charset val="1"/>
      </rPr>
      <t xml:space="preserve">계룡시</t>
    </r>
    <r>
      <rPr>
        <sz val="9"/>
        <color rgb="FF000000"/>
        <rFont val="맑은 고딕"/>
        <family val="2"/>
        <charset val="128"/>
      </rPr>
      <t xml:space="preserve"> </t>
    </r>
    <r>
      <rPr>
        <sz val="9"/>
        <color rgb="FF000000"/>
        <rFont val="맑은 고딕"/>
        <family val="2"/>
        <charset val="1"/>
      </rPr>
      <t xml:space="preserve">두마면</t>
    </r>
    <r>
      <rPr>
        <sz val="9"/>
        <color rgb="FF000000"/>
        <rFont val="맑은 고딕"/>
        <family val="2"/>
        <charset val="128"/>
      </rPr>
      <t xml:space="preserve"> </t>
    </r>
    <r>
      <rPr>
        <sz val="9"/>
        <color rgb="FF000000"/>
        <rFont val="맑은 고딕"/>
        <family val="2"/>
        <charset val="1"/>
      </rPr>
      <t xml:space="preserve">입암리</t>
    </r>
    <r>
      <rPr>
        <sz val="9"/>
        <color rgb="FF000000"/>
        <rFont val="맑은 고딕"/>
        <family val="2"/>
        <charset val="128"/>
      </rPr>
      <t xml:space="preserve"> </t>
    </r>
    <r>
      <rPr>
        <sz val="9"/>
        <color rgb="FF000000"/>
        <rFont val="Calibri"/>
        <family val="2"/>
        <charset val="1"/>
      </rPr>
      <t xml:space="preserve">647</t>
    </r>
  </si>
  <si>
    <t xml:space="preserve"> 36.251876 / 127.266706</t>
  </si>
  <si>
    <t xml:space="preserve">Duma S/S Duge D/L 11MW</t>
  </si>
  <si>
    <t xml:space="preserve">KORENS Yangsan</t>
  </si>
  <si>
    <t xml:space="preserve">Gyeongsangnam-do Yangsan-si Eogok Gongdan-ro 116</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</si>
  <si>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양산시</t>
    </r>
    <r>
      <rPr>
        <sz val="9"/>
        <color rgb="FF000000"/>
        <rFont val="맑은 고딕"/>
        <family val="2"/>
        <charset val="128"/>
      </rPr>
      <t xml:space="preserve"> </t>
    </r>
    <r>
      <rPr>
        <sz val="9"/>
        <color rgb="FF000000"/>
        <rFont val="맑은 고딕"/>
        <family val="2"/>
        <charset val="1"/>
      </rPr>
      <t xml:space="preserve">어곡공단로</t>
    </r>
    <r>
      <rPr>
        <sz val="9"/>
        <color rgb="FF000000"/>
        <rFont val="맑은 고딕"/>
        <family val="2"/>
        <charset val="128"/>
      </rPr>
      <t xml:space="preserve"> </t>
    </r>
    <r>
      <rPr>
        <sz val="9"/>
        <color rgb="FF000000"/>
        <rFont val="Calibri"/>
        <family val="2"/>
        <charset val="1"/>
      </rPr>
      <t xml:space="preserve">116</t>
    </r>
  </si>
  <si>
    <t xml:space="preserve"> 35.381918 / 129.020158</t>
  </si>
  <si>
    <t xml:space="preserve">Yangsan SA S/S Eosam D/L 12MW</t>
  </si>
  <si>
    <t xml:space="preserve">Seunsteel Changwon</t>
  </si>
  <si>
    <t xml:space="preserve">Gyeongsangnam-do Changwon-do Seongsan-gu Jeokhyeon-ro 568-42</t>
  </si>
  <si>
    <r>
      <rPr>
        <sz val="9"/>
        <color rgb="FF000000"/>
        <rFont val="맑은 고딕"/>
        <family val="2"/>
        <charset val="129"/>
      </rPr>
      <t xml:space="preserve">경상남도</t>
    </r>
    <r>
      <rPr>
        <sz val="9"/>
        <color rgb="FF000000"/>
        <rFont val="맑은 고딕"/>
        <family val="2"/>
        <charset val="128"/>
      </rPr>
      <t xml:space="preserve"> </t>
    </r>
    <r>
      <rPr>
        <sz val="9"/>
        <color rgb="FF000000"/>
        <rFont val="맑은 고딕"/>
        <family val="2"/>
        <charset val="129"/>
      </rPr>
      <t xml:space="preserve">창원시</t>
    </r>
    <r>
      <rPr>
        <sz val="9"/>
        <color rgb="FF000000"/>
        <rFont val="맑은 고딕"/>
        <family val="2"/>
        <charset val="128"/>
      </rPr>
      <t xml:space="preserve"> </t>
    </r>
    <r>
      <rPr>
        <sz val="9"/>
        <color rgb="FF000000"/>
        <rFont val="맑은 고딕"/>
        <family val="2"/>
        <charset val="129"/>
      </rPr>
      <t xml:space="preserve">성산구</t>
    </r>
    <r>
      <rPr>
        <sz val="9"/>
        <color rgb="FF000000"/>
        <rFont val="맑은 고딕"/>
        <family val="2"/>
        <charset val="128"/>
      </rPr>
      <t xml:space="preserve"> </t>
    </r>
    <r>
      <rPr>
        <sz val="9"/>
        <color rgb="FF000000"/>
        <rFont val="맑은 고딕"/>
        <family val="2"/>
        <charset val="129"/>
      </rPr>
      <t xml:space="preserve">적현로</t>
    </r>
    <r>
      <rPr>
        <sz val="9"/>
        <color rgb="FF000000"/>
        <rFont val="맑은 고딕"/>
        <family val="2"/>
        <charset val="128"/>
      </rPr>
      <t xml:space="preserve"> </t>
    </r>
    <r>
      <rPr>
        <sz val="9"/>
        <color rgb="FF000000"/>
        <rFont val="Calibri"/>
        <family val="2"/>
        <charset val="1"/>
      </rPr>
      <t xml:space="preserve">568-42</t>
    </r>
  </si>
  <si>
    <t xml:space="preserve">Wolrim S/S Yanggok D/L 7MW</t>
  </si>
  <si>
    <t xml:space="preserve">GMB Korea Factory 2</t>
  </si>
  <si>
    <t xml:space="preserve">Gyeongsangnam-do Changwon-do Seongsan-gu Gongdan-ro 543</t>
  </si>
  <si>
    <r>
      <rPr>
        <sz val="9"/>
        <color rgb="FF000000"/>
        <rFont val="맑은 고딕"/>
        <family val="2"/>
        <charset val="128"/>
      </rPr>
      <t xml:space="preserve">경상남도 창원시 성산구 공단로 </t>
    </r>
    <r>
      <rPr>
        <sz val="9"/>
        <color rgb="FF000000"/>
        <rFont val="Calibri"/>
        <family val="2"/>
        <charset val="1"/>
      </rPr>
      <t xml:space="preserve">543</t>
    </r>
  </si>
  <si>
    <t xml:space="preserve">A-</t>
  </si>
  <si>
    <t xml:space="preserve">Anmin S/S Osung D/L 12MW</t>
  </si>
  <si>
    <t xml:space="preserve">GMB Korea Headquarters</t>
  </si>
  <si>
    <t xml:space="preserve">Gyeongsangnam-do Changwon-do Seongsan-gu Woongnam-ro 618</t>
  </si>
  <si>
    <r>
      <rPr>
        <sz val="9"/>
        <color rgb="FF000000"/>
        <rFont val="맑은 고딕"/>
        <family val="2"/>
        <charset val="128"/>
      </rPr>
      <t xml:space="preserve">경상남도 창원시 성산구 웅남로 </t>
    </r>
    <r>
      <rPr>
        <sz val="9"/>
        <color rgb="FF000000"/>
        <rFont val="Calibri"/>
        <family val="2"/>
        <charset val="1"/>
      </rPr>
      <t xml:space="preserve">618</t>
    </r>
  </si>
  <si>
    <t xml:space="preserve">Anmin S/S Jiko D/L 10MW</t>
  </si>
  <si>
    <t xml:space="preserve">GMB Korea Seosan</t>
  </si>
  <si>
    <t xml:space="preserve">Chungcheongnam-do Seosan-si Seongyeon-myeon Myeongcheon Industrial Road 69</t>
  </si>
  <si>
    <r>
      <rPr>
        <sz val="9"/>
        <color rgb="FF000000"/>
        <rFont val="맑은 고딕"/>
        <family val="3"/>
        <charset val="129"/>
      </rPr>
      <t xml:space="preserve">충청남도</t>
    </r>
    <r>
      <rPr>
        <sz val="9"/>
        <color rgb="FF000000"/>
        <rFont val="맑은 고딕"/>
        <family val="2"/>
        <charset val="128"/>
      </rPr>
      <t xml:space="preserve"> </t>
    </r>
    <r>
      <rPr>
        <sz val="9"/>
        <color rgb="FF000000"/>
        <rFont val="맑은 고딕"/>
        <family val="3"/>
        <charset val="129"/>
      </rPr>
      <t xml:space="preserve">서산시</t>
    </r>
    <r>
      <rPr>
        <sz val="9"/>
        <color rgb="FF000000"/>
        <rFont val="맑은 고딕"/>
        <family val="2"/>
        <charset val="128"/>
      </rPr>
      <t xml:space="preserve"> </t>
    </r>
    <r>
      <rPr>
        <sz val="9"/>
        <color rgb="FF000000"/>
        <rFont val="맑은 고딕"/>
        <family val="3"/>
        <charset val="129"/>
      </rPr>
      <t xml:space="preserve">성연면</t>
    </r>
    <r>
      <rPr>
        <sz val="9"/>
        <color rgb="FF000000"/>
        <rFont val="맑은 고딕"/>
        <family val="2"/>
        <charset val="128"/>
      </rPr>
      <t xml:space="preserve"> </t>
    </r>
    <r>
      <rPr>
        <sz val="9"/>
        <color rgb="FF000000"/>
        <rFont val="맑은 고딕"/>
        <family val="3"/>
        <charset val="129"/>
      </rPr>
      <t xml:space="preserve">명천산업로</t>
    </r>
    <r>
      <rPr>
        <sz val="9"/>
        <color rgb="FF000000"/>
        <rFont val="맑은 고딕"/>
        <family val="2"/>
        <charset val="128"/>
      </rPr>
      <t xml:space="preserve"> </t>
    </r>
    <r>
      <rPr>
        <sz val="9"/>
        <color rgb="FF000000"/>
        <rFont val="Calibri"/>
        <family val="2"/>
        <charset val="1"/>
      </rPr>
      <t xml:space="preserve">69</t>
    </r>
  </si>
  <si>
    <t xml:space="preserve">Seosan S/S Galhyun D/L 10MW</t>
  </si>
  <si>
    <t xml:space="preserve">Shinyang Metal</t>
  </si>
  <si>
    <t xml:space="preserve">48, Wonsi-ro, Danwon-gu, Ansan-si, Gyeonggi-do (741, Wondong-dong, Danwon-gu, Ansan-si, Gyeonggi-do)</t>
  </si>
  <si>
    <t xml:space="preserve">경기도 안산시 단원구 원시로 48 (경기도 안산시 단원구 원시동 741)</t>
  </si>
  <si>
    <t xml:space="preserve">BangBang Apparel</t>
  </si>
  <si>
    <t xml:space="preserve">경기도 여주시 하거3길 61-42 (경기도 여주시 하거동 444-5)</t>
  </si>
  <si>
    <t xml:space="preserve">Seah css</t>
  </si>
  <si>
    <t xml:space="preserve">Gyeongsangnam-do Changwon-do Seongsan-gu Jeokhyeon-ro 147</t>
  </si>
  <si>
    <r>
      <rPr>
        <sz val="9"/>
        <color rgb="FF000000"/>
        <rFont val="맑은 고딕"/>
        <family val="2"/>
        <charset val="128"/>
      </rPr>
      <t xml:space="preserve">경상남도 창원시 성산구 적현로 </t>
    </r>
    <r>
      <rPr>
        <sz val="9"/>
        <color rgb="FF000000"/>
        <rFont val="Calibri"/>
        <family val="2"/>
        <charset val="1"/>
      </rPr>
      <t xml:space="preserve">147</t>
    </r>
  </si>
  <si>
    <t xml:space="preserve">A+</t>
  </si>
  <si>
    <t xml:space="preserve">Wolrim S/S #1MTR 21MW</t>
  </si>
  <si>
    <t xml:space="preserve">Songwol Towel Shinpyeong</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</si>
  <si>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신평동</t>
    </r>
    <r>
      <rPr>
        <sz val="9"/>
        <color rgb="FF000000"/>
        <rFont val="맑은 고딕"/>
        <family val="2"/>
        <charset val="128"/>
      </rPr>
      <t xml:space="preserve"> </t>
    </r>
    <r>
      <rPr>
        <sz val="9"/>
        <color rgb="FF000000"/>
        <rFont val="Calibri"/>
        <family val="2"/>
        <charset val="1"/>
      </rPr>
      <t xml:space="preserve">653-5</t>
    </r>
  </si>
  <si>
    <t xml:space="preserve"> 35.091201 / 128.957401</t>
  </si>
  <si>
    <t xml:space="preserve">A0</t>
  </si>
  <si>
    <t xml:space="preserve">Sinpyeong S/S Shingang D/L 12MW</t>
  </si>
  <si>
    <t xml:space="preserve">Songwol Towel Bukjeong 1-1</t>
  </si>
  <si>
    <t xml:space="preserve">237-16, Bukjeong-dong, Yangsan-si,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</si>
  <si>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양산시</t>
    </r>
    <r>
      <rPr>
        <sz val="9"/>
        <color rgb="FF000000"/>
        <rFont val="맑은 고딕"/>
        <family val="2"/>
        <charset val="128"/>
      </rPr>
      <t xml:space="preserve"> </t>
    </r>
    <r>
      <rPr>
        <sz val="9"/>
        <color rgb="FF000000"/>
        <rFont val="맑은 고딕"/>
        <family val="2"/>
        <charset val="1"/>
      </rPr>
      <t xml:space="preserve">북정동</t>
    </r>
    <r>
      <rPr>
        <sz val="9"/>
        <color rgb="FF000000"/>
        <rFont val="맑은 고딕"/>
        <family val="2"/>
        <charset val="128"/>
      </rPr>
      <t xml:space="preserve"> </t>
    </r>
    <r>
      <rPr>
        <sz val="9"/>
        <color rgb="FF000000"/>
        <rFont val="Calibri"/>
        <family val="2"/>
        <charset val="1"/>
      </rPr>
      <t xml:space="preserve">237-16</t>
    </r>
  </si>
  <si>
    <t xml:space="preserve"> 35.366090 / 129.045700</t>
  </si>
  <si>
    <t xml:space="preserve">Sanmak S/S New Equipment D/L 12MW</t>
  </si>
  <si>
    <t xml:space="preserve">Songwol Towel Bukjeong 1-2</t>
  </si>
  <si>
    <t xml:space="preserve">236-11 Bukjeong-dong, Yangsan-si,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</si>
  <si>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양산시</t>
    </r>
    <r>
      <rPr>
        <sz val="9"/>
        <color rgb="FF000000"/>
        <rFont val="맑은 고딕"/>
        <family val="2"/>
        <charset val="128"/>
      </rPr>
      <t xml:space="preserve"> </t>
    </r>
    <r>
      <rPr>
        <sz val="9"/>
        <color rgb="FF000000"/>
        <rFont val="맑은 고딕"/>
        <family val="2"/>
        <charset val="1"/>
      </rPr>
      <t xml:space="preserve">북정동</t>
    </r>
    <r>
      <rPr>
        <sz val="9"/>
        <color rgb="FF000000"/>
        <rFont val="맑은 고딕"/>
        <family val="2"/>
        <charset val="128"/>
      </rPr>
      <t xml:space="preserve"> </t>
    </r>
    <r>
      <rPr>
        <sz val="9"/>
        <color rgb="FF000000"/>
        <rFont val="Calibri"/>
        <family val="2"/>
        <charset val="1"/>
      </rPr>
      <t xml:space="preserve">236-11</t>
    </r>
  </si>
  <si>
    <t xml:space="preserve"> 35.366283 / 129.044208</t>
  </si>
  <si>
    <t xml:space="preserve">Songwol Towel Yusan</t>
  </si>
  <si>
    <t xml:space="preserve">Gyeongsangnam-do Yangsan-si Yusan-dong 250-1</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</si>
  <si>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양산시</t>
    </r>
    <r>
      <rPr>
        <sz val="9"/>
        <color rgb="FF000000"/>
        <rFont val="맑은 고딕"/>
        <family val="2"/>
        <charset val="128"/>
      </rPr>
      <t xml:space="preserve"> </t>
    </r>
    <r>
      <rPr>
        <sz val="9"/>
        <color rgb="FF000000"/>
        <rFont val="맑은 고딕"/>
        <family val="2"/>
        <charset val="1"/>
      </rPr>
      <t xml:space="preserve">유산동</t>
    </r>
    <r>
      <rPr>
        <sz val="9"/>
        <color rgb="FF000000"/>
        <rFont val="맑은 고딕"/>
        <family val="2"/>
        <charset val="128"/>
      </rPr>
      <t xml:space="preserve"> </t>
    </r>
    <r>
      <rPr>
        <sz val="9"/>
        <color rgb="FF000000"/>
        <rFont val="Calibri"/>
        <family val="2"/>
        <charset val="1"/>
      </rPr>
      <t xml:space="preserve">250-1</t>
    </r>
  </si>
  <si>
    <t xml:space="preserve"> 35.362791 / 129.031742</t>
  </si>
  <si>
    <t xml:space="preserve">Yangsan SA S/S Duyeon D/L 12MW</t>
  </si>
  <si>
    <t xml:space="preserve">Samkwang Automotive</t>
  </si>
  <si>
    <t xml:space="preserve">Gyeongsangbuk-do, Gyeongsan-si, Jinryang-eup, Asari 417-2</t>
  </si>
  <si>
    <r>
      <rPr>
        <sz val="9"/>
        <color rgb="FF000000"/>
        <rFont val="맑은 고딕"/>
        <family val="2"/>
        <charset val="128"/>
      </rPr>
      <t xml:space="preserve">경상북도 경산시 진량읍 아사리 </t>
    </r>
    <r>
      <rPr>
        <sz val="9"/>
        <color rgb="FF000000"/>
        <rFont val="Calibri"/>
        <family val="2"/>
        <charset val="1"/>
      </rPr>
      <t xml:space="preserve">417-2</t>
    </r>
  </si>
  <si>
    <t xml:space="preserve">BB</t>
  </si>
  <si>
    <t xml:space="preserve">Shingyeongsan S/S Pyeongsa D/L 10MW</t>
  </si>
  <si>
    <t xml:space="preserve">Samkwang OneTech</t>
  </si>
  <si>
    <t xml:space="preserve">Gyeongsangbuk-do, Gyeongsan-si, Jinryang-eup, Gongdan 4-ro 5-gil 19</t>
  </si>
  <si>
    <r>
      <rPr>
        <sz val="9"/>
        <color rgb="FF000000"/>
        <rFont val="맑은 고딕"/>
        <family val="2"/>
        <charset val="128"/>
      </rPr>
      <t xml:space="preserve">경상북도 경산시 진량읍 공단</t>
    </r>
    <r>
      <rPr>
        <sz val="9"/>
        <color rgb="FF000000"/>
        <rFont val="Calibri"/>
        <family val="2"/>
        <charset val="1"/>
      </rPr>
      <t xml:space="preserve">4</t>
    </r>
    <r>
      <rPr>
        <sz val="9"/>
        <color rgb="FF000000"/>
        <rFont val="맑은 고딕"/>
        <family val="2"/>
        <charset val="128"/>
      </rPr>
      <t xml:space="preserve">로</t>
    </r>
    <r>
      <rPr>
        <sz val="9"/>
        <color rgb="FF000000"/>
        <rFont val="Calibri"/>
        <family val="2"/>
        <charset val="1"/>
      </rPr>
      <t xml:space="preserve">5</t>
    </r>
    <r>
      <rPr>
        <sz val="9"/>
        <color rgb="FF000000"/>
        <rFont val="맑은 고딕"/>
        <family val="2"/>
        <charset val="128"/>
      </rPr>
      <t xml:space="preserve">길 </t>
    </r>
    <r>
      <rPr>
        <sz val="9"/>
        <color rgb="FF000000"/>
        <rFont val="Calibri"/>
        <family val="2"/>
        <charset val="1"/>
      </rPr>
      <t xml:space="preserve">19</t>
    </r>
  </si>
  <si>
    <t xml:space="preserve">Shingyeongsan S/S Gagok D/L 9MW</t>
  </si>
  <si>
    <t xml:space="preserve">Samkwang HQ</t>
  </si>
  <si>
    <t xml:space="preserve">Gyeongsangbuk-do, Gyeongsan-si, Jinryang-eup, Gongdan 4-ro 40</t>
  </si>
  <si>
    <r>
      <rPr>
        <sz val="9"/>
        <color rgb="FF000000"/>
        <rFont val="맑은 고딕"/>
        <family val="2"/>
        <charset val="128"/>
      </rPr>
      <t xml:space="preserve">경상북도 경산시 진량읍 공단</t>
    </r>
    <r>
      <rPr>
        <sz val="9"/>
        <color rgb="FF000000"/>
        <rFont val="Calibri"/>
        <family val="2"/>
        <charset val="1"/>
      </rPr>
      <t xml:space="preserve">4</t>
    </r>
    <r>
      <rPr>
        <sz val="9"/>
        <color rgb="FF000000"/>
        <rFont val="맑은 고딕"/>
        <family val="2"/>
        <charset val="128"/>
      </rPr>
      <t xml:space="preserve">로 </t>
    </r>
    <r>
      <rPr>
        <sz val="9"/>
        <color rgb="FF000000"/>
        <rFont val="Calibri"/>
        <family val="2"/>
        <charset val="1"/>
      </rPr>
      <t xml:space="preserve">40</t>
    </r>
  </si>
  <si>
    <r>
      <rPr>
        <sz val="9"/>
        <color theme="1"/>
        <rFont val="Calibri"/>
        <family val="2"/>
        <charset val="1"/>
      </rPr>
      <t xml:space="preserve">SNT Dynamics(</t>
    </r>
    <r>
      <rPr>
        <sz val="9"/>
        <color theme="1"/>
        <rFont val="맑은 고딕"/>
        <family val="3"/>
        <charset val="129"/>
      </rPr>
      <t xml:space="preserve">주차장포함</t>
    </r>
    <r>
      <rPr>
        <sz val="9"/>
        <color theme="1"/>
        <rFont val="Calibri"/>
        <family val="2"/>
        <charset val="1"/>
      </rPr>
      <t xml:space="preserve">)</t>
    </r>
  </si>
  <si>
    <t xml:space="preserve">Gyeongsangnam-do Changwon-do Seongsan-gu Nammyeon-ro 599</t>
  </si>
  <si>
    <r>
      <rPr>
        <sz val="9"/>
        <color rgb="FF000000"/>
        <rFont val="맑은 고딕"/>
        <family val="2"/>
        <charset val="128"/>
      </rPr>
      <t xml:space="preserve">경상남도 창원시 성산구 남면로 </t>
    </r>
    <r>
      <rPr>
        <sz val="9"/>
        <color rgb="FF000000"/>
        <rFont val="Calibri"/>
        <family val="2"/>
        <charset val="1"/>
      </rPr>
      <t xml:space="preserve">599</t>
    </r>
  </si>
  <si>
    <t xml:space="preserve">AA-</t>
  </si>
  <si>
    <t xml:space="preserve">Anmin S/S Unification D/L 12MW</t>
  </si>
  <si>
    <t xml:space="preserve">STX Engine</t>
  </si>
  <si>
    <t xml:space="preserve">Gyeongsangnam-do Changwon-do Seongsan-gu Seongsan-dong 80</t>
  </si>
  <si>
    <r>
      <rPr>
        <sz val="9"/>
        <color rgb="FF000000"/>
        <rFont val="맑은 고딕"/>
        <family val="2"/>
        <charset val="128"/>
      </rPr>
      <t xml:space="preserve">경상남도 창원시 성산구 성산동 </t>
    </r>
    <r>
      <rPr>
        <sz val="9"/>
        <color rgb="FF000000"/>
        <rFont val="Calibri"/>
        <family val="2"/>
        <charset val="1"/>
      </rPr>
      <t xml:space="preserve">80</t>
    </r>
  </si>
  <si>
    <t xml:space="preserve">Wanam S/S Sangbuk D/L 12MW</t>
  </si>
  <si>
    <t xml:space="preserve">Kunhwa Changwon</t>
  </si>
  <si>
    <t xml:space="preserve">129, Sandan 1-gil, Jinbuk-myeon, Masanhappo-gu, Changwon, Gyeongsangnam-do</t>
  </si>
  <si>
    <r>
      <rPr>
        <sz val="9"/>
        <color rgb="FF000000"/>
        <rFont val="맑은 고딕"/>
        <family val="2"/>
        <charset val="128"/>
      </rPr>
      <t xml:space="preserve">경상남도 창원시 마산합포구 진북면 산단</t>
    </r>
    <r>
      <rPr>
        <sz val="9"/>
        <color rgb="FF000000"/>
        <rFont val="Calibri"/>
        <family val="2"/>
        <charset val="1"/>
      </rPr>
      <t xml:space="preserve">1</t>
    </r>
    <r>
      <rPr>
        <sz val="9"/>
        <color rgb="FF000000"/>
        <rFont val="맑은 고딕"/>
        <family val="2"/>
        <charset val="128"/>
      </rPr>
      <t xml:space="preserve">길 </t>
    </r>
    <r>
      <rPr>
        <sz val="9"/>
        <color rgb="FF000000"/>
        <rFont val="Calibri"/>
        <family val="2"/>
        <charset val="1"/>
      </rPr>
      <t xml:space="preserve">129</t>
    </r>
  </si>
  <si>
    <t xml:space="preserve">Jindo SA S/S Geonhwa D/L 13MW</t>
  </si>
  <si>
    <t xml:space="preserve">Taekwang</t>
  </si>
  <si>
    <t xml:space="preserve">660-77 Bongam-dong, Masanwon-gu, Changwon-do, Gyeongsangnam-do</t>
  </si>
  <si>
    <r>
      <rPr>
        <sz val="9"/>
        <color rgb="FF000000"/>
        <rFont val="맑은 고딕"/>
        <family val="2"/>
        <charset val="128"/>
      </rPr>
      <t xml:space="preserve">경상남도 창원시 마산회원구 봉암동 </t>
    </r>
    <r>
      <rPr>
        <sz val="9"/>
        <color rgb="FF000000"/>
        <rFont val="Calibri"/>
        <family val="2"/>
        <charset val="1"/>
      </rPr>
      <t xml:space="preserve">660-77</t>
    </r>
  </si>
  <si>
    <t xml:space="preserve">Soochool S/S Happo D/L 12MW</t>
  </si>
  <si>
    <t xml:space="preserve">Shingal Warehouse 1-1</t>
  </si>
  <si>
    <t xml:space="preserve">586-3, Sin-gal-ri, Moga-myeon, Icheon-si,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</si>
  <si>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이천시</t>
    </r>
    <r>
      <rPr>
        <sz val="9"/>
        <color rgb="FF000000"/>
        <rFont val="맑은 고딕"/>
        <family val="2"/>
        <charset val="128"/>
      </rPr>
      <t xml:space="preserve"> </t>
    </r>
    <r>
      <rPr>
        <sz val="9"/>
        <color rgb="FF000000"/>
        <rFont val="맑은 고딕"/>
        <family val="2"/>
        <charset val="1"/>
      </rPr>
      <t xml:space="preserve">모가면</t>
    </r>
    <r>
      <rPr>
        <sz val="9"/>
        <color rgb="FF000000"/>
        <rFont val="맑은 고딕"/>
        <family val="2"/>
        <charset val="128"/>
      </rPr>
      <t xml:space="preserve"> </t>
    </r>
    <r>
      <rPr>
        <sz val="9"/>
        <color rgb="FF000000"/>
        <rFont val="맑은 고딕"/>
        <family val="2"/>
        <charset val="1"/>
      </rPr>
      <t xml:space="preserve">신갈리</t>
    </r>
    <r>
      <rPr>
        <sz val="9"/>
        <color rgb="FF000000"/>
        <rFont val="맑은 고딕"/>
        <family val="2"/>
        <charset val="128"/>
      </rPr>
      <t xml:space="preserve"> </t>
    </r>
    <r>
      <rPr>
        <sz val="9"/>
        <color rgb="FF000000"/>
        <rFont val="Calibri"/>
        <family val="2"/>
        <charset val="1"/>
      </rPr>
      <t xml:space="preserve">586-3</t>
    </r>
  </si>
  <si>
    <t xml:space="preserve">37.196321 / 127.444041</t>
  </si>
  <si>
    <t xml:space="preserve">Original Owner CCC+
Trust Company A0</t>
  </si>
  <si>
    <t xml:space="preserve">Icheon S/S Mogam D/L 10MW</t>
  </si>
  <si>
    <t xml:space="preserve">Shingal Warehouse 1-2</t>
  </si>
  <si>
    <t xml:space="preserve">971, Sasil-ro, Moga-myeon, Icheon-si,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</si>
  <si>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이천시</t>
    </r>
    <r>
      <rPr>
        <sz val="9"/>
        <color rgb="FF000000"/>
        <rFont val="맑은 고딕"/>
        <family val="2"/>
        <charset val="128"/>
      </rPr>
      <t xml:space="preserve"> </t>
    </r>
    <r>
      <rPr>
        <sz val="9"/>
        <color rgb="FF000000"/>
        <rFont val="맑은 고딕"/>
        <family val="2"/>
        <charset val="1"/>
      </rPr>
      <t xml:space="preserve">모가면</t>
    </r>
    <r>
      <rPr>
        <sz val="9"/>
        <color rgb="FF000000"/>
        <rFont val="맑은 고딕"/>
        <family val="2"/>
        <charset val="128"/>
      </rPr>
      <t xml:space="preserve"> </t>
    </r>
    <r>
      <rPr>
        <sz val="9"/>
        <color rgb="FF000000"/>
        <rFont val="맑은 고딕"/>
        <family val="2"/>
        <charset val="1"/>
      </rPr>
      <t xml:space="preserve">사실로</t>
    </r>
    <r>
      <rPr>
        <sz val="9"/>
        <color rgb="FF000000"/>
        <rFont val="맑은 고딕"/>
        <family val="2"/>
        <charset val="128"/>
      </rPr>
      <t xml:space="preserve"> </t>
    </r>
    <r>
      <rPr>
        <sz val="9"/>
        <color rgb="FF000000"/>
        <rFont val="Calibri"/>
        <family val="2"/>
        <charset val="1"/>
      </rPr>
      <t xml:space="preserve">971(</t>
    </r>
    <r>
      <rPr>
        <sz val="9"/>
        <color rgb="FF000000"/>
        <rFont val="맑은 고딕"/>
        <family val="2"/>
        <charset val="1"/>
      </rPr>
      <t xml:space="preserve">신갈리</t>
    </r>
    <r>
      <rPr>
        <sz val="9"/>
        <color rgb="FF000000"/>
        <rFont val="맑은 고딕"/>
        <family val="2"/>
        <charset val="128"/>
      </rPr>
      <t xml:space="preserve"> </t>
    </r>
    <r>
      <rPr>
        <sz val="9"/>
        <color rgb="FF000000"/>
        <rFont val="Calibri"/>
        <family val="2"/>
        <charset val="1"/>
      </rPr>
      <t xml:space="preserve">850)</t>
    </r>
  </si>
  <si>
    <t xml:space="preserve">37.199076/ 127.444457</t>
  </si>
  <si>
    <t xml:space="preserve">Original Owner CCC-
Trust Company AA+</t>
  </si>
  <si>
    <t xml:space="preserve">GIS</t>
  </si>
  <si>
    <t xml:space="preserve">55, 5gongdan 5-ro, Sandong-eup, Gumi-si, Gyeongsangbuk-do</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</si>
  <si>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구미시</t>
    </r>
    <r>
      <rPr>
        <sz val="9"/>
        <color rgb="FF000000"/>
        <rFont val="맑은 고딕"/>
        <family val="2"/>
        <charset val="128"/>
      </rPr>
      <t xml:space="preserve"> </t>
    </r>
    <r>
      <rPr>
        <sz val="9"/>
        <color rgb="FF000000"/>
        <rFont val="맑은 고딕"/>
        <family val="2"/>
        <charset val="1"/>
      </rPr>
      <t xml:space="preserve">산동읍</t>
    </r>
    <r>
      <rPr>
        <sz val="9"/>
        <color rgb="FF000000"/>
        <rFont val="맑은 고딕"/>
        <family val="2"/>
        <charset val="128"/>
      </rPr>
      <t xml:space="preserve"> </t>
    </r>
    <r>
      <rPr>
        <sz val="9"/>
        <color rgb="FF000000"/>
        <rFont val="Calibri"/>
        <family val="2"/>
        <charset val="1"/>
      </rPr>
      <t xml:space="preserve">5</t>
    </r>
    <r>
      <rPr>
        <sz val="9"/>
        <color rgb="FF000000"/>
        <rFont val="맑은 고딕"/>
        <family val="2"/>
        <charset val="1"/>
      </rPr>
      <t xml:space="preserve">공단</t>
    </r>
    <r>
      <rPr>
        <sz val="9"/>
        <color rgb="FF000000"/>
        <rFont val="맑은 고딕"/>
        <family val="2"/>
        <charset val="128"/>
      </rPr>
      <t xml:space="preserve"> </t>
    </r>
    <r>
      <rPr>
        <sz val="9"/>
        <color rgb="FF000000"/>
        <rFont val="Calibri"/>
        <family val="2"/>
        <charset val="1"/>
      </rPr>
      <t xml:space="preserve">5</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55</t>
    </r>
  </si>
  <si>
    <t xml:space="preserve">36.185808 / 128.431620</t>
  </si>
  <si>
    <t xml:space="preserve">Sangdong S/S Tech D/L 10MW</t>
  </si>
  <si>
    <t xml:space="preserve">Lee Sang Bok</t>
  </si>
  <si>
    <t xml:space="preserve">456, Cheongbuk-ro, Cheongbuk-eup, Pyeongtaek-si, Gyeonggi-do</t>
  </si>
  <si>
    <r>
      <rPr>
        <sz val="9"/>
        <color rgb="FF000000"/>
        <rFont val="맑은 고딕"/>
        <family val="2"/>
        <charset val="1"/>
      </rPr>
      <t xml:space="preserve">경기</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청북읍</t>
    </r>
    <r>
      <rPr>
        <sz val="9"/>
        <color rgb="FF000000"/>
        <rFont val="맑은 고딕"/>
        <family val="2"/>
        <charset val="128"/>
      </rPr>
      <t xml:space="preserve"> </t>
    </r>
    <r>
      <rPr>
        <sz val="9"/>
        <color rgb="FF000000"/>
        <rFont val="맑은 고딕"/>
        <family val="2"/>
        <charset val="1"/>
      </rPr>
      <t xml:space="preserve">율북리</t>
    </r>
    <r>
      <rPr>
        <sz val="9"/>
        <color rgb="FF000000"/>
        <rFont val="맑은 고딕"/>
        <family val="2"/>
        <charset val="128"/>
      </rPr>
      <t xml:space="preserve"> </t>
    </r>
    <r>
      <rPr>
        <sz val="9"/>
        <color rgb="FF000000"/>
        <rFont val="Calibri"/>
        <family val="2"/>
        <charset val="1"/>
      </rPr>
      <t xml:space="preserve">3-29</t>
    </r>
  </si>
  <si>
    <t xml:space="preserve">37.070226 / 126.968714</t>
  </si>
  <si>
    <t xml:space="preserve">Cheongbuk S/S Euso D/L 12MW</t>
  </si>
  <si>
    <t xml:space="preserve">Gunil Steel </t>
  </si>
  <si>
    <t xml:space="preserve">62, Yeonbong 2-gil, Ipjang-myeon, Seobuk-gu, Cheonan-si, Chungcheongnam-do</t>
  </si>
  <si>
    <r>
      <rPr>
        <sz val="9"/>
        <color rgb="FF000000"/>
        <rFont val="맑은 고딕"/>
        <family val="2"/>
        <charset val="1"/>
      </rPr>
      <t xml:space="preserve">충청남도</t>
    </r>
    <r>
      <rPr>
        <sz val="9"/>
        <color rgb="FF000000"/>
        <rFont val="맑은 고딕"/>
        <family val="2"/>
        <charset val="128"/>
      </rPr>
      <t xml:space="preserve"> </t>
    </r>
    <r>
      <rPr>
        <sz val="9"/>
        <color rgb="FF000000"/>
        <rFont val="맑은 고딕"/>
        <family val="2"/>
        <charset val="1"/>
      </rPr>
      <t xml:space="preserve">천안시</t>
    </r>
    <r>
      <rPr>
        <sz val="9"/>
        <color rgb="FF000000"/>
        <rFont val="맑은 고딕"/>
        <family val="2"/>
        <charset val="128"/>
      </rPr>
      <t xml:space="preserve"> </t>
    </r>
    <r>
      <rPr>
        <sz val="9"/>
        <color rgb="FF000000"/>
        <rFont val="맑은 고딕"/>
        <family val="2"/>
        <charset val="1"/>
      </rPr>
      <t xml:space="preserve">서북구</t>
    </r>
    <r>
      <rPr>
        <sz val="9"/>
        <color rgb="FF000000"/>
        <rFont val="맑은 고딕"/>
        <family val="2"/>
        <charset val="128"/>
      </rPr>
      <t xml:space="preserve"> </t>
    </r>
    <r>
      <rPr>
        <sz val="9"/>
        <color rgb="FF000000"/>
        <rFont val="맑은 고딕"/>
        <family val="2"/>
        <charset val="1"/>
      </rPr>
      <t xml:space="preserve">입장면</t>
    </r>
    <r>
      <rPr>
        <sz val="9"/>
        <color rgb="FF000000"/>
        <rFont val="맑은 고딕"/>
        <family val="2"/>
        <charset val="128"/>
      </rPr>
      <t xml:space="preserve"> </t>
    </r>
    <r>
      <rPr>
        <sz val="9"/>
        <color rgb="FF000000"/>
        <rFont val="맑은 고딕"/>
        <family val="2"/>
        <charset val="1"/>
      </rPr>
      <t xml:space="preserve">연봉</t>
    </r>
    <r>
      <rPr>
        <sz val="9"/>
        <color rgb="FF000000"/>
        <rFont val="Calibri"/>
        <family val="2"/>
        <charset val="1"/>
      </rPr>
      <t xml:space="preserve">2</t>
    </r>
    <r>
      <rPr>
        <sz val="9"/>
        <color rgb="FF000000"/>
        <rFont val="맑은 고딕"/>
        <family val="2"/>
        <charset val="1"/>
      </rPr>
      <t xml:space="preserve">길</t>
    </r>
    <r>
      <rPr>
        <sz val="9"/>
        <color rgb="FF000000"/>
        <rFont val="맑은 고딕"/>
        <family val="2"/>
        <charset val="128"/>
      </rPr>
      <t xml:space="preserve"> </t>
    </r>
    <r>
      <rPr>
        <sz val="9"/>
        <color rgb="FF000000"/>
        <rFont val="Calibri"/>
        <family val="2"/>
        <charset val="1"/>
      </rPr>
      <t xml:space="preserve">62</t>
    </r>
  </si>
  <si>
    <t xml:space="preserve">36.950735 / 127.187073</t>
  </si>
  <si>
    <t xml:space="preserve">BBB+</t>
  </si>
  <si>
    <t xml:space="preserve">Dunpo S/S Yeonam D/L 2MW</t>
  </si>
  <si>
    <t xml:space="preserve">Gyeongin Precision Machinery</t>
  </si>
  <si>
    <t xml:space="preserve">92-8, Siu-ro, Danwon-gu, Ansan-si,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</si>
  <si>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안산시</t>
    </r>
    <r>
      <rPr>
        <sz val="9"/>
        <color rgb="FF000000"/>
        <rFont val="맑은 고딕"/>
        <family val="2"/>
        <charset val="128"/>
      </rPr>
      <t xml:space="preserve"> </t>
    </r>
    <r>
      <rPr>
        <sz val="9"/>
        <color rgb="FF000000"/>
        <rFont val="맑은 고딕"/>
        <family val="2"/>
        <charset val="1"/>
      </rPr>
      <t xml:space="preserve">단원구</t>
    </r>
    <r>
      <rPr>
        <sz val="9"/>
        <color rgb="FF000000"/>
        <rFont val="맑은 고딕"/>
        <family val="2"/>
        <charset val="128"/>
      </rPr>
      <t xml:space="preserve"> </t>
    </r>
    <r>
      <rPr>
        <sz val="9"/>
        <color rgb="FF000000"/>
        <rFont val="맑은 고딕"/>
        <family val="2"/>
        <charset val="1"/>
      </rPr>
      <t xml:space="preserve">초지동</t>
    </r>
    <r>
      <rPr>
        <sz val="9"/>
        <color rgb="FF000000"/>
        <rFont val="맑은 고딕"/>
        <family val="2"/>
        <charset val="128"/>
      </rPr>
      <t xml:space="preserve"> </t>
    </r>
    <r>
      <rPr>
        <sz val="9"/>
        <color rgb="FF000000"/>
        <rFont val="Calibri"/>
        <family val="2"/>
        <charset val="1"/>
      </rPr>
      <t xml:space="preserve">619-3</t>
    </r>
  </si>
  <si>
    <t xml:space="preserve">37.307331 / 126.803703</t>
  </si>
  <si>
    <t xml:space="preserve">Namansan S/S Baekdu D/L 12MW</t>
  </si>
  <si>
    <t xml:space="preserve">Oh Sung-young/Oh Se-geun(Private property)</t>
  </si>
  <si>
    <t xml:space="preserve">8 &amp; 10, Changsintteul-gil, Oseong-myeon, Pyeongtaek-si,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</si>
  <si>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오성면</t>
    </r>
    <r>
      <rPr>
        <sz val="9"/>
        <color rgb="FF000000"/>
        <rFont val="맑은 고딕"/>
        <family val="2"/>
        <charset val="128"/>
      </rPr>
      <t xml:space="preserve"> </t>
    </r>
    <r>
      <rPr>
        <sz val="9"/>
        <color rgb="FF000000"/>
        <rFont val="맑은 고딕"/>
        <family val="2"/>
        <charset val="1"/>
      </rPr>
      <t xml:space="preserve">창신뜰길 8,</t>
    </r>
    <r>
      <rPr>
        <sz val="9"/>
        <color rgb="FF000000"/>
        <rFont val="Calibri"/>
        <family val="2"/>
        <charset val="1"/>
      </rPr>
      <t xml:space="preserve"> 10</t>
    </r>
  </si>
  <si>
    <t xml:space="preserve">37.013927 / 127.004582</t>
  </si>
  <si>
    <t xml:space="preserve">Cheongbuk S/S Baekbong D/L 3MW</t>
  </si>
  <si>
    <t xml:space="preserve">Samhyeon</t>
  </si>
  <si>
    <t xml:space="preserve">112, Oseongbuk-ro, Oseong-myeon, Pyeongtaek-si,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</si>
  <si>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오성면</t>
    </r>
    <r>
      <rPr>
        <sz val="9"/>
        <color rgb="FF000000"/>
        <rFont val="맑은 고딕"/>
        <family val="2"/>
        <charset val="128"/>
      </rPr>
      <t xml:space="preserve"> </t>
    </r>
    <r>
      <rPr>
        <sz val="9"/>
        <color rgb="FF000000"/>
        <rFont val="맑은 고딕"/>
        <family val="2"/>
        <charset val="1"/>
      </rPr>
      <t xml:space="preserve">오성북로</t>
    </r>
    <r>
      <rPr>
        <sz val="9"/>
        <color rgb="FF000000"/>
        <rFont val="맑은 고딕"/>
        <family val="2"/>
        <charset val="128"/>
      </rPr>
      <t xml:space="preserve"> </t>
    </r>
    <r>
      <rPr>
        <sz val="9"/>
        <color rgb="FF000000"/>
        <rFont val="Calibri"/>
        <family val="2"/>
        <charset val="1"/>
      </rPr>
      <t xml:space="preserve">112 </t>
    </r>
  </si>
  <si>
    <t xml:space="preserve"> 37.014575 / 126.973801</t>
  </si>
  <si>
    <t xml:space="preserve">Cheongbuk S/S Yujin D/L 10MW</t>
  </si>
  <si>
    <t xml:space="preserve">Soodal Korea</t>
  </si>
  <si>
    <t xml:space="preserve">34-3 &amp; 36-20, Dogok-gil, Yangseong-myeon, Anseong-si,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</si>
  <si>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안성시</t>
    </r>
    <r>
      <rPr>
        <sz val="9"/>
        <color rgb="FF000000"/>
        <rFont val="맑은 고딕"/>
        <family val="2"/>
        <charset val="128"/>
      </rPr>
      <t xml:space="preserve"> </t>
    </r>
    <r>
      <rPr>
        <sz val="9"/>
        <color rgb="FF000000"/>
        <rFont val="맑은 고딕"/>
        <family val="2"/>
        <charset val="1"/>
      </rPr>
      <t xml:space="preserve">양성면</t>
    </r>
    <r>
      <rPr>
        <sz val="9"/>
        <color rgb="FF000000"/>
        <rFont val="맑은 고딕"/>
        <family val="2"/>
        <charset val="128"/>
      </rPr>
      <t xml:space="preserve"> </t>
    </r>
    <r>
      <rPr>
        <sz val="9"/>
        <color rgb="FF000000"/>
        <rFont val="맑은 고딕"/>
        <family val="2"/>
        <charset val="1"/>
      </rPr>
      <t xml:space="preserve">도곡길</t>
    </r>
    <r>
      <rPr>
        <sz val="9"/>
        <color rgb="FF000000"/>
        <rFont val="맑은 고딕"/>
        <family val="2"/>
        <charset val="128"/>
      </rPr>
      <t xml:space="preserve"> </t>
    </r>
    <r>
      <rPr>
        <sz val="9"/>
        <color rgb="FF000000"/>
        <rFont val="Calibri"/>
        <family val="2"/>
        <charset val="1"/>
      </rPr>
      <t xml:space="preserve">34-3,36-20</t>
    </r>
  </si>
  <si>
    <t xml:space="preserve"> 37.078219 / 127.212921</t>
  </si>
  <si>
    <t xml:space="preserve">Anseong S/S Andong D/L 12MW</t>
  </si>
  <si>
    <t xml:space="preserve">AT Gimpo</t>
  </si>
  <si>
    <t xml:space="preserve">12, Arayuk-ro 182beon-gil, Gochon-eup, Gimpo-si,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</si>
  <si>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김포시</t>
    </r>
    <r>
      <rPr>
        <sz val="9"/>
        <color rgb="FF000000"/>
        <rFont val="맑은 고딕"/>
        <family val="2"/>
        <charset val="128"/>
      </rPr>
      <t xml:space="preserve"> </t>
    </r>
    <r>
      <rPr>
        <sz val="9"/>
        <color rgb="FF000000"/>
        <rFont val="맑은 고딕"/>
        <family val="2"/>
        <charset val="1"/>
      </rPr>
      <t xml:space="preserve">고촌읍</t>
    </r>
    <r>
      <rPr>
        <sz val="9"/>
        <color rgb="FF000000"/>
        <rFont val="맑은 고딕"/>
        <family val="2"/>
        <charset val="128"/>
      </rPr>
      <t xml:space="preserve"> </t>
    </r>
    <r>
      <rPr>
        <sz val="9"/>
        <color rgb="FF000000"/>
        <rFont val="맑은 고딕"/>
        <family val="2"/>
        <charset val="1"/>
      </rPr>
      <t xml:space="preserve">아라육로</t>
    </r>
    <r>
      <rPr>
        <sz val="9"/>
        <color rgb="FF000000"/>
        <rFont val="Calibri"/>
        <family val="2"/>
        <charset val="1"/>
      </rPr>
      <t xml:space="preserve">182</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12</t>
    </r>
  </si>
  <si>
    <t xml:space="preserve"> 37.595567 / 126.782454</t>
  </si>
  <si>
    <t xml:space="preserve">Imhak S/S Gocheon D/L 12MW</t>
  </si>
  <si>
    <t xml:space="preserve">Lease agreement to be signed in the second half of 2025</t>
  </si>
  <si>
    <t xml:space="preserve">AT Icheon</t>
  </si>
  <si>
    <t xml:space="preserve">124-33, Daepyeong-ro, Daewol-myeon, Icheon-si,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</si>
  <si>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이천시</t>
    </r>
    <r>
      <rPr>
        <sz val="9"/>
        <color rgb="FF000000"/>
        <rFont val="맑은 고딕"/>
        <family val="2"/>
        <charset val="128"/>
      </rPr>
      <t xml:space="preserve"> </t>
    </r>
    <r>
      <rPr>
        <sz val="9"/>
        <color rgb="FF000000"/>
        <rFont val="맑은 고딕"/>
        <family val="2"/>
        <charset val="1"/>
      </rPr>
      <t xml:space="preserve">대월면</t>
    </r>
    <r>
      <rPr>
        <sz val="9"/>
        <color rgb="FF000000"/>
        <rFont val="맑은 고딕"/>
        <family val="2"/>
        <charset val="128"/>
      </rPr>
      <t xml:space="preserve"> </t>
    </r>
    <r>
      <rPr>
        <sz val="9"/>
        <color rgb="FF000000"/>
        <rFont val="맑은 고딕"/>
        <family val="2"/>
        <charset val="129"/>
      </rPr>
      <t xml:space="preserve">대평로 124-33</t>
    </r>
  </si>
  <si>
    <t xml:space="preserve"> 37.227833 / 127.487317</t>
  </si>
  <si>
    <t xml:space="preserve">Icheon S/S Jangpyeong D/L 10MW</t>
  </si>
  <si>
    <t xml:space="preserve">AT Pyeongtaek</t>
  </si>
  <si>
    <t xml:space="preserve">87, Doilyutong-gil, Pyeongtaek-si,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</si>
  <si>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도일유통길</t>
    </r>
    <r>
      <rPr>
        <sz val="9"/>
        <color rgb="FF000000"/>
        <rFont val="맑은 고딕"/>
        <family val="2"/>
        <charset val="128"/>
      </rPr>
      <t xml:space="preserve"> </t>
    </r>
    <r>
      <rPr>
        <sz val="9"/>
        <color rgb="FF000000"/>
        <rFont val="Calibri"/>
        <family val="2"/>
        <charset val="1"/>
      </rPr>
      <t xml:space="preserve">87</t>
    </r>
  </si>
  <si>
    <t xml:space="preserve"> 37.039748 / 127.103925</t>
  </si>
  <si>
    <t xml:space="preserve">Songtan S/S Songjin D/L 11MW</t>
  </si>
  <si>
    <t xml:space="preserve">AT Ansim </t>
  </si>
  <si>
    <t xml:space="preserve">11, Ansim-ro 102-gil, Dong-gu, Daegu</t>
  </si>
  <si>
    <r>
      <rPr>
        <sz val="9"/>
        <color rgb="FF000000"/>
        <rFont val="맑은 고딕"/>
        <family val="2"/>
        <charset val="1"/>
      </rPr>
      <t xml:space="preserve">대구광역시</t>
    </r>
    <r>
      <rPr>
        <sz val="9"/>
        <color rgb="FF000000"/>
        <rFont val="맑은 고딕"/>
        <family val="2"/>
        <charset val="128"/>
      </rPr>
      <t xml:space="preserve"> </t>
    </r>
    <r>
      <rPr>
        <sz val="9"/>
        <color rgb="FF000000"/>
        <rFont val="맑은 고딕"/>
        <family val="2"/>
        <charset val="1"/>
      </rPr>
      <t xml:space="preserve">동구</t>
    </r>
    <r>
      <rPr>
        <sz val="9"/>
        <color rgb="FF000000"/>
        <rFont val="맑은 고딕"/>
        <family val="2"/>
        <charset val="128"/>
      </rPr>
      <t xml:space="preserve"> </t>
    </r>
    <r>
      <rPr>
        <sz val="9"/>
        <color rgb="FF000000"/>
        <rFont val="맑은 고딕"/>
        <family val="2"/>
        <charset val="1"/>
      </rPr>
      <t xml:space="preserve">안심로</t>
    </r>
    <r>
      <rPr>
        <sz val="9"/>
        <color rgb="FF000000"/>
        <rFont val="Calibri"/>
        <family val="2"/>
        <charset val="1"/>
      </rPr>
      <t xml:space="preserve">102</t>
    </r>
    <r>
      <rPr>
        <sz val="9"/>
        <color rgb="FF000000"/>
        <rFont val="맑은 고딕"/>
        <family val="2"/>
        <charset val="1"/>
      </rPr>
      <t xml:space="preserve">길</t>
    </r>
    <r>
      <rPr>
        <sz val="9"/>
        <color rgb="FF000000"/>
        <rFont val="맑은 고딕"/>
        <family val="2"/>
        <charset val="128"/>
      </rPr>
      <t xml:space="preserve"> </t>
    </r>
    <r>
      <rPr>
        <sz val="9"/>
        <color rgb="FF000000"/>
        <rFont val="Calibri"/>
        <family val="2"/>
        <charset val="1"/>
      </rPr>
      <t xml:space="preserve">11</t>
    </r>
  </si>
  <si>
    <t xml:space="preserve"> 35.870991 / 128.739964</t>
  </si>
  <si>
    <t xml:space="preserve">Sinseo S/S Namjin D/L 11MW</t>
  </si>
  <si>
    <t xml:space="preserve">AT Busan</t>
  </si>
  <si>
    <t xml:space="preserve">37, Garisae 3-ro, Gangseo-gu,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</si>
  <si>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강서구</t>
    </r>
    <r>
      <rPr>
        <sz val="9"/>
        <color rgb="FF000000"/>
        <rFont val="맑은 고딕"/>
        <family val="2"/>
        <charset val="128"/>
      </rPr>
      <t xml:space="preserve"> </t>
    </r>
    <r>
      <rPr>
        <sz val="9"/>
        <color rgb="FF000000"/>
        <rFont val="맑은 고딕"/>
        <family val="3"/>
        <charset val="129"/>
      </rPr>
      <t xml:space="preserve">가리새</t>
    </r>
    <r>
      <rPr>
        <sz val="9"/>
        <color rgb="FF000000"/>
        <rFont val="Calibri"/>
        <family val="2"/>
        <charset val="1"/>
      </rPr>
      <t xml:space="preserve">3</t>
    </r>
    <r>
      <rPr>
        <sz val="9"/>
        <color rgb="FF000000"/>
        <rFont val="맑은 고딕"/>
        <family val="3"/>
        <charset val="129"/>
      </rPr>
      <t xml:space="preserve">로</t>
    </r>
    <r>
      <rPr>
        <sz val="9"/>
        <color rgb="FF000000"/>
        <rFont val="맑은 고딕"/>
        <family val="2"/>
        <charset val="128"/>
      </rPr>
      <t xml:space="preserve"> </t>
    </r>
    <r>
      <rPr>
        <sz val="9"/>
        <color rgb="FF000000"/>
        <rFont val="Calibri"/>
        <family val="2"/>
        <charset val="1"/>
      </rPr>
      <t xml:space="preserve">37</t>
    </r>
  </si>
  <si>
    <t xml:space="preserve"> 35.139336 / 128.888810</t>
  </si>
  <si>
    <t xml:space="preserve">Mi-eum S/S Migok D/L 6.2MW </t>
  </si>
  <si>
    <t xml:space="preserve">AT Hakjang </t>
  </si>
  <si>
    <t xml:space="preserve">116, Daedong-ro, Sasang-gu, Busan</t>
  </si>
  <si>
    <r>
      <rPr>
        <sz val="9"/>
        <color rgb="FF000000"/>
        <rFont val="맑은 고딕"/>
        <family val="3"/>
        <charset val="129"/>
      </rPr>
      <t xml:space="preserve">부산광역시</t>
    </r>
    <r>
      <rPr>
        <sz val="9"/>
        <color rgb="FF000000"/>
        <rFont val="맑은 고딕"/>
        <family val="2"/>
        <charset val="128"/>
      </rPr>
      <t xml:space="preserve"> </t>
    </r>
    <r>
      <rPr>
        <sz val="9"/>
        <color rgb="FF000000"/>
        <rFont val="맑은 고딕"/>
        <family val="3"/>
        <charset val="129"/>
      </rPr>
      <t xml:space="preserve">사상구</t>
    </r>
    <r>
      <rPr>
        <sz val="9"/>
        <color rgb="FF000000"/>
        <rFont val="맑은 고딕"/>
        <family val="2"/>
        <charset val="128"/>
      </rPr>
      <t xml:space="preserve"> </t>
    </r>
    <r>
      <rPr>
        <sz val="9"/>
        <color rgb="FF000000"/>
        <rFont val="맑은 고딕"/>
        <family val="3"/>
        <charset val="129"/>
      </rPr>
      <t xml:space="preserve">학장동</t>
    </r>
    <r>
      <rPr>
        <sz val="9"/>
        <color rgb="FF000000"/>
        <rFont val="맑은 고딕"/>
        <family val="2"/>
        <charset val="128"/>
      </rPr>
      <t xml:space="preserve"> </t>
    </r>
    <r>
      <rPr>
        <sz val="9"/>
        <color rgb="FF000000"/>
        <rFont val="Calibri"/>
        <family val="2"/>
        <charset val="1"/>
      </rPr>
      <t xml:space="preserve">574-72</t>
    </r>
  </si>
  <si>
    <t xml:space="preserve"> 35.139125 / 128.980940</t>
  </si>
  <si>
    <t xml:space="preserve">Eomgung S/S Cheongwang D/L 3MW</t>
  </si>
  <si>
    <t xml:space="preserve">AT Incheon</t>
  </si>
  <si>
    <t xml:space="preserve">42, Seohae-daero 140beon-gil, Jung-gu, Incheon</t>
  </si>
  <si>
    <r>
      <rPr>
        <sz val="9"/>
        <color rgb="FF000000"/>
        <rFont val="맑은 고딕"/>
        <family val="3"/>
        <charset val="129"/>
      </rPr>
      <t xml:space="preserve">인천광역시</t>
    </r>
    <r>
      <rPr>
        <sz val="9"/>
        <color rgb="FF000000"/>
        <rFont val="맑은 고딕"/>
        <family val="2"/>
        <charset val="128"/>
      </rPr>
      <t xml:space="preserve"> </t>
    </r>
    <r>
      <rPr>
        <sz val="9"/>
        <color rgb="FF000000"/>
        <rFont val="맑은 고딕"/>
        <family val="3"/>
        <charset val="129"/>
      </rPr>
      <t xml:space="preserve">중구</t>
    </r>
    <r>
      <rPr>
        <sz val="9"/>
        <color rgb="FF000000"/>
        <rFont val="맑은 고딕"/>
        <family val="2"/>
        <charset val="128"/>
      </rPr>
      <t xml:space="preserve"> </t>
    </r>
    <r>
      <rPr>
        <sz val="9"/>
        <color rgb="FF000000"/>
        <rFont val="맑은 고딕"/>
        <family val="3"/>
        <charset val="129"/>
      </rPr>
      <t xml:space="preserve">신흥동</t>
    </r>
    <r>
      <rPr>
        <sz val="9"/>
        <color rgb="FF000000"/>
        <rFont val="맑은 고딕"/>
        <family val="2"/>
        <charset val="128"/>
      </rPr>
      <t xml:space="preserve"> </t>
    </r>
    <r>
      <rPr>
        <sz val="9"/>
        <color rgb="FF000000"/>
        <rFont val="Calibri"/>
        <family val="2"/>
        <charset val="1"/>
      </rPr>
      <t xml:space="preserve">3</t>
    </r>
    <r>
      <rPr>
        <sz val="9"/>
        <color rgb="FF000000"/>
        <rFont val="맑은 고딕"/>
        <family val="3"/>
        <charset val="129"/>
      </rPr>
      <t xml:space="preserve">가</t>
    </r>
    <r>
      <rPr>
        <sz val="9"/>
        <color rgb="FF000000"/>
        <rFont val="맑은 고딕"/>
        <family val="2"/>
        <charset val="128"/>
      </rPr>
      <t xml:space="preserve"> </t>
    </r>
    <r>
      <rPr>
        <sz val="9"/>
        <color rgb="FF000000"/>
        <rFont val="Calibri"/>
        <family val="2"/>
        <charset val="1"/>
      </rPr>
      <t xml:space="preserve">62-1</t>
    </r>
  </si>
  <si>
    <t xml:space="preserve"> 37.438408 / 126.623474</t>
  </si>
  <si>
    <t xml:space="preserve">Hakik S/S Haksong D/L 9MW</t>
  </si>
  <si>
    <t xml:space="preserve">AT Jeonju</t>
  </si>
  <si>
    <t xml:space="preserve">167, Sinbok-ro, Deokjin-gu, Jeonju-si, Jeonbuk-do</t>
  </si>
  <si>
    <r>
      <rPr>
        <sz val="9"/>
        <color rgb="FF000000"/>
        <rFont val="맑은 고딕"/>
        <family val="3"/>
        <charset val="129"/>
      </rPr>
      <t xml:space="preserve">전북특별자치도</t>
    </r>
    <r>
      <rPr>
        <sz val="9"/>
        <color rgb="FF000000"/>
        <rFont val="맑은 고딕"/>
        <family val="2"/>
        <charset val="128"/>
      </rPr>
      <t xml:space="preserve"> </t>
    </r>
    <r>
      <rPr>
        <sz val="9"/>
        <color rgb="FF000000"/>
        <rFont val="맑은 고딕"/>
        <family val="3"/>
        <charset val="129"/>
      </rPr>
      <t xml:space="preserve">전주시</t>
    </r>
    <r>
      <rPr>
        <sz val="9"/>
        <color rgb="FF000000"/>
        <rFont val="맑은 고딕"/>
        <family val="2"/>
        <charset val="128"/>
      </rPr>
      <t xml:space="preserve"> </t>
    </r>
    <r>
      <rPr>
        <sz val="9"/>
        <color rgb="FF000000"/>
        <rFont val="맑은 고딕"/>
        <family val="3"/>
        <charset val="129"/>
      </rPr>
      <t xml:space="preserve">덕진구</t>
    </r>
    <r>
      <rPr>
        <sz val="9"/>
        <color rgb="FF000000"/>
        <rFont val="맑은 고딕"/>
        <family val="2"/>
        <charset val="128"/>
      </rPr>
      <t xml:space="preserve"> </t>
    </r>
    <r>
      <rPr>
        <sz val="9"/>
        <color rgb="FF000000"/>
        <rFont val="맑은 고딕"/>
        <family val="3"/>
        <charset val="129"/>
      </rPr>
      <t xml:space="preserve">팔복동</t>
    </r>
    <r>
      <rPr>
        <sz val="9"/>
        <color rgb="FF000000"/>
        <rFont val="Calibri"/>
        <family val="2"/>
        <charset val="1"/>
      </rPr>
      <t xml:space="preserve">4</t>
    </r>
    <r>
      <rPr>
        <sz val="9"/>
        <color rgb="FF000000"/>
        <rFont val="맑은 고딕"/>
        <family val="3"/>
        <charset val="129"/>
      </rPr>
      <t xml:space="preserve">가</t>
    </r>
    <r>
      <rPr>
        <sz val="9"/>
        <color rgb="FF000000"/>
        <rFont val="맑은 고딕"/>
        <family val="2"/>
        <charset val="128"/>
      </rPr>
      <t xml:space="preserve"> </t>
    </r>
    <r>
      <rPr>
        <sz val="9"/>
        <color rgb="FF000000"/>
        <rFont val="Calibri"/>
        <family val="2"/>
        <charset val="1"/>
      </rPr>
      <t xml:space="preserve">249-10</t>
    </r>
  </si>
  <si>
    <t xml:space="preserve"> 35.863619 / 127.099393</t>
  </si>
  <si>
    <t xml:space="preserve">Jeollabuk-do</t>
  </si>
  <si>
    <t xml:space="preserve">Jeonju S/S Gongdan #2 D/L 9MW</t>
  </si>
  <si>
    <t xml:space="preserve">AT Cheongwon </t>
  </si>
  <si>
    <t xml:space="preserve">440, Chojeongyaksu-ro, Naesu-eup, Cheongwon-gu, Cheongju-si, Chungcheongbuk-do</t>
  </si>
  <si>
    <r>
      <rPr>
        <sz val="9"/>
        <color rgb="FF000000"/>
        <rFont val="맑은 고딕"/>
        <family val="3"/>
        <charset val="129"/>
      </rPr>
      <t xml:space="preserve">충청북도</t>
    </r>
    <r>
      <rPr>
        <sz val="9"/>
        <color rgb="FF000000"/>
        <rFont val="맑은 고딕"/>
        <family val="2"/>
        <charset val="128"/>
      </rPr>
      <t xml:space="preserve"> </t>
    </r>
    <r>
      <rPr>
        <sz val="9"/>
        <color rgb="FF000000"/>
        <rFont val="맑은 고딕"/>
        <family val="3"/>
        <charset val="129"/>
      </rPr>
      <t xml:space="preserve">청주시</t>
    </r>
    <r>
      <rPr>
        <sz val="9"/>
        <color rgb="FF000000"/>
        <rFont val="맑은 고딕"/>
        <family val="2"/>
        <charset val="128"/>
      </rPr>
      <t xml:space="preserve"> </t>
    </r>
    <r>
      <rPr>
        <sz val="9"/>
        <color rgb="FF000000"/>
        <rFont val="맑은 고딕"/>
        <family val="3"/>
        <charset val="129"/>
      </rPr>
      <t xml:space="preserve">청원구</t>
    </r>
    <r>
      <rPr>
        <sz val="9"/>
        <color rgb="FF000000"/>
        <rFont val="맑은 고딕"/>
        <family val="2"/>
        <charset val="128"/>
      </rPr>
      <t xml:space="preserve"> </t>
    </r>
    <r>
      <rPr>
        <sz val="9"/>
        <color rgb="FF000000"/>
        <rFont val="맑은 고딕"/>
        <family val="3"/>
        <charset val="129"/>
      </rPr>
      <t xml:space="preserve">내수읍</t>
    </r>
    <r>
      <rPr>
        <sz val="9"/>
        <color rgb="FF000000"/>
        <rFont val="맑은 고딕"/>
        <family val="2"/>
        <charset val="128"/>
      </rPr>
      <t xml:space="preserve"> </t>
    </r>
    <r>
      <rPr>
        <sz val="9"/>
        <color rgb="FF000000"/>
        <rFont val="맑은 고딕"/>
        <family val="3"/>
        <charset val="129"/>
      </rPr>
      <t xml:space="preserve">풍정리</t>
    </r>
    <r>
      <rPr>
        <sz val="9"/>
        <color rgb="FF000000"/>
        <rFont val="맑은 고딕"/>
        <family val="2"/>
        <charset val="128"/>
      </rPr>
      <t xml:space="preserve"> </t>
    </r>
    <r>
      <rPr>
        <sz val="9"/>
        <color rgb="FF000000"/>
        <rFont val="Calibri"/>
        <family val="2"/>
        <charset val="1"/>
      </rPr>
      <t xml:space="preserve">16</t>
    </r>
  </si>
  <si>
    <t xml:space="preserve"> 36.711524 / 127.557304</t>
  </si>
  <si>
    <t xml:space="preserve">Chojeong S/S Chojeong D/L 7MW</t>
  </si>
  <si>
    <t xml:space="preserve">Nobelise No. 1</t>
  </si>
  <si>
    <t xml:space="preserve">23, Jeokseogongdan-ro, Yeongju-si, Gyeongsangbuk-do</t>
  </si>
  <si>
    <r>
      <rPr>
        <strike val="true"/>
        <sz val="9"/>
        <color rgb="FFC00000"/>
        <rFont val="맑은 고딕"/>
        <family val="3"/>
        <charset val="129"/>
      </rPr>
      <t xml:space="preserve">경상북도</t>
    </r>
    <r>
      <rPr>
        <strike val="true"/>
        <sz val="9"/>
        <color rgb="FFC00000"/>
        <rFont val="맑은 고딕"/>
        <family val="2"/>
        <charset val="128"/>
      </rPr>
      <t xml:space="preserve"> </t>
    </r>
    <r>
      <rPr>
        <strike val="true"/>
        <sz val="9"/>
        <color rgb="FFC00000"/>
        <rFont val="맑은 고딕"/>
        <family val="3"/>
        <charset val="129"/>
      </rPr>
      <t xml:space="preserve">영주시</t>
    </r>
    <r>
      <rPr>
        <strike val="true"/>
        <sz val="9"/>
        <color rgb="FFC00000"/>
        <rFont val="맑은 고딕"/>
        <family val="2"/>
        <charset val="128"/>
      </rPr>
      <t xml:space="preserve"> </t>
    </r>
    <r>
      <rPr>
        <strike val="true"/>
        <sz val="9"/>
        <color rgb="FFC00000"/>
        <rFont val="맑은 고딕"/>
        <family val="3"/>
        <charset val="129"/>
      </rPr>
      <t xml:space="preserve">적서동</t>
    </r>
    <r>
      <rPr>
        <strike val="true"/>
        <sz val="9"/>
        <color rgb="FFC00000"/>
        <rFont val="맑은 고딕"/>
        <family val="2"/>
        <charset val="128"/>
      </rPr>
      <t xml:space="preserve"> </t>
    </r>
    <r>
      <rPr>
        <strike val="true"/>
        <sz val="9"/>
        <color rgb="FFC00000"/>
        <rFont val="Calibri"/>
        <family val="2"/>
        <charset val="1"/>
      </rPr>
      <t xml:space="preserve">250</t>
    </r>
  </si>
  <si>
    <t xml:space="preserve"> 36.791685 / 128.626380</t>
  </si>
  <si>
    <t xml:space="preserve">December 26, 2012 Available for connection</t>
  </si>
  <si>
    <t xml:space="preserve">Excluded as it is considered difficult to connect due to power system saturation </t>
  </si>
  <si>
    <t xml:space="preserve">Lee Je-hoon (building owned by an individual)</t>
  </si>
  <si>
    <t xml:space="preserve">Gyeonggi-do, Hwaseong-si, Hyangnam-eup, Baektori 429-10</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</si>
  <si>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화성시</t>
    </r>
    <r>
      <rPr>
        <sz val="9"/>
        <color rgb="FF000000"/>
        <rFont val="맑은 고딕"/>
        <family val="2"/>
        <charset val="128"/>
      </rPr>
      <t xml:space="preserve"> </t>
    </r>
    <r>
      <rPr>
        <sz val="9"/>
        <color rgb="FF000000"/>
        <rFont val="맑은 고딕"/>
        <family val="3"/>
        <charset val="129"/>
      </rPr>
      <t xml:space="preserve">향남읍</t>
    </r>
    <r>
      <rPr>
        <sz val="9"/>
        <color rgb="FF000000"/>
        <rFont val="맑은 고딕"/>
        <family val="2"/>
        <charset val="128"/>
      </rPr>
      <t xml:space="preserve"> </t>
    </r>
    <r>
      <rPr>
        <sz val="9"/>
        <color rgb="FF000000"/>
        <rFont val="맑은 고딕"/>
        <family val="3"/>
        <charset val="129"/>
      </rPr>
      <t xml:space="preserve">백토리</t>
    </r>
    <r>
      <rPr>
        <sz val="9"/>
        <color rgb="FF000000"/>
        <rFont val="맑은 고딕"/>
        <family val="2"/>
        <charset val="128"/>
      </rPr>
      <t xml:space="preserve"> </t>
    </r>
    <r>
      <rPr>
        <sz val="9"/>
        <color rgb="FF000000"/>
        <rFont val="Calibri"/>
        <family val="2"/>
        <charset val="1"/>
      </rPr>
      <t xml:space="preserve">429-10</t>
    </r>
  </si>
  <si>
    <t xml:space="preserve"> 37.122956 / 126.944645</t>
  </si>
  <si>
    <t xml:space="preserve">Balan S/S Nohjin D/L 11MW</t>
  </si>
  <si>
    <t xml:space="preserve">Shinyang Mecatech</t>
  </si>
  <si>
    <t xml:space="preserve">Gyeonggi-do Hwaseong-si Hyangnam-eup Baektori 85-1,85-2</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</si>
  <si>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화성시</t>
    </r>
    <r>
      <rPr>
        <sz val="9"/>
        <color rgb="FF000000"/>
        <rFont val="맑은 고딕"/>
        <family val="2"/>
        <charset val="128"/>
      </rPr>
      <t xml:space="preserve"> </t>
    </r>
    <r>
      <rPr>
        <sz val="9"/>
        <color rgb="FF000000"/>
        <rFont val="맑은 고딕"/>
        <family val="2"/>
        <charset val="1"/>
      </rPr>
      <t xml:space="preserve">향남읍</t>
    </r>
    <r>
      <rPr>
        <sz val="9"/>
        <color rgb="FF000000"/>
        <rFont val="맑은 고딕"/>
        <family val="2"/>
        <charset val="128"/>
      </rPr>
      <t xml:space="preserve"> </t>
    </r>
    <r>
      <rPr>
        <sz val="9"/>
        <color rgb="FF000000"/>
        <rFont val="맑은 고딕"/>
        <family val="2"/>
        <charset val="1"/>
      </rPr>
      <t xml:space="preserve">백토리</t>
    </r>
    <r>
      <rPr>
        <sz val="9"/>
        <color rgb="FF000000"/>
        <rFont val="맑은 고딕"/>
        <family val="2"/>
        <charset val="128"/>
      </rPr>
      <t xml:space="preserve"> </t>
    </r>
    <r>
      <rPr>
        <sz val="9"/>
        <color rgb="FF000000"/>
        <rFont val="Calibri"/>
        <family val="2"/>
        <charset val="1"/>
      </rPr>
      <t xml:space="preserve">85-1,85-2</t>
    </r>
  </si>
  <si>
    <t xml:space="preserve"> 37.123441 / 126.945943</t>
  </si>
  <si>
    <t xml:space="preserve">Yale Hightech 1-1</t>
  </si>
  <si>
    <t xml:space="preserve">Gyeonggi-do Pyeongtaek Cheongbuk-eup Baekbong-ri 219-4</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</si>
  <si>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청북읍</t>
    </r>
    <r>
      <rPr>
        <sz val="9"/>
        <color rgb="FF000000"/>
        <rFont val="맑은 고딕"/>
        <family val="2"/>
        <charset val="128"/>
      </rPr>
      <t xml:space="preserve"> </t>
    </r>
    <r>
      <rPr>
        <sz val="9"/>
        <color rgb="FF000000"/>
        <rFont val="맑은 고딕"/>
        <family val="2"/>
        <charset val="1"/>
      </rPr>
      <t xml:space="preserve">백봉리</t>
    </r>
    <r>
      <rPr>
        <sz val="9"/>
        <color rgb="FF000000"/>
        <rFont val="맑은 고딕"/>
        <family val="2"/>
        <charset val="128"/>
      </rPr>
      <t xml:space="preserve"> </t>
    </r>
    <r>
      <rPr>
        <sz val="9"/>
        <color rgb="FF000000"/>
        <rFont val="Calibri"/>
        <family val="2"/>
        <charset val="1"/>
      </rPr>
      <t xml:space="preserve">219-4</t>
    </r>
  </si>
  <si>
    <t xml:space="preserve"> 37.036088 / 126.979952</t>
  </si>
  <si>
    <t xml:space="preserve">Cheongbuk S/S Yanggyo D/L 10MW</t>
  </si>
  <si>
    <t xml:space="preserve">Yale Hightech 1-2</t>
  </si>
  <si>
    <t xml:space="preserve">Gyeonggi-do Pyeongtaek Cheongbuk-eup Baekbong-ri 199-1</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</si>
  <si>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청북읍</t>
    </r>
    <r>
      <rPr>
        <sz val="9"/>
        <color rgb="FF000000"/>
        <rFont val="맑은 고딕"/>
        <family val="2"/>
        <charset val="128"/>
      </rPr>
      <t xml:space="preserve"> </t>
    </r>
    <r>
      <rPr>
        <sz val="9"/>
        <color rgb="FF000000"/>
        <rFont val="맑은 고딕"/>
        <family val="2"/>
        <charset val="1"/>
      </rPr>
      <t xml:space="preserve">백봉리</t>
    </r>
    <r>
      <rPr>
        <sz val="9"/>
        <color rgb="FF000000"/>
        <rFont val="맑은 고딕"/>
        <family val="2"/>
        <charset val="128"/>
      </rPr>
      <t xml:space="preserve"> </t>
    </r>
    <r>
      <rPr>
        <sz val="9"/>
        <color rgb="FF000000"/>
        <rFont val="Calibri"/>
        <family val="2"/>
        <charset val="1"/>
      </rPr>
      <t xml:space="preserve">199-1</t>
    </r>
  </si>
  <si>
    <t xml:space="preserve"> 37.038433 / 126.974824</t>
  </si>
  <si>
    <t xml:space="preserve">Daejin University</t>
  </si>
  <si>
    <t xml:space="preserve">Gyeonggi-do Pocheon-si Seondan-dongsan 11-1</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</si>
  <si>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포천시</t>
    </r>
    <r>
      <rPr>
        <sz val="9"/>
        <color rgb="FF000000"/>
        <rFont val="맑은 고딕"/>
        <family val="2"/>
        <charset val="128"/>
      </rPr>
      <t xml:space="preserve"> </t>
    </r>
    <r>
      <rPr>
        <sz val="9"/>
        <color rgb="FF000000"/>
        <rFont val="맑은 고딕"/>
        <family val="2"/>
        <charset val="1"/>
      </rPr>
      <t xml:space="preserve">선단동</t>
    </r>
    <r>
      <rPr>
        <sz val="9"/>
        <color rgb="FF000000"/>
        <rFont val="맑은 고딕"/>
        <family val="2"/>
        <charset val="128"/>
      </rPr>
      <t xml:space="preserve"> </t>
    </r>
    <r>
      <rPr>
        <sz val="9"/>
        <color rgb="FF000000"/>
        <rFont val="맑은 고딕"/>
        <family val="2"/>
        <charset val="1"/>
      </rPr>
      <t xml:space="preserve">산</t>
    </r>
    <r>
      <rPr>
        <sz val="9"/>
        <color rgb="FF000000"/>
        <rFont val="맑은 고딕"/>
        <family val="2"/>
        <charset val="128"/>
      </rPr>
      <t xml:space="preserve"> </t>
    </r>
    <r>
      <rPr>
        <sz val="9"/>
        <color rgb="FF000000"/>
        <rFont val="Calibri"/>
        <family val="2"/>
        <charset val="1"/>
      </rPr>
      <t xml:space="preserve">11-1</t>
    </r>
  </si>
  <si>
    <t xml:space="preserve"> 37.873020 / 127.156552</t>
  </si>
  <si>
    <t xml:space="preserve">Yongjeong S/S Yongseon D/L 10MW</t>
  </si>
  <si>
    <r>
      <rPr>
        <sz val="9"/>
        <color theme="1"/>
        <rFont val="Calibri"/>
        <family val="2"/>
        <charset val="1"/>
      </rPr>
      <t xml:space="preserve">Industrial Technology(</t>
    </r>
    <r>
      <rPr>
        <sz val="9"/>
        <color theme="1"/>
        <rFont val="Malgun Gothic"/>
        <family val="2"/>
        <charset val="129"/>
      </rPr>
      <t xml:space="preserve">일광개발주식회사</t>
    </r>
    <r>
      <rPr>
        <sz val="9"/>
        <color theme="1"/>
        <rFont val="Calibri"/>
        <family val="2"/>
        <charset val="1"/>
      </rPr>
      <t xml:space="preserve">)</t>
    </r>
  </si>
  <si>
    <t xml:space="preserve">Busan Gijang-gun Jangan-eup Jangansandan 9-ro 87</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</si>
  <si>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기장군</t>
    </r>
    <r>
      <rPr>
        <sz val="9"/>
        <color rgb="FF000000"/>
        <rFont val="맑은 고딕"/>
        <family val="2"/>
        <charset val="128"/>
      </rPr>
      <t xml:space="preserve"> </t>
    </r>
    <r>
      <rPr>
        <sz val="9"/>
        <color rgb="FF000000"/>
        <rFont val="맑은 고딕"/>
        <family val="2"/>
        <charset val="1"/>
      </rPr>
      <t xml:space="preserve">장안읍</t>
    </r>
    <r>
      <rPr>
        <sz val="9"/>
        <color rgb="FF000000"/>
        <rFont val="맑은 고딕"/>
        <family val="2"/>
        <charset val="128"/>
      </rPr>
      <t xml:space="preserve"> </t>
    </r>
    <r>
      <rPr>
        <sz val="9"/>
        <color rgb="FF000000"/>
        <rFont val="맑은 고딕"/>
        <family val="2"/>
        <charset val="1"/>
      </rPr>
      <t xml:space="preserve">장안산단</t>
    </r>
    <r>
      <rPr>
        <sz val="9"/>
        <color rgb="FF000000"/>
        <rFont val="Calibri"/>
        <family val="2"/>
        <charset val="1"/>
      </rPr>
      <t xml:space="preserve">9</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87</t>
    </r>
  </si>
  <si>
    <t xml:space="preserve"> 35.328139/ 129.266508</t>
  </si>
  <si>
    <t xml:space="preserve">Myeongnye S/S Bansan D/L 8MW </t>
  </si>
  <si>
    <t xml:space="preserve">Lease agreement to be signed in July of 2025</t>
  </si>
  <si>
    <t xml:space="preserve">Samjin Food</t>
  </si>
  <si>
    <r>
      <rPr>
        <strike val="true"/>
        <sz val="9"/>
        <color rgb="FFC00000"/>
        <rFont val="맑은 고딕"/>
        <family val="2"/>
        <charset val="1"/>
      </rPr>
      <t xml:space="preserve">부산광역시</t>
    </r>
    <r>
      <rPr>
        <strike val="true"/>
        <sz val="9"/>
        <color rgb="FFC00000"/>
        <rFont val="맑은 고딕"/>
        <family val="2"/>
        <charset val="128"/>
      </rPr>
      <t xml:space="preserve"> </t>
    </r>
    <r>
      <rPr>
        <strike val="true"/>
        <sz val="9"/>
        <color rgb="FFC00000"/>
        <rFont val="맑은 고딕"/>
        <family val="2"/>
        <charset val="1"/>
      </rPr>
      <t xml:space="preserve">사하구</t>
    </r>
    <r>
      <rPr>
        <strike val="true"/>
        <sz val="9"/>
        <color rgb="FFC00000"/>
        <rFont val="맑은 고딕"/>
        <family val="2"/>
        <charset val="128"/>
      </rPr>
      <t xml:space="preserve"> </t>
    </r>
    <r>
      <rPr>
        <strike val="true"/>
        <sz val="9"/>
        <color rgb="FFC00000"/>
        <rFont val="맑은 고딕"/>
        <family val="2"/>
        <charset val="1"/>
      </rPr>
      <t xml:space="preserve">다대로</t>
    </r>
    <r>
      <rPr>
        <strike val="true"/>
        <sz val="9"/>
        <color rgb="FFC00000"/>
        <rFont val="Calibri"/>
        <family val="2"/>
        <charset val="1"/>
      </rPr>
      <t xml:space="preserve">1066</t>
    </r>
    <r>
      <rPr>
        <strike val="true"/>
        <sz val="9"/>
        <color rgb="FFC00000"/>
        <rFont val="맑은 고딕"/>
        <family val="2"/>
        <charset val="1"/>
      </rPr>
      <t xml:space="preserve">번길</t>
    </r>
    <r>
      <rPr>
        <strike val="true"/>
        <sz val="9"/>
        <color rgb="FFC00000"/>
        <rFont val="맑은 고딕"/>
        <family val="2"/>
        <charset val="128"/>
      </rPr>
      <t xml:space="preserve"> </t>
    </r>
    <r>
      <rPr>
        <strike val="true"/>
        <sz val="9"/>
        <color rgb="FFC00000"/>
        <rFont val="Calibri"/>
        <family val="2"/>
        <charset val="1"/>
      </rPr>
      <t xml:space="preserve">51</t>
    </r>
  </si>
  <si>
    <t xml:space="preserve"> 35.079571 / 128.956891</t>
  </si>
  <si>
    <t xml:space="preserve">Jangnim S/S Plating D/L 13MW</t>
  </si>
  <si>
    <t xml:space="preserve">IEN Hanchang Kijang</t>
  </si>
  <si>
    <t xml:space="preserve">Busan Gijang-gun Jangan-eup Jangansandan-ro 111</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</si>
  <si>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기장군</t>
    </r>
    <r>
      <rPr>
        <sz val="9"/>
        <color rgb="FF000000"/>
        <rFont val="맑은 고딕"/>
        <family val="2"/>
        <charset val="128"/>
      </rPr>
      <t xml:space="preserve"> </t>
    </r>
    <r>
      <rPr>
        <sz val="9"/>
        <color rgb="FF000000"/>
        <rFont val="맑은 고딕"/>
        <family val="2"/>
        <charset val="1"/>
      </rPr>
      <t xml:space="preserve">장안읍</t>
    </r>
    <r>
      <rPr>
        <sz val="9"/>
        <color rgb="FF000000"/>
        <rFont val="맑은 고딕"/>
        <family val="2"/>
        <charset val="128"/>
      </rPr>
      <t xml:space="preserve"> </t>
    </r>
    <r>
      <rPr>
        <sz val="9"/>
        <color rgb="FF000000"/>
        <rFont val="맑은 고딕"/>
        <family val="2"/>
        <charset val="1"/>
      </rPr>
      <t xml:space="preserve">장안산단로</t>
    </r>
    <r>
      <rPr>
        <sz val="9"/>
        <color rgb="FF000000"/>
        <rFont val="맑은 고딕"/>
        <family val="2"/>
        <charset val="128"/>
      </rPr>
      <t xml:space="preserve"> </t>
    </r>
    <r>
      <rPr>
        <sz val="9"/>
        <color rgb="FF000000"/>
        <rFont val="Calibri"/>
        <family val="2"/>
        <charset val="1"/>
      </rPr>
      <t xml:space="preserve">111</t>
    </r>
  </si>
  <si>
    <t xml:space="preserve"> 35.330884 / 129.259970</t>
  </si>
  <si>
    <t xml:space="preserve">IEN Hanchang Kangseo</t>
  </si>
  <si>
    <t xml:space="preserve">Busan Gangseo-gu Noksandan 261-ro 14beon-gil 14</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</si>
  <si>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강서구</t>
    </r>
    <r>
      <rPr>
        <sz val="9"/>
        <color rgb="FF000000"/>
        <rFont val="맑은 고딕"/>
        <family val="2"/>
        <charset val="128"/>
      </rPr>
      <t xml:space="preserve"> </t>
    </r>
    <r>
      <rPr>
        <sz val="9"/>
        <color rgb="FF000000"/>
        <rFont val="맑은 고딕"/>
        <family val="2"/>
        <charset val="1"/>
      </rPr>
      <t xml:space="preserve">녹산산단</t>
    </r>
    <r>
      <rPr>
        <sz val="9"/>
        <color rgb="FF000000"/>
        <rFont val="맑은 고딕"/>
        <family val="2"/>
        <charset val="128"/>
      </rPr>
      <t xml:space="preserve"> </t>
    </r>
    <r>
      <rPr>
        <sz val="9"/>
        <color rgb="FF000000"/>
        <rFont val="Calibri"/>
        <family val="2"/>
        <charset val="1"/>
      </rPr>
      <t xml:space="preserve">261</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14</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14</t>
    </r>
  </si>
  <si>
    <t xml:space="preserve"> 35.089575 / 128.847517</t>
  </si>
  <si>
    <t xml:space="preserve">Nokgong S/S Dongan D/L 10MW</t>
  </si>
  <si>
    <t xml:space="preserve">Lee Won Precision</t>
  </si>
  <si>
    <t xml:space="preserve">Busan Gijang-gun Jeonggwan-eup Nonggong-gil 89-29</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</si>
  <si>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기장군</t>
    </r>
    <r>
      <rPr>
        <sz val="9"/>
        <color rgb="FF000000"/>
        <rFont val="맑은 고딕"/>
        <family val="2"/>
        <charset val="128"/>
      </rPr>
      <t xml:space="preserve"> </t>
    </r>
    <r>
      <rPr>
        <sz val="9"/>
        <color rgb="FF000000"/>
        <rFont val="맑은 고딕"/>
        <family val="2"/>
        <charset val="1"/>
      </rPr>
      <t xml:space="preserve">정관읍</t>
    </r>
    <r>
      <rPr>
        <sz val="9"/>
        <color rgb="FF000000"/>
        <rFont val="맑은 고딕"/>
        <family val="2"/>
        <charset val="128"/>
      </rPr>
      <t xml:space="preserve"> </t>
    </r>
    <r>
      <rPr>
        <sz val="9"/>
        <color rgb="FF000000"/>
        <rFont val="맑은 고딕"/>
        <family val="2"/>
        <charset val="1"/>
      </rPr>
      <t xml:space="preserve">농공길</t>
    </r>
    <r>
      <rPr>
        <sz val="9"/>
        <color rgb="FF000000"/>
        <rFont val="맑은 고딕"/>
        <family val="2"/>
        <charset val="128"/>
      </rPr>
      <t xml:space="preserve"> </t>
    </r>
    <r>
      <rPr>
        <sz val="9"/>
        <color rgb="FF000000"/>
        <rFont val="Calibri"/>
        <family val="2"/>
        <charset val="1"/>
      </rPr>
      <t xml:space="preserve">89-29</t>
    </r>
  </si>
  <si>
    <t xml:space="preserve"> 35.327063 / 129.198851</t>
  </si>
  <si>
    <t xml:space="preserve">Jeonggwan S/S Cheonnyeon D/L 11MW</t>
  </si>
  <si>
    <t xml:space="preserve">Lee Won Precision Factory 1</t>
  </si>
  <si>
    <t xml:space="preserve">Busan Gijang-gun Jeonggwan-eup Nonggong-gil 41</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</si>
  <si>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기장군</t>
    </r>
    <r>
      <rPr>
        <sz val="9"/>
        <color rgb="FF000000"/>
        <rFont val="맑은 고딕"/>
        <family val="2"/>
        <charset val="128"/>
      </rPr>
      <t xml:space="preserve"> </t>
    </r>
    <r>
      <rPr>
        <sz val="9"/>
        <color rgb="FF000000"/>
        <rFont val="맑은 고딕"/>
        <family val="2"/>
        <charset val="1"/>
      </rPr>
      <t xml:space="preserve">정관읍</t>
    </r>
    <r>
      <rPr>
        <sz val="9"/>
        <color rgb="FF000000"/>
        <rFont val="맑은 고딕"/>
        <family val="2"/>
        <charset val="128"/>
      </rPr>
      <t xml:space="preserve"> </t>
    </r>
    <r>
      <rPr>
        <sz val="9"/>
        <color rgb="FF000000"/>
        <rFont val="맑은 고딕"/>
        <family val="2"/>
        <charset val="1"/>
      </rPr>
      <t xml:space="preserve">농공길</t>
    </r>
    <r>
      <rPr>
        <sz val="9"/>
        <color rgb="FF000000"/>
        <rFont val="맑은 고딕"/>
        <family val="2"/>
        <charset val="128"/>
      </rPr>
      <t xml:space="preserve"> </t>
    </r>
    <r>
      <rPr>
        <sz val="9"/>
        <color rgb="FF000000"/>
        <rFont val="Calibri"/>
        <family val="2"/>
        <charset val="1"/>
      </rPr>
      <t xml:space="preserve">41</t>
    </r>
  </si>
  <si>
    <t xml:space="preserve"> 35.324627 / 129.195164</t>
  </si>
  <si>
    <t xml:space="preserve">Jeonggwan S/S Yujeon D/L 12MW</t>
  </si>
  <si>
    <t xml:space="preserve">Seyoung Tech</t>
  </si>
  <si>
    <t xml:space="preserve">35, Gadeok-gil 2beon-gil, Sinchang-myeon, Asan-si, Chungcheongnam-do</t>
  </si>
  <si>
    <r>
      <rPr>
        <sz val="9"/>
        <color rgb="FF000000"/>
        <rFont val="맑은 고딕"/>
        <family val="2"/>
        <charset val="1"/>
      </rPr>
      <t xml:space="preserve">충청남도</t>
    </r>
    <r>
      <rPr>
        <sz val="9"/>
        <color rgb="FF000000"/>
        <rFont val="맑은 고딕"/>
        <family val="2"/>
        <charset val="128"/>
      </rPr>
      <t xml:space="preserve"> </t>
    </r>
    <r>
      <rPr>
        <sz val="9"/>
        <color rgb="FF000000"/>
        <rFont val="맑은 고딕"/>
        <family val="2"/>
        <charset val="1"/>
      </rPr>
      <t xml:space="preserve">아산시</t>
    </r>
    <r>
      <rPr>
        <sz val="9"/>
        <color rgb="FF000000"/>
        <rFont val="맑은 고딕"/>
        <family val="2"/>
        <charset val="128"/>
      </rPr>
      <t xml:space="preserve"> </t>
    </r>
    <r>
      <rPr>
        <sz val="9"/>
        <color rgb="FF000000"/>
        <rFont val="맑은 고딕"/>
        <family val="2"/>
        <charset val="1"/>
      </rPr>
      <t xml:space="preserve">신창면</t>
    </r>
    <r>
      <rPr>
        <sz val="9"/>
        <color rgb="FF000000"/>
        <rFont val="맑은 고딕"/>
        <family val="2"/>
        <charset val="128"/>
      </rPr>
      <t xml:space="preserve"> </t>
    </r>
    <r>
      <rPr>
        <sz val="9"/>
        <color rgb="FF000000"/>
        <rFont val="맑은 고딕"/>
        <family val="2"/>
        <charset val="1"/>
      </rPr>
      <t xml:space="preserve">가덕길</t>
    </r>
    <r>
      <rPr>
        <sz val="9"/>
        <color rgb="FF000000"/>
        <rFont val="Calibri"/>
        <family val="2"/>
        <charset val="1"/>
      </rPr>
      <t xml:space="preserve">2</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35</t>
    </r>
  </si>
  <si>
    <t xml:space="preserve"> 36.816785 / 126.926670</t>
  </si>
  <si>
    <t xml:space="preserve">Asan S/S Yeongwang D/L 3MW</t>
  </si>
  <si>
    <t xml:space="preserve">Seji Solotech Busan</t>
  </si>
  <si>
    <t xml:space="preserve">143, Jangansandan 9-ro, Jangan-eup, Gijang-gun,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</si>
  <si>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기장군</t>
    </r>
    <r>
      <rPr>
        <sz val="9"/>
        <color rgb="FF000000"/>
        <rFont val="맑은 고딕"/>
        <family val="2"/>
        <charset val="128"/>
      </rPr>
      <t xml:space="preserve"> </t>
    </r>
    <r>
      <rPr>
        <sz val="9"/>
        <color rgb="FF000000"/>
        <rFont val="맑은 고딕"/>
        <family val="2"/>
        <charset val="1"/>
      </rPr>
      <t xml:space="preserve">장안산단</t>
    </r>
    <r>
      <rPr>
        <sz val="9"/>
        <color rgb="FF000000"/>
        <rFont val="Calibri"/>
        <family val="2"/>
        <charset val="1"/>
      </rPr>
      <t xml:space="preserve">9</t>
    </r>
    <r>
      <rPr>
        <sz val="9"/>
        <color rgb="FF000000"/>
        <rFont val="맑은 고딕"/>
        <family val="2"/>
        <charset val="1"/>
      </rPr>
      <t xml:space="preserve">로</t>
    </r>
    <r>
      <rPr>
        <sz val="9"/>
        <color rgb="FF000000"/>
        <rFont val="맑은 고딕"/>
        <family val="2"/>
        <charset val="128"/>
      </rPr>
      <t xml:space="preserve"> </t>
    </r>
    <r>
      <rPr>
        <sz val="9"/>
        <color rgb="FF000000"/>
        <rFont val="Calibri"/>
        <family val="2"/>
        <charset val="1"/>
      </rPr>
      <t xml:space="preserve">143</t>
    </r>
  </si>
  <si>
    <t xml:space="preserve"> 35.325150 / 129.261213</t>
  </si>
  <si>
    <t xml:space="preserve">Jangan S/S Medical D/L 7MW</t>
  </si>
  <si>
    <t xml:space="preserve">Seji Solotech Ulsan</t>
  </si>
  <si>
    <t xml:space="preserve">24, Bancheonsaneop-ro, Eonyang-eup, Ulju-gun, Ulsan</t>
  </si>
  <si>
    <r>
      <rPr>
        <sz val="9"/>
        <color rgb="FF000000"/>
        <rFont val="맑은 고딕"/>
        <family val="2"/>
        <charset val="1"/>
      </rPr>
      <t xml:space="preserve">울산광역시</t>
    </r>
    <r>
      <rPr>
        <sz val="9"/>
        <color rgb="FF000000"/>
        <rFont val="맑은 고딕"/>
        <family val="2"/>
        <charset val="128"/>
      </rPr>
      <t xml:space="preserve"> </t>
    </r>
    <r>
      <rPr>
        <sz val="9"/>
        <color rgb="FF000000"/>
        <rFont val="맑은 고딕"/>
        <family val="2"/>
        <charset val="1"/>
      </rPr>
      <t xml:space="preserve">울주군</t>
    </r>
    <r>
      <rPr>
        <sz val="9"/>
        <color rgb="FF000000"/>
        <rFont val="맑은 고딕"/>
        <family val="2"/>
        <charset val="128"/>
      </rPr>
      <t xml:space="preserve"> </t>
    </r>
    <r>
      <rPr>
        <sz val="9"/>
        <color rgb="FF000000"/>
        <rFont val="맑은 고딕"/>
        <family val="2"/>
        <charset val="1"/>
      </rPr>
      <t xml:space="preserve">언양읍</t>
    </r>
    <r>
      <rPr>
        <sz val="9"/>
        <color rgb="FF000000"/>
        <rFont val="맑은 고딕"/>
        <family val="2"/>
        <charset val="128"/>
      </rPr>
      <t xml:space="preserve"> </t>
    </r>
    <r>
      <rPr>
        <sz val="9"/>
        <color rgb="FF000000"/>
        <rFont val="맑은 고딕"/>
        <family val="2"/>
        <charset val="1"/>
      </rPr>
      <t xml:space="preserve">반천산업로</t>
    </r>
    <r>
      <rPr>
        <sz val="9"/>
        <color rgb="FF000000"/>
        <rFont val="맑은 고딕"/>
        <family val="2"/>
        <charset val="128"/>
      </rPr>
      <t xml:space="preserve"> </t>
    </r>
    <r>
      <rPr>
        <sz val="9"/>
        <color rgb="FF000000"/>
        <rFont val="Calibri"/>
        <family val="2"/>
        <charset val="1"/>
      </rPr>
      <t xml:space="preserve">24</t>
    </r>
  </si>
  <si>
    <t xml:space="preserve"> 35.558129 / 129.150268</t>
  </si>
  <si>
    <t xml:space="preserve">Bancheon S/S Bansan D/L 9MW</t>
  </si>
  <si>
    <t xml:space="preserve">Lee Jinhee (building owned by an individual)</t>
  </si>
  <si>
    <t xml:space="preserve">Gyeonggi-do Pyeongtaek Seotan-myeon Suwolam-ri 207-7</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</si>
  <si>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서탄면</t>
    </r>
    <r>
      <rPr>
        <sz val="9"/>
        <color rgb="FF000000"/>
        <rFont val="맑은 고딕"/>
        <family val="2"/>
        <charset val="128"/>
      </rPr>
      <t xml:space="preserve"> </t>
    </r>
    <r>
      <rPr>
        <sz val="9"/>
        <color rgb="FF000000"/>
        <rFont val="맑은 고딕"/>
        <family val="2"/>
        <charset val="1"/>
      </rPr>
      <t xml:space="preserve">수월암리</t>
    </r>
    <r>
      <rPr>
        <sz val="9"/>
        <color rgb="FF000000"/>
        <rFont val="맑은 고딕"/>
        <family val="2"/>
        <charset val="128"/>
      </rPr>
      <t xml:space="preserve"> </t>
    </r>
    <r>
      <rPr>
        <sz val="9"/>
        <color rgb="FF000000"/>
        <rFont val="Calibri"/>
        <family val="2"/>
        <charset val="1"/>
      </rPr>
      <t xml:space="preserve">207-7</t>
    </r>
  </si>
  <si>
    <t xml:space="preserve"> 37.126594 / 127.043694</t>
  </si>
  <si>
    <t xml:space="preserve">Osan S/S Seongjeon D/L 12MW</t>
  </si>
  <si>
    <t xml:space="preserve">Jang Minki (building owned by an individual)</t>
  </si>
  <si>
    <t xml:space="preserve">Gyeonggi-do Pyeongtaek Seotan-myeon Suwolam-ri 454</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</si>
  <si>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서탄면</t>
    </r>
    <r>
      <rPr>
        <sz val="9"/>
        <color rgb="FF000000"/>
        <rFont val="맑은 고딕"/>
        <family val="2"/>
        <charset val="128"/>
      </rPr>
      <t xml:space="preserve"> </t>
    </r>
    <r>
      <rPr>
        <sz val="9"/>
        <color rgb="FF000000"/>
        <rFont val="맑은 고딕"/>
        <family val="2"/>
        <charset val="1"/>
      </rPr>
      <t xml:space="preserve">수월암리</t>
    </r>
    <r>
      <rPr>
        <sz val="9"/>
        <color rgb="FF000000"/>
        <rFont val="맑은 고딕"/>
        <family val="2"/>
        <charset val="128"/>
      </rPr>
      <t xml:space="preserve"> </t>
    </r>
    <r>
      <rPr>
        <sz val="9"/>
        <color rgb="FF000000"/>
        <rFont val="Calibri"/>
        <family val="2"/>
        <charset val="1"/>
      </rPr>
      <t xml:space="preserve">454</t>
    </r>
  </si>
  <si>
    <t xml:space="preserve"> 37.114142 / 127.035287</t>
  </si>
  <si>
    <t xml:space="preserve">Oracom</t>
  </si>
  <si>
    <t xml:space="preserve">Gyeonggi-do Pyeongtaek Cheongryong-dong 213-1</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</si>
  <si>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청룡동</t>
    </r>
    <r>
      <rPr>
        <sz val="9"/>
        <color rgb="FF000000"/>
        <rFont val="맑은 고딕"/>
        <family val="2"/>
        <charset val="128"/>
      </rPr>
      <t xml:space="preserve"> </t>
    </r>
    <r>
      <rPr>
        <sz val="9"/>
        <color rgb="FF000000"/>
        <rFont val="Calibri"/>
        <family val="2"/>
        <charset val="1"/>
      </rPr>
      <t xml:space="preserve">213-1</t>
    </r>
  </si>
  <si>
    <t xml:space="preserve"> 37.023004 / 127.123742</t>
  </si>
  <si>
    <t xml:space="preserve">Songtan S/S Gapyeong D/L 12MW</t>
  </si>
  <si>
    <t xml:space="preserve">Boseung</t>
  </si>
  <si>
    <t xml:space="preserve">Gyeonggi-do Pyeongtaek Poseung-eup Seokjeong-jeong 33-6,33-2</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</si>
  <si>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포승읍</t>
    </r>
    <r>
      <rPr>
        <sz val="9"/>
        <color rgb="FF000000"/>
        <rFont val="맑은 고딕"/>
        <family val="2"/>
        <charset val="128"/>
      </rPr>
      <t xml:space="preserve"> </t>
    </r>
    <r>
      <rPr>
        <sz val="9"/>
        <color rgb="FF000000"/>
        <rFont val="맑은 고딕"/>
        <family val="2"/>
        <charset val="1"/>
      </rPr>
      <t xml:space="preserve">석정리</t>
    </r>
    <r>
      <rPr>
        <sz val="9"/>
        <color rgb="FF000000"/>
        <rFont val="맑은 고딕"/>
        <family val="2"/>
        <charset val="128"/>
      </rPr>
      <t xml:space="preserve"> </t>
    </r>
    <r>
      <rPr>
        <sz val="9"/>
        <color rgb="FF000000"/>
        <rFont val="Calibri"/>
        <family val="2"/>
        <charset val="1"/>
      </rPr>
      <t xml:space="preserve">33-6,33-2</t>
    </r>
  </si>
  <si>
    <t xml:space="preserve"> 37.006369 / 126.894703</t>
  </si>
  <si>
    <t xml:space="preserve">Posung S/S Hongpo D/L 7MW</t>
  </si>
  <si>
    <t xml:space="preserve">Daesung Metal</t>
  </si>
  <si>
    <t xml:space="preserve">Gyeongsangbuk-do, Pohang-si, Nam-gu, Daesong-myeon, Okmyeong-ri 582-1</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</si>
  <si>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포항시</t>
    </r>
    <r>
      <rPr>
        <sz val="9"/>
        <color rgb="FF000000"/>
        <rFont val="맑은 고딕"/>
        <family val="2"/>
        <charset val="128"/>
      </rPr>
      <t xml:space="preserve"> </t>
    </r>
    <r>
      <rPr>
        <sz val="9"/>
        <color rgb="FF000000"/>
        <rFont val="맑은 고딕"/>
        <family val="2"/>
        <charset val="1"/>
      </rPr>
      <t xml:space="preserve">남구</t>
    </r>
    <r>
      <rPr>
        <sz val="9"/>
        <color rgb="FF000000"/>
        <rFont val="맑은 고딕"/>
        <family val="2"/>
        <charset val="128"/>
      </rPr>
      <t xml:space="preserve"> </t>
    </r>
    <r>
      <rPr>
        <sz val="9"/>
        <color rgb="FF000000"/>
        <rFont val="맑은 고딕"/>
        <family val="2"/>
        <charset val="1"/>
      </rPr>
      <t xml:space="preserve">대송면</t>
    </r>
    <r>
      <rPr>
        <sz val="9"/>
        <color rgb="FF000000"/>
        <rFont val="맑은 고딕"/>
        <family val="2"/>
        <charset val="128"/>
      </rPr>
      <t xml:space="preserve"> </t>
    </r>
    <r>
      <rPr>
        <sz val="9"/>
        <color rgb="FF000000"/>
        <rFont val="맑은 고딕"/>
        <family val="2"/>
        <charset val="1"/>
      </rPr>
      <t xml:space="preserve">옥명리</t>
    </r>
    <r>
      <rPr>
        <sz val="9"/>
        <color rgb="FF000000"/>
        <rFont val="맑은 고딕"/>
        <family val="2"/>
        <charset val="128"/>
      </rPr>
      <t xml:space="preserve"> </t>
    </r>
    <r>
      <rPr>
        <sz val="9"/>
        <color rgb="FF000000"/>
        <rFont val="Calibri"/>
        <family val="2"/>
        <charset val="1"/>
      </rPr>
      <t xml:space="preserve">582-1</t>
    </r>
  </si>
  <si>
    <t xml:space="preserve"> 35.955122 / 129.387433</t>
  </si>
  <si>
    <t xml:space="preserve">Daesong S/S Dogak D/L 10MW</t>
  </si>
  <si>
    <t xml:space="preserve">Taesung Chemical</t>
  </si>
  <si>
    <t xml:space="preserve">Gyeonggi-do Pyeongtaek Cheongbuk-eup Samgye-ri 156-8</t>
  </si>
  <si>
    <r>
      <rPr>
        <sz val="9"/>
        <color rgb="FF000000"/>
        <rFont val="맑은 고딕"/>
        <family val="2"/>
        <charset val="128"/>
      </rPr>
      <t xml:space="preserve">경기도 평택시 청북읍 삼계리 </t>
    </r>
    <r>
      <rPr>
        <sz val="9"/>
        <color rgb="FF000000"/>
        <rFont val="Calibri"/>
        <family val="2"/>
        <charset val="1"/>
      </rPr>
      <t xml:space="preserve">156-8</t>
    </r>
  </si>
  <si>
    <t xml:space="preserve">Posung S/S Hyunhwa D/L 9MW</t>
  </si>
  <si>
    <t xml:space="preserve">Firstec Changwon</t>
  </si>
  <si>
    <t xml:space="preserve">Gyeongsangnam-do Changwon-do Seongsan-gu Naedong 456-8</t>
  </si>
  <si>
    <r>
      <rPr>
        <sz val="9"/>
        <color rgb="FF000000"/>
        <rFont val="맑은 고딕"/>
        <family val="2"/>
        <charset val="129"/>
      </rPr>
      <t xml:space="preserve">경상남도</t>
    </r>
    <r>
      <rPr>
        <sz val="9"/>
        <color rgb="FF000000"/>
        <rFont val="맑은 고딕"/>
        <family val="2"/>
        <charset val="1"/>
      </rPr>
      <t xml:space="preserve"> </t>
    </r>
    <r>
      <rPr>
        <sz val="9"/>
        <color rgb="FF000000"/>
        <rFont val="맑은 고딕"/>
        <family val="2"/>
        <charset val="129"/>
      </rPr>
      <t xml:space="preserve">창원시</t>
    </r>
    <r>
      <rPr>
        <sz val="9"/>
        <color rgb="FF000000"/>
        <rFont val="맑은 고딕"/>
        <family val="2"/>
        <charset val="1"/>
      </rPr>
      <t xml:space="preserve"> </t>
    </r>
    <r>
      <rPr>
        <sz val="9"/>
        <color rgb="FF000000"/>
        <rFont val="맑은 고딕"/>
        <family val="2"/>
        <charset val="129"/>
      </rPr>
      <t xml:space="preserve">성산구</t>
    </r>
    <r>
      <rPr>
        <sz val="9"/>
        <color rgb="FF000000"/>
        <rFont val="맑은 고딕"/>
        <family val="2"/>
        <charset val="1"/>
      </rPr>
      <t xml:space="preserve"> </t>
    </r>
    <r>
      <rPr>
        <sz val="9"/>
        <color rgb="FF000000"/>
        <rFont val="맑은 고딕"/>
        <family val="2"/>
        <charset val="129"/>
      </rPr>
      <t xml:space="preserve">내동</t>
    </r>
    <r>
      <rPr>
        <sz val="9"/>
        <color rgb="FF000000"/>
        <rFont val="맑은 고딕"/>
        <family val="2"/>
        <charset val="1"/>
      </rPr>
      <t xml:space="preserve"> </t>
    </r>
    <r>
      <rPr>
        <sz val="9"/>
        <color rgb="FF000000"/>
        <rFont val="Calibri"/>
        <family val="2"/>
        <charset val="1"/>
      </rPr>
      <t xml:space="preserve">456-8</t>
    </r>
  </si>
  <si>
    <t xml:space="preserve">Anmin S/S, Tongil D/L 12MW</t>
  </si>
  <si>
    <t xml:space="preserve">Grand Total</t>
  </si>
  <si>
    <t xml:space="preserve">Unit : KRW</t>
  </si>
  <si>
    <t xml:space="preserve">No. of project</t>
  </si>
  <si>
    <t xml:space="preserve">IRR
Originated
based on GV SA</t>
  </si>
  <si>
    <t xml:space="preserve">IRR ASSM
M&amp;A team</t>
  </si>
  <si>
    <t xml:space="preserve">Lease Contract</t>
  </si>
  <si>
    <t xml:space="preserve">Approval Status</t>
  </si>
  <si>
    <t xml:space="preserve">Payment Staus</t>
  </si>
  <si>
    <t xml:space="preserve">Paid Sum</t>
  </si>
  <si>
    <t xml:space="preserve">Total Amount 
to be paid</t>
  </si>
  <si>
    <t xml:space="preserve">Upcoming payment</t>
  </si>
  <si>
    <t xml:space="preserve">Due date Payment</t>
  </si>
  <si>
    <t xml:space="preserve">1st Payment Amount</t>
  </si>
  <si>
    <t xml:space="preserve">2nd Payment Amount</t>
  </si>
  <si>
    <t xml:space="preserve">3rd Payment Amount</t>
  </si>
  <si>
    <t xml:space="preserve">4th Payment Amount</t>
  </si>
  <si>
    <t xml:space="preserve">5th Payment Amount</t>
  </si>
  <si>
    <t xml:space="preserve">Payment Term / next Payment</t>
  </si>
  <si>
    <t xml:space="preserve">Paid amount
(KRW)</t>
  </si>
  <si>
    <t xml:space="preserve">FX rate</t>
  </si>
  <si>
    <t xml:space="preserve">Paid amount
(EUR)</t>
  </si>
  <si>
    <t xml:space="preserve">Paid amount</t>
  </si>
  <si>
    <t xml:space="preserve">Date to paid</t>
  </si>
  <si>
    <t xml:space="preserve">Amount to be paid </t>
  </si>
  <si>
    <t xml:space="preserve">GM</t>
  </si>
  <si>
    <t xml:space="preserve">GM Batch 1
(8 sites Jeju in aggregate)
Total 7,995.72kWp</t>
  </si>
  <si>
    <t xml:space="preserve">Y</t>
  </si>
  <si>
    <t xml:space="preserve">Approved</t>
  </si>
  <si>
    <t xml:space="preserve">Paid Appr. 65%
of Acquisition</t>
  </si>
  <si>
    <t xml:space="preserve">1.55% at DP 1 (Done)
2.15% at DP 2 (Done)
3. 30% at COD (Next)</t>
  </si>
  <si>
    <r>
      <rPr>
        <sz val="10"/>
        <color rgb="FF156082"/>
        <rFont val="Calibri"/>
        <family val="2"/>
        <charset val="1"/>
      </rPr>
      <t xml:space="preserve">GM Batch 2
</t>
    </r>
    <r>
      <rPr>
        <sz val="10"/>
        <color theme="1" tint="0.2499"/>
        <rFont val="Calibri"/>
        <family val="2"/>
        <charset val="1"/>
      </rPr>
      <t xml:space="preserve">(6 sites mainland in aggregate)  
Total 2,847.12kWp</t>
    </r>
  </si>
  <si>
    <t xml:space="preserve"> APA signed by sellers</t>
  </si>
  <si>
    <t xml:space="preserve">40% at signature
Required to 
close APAs</t>
  </si>
  <si>
    <t xml:space="preserve">Devex
1. 40% at Signing (Next)
2. 20% at RtB
3. 30% at Pre-use inspection
4. 10% at COD</t>
  </si>
  <si>
    <r>
      <rPr>
        <sz val="10"/>
        <color rgb="FF156082"/>
        <rFont val="Calibri"/>
        <family val="2"/>
        <charset val="1"/>
      </rPr>
      <t xml:space="preserve">GM Batch 2
</t>
    </r>
    <r>
      <rPr>
        <sz val="10"/>
        <color theme="1" tint="0.2499"/>
        <rFont val="Calibri"/>
        <family val="2"/>
        <charset val="1"/>
      </rPr>
      <t xml:space="preserve">(4 sites)  
Total 3,974.4kWp</t>
    </r>
  </si>
  <si>
    <t xml:space="preserve"> SPA signed by sellers</t>
  </si>
  <si>
    <t xml:space="preserve">80% at signature
Required to 
close SPAs</t>
  </si>
  <si>
    <t xml:space="preserve">계약시점</t>
  </si>
  <si>
    <t xml:space="preserve">지급비율</t>
  </si>
  <si>
    <t xml:space="preserve">예상 지급일정</t>
  </si>
  <si>
    <t xml:space="preserve">Bolt Taeyanggwang 2HO
#221, 42, Eonju-ro 147-gil, Gangnam-gu, Seoul, Korea</t>
  </si>
  <si>
    <t xml:space="preserve">110111-9078109</t>
  </si>
  <si>
    <t xml:space="preserve">771-81-03597</t>
  </si>
  <si>
    <t xml:space="preserve">KB Bank : 096301-04-103327</t>
  </si>
  <si>
    <t xml:space="preserve">DG Organic</t>
  </si>
  <si>
    <r>
      <rPr>
        <sz val="10"/>
        <color rgb="FF156082"/>
        <rFont val="Calibri"/>
        <family val="2"/>
        <charset val="1"/>
      </rPr>
      <t xml:space="preserve">Jinyoung Metal
</t>
    </r>
    <r>
      <rPr>
        <sz val="10"/>
        <color rgb="FF404040"/>
        <rFont val="Calibri"/>
        <family val="2"/>
        <charset val="1"/>
      </rPr>
      <t xml:space="preserve">(2 sites in aggregate)
Total 1,651.59kWp</t>
    </r>
  </si>
  <si>
    <t xml:space="preserve">Jinyoung Metal</t>
  </si>
  <si>
    <t xml:space="preserve">Devex
1. 30% at Signing (Next) 
2. 10% at EBL
3. 50% at DAP
4. 10% at Pre-use inspection</t>
  </si>
  <si>
    <r>
      <rPr>
        <sz val="10"/>
        <color rgb="FF156082"/>
        <rFont val="Calibri"/>
        <family val="2"/>
        <charset val="1"/>
      </rPr>
      <t xml:space="preserve">Kairos
</t>
    </r>
    <r>
      <rPr>
        <sz val="10"/>
        <color theme="1" tint="0.2499"/>
        <rFont val="Calibri"/>
        <family val="2"/>
        <charset val="1"/>
      </rPr>
      <t xml:space="preserve">Total 406kWp</t>
    </r>
  </si>
  <si>
    <t xml:space="preserve">Doori Industry             Total 210kWp</t>
  </si>
  <si>
    <t xml:space="preserve">Gyeongju Hyosung Energy farm                  Total 249.60kWp</t>
  </si>
  <si>
    <t xml:space="preserve">N</t>
  </si>
  <si>
    <t xml:space="preserve">Kojimom Bio                Total 264.32kWp</t>
  </si>
  <si>
    <t xml:space="preserve">Dongshin Motek         Total 380.80kWp</t>
  </si>
  <si>
    <t xml:space="preserve">Vega                                   Total 560kWp</t>
  </si>
  <si>
    <t xml:space="preserve">Korea Kospack           Total 556.16kWp</t>
  </si>
  <si>
    <t xml:space="preserve">Pungcheon Im clan Total 188.16kWp</t>
  </si>
  <si>
    <t xml:space="preserve">Guemjeong Techno             Total 122kWp</t>
  </si>
  <si>
    <t xml:space="preserve">Epyeonan nursing home             Total 172kWp</t>
  </si>
  <si>
    <t xml:space="preserve">Bolt Taeyanggwang 3HO
#224, 42, Eonju-ro 147-gil, Gangnam-gu, Seoul, Korea</t>
  </si>
  <si>
    <t xml:space="preserve">110111-9077284</t>
  </si>
  <si>
    <t xml:space="preserve">314-86-68320</t>
  </si>
  <si>
    <t xml:space="preserve">KB Bank : 
096301-04-103330</t>
  </si>
  <si>
    <r>
      <rPr>
        <sz val="10"/>
        <color rgb="FF156082"/>
        <rFont val="Calibri"/>
        <family val="2"/>
        <charset val="1"/>
      </rPr>
      <t xml:space="preserve">COSMO chemical
</t>
    </r>
    <r>
      <rPr>
        <sz val="10"/>
        <color theme="1" tint="0.2499"/>
        <rFont val="Calibri"/>
        <family val="2"/>
        <charset val="1"/>
      </rPr>
      <t xml:space="preserve">Total 3,065.30kWp</t>
    </r>
  </si>
  <si>
    <t xml:space="preserve">COSMO chemical</t>
  </si>
  <si>
    <t xml:space="preserve">Devex
1. 20% at Signing (Next) 
2. 20% at EBL
3. 50% at DAP
4. 10% at Pre-use inspection</t>
  </si>
  <si>
    <r>
      <rPr>
        <sz val="10"/>
        <color rgb="FF156082"/>
        <rFont val="Calibri"/>
        <family val="2"/>
        <charset val="1"/>
      </rPr>
      <t xml:space="preserve">Seun BNC
</t>
    </r>
    <r>
      <rPr>
        <sz val="10"/>
        <color theme="1" tint="0.2499"/>
        <rFont val="Calibri"/>
        <family val="2"/>
        <charset val="1"/>
      </rPr>
      <t xml:space="preserve">Total 351.16kWp</t>
    </r>
  </si>
  <si>
    <r>
      <rPr>
        <sz val="10"/>
        <color rgb="FF156082"/>
        <rFont val="Calibri"/>
        <family val="2"/>
        <charset val="1"/>
      </rPr>
      <t xml:space="preserve">Seun Steel Gyeongju
</t>
    </r>
    <r>
      <rPr>
        <sz val="10"/>
        <color theme="1" tint="0.2499"/>
        <rFont val="Calibri"/>
        <family val="2"/>
        <charset val="1"/>
      </rPr>
      <t xml:space="preserve">Total 709.25kWp</t>
    </r>
  </si>
  <si>
    <r>
      <rPr>
        <sz val="10"/>
        <color rgb="FF156082"/>
        <rFont val="Calibri"/>
        <family val="2"/>
        <charset val="1"/>
      </rPr>
      <t xml:space="preserve">Oneel
</t>
    </r>
    <r>
      <rPr>
        <sz val="10"/>
        <color theme="1" tint="0.2499"/>
        <rFont val="Calibri"/>
        <family val="2"/>
        <charset val="1"/>
      </rPr>
      <t xml:space="preserve">Total 522.61kWp</t>
    </r>
  </si>
  <si>
    <r>
      <rPr>
        <sz val="10"/>
        <color rgb="FF156082"/>
        <rFont val="Calibri"/>
        <family val="2"/>
        <charset val="1"/>
      </rPr>
      <t xml:space="preserve">Sammi
</t>
    </r>
    <r>
      <rPr>
        <sz val="10"/>
        <color theme="1" tint="0.2499"/>
        <rFont val="Calibri"/>
        <family val="2"/>
        <charset val="1"/>
      </rPr>
      <t xml:space="preserve">Total 2,743.2kWp</t>
    </r>
  </si>
  <si>
    <t xml:space="preserve">Sammi</t>
  </si>
  <si>
    <r>
      <rPr>
        <sz val="10"/>
        <color rgb="FF156082"/>
        <rFont val="Calibri"/>
        <family val="2"/>
        <charset val="1"/>
      </rPr>
      <t xml:space="preserve">Kyunghan Korea 1
</t>
    </r>
    <r>
      <rPr>
        <sz val="10"/>
        <color theme="1" tint="0.2499"/>
        <rFont val="Calibri"/>
        <family val="2"/>
        <charset val="1"/>
      </rPr>
      <t xml:space="preserve">Total 695.33kWp</t>
    </r>
  </si>
  <si>
    <r>
      <rPr>
        <sz val="10"/>
        <color rgb="FF156082"/>
        <rFont val="Calibri"/>
        <family val="2"/>
        <charset val="1"/>
      </rPr>
      <t xml:space="preserve">Yooil Rubber1
</t>
    </r>
    <r>
      <rPr>
        <sz val="10"/>
        <color theme="1" tint="0.2499"/>
        <rFont val="Calibri"/>
        <family val="2"/>
        <charset val="1"/>
      </rPr>
      <t xml:space="preserve">Total 913.77kWp</t>
    </r>
  </si>
  <si>
    <t xml:space="preserve">Yooil Rubber1</t>
  </si>
  <si>
    <r>
      <rPr>
        <sz val="10"/>
        <color rgb="FF156082"/>
        <rFont val="Calibri"/>
        <family val="2"/>
        <charset val="1"/>
      </rPr>
      <t xml:space="preserve">Yooil Rubber2
</t>
    </r>
    <r>
      <rPr>
        <sz val="10"/>
        <color theme="1" tint="0.2499"/>
        <rFont val="Calibri"/>
        <family val="2"/>
        <charset val="1"/>
      </rPr>
      <t xml:space="preserve">Total 544.83kWp</t>
    </r>
  </si>
  <si>
    <t xml:space="preserve">Yooil Rubber2</t>
  </si>
  <si>
    <t xml:space="preserve">Bolt Taeyanggwang 6HO
#231, 42, Eonju-ro 147-gil, Gangnam-gu, Seoul, Korea</t>
  </si>
  <si>
    <t xml:space="preserve">110111-9077888</t>
  </si>
  <si>
    <t xml:space="preserve">339-86-03554</t>
  </si>
  <si>
    <t xml:space="preserve">KB Bank : 
096337-04-011223</t>
  </si>
  <si>
    <r>
      <rPr>
        <sz val="10"/>
        <color rgb="FF156082"/>
        <rFont val="Calibri"/>
        <family val="2"/>
        <charset val="1"/>
      </rPr>
      <t xml:space="preserve">Esun
</t>
    </r>
    <r>
      <rPr>
        <sz val="10"/>
        <color theme="1" tint="0.2499"/>
        <rFont val="Calibri"/>
        <family val="2"/>
        <charset val="1"/>
      </rPr>
      <t xml:space="preserve">Total 150.00kWp</t>
    </r>
  </si>
  <si>
    <t xml:space="preserve">Devex
1. 20% at Signing (Done)
2. 20% at EBL (Next)
3. 50% at DAP
4. 10% at Pre-use inspection</t>
  </si>
  <si>
    <r>
      <rPr>
        <sz val="10"/>
        <color rgb="FF156082"/>
        <rFont val="Calibri"/>
        <family val="2"/>
        <charset val="1"/>
      </rPr>
      <t xml:space="preserve">Sejin SMC
</t>
    </r>
    <r>
      <rPr>
        <sz val="10"/>
        <color theme="1" tint="0.2499"/>
        <rFont val="Calibri"/>
        <family val="2"/>
        <charset val="1"/>
      </rPr>
      <t xml:space="preserve">Total 144.15kWp</t>
    </r>
  </si>
  <si>
    <r>
      <rPr>
        <sz val="10"/>
        <color rgb="FF156082"/>
        <rFont val="Calibri"/>
        <family val="2"/>
        <charset val="1"/>
      </rPr>
      <t xml:space="preserve">Seoyong
</t>
    </r>
    <r>
      <rPr>
        <sz val="10"/>
        <color theme="1" tint="0.2499"/>
        <rFont val="Calibri"/>
        <family val="2"/>
        <charset val="1"/>
      </rPr>
      <t xml:space="preserve">Total 138.43kWp</t>
    </r>
  </si>
  <si>
    <t xml:space="preserve">Bolt Taeyanggwang 7HO
#233, 42, Eonju-ro 147-gil, Gangnam-gu, Seoul, Korea</t>
  </si>
  <si>
    <t xml:space="preserve">110111-9077622</t>
  </si>
  <si>
    <t xml:space="preserve">504-87-03534</t>
  </si>
  <si>
    <t xml:space="preserve">KB Bank : 
096301-04-103343</t>
  </si>
  <si>
    <r>
      <rPr>
        <sz val="10"/>
        <color rgb="FF156082"/>
        <rFont val="Calibri"/>
        <family val="2"/>
        <charset val="1"/>
      </rPr>
      <t xml:space="preserve">Eco Inshutech
</t>
    </r>
    <r>
      <rPr>
        <sz val="10"/>
        <color rgb="FF404040"/>
        <rFont val="Calibri"/>
        <family val="2"/>
        <charset val="1"/>
      </rPr>
      <t xml:space="preserve">Total 319.20kWp</t>
    </r>
  </si>
  <si>
    <t xml:space="preserve">Eco Insutech</t>
  </si>
  <si>
    <r>
      <rPr>
        <sz val="10"/>
        <color rgb="FF156082"/>
        <rFont val="Calibri"/>
        <family val="2"/>
        <charset val="1"/>
      </rPr>
      <t xml:space="preserve">Younggwang Industry
</t>
    </r>
    <r>
      <rPr>
        <sz val="10"/>
        <color rgb="FF404040"/>
        <rFont val="Calibri"/>
        <family val="2"/>
        <charset val="1"/>
      </rPr>
      <t xml:space="preserve">Total 545.46kWp</t>
    </r>
  </si>
  <si>
    <r>
      <rPr>
        <sz val="10"/>
        <color rgb="FF156082"/>
        <rFont val="Calibri"/>
        <family val="2"/>
        <charset val="1"/>
      </rPr>
      <t xml:space="preserve">Ajin P&amp;S
</t>
    </r>
    <r>
      <rPr>
        <sz val="10"/>
        <color theme="1" tint="0.2499"/>
        <rFont val="Calibri"/>
        <family val="2"/>
        <charset val="1"/>
      </rPr>
      <t xml:space="preserve">Total 148.59kWp</t>
    </r>
  </si>
  <si>
    <t xml:space="preserve">Ajin P&amp;S</t>
  </si>
  <si>
    <r>
      <rPr>
        <sz val="10"/>
        <color rgb="FF156082"/>
        <rFont val="Calibri"/>
        <family val="2"/>
        <charset val="1"/>
      </rPr>
      <t xml:space="preserve">Myunghyun Tech
(2 sites in aggregate)
</t>
    </r>
    <r>
      <rPr>
        <sz val="10"/>
        <color rgb="FF404040"/>
        <rFont val="Calibri"/>
        <family val="2"/>
        <charset val="1"/>
      </rPr>
      <t xml:space="preserve">Total 110.08kWp</t>
    </r>
  </si>
  <si>
    <t xml:space="preserve">Myunghyun Tech 1</t>
  </si>
  <si>
    <t xml:space="preserve">Myunghyun Tech 2</t>
  </si>
  <si>
    <r>
      <rPr>
        <sz val="10"/>
        <color rgb="FF156082"/>
        <rFont val="Calibri"/>
        <family val="2"/>
        <charset val="1"/>
      </rPr>
      <t xml:space="preserve">Sehyun Chemical
</t>
    </r>
    <r>
      <rPr>
        <sz val="10"/>
        <color rgb="FF404040"/>
        <rFont val="Calibri"/>
        <family val="2"/>
        <charset val="1"/>
      </rPr>
      <t xml:space="preserve">Total 158.75kWp</t>
    </r>
  </si>
  <si>
    <r>
      <rPr>
        <sz val="10"/>
        <color rgb="FF156082"/>
        <rFont val="Calibri"/>
        <family val="2"/>
        <charset val="1"/>
      </rPr>
      <t xml:space="preserve">Seun BNC
</t>
    </r>
    <r>
      <rPr>
        <sz val="10"/>
        <color rgb="FF404040"/>
        <rFont val="Calibri"/>
        <family val="2"/>
        <charset val="1"/>
      </rPr>
      <t xml:space="preserve">Total 351.16kWp</t>
    </r>
  </si>
  <si>
    <r>
      <rPr>
        <sz val="10"/>
        <color rgb="FF156082"/>
        <rFont val="Calibri"/>
        <family val="2"/>
        <charset val="1"/>
      </rPr>
      <t xml:space="preserve">MPM Trade
</t>
    </r>
    <r>
      <rPr>
        <sz val="10"/>
        <color rgb="FF404040"/>
        <rFont val="Calibri"/>
        <family val="2"/>
        <charset val="1"/>
      </rPr>
      <t xml:space="preserve">Total 210.82kWp</t>
    </r>
  </si>
  <si>
    <r>
      <rPr>
        <sz val="10"/>
        <color rgb="FF156082"/>
        <rFont val="Calibri"/>
        <family val="2"/>
        <charset val="1"/>
      </rPr>
      <t xml:space="preserve">Tyson Foods Korea 
</t>
    </r>
    <r>
      <rPr>
        <sz val="10"/>
        <color rgb="FF404040"/>
        <rFont val="Calibri"/>
        <family val="2"/>
        <charset val="1"/>
      </rPr>
      <t xml:space="preserve">Total 650.24kWp</t>
    </r>
  </si>
  <si>
    <t xml:space="preserve">금액</t>
  </si>
  <si>
    <t xml:space="preserve">1차</t>
  </si>
  <si>
    <t xml:space="preserve">2차</t>
  </si>
  <si>
    <t xml:space="preserve">3차</t>
  </si>
  <si>
    <t xml:space="preserve">4차</t>
  </si>
  <si>
    <t xml:space="preserve">5차</t>
  </si>
  <si>
    <t xml:space="preserve">Batch 1</t>
  </si>
  <si>
    <t xml:space="preserve">Batch 2</t>
  </si>
  <si>
    <t xml:space="preserve">Jinyang metal
에너지플랜
30-10-50-10</t>
  </si>
  <si>
    <t xml:space="preserve">Samhwa Suji</t>
  </si>
  <si>
    <t xml:space="preserve">Sejin SMS</t>
  </si>
  <si>
    <t xml:space="preserve">Ground Mounted-PV M&amp;A</t>
  </si>
  <si>
    <t xml:space="preserve">MoTIE</t>
  </si>
  <si>
    <t xml:space="preserve">EXPENSE FORECAST (KRW)</t>
  </si>
  <si>
    <t xml:space="preserve">INTERNAL</t>
  </si>
  <si>
    <t xml:space="preserve">Coordinates</t>
  </si>
  <si>
    <t xml:space="preserve">Specific Production  (MWh/year)</t>
  </si>
  <si>
    <t xml:space="preserve">Semi-RTB Date</t>
  </si>
  <si>
    <t xml:space="preserve">Interconnection fee(KRW)</t>
  </si>
  <si>
    <t xml:space="preserve">Construction period (months)</t>
  </si>
  <si>
    <t xml:space="preserve">LOI
contract</t>
  </si>
  <si>
    <t xml:space="preserve">Land Contract</t>
  </si>
  <si>
    <t xml:space="preserve">Land Price(KRW)</t>
  </si>
  <si>
    <t xml:space="preserve">Land Price/Pyeong</t>
  </si>
  <si>
    <t xml:space="preserve">Lease Price(KRW)/Year</t>
  </si>
  <si>
    <t xml:space="preserve">Lease Price/Pyeong /Year</t>
  </si>
  <si>
    <t xml:space="preserve">Purchase
(Total project Price)</t>
  </si>
  <si>
    <t xml:space="preserve">Catg</t>
  </si>
  <si>
    <r>
      <rPr>
        <b val="true"/>
        <sz val="10"/>
        <color theme="0"/>
        <rFont val="Calibri"/>
        <family val="2"/>
        <charset val="1"/>
      </rPr>
      <t xml:space="preserve">Land Area(</t>
    </r>
    <r>
      <rPr>
        <b val="true"/>
        <sz val="10"/>
        <color theme="0"/>
        <rFont val="맑은 고딕"/>
        <family val="2"/>
        <charset val="128"/>
      </rPr>
      <t xml:space="preserve">㎡</t>
    </r>
    <r>
      <rPr>
        <b val="true"/>
        <sz val="10"/>
        <color theme="0"/>
        <rFont val="Calibri"/>
        <family val="2"/>
        <charset val="1"/>
      </rPr>
      <t xml:space="preserve">)</t>
    </r>
  </si>
  <si>
    <t xml:space="preserve">EIA</t>
  </si>
  <si>
    <t xml:space="preserve">DAP</t>
  </si>
  <si>
    <t xml:space="preserve">GIA(Grid Interconnetion Agreement)</t>
  </si>
  <si>
    <t xml:space="preserve">Interconnection Line</t>
  </si>
  <si>
    <t xml:space="preserve">Farmland 
only</t>
  </si>
  <si>
    <t xml:space="preserve">Cultural Property</t>
  </si>
  <si>
    <t xml:space="preserve">Forestland Development</t>
  </si>
  <si>
    <t xml:space="preserve">Permits Cost estimation</t>
  </si>
  <si>
    <t xml:space="preserve">Land</t>
  </si>
  <si>
    <t xml:space="preserve">Utility(Grid)</t>
  </si>
  <si>
    <t xml:space="preserve">Permit</t>
  </si>
  <si>
    <t xml:space="preserve">Last updated on</t>
  </si>
  <si>
    <t xml:space="preserve">Specific Production (kWh/kWp/year)</t>
  </si>
  <si>
    <t xml:space="preserve">ex project ower</t>
  </si>
  <si>
    <t xml:space="preserve">Project owner</t>
  </si>
  <si>
    <t xml:space="preserve">Plant type</t>
  </si>
  <si>
    <t xml:space="preserve">2794, Nansan-ri, Seongsan-eup, Seogwipo-si, Jeju-do</t>
  </si>
  <si>
    <r>
      <rPr>
        <sz val="9"/>
        <color rgb="FF000000"/>
        <rFont val="맑은 고딕"/>
        <family val="3"/>
        <charset val="129"/>
      </rPr>
      <t xml:space="preserve">제주도</t>
    </r>
    <r>
      <rPr>
        <sz val="9"/>
        <color rgb="FF000000"/>
        <rFont val="맑은 고딕"/>
        <family val="2"/>
        <charset val="128"/>
      </rPr>
      <t xml:space="preserve"> </t>
    </r>
    <r>
      <rPr>
        <sz val="9"/>
        <color rgb="FF000000"/>
        <rFont val="맑은 고딕"/>
        <family val="3"/>
        <charset val="129"/>
      </rPr>
      <t xml:space="preserve">서귀포시</t>
    </r>
    <r>
      <rPr>
        <sz val="9"/>
        <color rgb="FF000000"/>
        <rFont val="맑은 고딕"/>
        <family val="2"/>
        <charset val="128"/>
      </rPr>
      <t xml:space="preserve"> </t>
    </r>
    <r>
      <rPr>
        <sz val="9"/>
        <color rgb="FF000000"/>
        <rFont val="맑은 고딕"/>
        <family val="3"/>
        <charset val="129"/>
      </rPr>
      <t xml:space="preserve">성산읍</t>
    </r>
    <r>
      <rPr>
        <sz val="9"/>
        <color rgb="FF000000"/>
        <rFont val="맑은 고딕"/>
        <family val="2"/>
        <charset val="128"/>
      </rPr>
      <t xml:space="preserve"> </t>
    </r>
    <r>
      <rPr>
        <sz val="9"/>
        <color rgb="FF000000"/>
        <rFont val="맑은 고딕"/>
        <family val="3"/>
        <charset val="129"/>
      </rPr>
      <t xml:space="preserve">난산리</t>
    </r>
    <r>
      <rPr>
        <sz val="9"/>
        <color rgb="FF000000"/>
        <rFont val="맑은 고딕"/>
        <family val="2"/>
        <charset val="128"/>
      </rPr>
      <t xml:space="preserve"> </t>
    </r>
    <r>
      <rPr>
        <sz val="9"/>
        <color rgb="FF000000"/>
        <rFont val="Calibri"/>
        <family val="2"/>
        <charset val="1"/>
      </rPr>
      <t xml:space="preserve">2794</t>
    </r>
  </si>
  <si>
    <t xml:space="preserve">33.407026 / 126.832880</t>
  </si>
  <si>
    <t xml:space="preserve">LCH</t>
  </si>
  <si>
    <t xml:space="preserve">Jeju</t>
  </si>
  <si>
    <t xml:space="preserve">Signed</t>
  </si>
  <si>
    <t xml:space="preserve">Farmland</t>
  </si>
  <si>
    <t xml:space="preserve">YES</t>
  </si>
  <si>
    <t xml:space="preserve">Seongsan S/S, Nansan D/L _7MW</t>
  </si>
  <si>
    <t xml:space="preserve">Unnecessary</t>
  </si>
  <si>
    <t xml:space="preserve">200,000,000 (already paid by seller)</t>
  </si>
  <si>
    <t xml:space="preserve">Included Permits Cost</t>
  </si>
  <si>
    <t xml:space="preserve">Lee HongYeon</t>
  </si>
  <si>
    <t xml:space="preserve">Ground PV</t>
  </si>
  <si>
    <t xml:space="preserve">Current status: EPC contract reviewing</t>
  </si>
  <si>
    <r>
      <rPr>
        <sz val="9"/>
        <color theme="1"/>
        <rFont val="맑은 고딕"/>
        <family val="3"/>
        <charset val="129"/>
      </rPr>
      <t xml:space="preserve">제주도</t>
    </r>
    <r>
      <rPr>
        <sz val="9"/>
        <color theme="1"/>
        <rFont val="맑은 고딕"/>
        <family val="2"/>
        <charset val="128"/>
      </rPr>
      <t xml:space="preserve"> </t>
    </r>
    <r>
      <rPr>
        <sz val="9"/>
        <color theme="1"/>
        <rFont val="맑은 고딕"/>
        <family val="3"/>
        <charset val="129"/>
      </rPr>
      <t xml:space="preserve">서귀포시</t>
    </r>
    <r>
      <rPr>
        <sz val="9"/>
        <color theme="1"/>
        <rFont val="맑은 고딕"/>
        <family val="2"/>
        <charset val="128"/>
      </rPr>
      <t xml:space="preserve"> </t>
    </r>
    <r>
      <rPr>
        <sz val="9"/>
        <color theme="1"/>
        <rFont val="맑은 고딕"/>
        <family val="3"/>
        <charset val="129"/>
      </rPr>
      <t xml:space="preserve">성산읍</t>
    </r>
    <r>
      <rPr>
        <sz val="9"/>
        <color theme="1"/>
        <rFont val="맑은 고딕"/>
        <family val="2"/>
        <charset val="128"/>
      </rPr>
      <t xml:space="preserve"> </t>
    </r>
    <r>
      <rPr>
        <sz val="9"/>
        <color theme="1"/>
        <rFont val="맑은 고딕"/>
        <family val="3"/>
        <charset val="129"/>
      </rPr>
      <t xml:space="preserve">난산리</t>
    </r>
    <r>
      <rPr>
        <sz val="9"/>
        <color theme="1"/>
        <rFont val="맑은 고딕"/>
        <family val="2"/>
        <charset val="128"/>
      </rPr>
      <t xml:space="preserve"> </t>
    </r>
    <r>
      <rPr>
        <sz val="9"/>
        <color theme="1"/>
        <rFont val="Calibri"/>
        <family val="2"/>
        <charset val="1"/>
      </rPr>
      <t xml:space="preserve">2794</t>
    </r>
  </si>
  <si>
    <t xml:space="preserve">3097, Gasi-ri, Pyoseon-myeon, Seogwipo-si, Jeju-do</t>
  </si>
  <si>
    <r>
      <rPr>
        <sz val="9"/>
        <color rgb="FF000000"/>
        <rFont val="맑은 고딕"/>
        <family val="3"/>
        <charset val="129"/>
      </rPr>
      <t xml:space="preserve">제주도</t>
    </r>
    <r>
      <rPr>
        <sz val="9"/>
        <color rgb="FF000000"/>
        <rFont val="맑은 고딕"/>
        <family val="2"/>
        <charset val="128"/>
      </rPr>
      <t xml:space="preserve"> </t>
    </r>
    <r>
      <rPr>
        <sz val="9"/>
        <color rgb="FF000000"/>
        <rFont val="맑은 고딕"/>
        <family val="3"/>
        <charset val="129"/>
      </rPr>
      <t xml:space="preserve">서귀포시</t>
    </r>
    <r>
      <rPr>
        <sz val="9"/>
        <color rgb="FF000000"/>
        <rFont val="맑은 고딕"/>
        <family val="2"/>
        <charset val="128"/>
      </rPr>
      <t xml:space="preserve"> </t>
    </r>
    <r>
      <rPr>
        <sz val="9"/>
        <color rgb="FF000000"/>
        <rFont val="맑은 고딕"/>
        <family val="3"/>
        <charset val="129"/>
      </rPr>
      <t xml:space="preserve">표선면</t>
    </r>
    <r>
      <rPr>
        <sz val="9"/>
        <color rgb="FF000000"/>
        <rFont val="맑은 고딕"/>
        <family val="2"/>
        <charset val="128"/>
      </rPr>
      <t xml:space="preserve"> </t>
    </r>
    <r>
      <rPr>
        <sz val="9"/>
        <color rgb="FF000000"/>
        <rFont val="맑은 고딕"/>
        <family val="3"/>
        <charset val="129"/>
      </rPr>
      <t xml:space="preserve">가시리</t>
    </r>
    <r>
      <rPr>
        <sz val="9"/>
        <color rgb="FF000000"/>
        <rFont val="맑은 고딕"/>
        <family val="2"/>
        <charset val="128"/>
      </rPr>
      <t xml:space="preserve"> </t>
    </r>
    <r>
      <rPr>
        <sz val="9"/>
        <color rgb="FF000000"/>
        <rFont val="Calibri"/>
        <family val="2"/>
        <charset val="1"/>
      </rPr>
      <t xml:space="preserve">3097</t>
    </r>
  </si>
  <si>
    <t xml:space="preserve">33.369228 / 126.754227</t>
  </si>
  <si>
    <t xml:space="preserve">Mountain</t>
  </si>
  <si>
    <t xml:space="preserve">Pyoseon S/S, Taeheung D/L _4MW</t>
  </si>
  <si>
    <t xml:space="preserve">3745, Wimi-ri, Namwon-eup, Seogwipo-si, Jeju-do</t>
  </si>
  <si>
    <r>
      <rPr>
        <sz val="9"/>
        <color rgb="FF000000"/>
        <rFont val="맑은 고딕"/>
        <family val="3"/>
        <charset val="129"/>
      </rPr>
      <t xml:space="preserve">제주도</t>
    </r>
    <r>
      <rPr>
        <sz val="9"/>
        <color rgb="FF000000"/>
        <rFont val="맑은 고딕"/>
        <family val="2"/>
        <charset val="128"/>
      </rPr>
      <t xml:space="preserve"> </t>
    </r>
    <r>
      <rPr>
        <sz val="9"/>
        <color rgb="FF000000"/>
        <rFont val="맑은 고딕"/>
        <family val="3"/>
        <charset val="129"/>
      </rPr>
      <t xml:space="preserve">서귀포시</t>
    </r>
    <r>
      <rPr>
        <sz val="9"/>
        <color rgb="FF000000"/>
        <rFont val="맑은 고딕"/>
        <family val="2"/>
        <charset val="128"/>
      </rPr>
      <t xml:space="preserve"> </t>
    </r>
    <r>
      <rPr>
        <sz val="9"/>
        <color rgb="FF000000"/>
        <rFont val="맑은 고딕"/>
        <family val="3"/>
        <charset val="129"/>
      </rPr>
      <t xml:space="preserve">남원읍</t>
    </r>
    <r>
      <rPr>
        <sz val="9"/>
        <color rgb="FF000000"/>
        <rFont val="맑은 고딕"/>
        <family val="2"/>
        <charset val="128"/>
      </rPr>
      <t xml:space="preserve"> </t>
    </r>
    <r>
      <rPr>
        <sz val="9"/>
        <color rgb="FF000000"/>
        <rFont val="맑은 고딕"/>
        <family val="3"/>
        <charset val="129"/>
      </rPr>
      <t xml:space="preserve">위미리</t>
    </r>
    <r>
      <rPr>
        <sz val="9"/>
        <color rgb="FF000000"/>
        <rFont val="맑은 고딕"/>
        <family val="2"/>
        <charset val="128"/>
      </rPr>
      <t xml:space="preserve"> </t>
    </r>
    <r>
      <rPr>
        <sz val="9"/>
        <color rgb="FF000000"/>
        <rFont val="Calibri"/>
        <family val="2"/>
        <charset val="1"/>
      </rPr>
      <t xml:space="preserve">3745</t>
    </r>
  </si>
  <si>
    <t xml:space="preserve">33.317158 / 126.655067</t>
  </si>
  <si>
    <t xml:space="preserve">Q2 '26</t>
  </si>
  <si>
    <t xml:space="preserve">Grid-Q2' 26</t>
  </si>
  <si>
    <t xml:space="preserve">Halla S/S</t>
  </si>
  <si>
    <t xml:space="preserve">Kim HanYong</t>
  </si>
  <si>
    <r>
      <rPr>
        <sz val="9"/>
        <color theme="1"/>
        <rFont val="맑은 고딕"/>
        <family val="3"/>
        <charset val="129"/>
      </rPr>
      <t xml:space="preserve">제주도</t>
    </r>
    <r>
      <rPr>
        <sz val="9"/>
        <color theme="1"/>
        <rFont val="맑은 고딕"/>
        <family val="2"/>
        <charset val="128"/>
      </rPr>
      <t xml:space="preserve"> </t>
    </r>
    <r>
      <rPr>
        <sz val="9"/>
        <color theme="1"/>
        <rFont val="맑은 고딕"/>
        <family val="3"/>
        <charset val="129"/>
      </rPr>
      <t xml:space="preserve">서귀포시</t>
    </r>
    <r>
      <rPr>
        <sz val="9"/>
        <color theme="1"/>
        <rFont val="맑은 고딕"/>
        <family val="2"/>
        <charset val="128"/>
      </rPr>
      <t xml:space="preserve"> </t>
    </r>
    <r>
      <rPr>
        <sz val="9"/>
        <color theme="1"/>
        <rFont val="맑은 고딕"/>
        <family val="3"/>
        <charset val="129"/>
      </rPr>
      <t xml:space="preserve">남원읍</t>
    </r>
    <r>
      <rPr>
        <sz val="9"/>
        <color theme="1"/>
        <rFont val="맑은 고딕"/>
        <family val="2"/>
        <charset val="128"/>
      </rPr>
      <t xml:space="preserve"> </t>
    </r>
    <r>
      <rPr>
        <sz val="9"/>
        <color theme="1"/>
        <rFont val="맑은 고딕"/>
        <family val="3"/>
        <charset val="129"/>
      </rPr>
      <t xml:space="preserve">위미리</t>
    </r>
    <r>
      <rPr>
        <sz val="9"/>
        <color theme="1"/>
        <rFont val="맑은 고딕"/>
        <family val="2"/>
        <charset val="128"/>
      </rPr>
      <t xml:space="preserve"> </t>
    </r>
    <r>
      <rPr>
        <sz val="9"/>
        <color theme="1"/>
        <rFont val="Calibri"/>
        <family val="2"/>
        <charset val="1"/>
      </rPr>
      <t xml:space="preserve">3745</t>
    </r>
  </si>
  <si>
    <t xml:space="preserve">Lee SuKyung</t>
  </si>
  <si>
    <t xml:space="preserve">Mountain 56, Sumang-ri, Namwon-eup, Seogwipo-si, Jeju-do</t>
  </si>
  <si>
    <r>
      <rPr>
        <sz val="9"/>
        <color theme="1"/>
        <rFont val="맑은 고딕"/>
        <family val="3"/>
        <charset val="129"/>
      </rPr>
      <t xml:space="preserve">제주도</t>
    </r>
    <r>
      <rPr>
        <sz val="9"/>
        <color theme="1"/>
        <rFont val="맑은 고딕"/>
        <family val="2"/>
        <charset val="128"/>
      </rPr>
      <t xml:space="preserve"> </t>
    </r>
    <r>
      <rPr>
        <sz val="9"/>
        <color theme="1"/>
        <rFont val="맑은 고딕"/>
        <family val="3"/>
        <charset val="129"/>
      </rPr>
      <t xml:space="preserve">서귀포시</t>
    </r>
    <r>
      <rPr>
        <sz val="9"/>
        <color theme="1"/>
        <rFont val="맑은 고딕"/>
        <family val="2"/>
        <charset val="128"/>
      </rPr>
      <t xml:space="preserve"> </t>
    </r>
    <r>
      <rPr>
        <sz val="9"/>
        <color theme="1"/>
        <rFont val="맑은 고딕"/>
        <family val="3"/>
        <charset val="129"/>
      </rPr>
      <t xml:space="preserve">남원읍</t>
    </r>
    <r>
      <rPr>
        <sz val="9"/>
        <color theme="1"/>
        <rFont val="맑은 고딕"/>
        <family val="2"/>
        <charset val="128"/>
      </rPr>
      <t xml:space="preserve"> </t>
    </r>
    <r>
      <rPr>
        <sz val="9"/>
        <color theme="1"/>
        <rFont val="맑은 고딕"/>
        <family val="3"/>
        <charset val="129"/>
      </rPr>
      <t xml:space="preserve">수망리</t>
    </r>
    <r>
      <rPr>
        <sz val="9"/>
        <color theme="1"/>
        <rFont val="맑은 고딕"/>
        <family val="2"/>
        <charset val="128"/>
      </rPr>
      <t xml:space="preserve"> </t>
    </r>
    <r>
      <rPr>
        <sz val="9"/>
        <color theme="1"/>
        <rFont val="맑은 고딕"/>
        <family val="3"/>
        <charset val="129"/>
      </rPr>
      <t xml:space="preserve">산</t>
    </r>
    <r>
      <rPr>
        <sz val="9"/>
        <color theme="1"/>
        <rFont val="맑은 고딕"/>
        <family val="2"/>
        <charset val="128"/>
      </rPr>
      <t xml:space="preserve"> </t>
    </r>
    <r>
      <rPr>
        <sz val="9"/>
        <color theme="1"/>
        <rFont val="Calibri"/>
        <family val="2"/>
        <charset val="1"/>
      </rPr>
      <t xml:space="preserve">56</t>
    </r>
  </si>
  <si>
    <t xml:space="preserve">33.350553 / 126.714457</t>
  </si>
  <si>
    <t xml:space="preserve">Q4 '25</t>
  </si>
  <si>
    <t xml:space="preserve">Grid-Q1 '26</t>
  </si>
  <si>
    <t xml:space="preserve">Kim JungHee</t>
  </si>
  <si>
    <t xml:space="preserve">Mountain 56 &amp; 619 Sumang-ri, Namwon-eup, Seogwipo-si, Jeju-do</t>
  </si>
  <si>
    <r>
      <rPr>
        <sz val="9"/>
        <color theme="1"/>
        <rFont val="맑은 고딕"/>
        <family val="3"/>
        <charset val="129"/>
      </rPr>
      <t xml:space="preserve">제주도</t>
    </r>
    <r>
      <rPr>
        <sz val="9"/>
        <color theme="1"/>
        <rFont val="맑은 고딕"/>
        <family val="2"/>
        <charset val="128"/>
      </rPr>
      <t xml:space="preserve"> </t>
    </r>
    <r>
      <rPr>
        <sz val="9"/>
        <color theme="1"/>
        <rFont val="맑은 고딕"/>
        <family val="3"/>
        <charset val="129"/>
      </rPr>
      <t xml:space="preserve">서귀포시</t>
    </r>
    <r>
      <rPr>
        <sz val="9"/>
        <color theme="1"/>
        <rFont val="맑은 고딕"/>
        <family val="2"/>
        <charset val="128"/>
      </rPr>
      <t xml:space="preserve"> </t>
    </r>
    <r>
      <rPr>
        <sz val="9"/>
        <color theme="1"/>
        <rFont val="맑은 고딕"/>
        <family val="3"/>
        <charset val="129"/>
      </rPr>
      <t xml:space="preserve">남원읍</t>
    </r>
    <r>
      <rPr>
        <sz val="9"/>
        <color theme="1"/>
        <rFont val="맑은 고딕"/>
        <family val="2"/>
        <charset val="128"/>
      </rPr>
      <t xml:space="preserve"> </t>
    </r>
    <r>
      <rPr>
        <sz val="9"/>
        <color theme="1"/>
        <rFont val="맑은 고딕"/>
        <family val="3"/>
        <charset val="129"/>
      </rPr>
      <t xml:space="preserve">수망리</t>
    </r>
    <r>
      <rPr>
        <sz val="9"/>
        <color theme="1"/>
        <rFont val="맑은 고딕"/>
        <family val="2"/>
        <charset val="128"/>
      </rPr>
      <t xml:space="preserve"> </t>
    </r>
    <r>
      <rPr>
        <sz val="9"/>
        <color theme="1"/>
        <rFont val="Calibri"/>
        <family val="2"/>
        <charset val="1"/>
      </rPr>
      <t xml:space="preserve">619</t>
    </r>
    <r>
      <rPr>
        <sz val="9"/>
        <color theme="1"/>
        <rFont val="맑은 고딕"/>
        <family val="3"/>
        <charset val="129"/>
      </rPr>
      <t xml:space="preserve">번지</t>
    </r>
    <r>
      <rPr>
        <sz val="9"/>
        <color theme="1"/>
        <rFont val="맑은 고딕"/>
        <family val="2"/>
        <charset val="128"/>
      </rPr>
      <t xml:space="preserve"> </t>
    </r>
    <r>
      <rPr>
        <sz val="9"/>
        <color theme="1"/>
        <rFont val="Calibri"/>
        <family val="2"/>
        <charset val="1"/>
      </rPr>
      <t xml:space="preserve">&amp; </t>
    </r>
    <r>
      <rPr>
        <sz val="9"/>
        <color theme="1"/>
        <rFont val="맑은 고딕"/>
        <family val="3"/>
        <charset val="129"/>
      </rPr>
      <t xml:space="preserve">산</t>
    </r>
    <r>
      <rPr>
        <sz val="9"/>
        <color theme="1"/>
        <rFont val="맑은 고딕"/>
        <family val="2"/>
        <charset val="128"/>
      </rPr>
      <t xml:space="preserve"> </t>
    </r>
    <r>
      <rPr>
        <sz val="9"/>
        <color theme="1"/>
        <rFont val="Calibri"/>
        <family val="2"/>
        <charset val="1"/>
      </rPr>
      <t xml:space="preserve">56</t>
    </r>
  </si>
  <si>
    <t xml:space="preserve">33.350107 / 126.716851</t>
  </si>
  <si>
    <t xml:space="preserve">Kim JungHyun</t>
  </si>
  <si>
    <t xml:space="preserve">260, Jangchon-ri, Masan-myeon, Haenam-gun, Jeollanam-do</t>
  </si>
  <si>
    <r>
      <rPr>
        <sz val="9"/>
        <color rgb="FF000000"/>
        <rFont val="맑은 고딕"/>
        <family val="3"/>
        <charset val="129"/>
      </rPr>
      <t xml:space="preserve">전라남도</t>
    </r>
    <r>
      <rPr>
        <sz val="9"/>
        <color rgb="FF000000"/>
        <rFont val="맑은 고딕"/>
        <family val="2"/>
        <charset val="128"/>
      </rPr>
      <t xml:space="preserve"> </t>
    </r>
    <r>
      <rPr>
        <sz val="9"/>
        <color rgb="FF000000"/>
        <rFont val="맑은 고딕"/>
        <family val="3"/>
        <charset val="129"/>
      </rPr>
      <t xml:space="preserve">해남군</t>
    </r>
    <r>
      <rPr>
        <sz val="9"/>
        <color rgb="FF000000"/>
        <rFont val="맑은 고딕"/>
        <family val="2"/>
        <charset val="128"/>
      </rPr>
      <t xml:space="preserve"> </t>
    </r>
    <r>
      <rPr>
        <sz val="9"/>
        <color rgb="FF000000"/>
        <rFont val="맑은 고딕"/>
        <family val="3"/>
        <charset val="129"/>
      </rPr>
      <t xml:space="preserve">마산면</t>
    </r>
    <r>
      <rPr>
        <sz val="9"/>
        <color rgb="FF000000"/>
        <rFont val="맑은 고딕"/>
        <family val="2"/>
        <charset val="128"/>
      </rPr>
      <t xml:space="preserve"> </t>
    </r>
    <r>
      <rPr>
        <sz val="9"/>
        <color rgb="FF000000"/>
        <rFont val="맑은 고딕"/>
        <family val="3"/>
        <charset val="129"/>
      </rPr>
      <t xml:space="preserve">장촌리</t>
    </r>
    <r>
      <rPr>
        <sz val="9"/>
        <color rgb="FF000000"/>
        <rFont val="맑은 고딕"/>
        <family val="2"/>
        <charset val="128"/>
      </rPr>
      <t xml:space="preserve"> </t>
    </r>
    <r>
      <rPr>
        <sz val="9"/>
        <color rgb="FF000000"/>
        <rFont val="Calibri"/>
        <family val="2"/>
        <charset val="1"/>
      </rPr>
      <t xml:space="preserve">260</t>
    </r>
  </si>
  <si>
    <t xml:space="preserve">34.603966 /126.581118</t>
  </si>
  <si>
    <t xml:space="preserve">Jeollanam-do</t>
  </si>
  <si>
    <t xml:space="preserve">Haenam S/S, Nansan D/L</t>
  </si>
  <si>
    <t xml:space="preserve"> - </t>
  </si>
  <si>
    <t xml:space="preserve">Soltop Miracle</t>
  </si>
  <si>
    <t xml:space="preserve">EBL &amp; DAP date in red shall be changed up to extension date later.
Normally we extend the permits before 1 month of expiration</t>
  </si>
  <si>
    <t xml:space="preserve">188, Masan-ri, Hwanggan-myeon, Yeongdong-gun, Chungcheongbuk-do</t>
  </si>
  <si>
    <r>
      <rPr>
        <sz val="9"/>
        <color theme="1"/>
        <rFont val="맑은 고딕"/>
        <family val="3"/>
        <charset val="129"/>
      </rPr>
      <t xml:space="preserve">충북</t>
    </r>
    <r>
      <rPr>
        <sz val="9"/>
        <color theme="1"/>
        <rFont val="맑은 고딕"/>
        <family val="2"/>
        <charset val="128"/>
      </rPr>
      <t xml:space="preserve"> </t>
    </r>
    <r>
      <rPr>
        <sz val="9"/>
        <color theme="1"/>
        <rFont val="맑은 고딕"/>
        <family val="3"/>
        <charset val="129"/>
      </rPr>
      <t xml:space="preserve">영동군</t>
    </r>
    <r>
      <rPr>
        <sz val="9"/>
        <color theme="1"/>
        <rFont val="맑은 고딕"/>
        <family val="2"/>
        <charset val="128"/>
      </rPr>
      <t xml:space="preserve"> </t>
    </r>
    <r>
      <rPr>
        <sz val="9"/>
        <color theme="1"/>
        <rFont val="맑은 고딕"/>
        <family val="3"/>
        <charset val="129"/>
      </rPr>
      <t xml:space="preserve">황간면</t>
    </r>
    <r>
      <rPr>
        <sz val="9"/>
        <color theme="1"/>
        <rFont val="맑은 고딕"/>
        <family val="2"/>
        <charset val="128"/>
      </rPr>
      <t xml:space="preserve"> </t>
    </r>
    <r>
      <rPr>
        <sz val="9"/>
        <color theme="1"/>
        <rFont val="맑은 고딕"/>
        <family val="3"/>
        <charset val="129"/>
      </rPr>
      <t xml:space="preserve">마산리</t>
    </r>
    <r>
      <rPr>
        <sz val="9"/>
        <color theme="1"/>
        <rFont val="맑은 고딕"/>
        <family val="2"/>
        <charset val="128"/>
      </rPr>
      <t xml:space="preserve"> </t>
    </r>
    <r>
      <rPr>
        <sz val="9"/>
        <color theme="1"/>
        <rFont val="Calibri"/>
        <family val="2"/>
        <charset val="1"/>
      </rPr>
      <t xml:space="preserve">188</t>
    </r>
  </si>
  <si>
    <t xml:space="preserve">34.760916 /127.164863</t>
  </si>
  <si>
    <t xml:space="preserve">Youngdong S/S, Maegok D/L </t>
  </si>
  <si>
    <t xml:space="preserve">Yoon Jeonghui</t>
  </si>
  <si>
    <t xml:space="preserve">351 Mugok-ri, Daeyang-myeon, Hapcheon, Gyeongsangnam-do                                                                                                                                                                                                                                                                                                                              </t>
  </si>
  <si>
    <r>
      <rPr>
        <sz val="9"/>
        <color theme="1"/>
        <rFont val="맑은 고딕"/>
        <family val="3"/>
        <charset val="129"/>
      </rPr>
      <t xml:space="preserve">경상남도</t>
    </r>
    <r>
      <rPr>
        <sz val="9"/>
        <color theme="1"/>
        <rFont val="맑은 고딕"/>
        <family val="2"/>
        <charset val="128"/>
      </rPr>
      <t xml:space="preserve"> </t>
    </r>
    <r>
      <rPr>
        <sz val="9"/>
        <color theme="1"/>
        <rFont val="맑은 고딕"/>
        <family val="3"/>
        <charset val="129"/>
      </rPr>
      <t xml:space="preserve">합천군</t>
    </r>
    <r>
      <rPr>
        <sz val="9"/>
        <color theme="1"/>
        <rFont val="맑은 고딕"/>
        <family val="2"/>
        <charset val="128"/>
      </rPr>
      <t xml:space="preserve"> </t>
    </r>
    <r>
      <rPr>
        <sz val="9"/>
        <color theme="1"/>
        <rFont val="맑은 고딕"/>
        <family val="3"/>
        <charset val="129"/>
      </rPr>
      <t xml:space="preserve">대양면</t>
    </r>
    <r>
      <rPr>
        <sz val="9"/>
        <color theme="1"/>
        <rFont val="맑은 고딕"/>
        <family val="2"/>
        <charset val="128"/>
      </rPr>
      <t xml:space="preserve"> </t>
    </r>
    <r>
      <rPr>
        <sz val="9"/>
        <color theme="1"/>
        <rFont val="맑은 고딕"/>
        <family val="3"/>
        <charset val="129"/>
      </rPr>
      <t xml:space="preserve">무곡리</t>
    </r>
    <r>
      <rPr>
        <sz val="9"/>
        <color theme="1"/>
        <rFont val="맑은 고딕"/>
        <family val="2"/>
        <charset val="128"/>
      </rPr>
      <t xml:space="preserve"> </t>
    </r>
    <r>
      <rPr>
        <sz val="9"/>
        <color theme="1"/>
        <rFont val="Calibri"/>
        <family val="2"/>
        <charset val="1"/>
      </rPr>
      <t xml:space="preserve">351</t>
    </r>
  </si>
  <si>
    <t xml:space="preserve">35.528860 / 128.202764</t>
  </si>
  <si>
    <t xml:space="preserve">Until SOC</t>
  </si>
  <si>
    <t xml:space="preserve">Hapcheon S/S, Pyeonggu D/L</t>
  </si>
  <si>
    <t xml:space="preserve">98-1, Jigyeong-ri, Seokbo-myeon, Yeongyang-gun, Gyeongsangbuk-do</t>
  </si>
  <si>
    <r>
      <rPr>
        <sz val="9"/>
        <color theme="1"/>
        <rFont val="맑은 고딕"/>
        <family val="3"/>
        <charset val="129"/>
      </rPr>
      <t xml:space="preserve">경상북도</t>
    </r>
    <r>
      <rPr>
        <sz val="9"/>
        <color theme="1"/>
        <rFont val="맑은 고딕"/>
        <family val="2"/>
        <charset val="128"/>
      </rPr>
      <t xml:space="preserve"> </t>
    </r>
    <r>
      <rPr>
        <sz val="9"/>
        <color theme="1"/>
        <rFont val="맑은 고딕"/>
        <family val="3"/>
        <charset val="129"/>
      </rPr>
      <t xml:space="preserve">영양군</t>
    </r>
    <r>
      <rPr>
        <sz val="9"/>
        <color theme="1"/>
        <rFont val="맑은 고딕"/>
        <family val="2"/>
        <charset val="128"/>
      </rPr>
      <t xml:space="preserve"> </t>
    </r>
    <r>
      <rPr>
        <sz val="9"/>
        <color theme="1"/>
        <rFont val="맑은 고딕"/>
        <family val="3"/>
        <charset val="129"/>
      </rPr>
      <t xml:space="preserve">석보면</t>
    </r>
    <r>
      <rPr>
        <sz val="9"/>
        <color theme="1"/>
        <rFont val="맑은 고딕"/>
        <family val="2"/>
        <charset val="128"/>
      </rPr>
      <t xml:space="preserve"> </t>
    </r>
    <r>
      <rPr>
        <sz val="9"/>
        <color theme="1"/>
        <rFont val="맑은 고딕"/>
        <family val="3"/>
        <charset val="129"/>
      </rPr>
      <t xml:space="preserve">지경리</t>
    </r>
    <r>
      <rPr>
        <sz val="9"/>
        <color theme="1"/>
        <rFont val="맑은 고딕"/>
        <family val="2"/>
        <charset val="128"/>
      </rPr>
      <t xml:space="preserve"> </t>
    </r>
    <r>
      <rPr>
        <sz val="9"/>
        <color theme="1"/>
        <rFont val="Calibri"/>
        <family val="2"/>
        <charset val="1"/>
      </rPr>
      <t xml:space="preserve">98-1</t>
    </r>
  </si>
  <si>
    <t xml:space="preserve">36.546728 / 129.119361</t>
  </si>
  <si>
    <t xml:space="preserve">Jinbo S/S, Jigyeong D/L</t>
  </si>
  <si>
    <t xml:space="preserve">Mountain 51-22, Jigyeong-ri, Seokbo-myeon, Yeongyang-gun, Gyeongsangbuk-do</t>
  </si>
  <si>
    <r>
      <rPr>
        <sz val="9"/>
        <color rgb="FF000000"/>
        <rFont val="맑은 고딕"/>
        <family val="3"/>
        <charset val="129"/>
      </rPr>
      <t xml:space="preserve">경상북도</t>
    </r>
    <r>
      <rPr>
        <sz val="9"/>
        <color rgb="FF000000"/>
        <rFont val="맑은 고딕"/>
        <family val="2"/>
        <charset val="128"/>
      </rPr>
      <t xml:space="preserve"> </t>
    </r>
    <r>
      <rPr>
        <sz val="9"/>
        <color rgb="FF000000"/>
        <rFont val="맑은 고딕"/>
        <family val="3"/>
        <charset val="129"/>
      </rPr>
      <t xml:space="preserve">영양군</t>
    </r>
    <r>
      <rPr>
        <sz val="9"/>
        <color rgb="FF000000"/>
        <rFont val="맑은 고딕"/>
        <family val="2"/>
        <charset val="128"/>
      </rPr>
      <t xml:space="preserve"> </t>
    </r>
    <r>
      <rPr>
        <sz val="9"/>
        <color rgb="FF000000"/>
        <rFont val="맑은 고딕"/>
        <family val="3"/>
        <charset val="129"/>
      </rPr>
      <t xml:space="preserve">석보면</t>
    </r>
    <r>
      <rPr>
        <sz val="9"/>
        <color rgb="FF000000"/>
        <rFont val="맑은 고딕"/>
        <family val="2"/>
        <charset val="128"/>
      </rPr>
      <t xml:space="preserve"> </t>
    </r>
    <r>
      <rPr>
        <sz val="9"/>
        <color rgb="FF000000"/>
        <rFont val="맑은 고딕"/>
        <family val="3"/>
        <charset val="129"/>
      </rPr>
      <t xml:space="preserve">지경리</t>
    </r>
    <r>
      <rPr>
        <sz val="9"/>
        <color rgb="FF000000"/>
        <rFont val="맑은 고딕"/>
        <family val="2"/>
        <charset val="128"/>
      </rPr>
      <t xml:space="preserve"> </t>
    </r>
    <r>
      <rPr>
        <sz val="9"/>
        <color rgb="FF000000"/>
        <rFont val="맑은 고딕"/>
        <family val="3"/>
        <charset val="129"/>
      </rPr>
      <t xml:space="preserve">산</t>
    </r>
    <r>
      <rPr>
        <sz val="9"/>
        <color rgb="FF000000"/>
        <rFont val="Calibri"/>
        <family val="2"/>
        <charset val="1"/>
      </rPr>
      <t xml:space="preserve">51-22</t>
    </r>
  </si>
  <si>
    <t xml:space="preserve">Farmland, Mountain</t>
  </si>
  <si>
    <t xml:space="preserve">12-4, Hodeok-ri, Gwayeok-myeon, Goheung-gun, Jeollanam-do</t>
  </si>
  <si>
    <r>
      <rPr>
        <sz val="9"/>
        <color theme="1"/>
        <rFont val="맑은 고딕"/>
        <family val="3"/>
        <charset val="129"/>
      </rPr>
      <t xml:space="preserve">전라남도</t>
    </r>
    <r>
      <rPr>
        <sz val="9"/>
        <color theme="1"/>
        <rFont val="맑은 고딕"/>
        <family val="2"/>
        <charset val="128"/>
      </rPr>
      <t xml:space="preserve"> </t>
    </r>
    <r>
      <rPr>
        <sz val="9"/>
        <color theme="1"/>
        <rFont val="맑은 고딕"/>
        <family val="3"/>
        <charset val="129"/>
      </rPr>
      <t xml:space="preserve">고흥군</t>
    </r>
    <r>
      <rPr>
        <sz val="9"/>
        <color theme="1"/>
        <rFont val="맑은 고딕"/>
        <family val="2"/>
        <charset val="128"/>
      </rPr>
      <t xml:space="preserve"> </t>
    </r>
    <r>
      <rPr>
        <sz val="9"/>
        <color theme="1"/>
        <rFont val="맑은 고딕"/>
        <family val="3"/>
        <charset val="129"/>
      </rPr>
      <t xml:space="preserve">과역면</t>
    </r>
    <r>
      <rPr>
        <sz val="9"/>
        <color theme="1"/>
        <rFont val="맑은 고딕"/>
        <family val="2"/>
        <charset val="128"/>
      </rPr>
      <t xml:space="preserve"> </t>
    </r>
    <r>
      <rPr>
        <sz val="9"/>
        <color theme="1"/>
        <rFont val="맑은 고딕"/>
        <family val="3"/>
        <charset val="129"/>
      </rPr>
      <t xml:space="preserve">호덕리</t>
    </r>
    <r>
      <rPr>
        <sz val="9"/>
        <color theme="1"/>
        <rFont val="맑은 고딕"/>
        <family val="2"/>
        <charset val="128"/>
      </rPr>
      <t xml:space="preserve"> </t>
    </r>
    <r>
      <rPr>
        <sz val="9"/>
        <color theme="1"/>
        <rFont val="Calibri"/>
        <family val="2"/>
        <charset val="1"/>
      </rPr>
      <t xml:space="preserve">12-4</t>
    </r>
  </si>
  <si>
    <t xml:space="preserve">34.690387 / 127.415100</t>
  </si>
  <si>
    <t xml:space="preserve">Beolkyo S/S</t>
  </si>
  <si>
    <t xml:space="preserve">2128, 2133,2134, 2279, 2616 Galsan-ri, Jaesan-myeon, Bonghwa-gun, Gyeongsangbuk-do</t>
  </si>
  <si>
    <r>
      <rPr>
        <sz val="9"/>
        <color rgb="FF000000"/>
        <rFont val="맑은 고딕"/>
        <family val="3"/>
        <charset val="129"/>
      </rPr>
      <t xml:space="preserve">경상북도</t>
    </r>
    <r>
      <rPr>
        <sz val="9"/>
        <color rgb="FF000000"/>
        <rFont val="맑은 고딕"/>
        <family val="2"/>
        <charset val="128"/>
      </rPr>
      <t xml:space="preserve"> </t>
    </r>
    <r>
      <rPr>
        <sz val="9"/>
        <color rgb="FF000000"/>
        <rFont val="맑은 고딕"/>
        <family val="3"/>
        <charset val="129"/>
      </rPr>
      <t xml:space="preserve">봉화군</t>
    </r>
    <r>
      <rPr>
        <sz val="9"/>
        <color rgb="FF000000"/>
        <rFont val="맑은 고딕"/>
        <family val="2"/>
        <charset val="128"/>
      </rPr>
      <t xml:space="preserve"> </t>
    </r>
    <r>
      <rPr>
        <sz val="9"/>
        <color rgb="FF000000"/>
        <rFont val="맑은 고딕"/>
        <family val="3"/>
        <charset val="129"/>
      </rPr>
      <t xml:space="preserve">재산면</t>
    </r>
    <r>
      <rPr>
        <sz val="9"/>
        <color rgb="FF000000"/>
        <rFont val="맑은 고딕"/>
        <family val="2"/>
        <charset val="128"/>
      </rPr>
      <t xml:space="preserve"> </t>
    </r>
    <r>
      <rPr>
        <sz val="9"/>
        <color rgb="FF000000"/>
        <rFont val="맑은 고딕"/>
        <family val="3"/>
        <charset val="129"/>
      </rPr>
      <t xml:space="preserve">갈산리</t>
    </r>
    <r>
      <rPr>
        <sz val="9"/>
        <color rgb="FF000000"/>
        <rFont val="맑은 고딕"/>
        <family val="2"/>
        <charset val="128"/>
      </rPr>
      <t xml:space="preserve"> </t>
    </r>
    <r>
      <rPr>
        <sz val="9"/>
        <color rgb="FF000000"/>
        <rFont val="Calibri"/>
        <family val="2"/>
        <charset val="1"/>
      </rPr>
      <t xml:space="preserve">2133</t>
    </r>
  </si>
  <si>
    <t xml:space="preserve">36.852391 / 128.961792</t>
  </si>
  <si>
    <t xml:space="preserve">TBD (Kolon industries)</t>
  </si>
  <si>
    <t xml:space="preserve">Bonghwa S/S</t>
  </si>
  <si>
    <t xml:space="preserve">Galsan</t>
  </si>
  <si>
    <t xml:space="preserve">2134-1, 2274, 2275, 2276, 2277, 2278, 2279-1 Galsan-ri, Jaesan-myeon, Bonghwa-gun, Gyeongsangbuk-do</t>
  </si>
  <si>
    <r>
      <rPr>
        <sz val="9"/>
        <color theme="1"/>
        <rFont val="맑은 고딕"/>
        <family val="3"/>
        <charset val="129"/>
      </rPr>
      <t xml:space="preserve">경상북도</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재산면</t>
    </r>
    <r>
      <rPr>
        <sz val="9"/>
        <color theme="1"/>
        <rFont val="맑은 고딕"/>
        <family val="2"/>
        <charset val="128"/>
      </rPr>
      <t xml:space="preserve"> </t>
    </r>
    <r>
      <rPr>
        <sz val="9"/>
        <color theme="1"/>
        <rFont val="맑은 고딕"/>
        <family val="3"/>
        <charset val="129"/>
      </rPr>
      <t xml:space="preserve">갈산리</t>
    </r>
    <r>
      <rPr>
        <sz val="9"/>
        <color theme="1"/>
        <rFont val="맑은 고딕"/>
        <family val="2"/>
        <charset val="128"/>
      </rPr>
      <t xml:space="preserve"> </t>
    </r>
    <r>
      <rPr>
        <sz val="9"/>
        <color theme="1"/>
        <rFont val="Calibri"/>
        <family val="2"/>
        <charset val="1"/>
      </rPr>
      <t xml:space="preserve">2133</t>
    </r>
  </si>
  <si>
    <t xml:space="preserve">Mineuri</t>
  </si>
  <si>
    <t xml:space="preserve">2127-1, 2280, 2281 Galsan-ri, Jaesan-myeon, Bonghwa-gun, Gyeongsangbuk-do</t>
  </si>
  <si>
    <t xml:space="preserve">Saegol</t>
  </si>
  <si>
    <t xml:space="preserve">2127, 2128-1, Galsan-ri, Jaesan-myeon, Bonghwa-gun, Gyeongsangbuk-do</t>
  </si>
  <si>
    <t xml:space="preserve">Jaesan</t>
  </si>
  <si>
    <t xml:space="preserve">Seodeul</t>
  </si>
  <si>
    <t xml:space="preserve">145-1, 145-2 Uguchi-ri, Chunyang-myeon, Bonghwa-gun, Gyeongsangbuk-do</t>
  </si>
  <si>
    <r>
      <rPr>
        <strike val="true"/>
        <sz val="9"/>
        <color theme="1"/>
        <rFont val="맑은 고딕"/>
        <family val="3"/>
        <charset val="129"/>
      </rPr>
      <t xml:space="preserve">경북</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춘양면</t>
    </r>
    <r>
      <rPr>
        <strike val="true"/>
        <sz val="9"/>
        <color theme="1"/>
        <rFont val="맑은 고딕"/>
        <family val="2"/>
        <charset val="128"/>
      </rPr>
      <t xml:space="preserve"> </t>
    </r>
    <r>
      <rPr>
        <strike val="true"/>
        <sz val="9"/>
        <color theme="1"/>
        <rFont val="맑은 고딕"/>
        <family val="3"/>
        <charset val="129"/>
      </rPr>
      <t xml:space="preserve">우구치리</t>
    </r>
    <r>
      <rPr>
        <strike val="true"/>
        <sz val="9"/>
        <color theme="1"/>
        <rFont val="맑은 고딕"/>
        <family val="2"/>
        <charset val="128"/>
      </rPr>
      <t xml:space="preserve"> </t>
    </r>
    <r>
      <rPr>
        <strike val="true"/>
        <sz val="9"/>
        <color theme="1"/>
        <rFont val="Calibri"/>
        <family val="2"/>
        <charset val="1"/>
      </rPr>
      <t xml:space="preserve">145-1,145-2</t>
    </r>
  </si>
  <si>
    <t xml:space="preserve">37.066663 / 128.772237</t>
  </si>
  <si>
    <t xml:space="preserve">Siwol</t>
  </si>
  <si>
    <t xml:space="preserve">146-1, 146-2 Uguchi-ri, Chunyang-myeon, Bonghwa-gun, Gyeongsangbuk-do</t>
  </si>
  <si>
    <r>
      <rPr>
        <strike val="true"/>
        <sz val="9"/>
        <color theme="1"/>
        <rFont val="맑은 고딕"/>
        <family val="3"/>
        <charset val="129"/>
      </rPr>
      <t xml:space="preserve">경북</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춘양면</t>
    </r>
    <r>
      <rPr>
        <strike val="true"/>
        <sz val="9"/>
        <color theme="1"/>
        <rFont val="맑은 고딕"/>
        <family val="2"/>
        <charset val="128"/>
      </rPr>
      <t xml:space="preserve"> </t>
    </r>
    <r>
      <rPr>
        <strike val="true"/>
        <sz val="9"/>
        <color theme="1"/>
        <rFont val="맑은 고딕"/>
        <family val="3"/>
        <charset val="129"/>
      </rPr>
      <t xml:space="preserve">우구치리</t>
    </r>
    <r>
      <rPr>
        <strike val="true"/>
        <sz val="9"/>
        <color theme="1"/>
        <rFont val="맑은 고딕"/>
        <family val="2"/>
        <charset val="128"/>
      </rPr>
      <t xml:space="preserve"> </t>
    </r>
    <r>
      <rPr>
        <strike val="true"/>
        <sz val="9"/>
        <color theme="1"/>
        <rFont val="Calibri"/>
        <family val="2"/>
        <charset val="1"/>
      </rPr>
      <t xml:space="preserve">146-1,146-2</t>
    </r>
  </si>
  <si>
    <t xml:space="preserve"> 37.066249 / 128.773019</t>
  </si>
  <si>
    <t xml:space="preserve">Guemjeong</t>
  </si>
  <si>
    <t xml:space="preserve">141, 142 Uguchi-ri, Chunyang-myeon, Bonghwa-gun, Gyeongsangbuk-do</t>
  </si>
  <si>
    <r>
      <rPr>
        <strike val="true"/>
        <sz val="9"/>
        <color theme="1"/>
        <rFont val="맑은 고딕"/>
        <family val="3"/>
        <charset val="129"/>
      </rPr>
      <t xml:space="preserve">경북</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춘양면</t>
    </r>
    <r>
      <rPr>
        <strike val="true"/>
        <sz val="9"/>
        <color theme="1"/>
        <rFont val="맑은 고딕"/>
        <family val="2"/>
        <charset val="128"/>
      </rPr>
      <t xml:space="preserve"> </t>
    </r>
    <r>
      <rPr>
        <strike val="true"/>
        <sz val="9"/>
        <color theme="1"/>
        <rFont val="맑은 고딕"/>
        <family val="3"/>
        <charset val="129"/>
      </rPr>
      <t xml:space="preserve">우구치리</t>
    </r>
    <r>
      <rPr>
        <strike val="true"/>
        <sz val="9"/>
        <color theme="1"/>
        <rFont val="맑은 고딕"/>
        <family val="2"/>
        <charset val="128"/>
      </rPr>
      <t xml:space="preserve"> </t>
    </r>
    <r>
      <rPr>
        <strike val="true"/>
        <sz val="9"/>
        <color theme="1"/>
        <rFont val="Calibri"/>
        <family val="2"/>
        <charset val="1"/>
      </rPr>
      <t xml:space="preserve">141,142</t>
    </r>
  </si>
  <si>
    <t xml:space="preserve"> 37.065281 / 128.773339</t>
  </si>
  <si>
    <t xml:space="preserve">Bongyang 1</t>
  </si>
  <si>
    <t xml:space="preserve">1126,1127,1129 Bongyang-ri, Bongseong-myeon, Bonghwa-gun, Gyeongsangbuk-do</t>
  </si>
  <si>
    <r>
      <rPr>
        <strike val="true"/>
        <sz val="9"/>
        <color theme="1"/>
        <rFont val="맑은 고딕"/>
        <family val="3"/>
        <charset val="129"/>
      </rPr>
      <t xml:space="preserve">경북</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봉성면</t>
    </r>
    <r>
      <rPr>
        <strike val="true"/>
        <sz val="9"/>
        <color theme="1"/>
        <rFont val="맑은 고딕"/>
        <family val="2"/>
        <charset val="128"/>
      </rPr>
      <t xml:space="preserve"> </t>
    </r>
    <r>
      <rPr>
        <strike val="true"/>
        <sz val="9"/>
        <color theme="1"/>
        <rFont val="맑은 고딕"/>
        <family val="3"/>
        <charset val="129"/>
      </rPr>
      <t xml:space="preserve">봉양리</t>
    </r>
    <r>
      <rPr>
        <strike val="true"/>
        <sz val="9"/>
        <color theme="1"/>
        <rFont val="맑은 고딕"/>
        <family val="2"/>
        <charset val="128"/>
      </rPr>
      <t xml:space="preserve"> </t>
    </r>
    <r>
      <rPr>
        <strike val="true"/>
        <sz val="9"/>
        <color theme="1"/>
        <rFont val="Calibri"/>
        <family val="2"/>
        <charset val="1"/>
      </rPr>
      <t xml:space="preserve">1126,1127,1129</t>
    </r>
  </si>
  <si>
    <t xml:space="preserve">36.859118 /128.800552</t>
  </si>
  <si>
    <t xml:space="preserve">Bongyang 3</t>
  </si>
  <si>
    <t xml:space="preserve">1131,1137,1138 Bongyang-ri, Bongseong-myeon, Bonghwa-gun, Gyeongsangbuk-do</t>
  </si>
  <si>
    <r>
      <rPr>
        <strike val="true"/>
        <sz val="9"/>
        <color theme="1"/>
        <rFont val="맑은 고딕"/>
        <family val="3"/>
        <charset val="129"/>
      </rPr>
      <t xml:space="preserve">경북</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봉성면</t>
    </r>
    <r>
      <rPr>
        <strike val="true"/>
        <sz val="9"/>
        <color theme="1"/>
        <rFont val="맑은 고딕"/>
        <family val="2"/>
        <charset val="128"/>
      </rPr>
      <t xml:space="preserve"> </t>
    </r>
    <r>
      <rPr>
        <strike val="true"/>
        <sz val="9"/>
        <color theme="1"/>
        <rFont val="맑은 고딕"/>
        <family val="3"/>
        <charset val="129"/>
      </rPr>
      <t xml:space="preserve">봉양리</t>
    </r>
    <r>
      <rPr>
        <strike val="true"/>
        <sz val="9"/>
        <color theme="1"/>
        <rFont val="맑은 고딕"/>
        <family val="2"/>
        <charset val="128"/>
      </rPr>
      <t xml:space="preserve"> </t>
    </r>
    <r>
      <rPr>
        <strike val="true"/>
        <sz val="9"/>
        <color theme="1"/>
        <rFont val="Calibri"/>
        <family val="2"/>
        <charset val="1"/>
      </rPr>
      <t xml:space="preserve">1131,1137,1138</t>
    </r>
  </si>
  <si>
    <t xml:space="preserve">Bongyang 4</t>
  </si>
  <si>
    <t xml:space="preserve">1513-1 Bongyang-ri, Bongseong-myeon, Bonghwa-gun, Gyeongsangbuk-do</t>
  </si>
  <si>
    <r>
      <rPr>
        <strike val="true"/>
        <sz val="9"/>
        <color theme="1"/>
        <rFont val="맑은 고딕"/>
        <family val="3"/>
        <charset val="129"/>
      </rPr>
      <t xml:space="preserve">경상북도</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봉양리</t>
    </r>
    <r>
      <rPr>
        <strike val="true"/>
        <sz val="9"/>
        <color theme="1"/>
        <rFont val="맑은 고딕"/>
        <family val="2"/>
        <charset val="128"/>
      </rPr>
      <t xml:space="preserve"> </t>
    </r>
    <r>
      <rPr>
        <strike val="true"/>
        <sz val="9"/>
        <color theme="1"/>
        <rFont val="Calibri"/>
        <family val="2"/>
        <charset val="1"/>
      </rPr>
      <t xml:space="preserve">1513</t>
    </r>
  </si>
  <si>
    <t xml:space="preserve">36.869636 /128.792147</t>
  </si>
  <si>
    <t xml:space="preserve">Bongyang 6</t>
  </si>
  <si>
    <t xml:space="preserve">1139, Bongyang-ri, Bongseong-myeon, Bonghwa-gun, Gyeongsangbuk-do</t>
  </si>
  <si>
    <r>
      <rPr>
        <strike val="true"/>
        <sz val="9"/>
        <color theme="1"/>
        <rFont val="맑은 고딕"/>
        <family val="3"/>
        <charset val="129"/>
      </rPr>
      <t xml:space="preserve">경상북도</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봉양리</t>
    </r>
    <r>
      <rPr>
        <strike val="true"/>
        <sz val="9"/>
        <color theme="1"/>
        <rFont val="맑은 고딕"/>
        <family val="2"/>
        <charset val="128"/>
      </rPr>
      <t xml:space="preserve"> </t>
    </r>
    <r>
      <rPr>
        <strike val="true"/>
        <sz val="9"/>
        <color theme="1"/>
        <rFont val="Calibri"/>
        <family val="2"/>
        <charset val="1"/>
      </rPr>
      <t xml:space="preserve">1139</t>
    </r>
  </si>
  <si>
    <t xml:space="preserve">36.859895 / 128.799966</t>
  </si>
  <si>
    <t xml:space="preserve">Bongyang 10</t>
  </si>
  <si>
    <t xml:space="preserve">801, Bongyang-ri, Bongseong-myeon, Bonghwa-gun, Gyeongsangbuk-do</t>
  </si>
  <si>
    <r>
      <rPr>
        <strike val="true"/>
        <sz val="9"/>
        <color theme="1"/>
        <rFont val="맑은 고딕"/>
        <family val="3"/>
        <charset val="129"/>
      </rPr>
      <t xml:space="preserve">경상북도</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봉양리</t>
    </r>
    <r>
      <rPr>
        <strike val="true"/>
        <sz val="9"/>
        <color theme="1"/>
        <rFont val="맑은 고딕"/>
        <family val="2"/>
        <charset val="128"/>
      </rPr>
      <t xml:space="preserve"> </t>
    </r>
    <r>
      <rPr>
        <strike val="true"/>
        <sz val="9"/>
        <color theme="1"/>
        <rFont val="Calibri"/>
        <family val="2"/>
        <charset val="1"/>
      </rPr>
      <t xml:space="preserve">801</t>
    </r>
  </si>
  <si>
    <t xml:space="preserve">36.854207 / 128.820455</t>
  </si>
  <si>
    <t xml:space="preserve">Moonchon Taeyang</t>
  </si>
  <si>
    <t xml:space="preserve">401, Munchon-ri, Sangun-myeon, Bonghwa-gun, Gyeongsangbuk-do</t>
  </si>
  <si>
    <r>
      <rPr>
        <strike val="true"/>
        <sz val="9"/>
        <color theme="1"/>
        <rFont val="맑은 고딕"/>
        <family val="3"/>
        <charset val="129"/>
      </rPr>
      <t xml:space="preserve">경상북도</t>
    </r>
    <r>
      <rPr>
        <strike val="true"/>
        <sz val="9"/>
        <color theme="1"/>
        <rFont val="맑은 고딕"/>
        <family val="2"/>
        <charset val="128"/>
      </rPr>
      <t xml:space="preserve"> </t>
    </r>
    <r>
      <rPr>
        <strike val="true"/>
        <sz val="9"/>
        <color theme="1"/>
        <rFont val="맑은 고딕"/>
        <family val="3"/>
        <charset val="129"/>
      </rPr>
      <t xml:space="preserve">봉화군</t>
    </r>
    <r>
      <rPr>
        <strike val="true"/>
        <sz val="9"/>
        <color theme="1"/>
        <rFont val="맑은 고딕"/>
        <family val="2"/>
        <charset val="128"/>
      </rPr>
      <t xml:space="preserve"> </t>
    </r>
    <r>
      <rPr>
        <strike val="true"/>
        <sz val="9"/>
        <color theme="1"/>
        <rFont val="맑은 고딕"/>
        <family val="3"/>
        <charset val="129"/>
      </rPr>
      <t xml:space="preserve">상운면</t>
    </r>
    <r>
      <rPr>
        <strike val="true"/>
        <sz val="9"/>
        <color theme="1"/>
        <rFont val="맑은 고딕"/>
        <family val="2"/>
        <charset val="128"/>
      </rPr>
      <t xml:space="preserve"> </t>
    </r>
    <r>
      <rPr>
        <strike val="true"/>
        <sz val="9"/>
        <color theme="1"/>
        <rFont val="맑은 고딕"/>
        <family val="3"/>
        <charset val="129"/>
      </rPr>
      <t xml:space="preserve">문촌리</t>
    </r>
    <r>
      <rPr>
        <strike val="true"/>
        <sz val="9"/>
        <color theme="1"/>
        <rFont val="맑은 고딕"/>
        <family val="2"/>
        <charset val="128"/>
      </rPr>
      <t xml:space="preserve"> </t>
    </r>
    <r>
      <rPr>
        <strike val="true"/>
        <sz val="9"/>
        <color theme="1"/>
        <rFont val="Calibri"/>
        <family val="2"/>
        <charset val="1"/>
      </rPr>
      <t xml:space="preserve">401</t>
    </r>
  </si>
  <si>
    <t xml:space="preserve">36.860589 / 128.795904</t>
  </si>
  <si>
    <t xml:space="preserve">Moonchon</t>
  </si>
  <si>
    <t xml:space="preserve">Woltan Taeyang</t>
  </si>
  <si>
    <t xml:space="preserve">73 Woltan-ri, Daegang-myeon, Namwon-si, Jeollabuk-do</t>
  </si>
  <si>
    <r>
      <rPr>
        <strike val="true"/>
        <sz val="9"/>
        <color theme="1"/>
        <rFont val="맑은 고딕"/>
        <family val="3"/>
        <charset val="129"/>
      </rPr>
      <t xml:space="preserve">전라북도</t>
    </r>
    <r>
      <rPr>
        <strike val="true"/>
        <sz val="9"/>
        <color theme="1"/>
        <rFont val="맑은 고딕"/>
        <family val="2"/>
        <charset val="128"/>
      </rPr>
      <t xml:space="preserve"> </t>
    </r>
    <r>
      <rPr>
        <strike val="true"/>
        <sz val="9"/>
        <color theme="1"/>
        <rFont val="맑은 고딕"/>
        <family val="3"/>
        <charset val="129"/>
      </rPr>
      <t xml:space="preserve">남원시</t>
    </r>
    <r>
      <rPr>
        <strike val="true"/>
        <sz val="9"/>
        <color theme="1"/>
        <rFont val="맑은 고딕"/>
        <family val="2"/>
        <charset val="128"/>
      </rPr>
      <t xml:space="preserve"> </t>
    </r>
    <r>
      <rPr>
        <strike val="true"/>
        <sz val="9"/>
        <color theme="1"/>
        <rFont val="맑은 고딕"/>
        <family val="3"/>
        <charset val="129"/>
      </rPr>
      <t xml:space="preserve">대강면</t>
    </r>
    <r>
      <rPr>
        <strike val="true"/>
        <sz val="9"/>
        <color theme="1"/>
        <rFont val="맑은 고딕"/>
        <family val="2"/>
        <charset val="128"/>
      </rPr>
      <t xml:space="preserve"> </t>
    </r>
    <r>
      <rPr>
        <strike val="true"/>
        <sz val="9"/>
        <color theme="1"/>
        <rFont val="맑은 고딕"/>
        <family val="3"/>
        <charset val="129"/>
      </rPr>
      <t xml:space="preserve">월탄리</t>
    </r>
    <r>
      <rPr>
        <strike val="true"/>
        <sz val="9"/>
        <color theme="1"/>
        <rFont val="맑은 고딕"/>
        <family val="2"/>
        <charset val="128"/>
      </rPr>
      <t xml:space="preserve"> </t>
    </r>
    <r>
      <rPr>
        <strike val="true"/>
        <sz val="9"/>
        <color theme="1"/>
        <rFont val="Calibri"/>
        <family val="2"/>
        <charset val="1"/>
      </rPr>
      <t xml:space="preserve">73</t>
    </r>
  </si>
  <si>
    <t xml:space="preserve">35.355383 / 127.203402</t>
  </si>
  <si>
    <t xml:space="preserve">Woltan</t>
  </si>
  <si>
    <t xml:space="preserve">SooAm 1</t>
  </si>
  <si>
    <t xml:space="preserve">8, Gajang-ri, Yulchon-myeon, Yeosu-si, Jeollanam-do</t>
  </si>
  <si>
    <r>
      <rPr>
        <sz val="9"/>
        <color theme="1"/>
        <rFont val="맑은 고딕"/>
        <family val="3"/>
        <charset val="129"/>
      </rPr>
      <t xml:space="preserve">전남</t>
    </r>
    <r>
      <rPr>
        <sz val="9"/>
        <color theme="1"/>
        <rFont val="맑은 고딕"/>
        <family val="2"/>
        <charset val="128"/>
      </rPr>
      <t xml:space="preserve"> </t>
    </r>
    <r>
      <rPr>
        <sz val="9"/>
        <color theme="1"/>
        <rFont val="맑은 고딕"/>
        <family val="3"/>
        <charset val="129"/>
      </rPr>
      <t xml:space="preserve">여수시</t>
    </r>
    <r>
      <rPr>
        <sz val="9"/>
        <color theme="1"/>
        <rFont val="맑은 고딕"/>
        <family val="2"/>
        <charset val="128"/>
      </rPr>
      <t xml:space="preserve"> </t>
    </r>
    <r>
      <rPr>
        <sz val="9"/>
        <color theme="1"/>
        <rFont val="맑은 고딕"/>
        <family val="3"/>
        <charset val="129"/>
      </rPr>
      <t xml:space="preserve">율촌면</t>
    </r>
    <r>
      <rPr>
        <sz val="9"/>
        <color theme="1"/>
        <rFont val="맑은 고딕"/>
        <family val="2"/>
        <charset val="128"/>
      </rPr>
      <t xml:space="preserve"> </t>
    </r>
    <r>
      <rPr>
        <sz val="9"/>
        <color theme="1"/>
        <rFont val="맑은 고딕"/>
        <family val="3"/>
        <charset val="129"/>
      </rPr>
      <t xml:space="preserve">가장리</t>
    </r>
    <r>
      <rPr>
        <sz val="9"/>
        <color theme="1"/>
        <rFont val="맑은 고딕"/>
        <family val="2"/>
        <charset val="128"/>
      </rPr>
      <t xml:space="preserve"> </t>
    </r>
    <r>
      <rPr>
        <sz val="9"/>
        <color theme="1"/>
        <rFont val="Calibri"/>
        <family val="2"/>
        <charset val="1"/>
      </rPr>
      <t xml:space="preserve">8</t>
    </r>
  </si>
  <si>
    <t xml:space="preserve">34.842525 / 127.574525</t>
  </si>
  <si>
    <t xml:space="preserve">Not applied yet</t>
  </si>
  <si>
    <t xml:space="preserve">Sooam</t>
  </si>
  <si>
    <t xml:space="preserve">SooAm 2</t>
  </si>
  <si>
    <t xml:space="preserve">SooAm 3</t>
  </si>
  <si>
    <t xml:space="preserve">SooAm 4</t>
  </si>
  <si>
    <t xml:space="preserve">SooAm 5</t>
  </si>
  <si>
    <t xml:space="preserve">SooAm 6</t>
  </si>
  <si>
    <t xml:space="preserve">SooAm 7</t>
  </si>
  <si>
    <t xml:space="preserve">SooAm 8</t>
  </si>
  <si>
    <t xml:space="preserve">SooAm 9</t>
  </si>
  <si>
    <t xml:space="preserve">Boner 1</t>
  </si>
  <si>
    <t xml:space="preserve">120, Gongdanseo-gil, Chilseo-myeon, Haman-gun, Gyeongsangnam-do</t>
  </si>
  <si>
    <r>
      <rPr>
        <sz val="9"/>
        <color theme="1"/>
        <rFont val="맑은 고딕"/>
        <family val="3"/>
        <charset val="129"/>
      </rPr>
      <t xml:space="preserve">경남</t>
    </r>
    <r>
      <rPr>
        <sz val="9"/>
        <color theme="1"/>
        <rFont val="맑은 고딕"/>
        <family val="2"/>
        <charset val="128"/>
      </rPr>
      <t xml:space="preserve"> </t>
    </r>
    <r>
      <rPr>
        <sz val="9"/>
        <color theme="1"/>
        <rFont val="맑은 고딕"/>
        <family val="3"/>
        <charset val="129"/>
      </rPr>
      <t xml:space="preserve">함안군</t>
    </r>
    <r>
      <rPr>
        <sz val="9"/>
        <color theme="1"/>
        <rFont val="맑은 고딕"/>
        <family val="2"/>
        <charset val="128"/>
      </rPr>
      <t xml:space="preserve"> </t>
    </r>
    <r>
      <rPr>
        <sz val="9"/>
        <color theme="1"/>
        <rFont val="맑은 고딕"/>
        <family val="3"/>
        <charset val="129"/>
      </rPr>
      <t xml:space="preserve">칠서면</t>
    </r>
    <r>
      <rPr>
        <sz val="9"/>
        <color theme="1"/>
        <rFont val="맑은 고딕"/>
        <family val="2"/>
        <charset val="128"/>
      </rPr>
      <t xml:space="preserve"> </t>
    </r>
    <r>
      <rPr>
        <sz val="9"/>
        <color theme="1"/>
        <rFont val="맑은 고딕"/>
        <family val="3"/>
        <charset val="129"/>
      </rPr>
      <t xml:space="preserve">대치리</t>
    </r>
    <r>
      <rPr>
        <sz val="9"/>
        <color theme="1"/>
        <rFont val="맑은 고딕"/>
        <family val="2"/>
        <charset val="128"/>
      </rPr>
      <t xml:space="preserve"> </t>
    </r>
    <r>
      <rPr>
        <sz val="9"/>
        <color theme="1"/>
        <rFont val="Calibri"/>
        <family val="2"/>
        <charset val="1"/>
      </rPr>
      <t xml:space="preserve">555-4</t>
    </r>
  </si>
  <si>
    <t xml:space="preserve">n/a</t>
  </si>
  <si>
    <t xml:space="preserve">Factory</t>
  </si>
  <si>
    <t xml:space="preserve">Rooftop</t>
  </si>
  <si>
    <t xml:space="preserve">Boner Solar</t>
  </si>
  <si>
    <t xml:space="preserve">Rooftop PV</t>
  </si>
  <si>
    <t xml:space="preserve">Boner 2</t>
  </si>
  <si>
    <t xml:space="preserve">603, Ugeo-ri, Beopsu-myeon, Haman-gun, Gyeongsangnam-do</t>
  </si>
  <si>
    <r>
      <rPr>
        <sz val="9"/>
        <color theme="1"/>
        <rFont val="맑은 고딕"/>
        <family val="3"/>
        <charset val="129"/>
      </rPr>
      <t xml:space="preserve">경남</t>
    </r>
    <r>
      <rPr>
        <sz val="9"/>
        <color theme="1"/>
        <rFont val="맑은 고딕"/>
        <family val="2"/>
        <charset val="128"/>
      </rPr>
      <t xml:space="preserve"> </t>
    </r>
    <r>
      <rPr>
        <sz val="9"/>
        <color theme="1"/>
        <rFont val="맑은 고딕"/>
        <family val="3"/>
        <charset val="129"/>
      </rPr>
      <t xml:space="preserve">함안군</t>
    </r>
    <r>
      <rPr>
        <sz val="9"/>
        <color theme="1"/>
        <rFont val="맑은 고딕"/>
        <family val="2"/>
        <charset val="128"/>
      </rPr>
      <t xml:space="preserve"> </t>
    </r>
    <r>
      <rPr>
        <sz val="9"/>
        <color theme="1"/>
        <rFont val="맑은 고딕"/>
        <family val="3"/>
        <charset val="129"/>
      </rPr>
      <t xml:space="preserve">법수면</t>
    </r>
    <r>
      <rPr>
        <sz val="9"/>
        <color theme="1"/>
        <rFont val="맑은 고딕"/>
        <family val="2"/>
        <charset val="128"/>
      </rPr>
      <t xml:space="preserve"> </t>
    </r>
    <r>
      <rPr>
        <sz val="9"/>
        <color theme="1"/>
        <rFont val="맑은 고딕"/>
        <family val="3"/>
        <charset val="129"/>
      </rPr>
      <t xml:space="preserve">우거리</t>
    </r>
    <r>
      <rPr>
        <sz val="9"/>
        <color theme="1"/>
        <rFont val="맑은 고딕"/>
        <family val="2"/>
        <charset val="128"/>
      </rPr>
      <t xml:space="preserve"> </t>
    </r>
    <r>
      <rPr>
        <sz val="9"/>
        <color theme="1"/>
        <rFont val="Calibri"/>
        <family val="2"/>
        <charset val="1"/>
      </rPr>
      <t xml:space="preserve">603 </t>
    </r>
    <r>
      <rPr>
        <sz val="9"/>
        <color theme="1"/>
        <rFont val="맑은 고딕"/>
        <family val="3"/>
        <charset val="129"/>
      </rPr>
      <t xml:space="preserve">동해기계㈜</t>
    </r>
  </si>
  <si>
    <t xml:space="preserve">Boner 3</t>
  </si>
  <si>
    <t xml:space="preserve">74, Gangju 3-gil, Beopsu-myeon, Haman-gun, Gyeongsangnam-do</t>
  </si>
  <si>
    <r>
      <rPr>
        <sz val="9"/>
        <color theme="1"/>
        <rFont val="맑은 고딕"/>
        <family val="3"/>
        <charset val="129"/>
      </rPr>
      <t xml:space="preserve">경남</t>
    </r>
    <r>
      <rPr>
        <sz val="9"/>
        <color theme="1"/>
        <rFont val="맑은 고딕"/>
        <family val="2"/>
        <charset val="128"/>
      </rPr>
      <t xml:space="preserve"> </t>
    </r>
    <r>
      <rPr>
        <sz val="9"/>
        <color theme="1"/>
        <rFont val="맑은 고딕"/>
        <family val="3"/>
        <charset val="129"/>
      </rPr>
      <t xml:space="preserve">함안군</t>
    </r>
    <r>
      <rPr>
        <sz val="9"/>
        <color theme="1"/>
        <rFont val="맑은 고딕"/>
        <family val="2"/>
        <charset val="128"/>
      </rPr>
      <t xml:space="preserve"> </t>
    </r>
    <r>
      <rPr>
        <sz val="9"/>
        <color theme="1"/>
        <rFont val="맑은 고딕"/>
        <family val="3"/>
        <charset val="129"/>
      </rPr>
      <t xml:space="preserve">법수면</t>
    </r>
    <r>
      <rPr>
        <sz val="9"/>
        <color theme="1"/>
        <rFont val="맑은 고딕"/>
        <family val="2"/>
        <charset val="128"/>
      </rPr>
      <t xml:space="preserve"> </t>
    </r>
    <r>
      <rPr>
        <sz val="9"/>
        <color theme="1"/>
        <rFont val="맑은 고딕"/>
        <family val="3"/>
        <charset val="129"/>
      </rPr>
      <t xml:space="preserve">강주리</t>
    </r>
    <r>
      <rPr>
        <sz val="9"/>
        <color theme="1"/>
        <rFont val="맑은 고딕"/>
        <family val="2"/>
        <charset val="128"/>
      </rPr>
      <t xml:space="preserve"> </t>
    </r>
    <r>
      <rPr>
        <sz val="9"/>
        <color theme="1"/>
        <rFont val="Calibri"/>
        <family val="2"/>
        <charset val="1"/>
      </rPr>
      <t xml:space="preserve">723-1</t>
    </r>
  </si>
  <si>
    <t xml:space="preserve">Boner 5</t>
  </si>
  <si>
    <t xml:space="preserve">37, Megapolliseu 1-ro, Daesowon-myeon, Chungju-si, Chungcheongbuk-do</t>
  </si>
  <si>
    <r>
      <rPr>
        <sz val="9"/>
        <color theme="1"/>
        <rFont val="맑은 고딕"/>
        <family val="3"/>
        <charset val="129"/>
      </rPr>
      <t xml:space="preserve">충청북도</t>
    </r>
    <r>
      <rPr>
        <sz val="9"/>
        <color theme="1"/>
        <rFont val="맑은 고딕"/>
        <family val="2"/>
        <charset val="128"/>
      </rPr>
      <t xml:space="preserve"> </t>
    </r>
    <r>
      <rPr>
        <sz val="9"/>
        <color theme="1"/>
        <rFont val="맑은 고딕"/>
        <family val="3"/>
        <charset val="129"/>
      </rPr>
      <t xml:space="preserve">충주시</t>
    </r>
    <r>
      <rPr>
        <sz val="9"/>
        <color theme="1"/>
        <rFont val="맑은 고딕"/>
        <family val="2"/>
        <charset val="128"/>
      </rPr>
      <t xml:space="preserve"> </t>
    </r>
    <r>
      <rPr>
        <sz val="9"/>
        <color theme="1"/>
        <rFont val="맑은 고딕"/>
        <family val="3"/>
        <charset val="129"/>
      </rPr>
      <t xml:space="preserve">대소원면</t>
    </r>
    <r>
      <rPr>
        <sz val="9"/>
        <color theme="1"/>
        <rFont val="맑은 고딕"/>
        <family val="2"/>
        <charset val="128"/>
      </rPr>
      <t xml:space="preserve"> </t>
    </r>
    <r>
      <rPr>
        <sz val="9"/>
        <color theme="1"/>
        <rFont val="맑은 고딕"/>
        <family val="3"/>
        <charset val="129"/>
      </rPr>
      <t xml:space="preserve">메가폴리스</t>
    </r>
    <r>
      <rPr>
        <sz val="9"/>
        <color theme="1"/>
        <rFont val="맑은 고딕"/>
        <family val="2"/>
        <charset val="128"/>
      </rPr>
      <t xml:space="preserve"> </t>
    </r>
    <r>
      <rPr>
        <sz val="9"/>
        <color theme="1"/>
        <rFont val="Calibri"/>
        <family val="2"/>
        <charset val="1"/>
      </rPr>
      <t xml:space="preserve">1</t>
    </r>
    <r>
      <rPr>
        <sz val="9"/>
        <color theme="1"/>
        <rFont val="맑은 고딕"/>
        <family val="3"/>
        <charset val="129"/>
      </rPr>
      <t xml:space="preserve">로</t>
    </r>
    <r>
      <rPr>
        <sz val="9"/>
        <color theme="1"/>
        <rFont val="맑은 고딕"/>
        <family val="2"/>
        <charset val="128"/>
      </rPr>
      <t xml:space="preserve"> </t>
    </r>
    <r>
      <rPr>
        <sz val="9"/>
        <color theme="1"/>
        <rFont val="Calibri"/>
        <family val="2"/>
        <charset val="1"/>
      </rPr>
      <t xml:space="preserve">37 </t>
    </r>
  </si>
  <si>
    <t xml:space="preserve">Boner 8</t>
  </si>
  <si>
    <t xml:space="preserve">57, Eogokgongdan 7-gil, Yangsan-si, Gyeongsangnam-do</t>
  </si>
  <si>
    <r>
      <rPr>
        <sz val="9"/>
        <color theme="1"/>
        <rFont val="맑은 고딕"/>
        <family val="3"/>
        <charset val="129"/>
      </rPr>
      <t xml:space="preserve">경상북도</t>
    </r>
    <r>
      <rPr>
        <sz val="9"/>
        <color theme="1"/>
        <rFont val="맑은 고딕"/>
        <family val="2"/>
        <charset val="128"/>
      </rPr>
      <t xml:space="preserve"> </t>
    </r>
    <r>
      <rPr>
        <sz val="9"/>
        <color theme="1"/>
        <rFont val="맑은 고딕"/>
        <family val="3"/>
        <charset val="129"/>
      </rPr>
      <t xml:space="preserve">양산시</t>
    </r>
    <r>
      <rPr>
        <sz val="9"/>
        <color theme="1"/>
        <rFont val="맑은 고딕"/>
        <family val="2"/>
        <charset val="128"/>
      </rPr>
      <t xml:space="preserve"> </t>
    </r>
    <r>
      <rPr>
        <sz val="9"/>
        <color theme="1"/>
        <rFont val="맑은 고딕"/>
        <family val="3"/>
        <charset val="129"/>
      </rPr>
      <t xml:space="preserve">어곡공단</t>
    </r>
    <r>
      <rPr>
        <sz val="9"/>
        <color theme="1"/>
        <rFont val="Calibri"/>
        <family val="2"/>
        <charset val="1"/>
      </rPr>
      <t xml:space="preserve">7</t>
    </r>
    <r>
      <rPr>
        <sz val="9"/>
        <color theme="1"/>
        <rFont val="맑은 고딕"/>
        <family val="3"/>
        <charset val="129"/>
      </rPr>
      <t xml:space="preserve">길</t>
    </r>
    <r>
      <rPr>
        <sz val="9"/>
        <color theme="1"/>
        <rFont val="맑은 고딕"/>
        <family val="2"/>
        <charset val="128"/>
      </rPr>
      <t xml:space="preserve"> </t>
    </r>
    <r>
      <rPr>
        <sz val="9"/>
        <color theme="1"/>
        <rFont val="Calibri"/>
        <family val="2"/>
        <charset val="1"/>
      </rPr>
      <t xml:space="preserve">57</t>
    </r>
  </si>
  <si>
    <t xml:space="preserve">Boner 10</t>
  </si>
  <si>
    <t xml:space="preserve">7, Mieumgukje 6-ro, Gangseo-gu, Busan</t>
  </si>
  <si>
    <r>
      <rPr>
        <sz val="9"/>
        <color theme="1"/>
        <rFont val="맑은 고딕"/>
        <family val="3"/>
        <charset val="129"/>
      </rPr>
      <t xml:space="preserve">부산광역시</t>
    </r>
    <r>
      <rPr>
        <sz val="9"/>
        <color theme="1"/>
        <rFont val="맑은 고딕"/>
        <family val="2"/>
        <charset val="128"/>
      </rPr>
      <t xml:space="preserve"> </t>
    </r>
    <r>
      <rPr>
        <sz val="9"/>
        <color theme="1"/>
        <rFont val="맑은 고딕"/>
        <family val="3"/>
        <charset val="129"/>
      </rPr>
      <t xml:space="preserve">강서구</t>
    </r>
    <r>
      <rPr>
        <sz val="9"/>
        <color theme="1"/>
        <rFont val="맑은 고딕"/>
        <family val="2"/>
        <charset val="128"/>
      </rPr>
      <t xml:space="preserve"> </t>
    </r>
    <r>
      <rPr>
        <sz val="9"/>
        <color theme="1"/>
        <rFont val="맑은 고딕"/>
        <family val="3"/>
        <charset val="129"/>
      </rPr>
      <t xml:space="preserve">미음국제</t>
    </r>
    <r>
      <rPr>
        <sz val="9"/>
        <color theme="1"/>
        <rFont val="Calibri"/>
        <family val="2"/>
        <charset val="1"/>
      </rPr>
      <t xml:space="preserve">6</t>
    </r>
    <r>
      <rPr>
        <sz val="9"/>
        <color theme="1"/>
        <rFont val="맑은 고딕"/>
        <family val="3"/>
        <charset val="129"/>
      </rPr>
      <t xml:space="preserve">로</t>
    </r>
    <r>
      <rPr>
        <sz val="9"/>
        <color theme="1"/>
        <rFont val="맑은 고딕"/>
        <family val="2"/>
        <charset val="128"/>
      </rPr>
      <t xml:space="preserve"> </t>
    </r>
    <r>
      <rPr>
        <sz val="9"/>
        <color theme="1"/>
        <rFont val="Calibri"/>
        <family val="2"/>
        <charset val="1"/>
      </rPr>
      <t xml:space="preserve">7</t>
    </r>
  </si>
  <si>
    <t xml:space="preserve">Boner 11</t>
  </si>
  <si>
    <t xml:space="preserve">41, 1gongdan-ro 2-gil, Gumi-si,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</si>
  <si>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구미시</t>
    </r>
    <r>
      <rPr>
        <sz val="9"/>
        <color theme="1"/>
        <rFont val="맑은 고딕"/>
        <family val="2"/>
        <charset val="128"/>
      </rPr>
      <t xml:space="preserve"> </t>
    </r>
    <r>
      <rPr>
        <sz val="9"/>
        <color theme="1"/>
        <rFont val="맑은 고딕"/>
        <family val="3"/>
        <charset val="129"/>
      </rPr>
      <t xml:space="preserve">공단동</t>
    </r>
    <r>
      <rPr>
        <sz val="9"/>
        <color theme="1"/>
        <rFont val="맑은 고딕"/>
        <family val="2"/>
        <charset val="128"/>
      </rPr>
      <t xml:space="preserve"> </t>
    </r>
    <r>
      <rPr>
        <sz val="9"/>
        <color theme="1"/>
        <rFont val="Calibri"/>
        <family val="2"/>
        <charset val="1"/>
      </rPr>
      <t xml:space="preserve">282-64</t>
    </r>
  </si>
  <si>
    <t xml:space="preserve">Boner 12</t>
  </si>
  <si>
    <t xml:space="preserve">398, Noksansaneopjung-ro, Gangseo-gu, Busan</t>
  </si>
  <si>
    <r>
      <rPr>
        <sz val="9"/>
        <color theme="1"/>
        <rFont val="맑은 고딕"/>
        <family val="3"/>
        <charset val="129"/>
      </rPr>
      <t xml:space="preserve">부산광역시</t>
    </r>
    <r>
      <rPr>
        <sz val="9"/>
        <color theme="1"/>
        <rFont val="맑은 고딕"/>
        <family val="2"/>
        <charset val="128"/>
      </rPr>
      <t xml:space="preserve"> </t>
    </r>
    <r>
      <rPr>
        <sz val="9"/>
        <color theme="1"/>
        <rFont val="맑은 고딕"/>
        <family val="3"/>
        <charset val="129"/>
      </rPr>
      <t xml:space="preserve">강서구</t>
    </r>
    <r>
      <rPr>
        <sz val="9"/>
        <color theme="1"/>
        <rFont val="맑은 고딕"/>
        <family val="2"/>
        <charset val="128"/>
      </rPr>
      <t xml:space="preserve"> </t>
    </r>
    <r>
      <rPr>
        <sz val="9"/>
        <color theme="1"/>
        <rFont val="맑은 고딕"/>
        <family val="3"/>
        <charset val="129"/>
      </rPr>
      <t xml:space="preserve">녹산산업중로</t>
    </r>
    <r>
      <rPr>
        <sz val="9"/>
        <color theme="1"/>
        <rFont val="맑은 고딕"/>
        <family val="2"/>
        <charset val="128"/>
      </rPr>
      <t xml:space="preserve"> </t>
    </r>
    <r>
      <rPr>
        <sz val="9"/>
        <color theme="1"/>
        <rFont val="Calibri"/>
        <family val="2"/>
        <charset val="1"/>
      </rPr>
      <t xml:space="preserve">398(</t>
    </r>
    <r>
      <rPr>
        <sz val="9"/>
        <color theme="1"/>
        <rFont val="맑은 고딕"/>
        <family val="3"/>
        <charset val="129"/>
      </rPr>
      <t xml:space="preserve">송정동</t>
    </r>
    <r>
      <rPr>
        <sz val="9"/>
        <color theme="1"/>
        <rFont val="Calibri"/>
        <family val="2"/>
        <charset val="1"/>
      </rPr>
      <t xml:space="preserve">)</t>
    </r>
  </si>
  <si>
    <t xml:space="preserve">Boner 13</t>
  </si>
  <si>
    <t xml:space="preserve">1, Munhyeongdongnim-ro 49beon-gil, Mohyeon-eup, Cheoin-gu, Yongin-si, Gyeonggi-do</t>
  </si>
  <si>
    <r>
      <rPr>
        <sz val="9"/>
        <color theme="1"/>
        <rFont val="맑은 고딕"/>
        <family val="3"/>
        <charset val="129"/>
      </rPr>
      <t xml:space="preserve">경기도</t>
    </r>
    <r>
      <rPr>
        <sz val="9"/>
        <color theme="1"/>
        <rFont val="맑은 고딕"/>
        <family val="2"/>
        <charset val="128"/>
      </rPr>
      <t xml:space="preserve"> </t>
    </r>
    <r>
      <rPr>
        <sz val="9"/>
        <color theme="1"/>
        <rFont val="맑은 고딕"/>
        <family val="3"/>
        <charset val="129"/>
      </rPr>
      <t xml:space="preserve">용인시</t>
    </r>
    <r>
      <rPr>
        <sz val="9"/>
        <color theme="1"/>
        <rFont val="맑은 고딕"/>
        <family val="2"/>
        <charset val="128"/>
      </rPr>
      <t xml:space="preserve"> </t>
    </r>
    <r>
      <rPr>
        <sz val="9"/>
        <color theme="1"/>
        <rFont val="맑은 고딕"/>
        <family val="3"/>
        <charset val="129"/>
      </rPr>
      <t xml:space="preserve">처인구</t>
    </r>
    <r>
      <rPr>
        <sz val="9"/>
        <color theme="1"/>
        <rFont val="맑은 고딕"/>
        <family val="2"/>
        <charset val="128"/>
      </rPr>
      <t xml:space="preserve"> </t>
    </r>
    <r>
      <rPr>
        <sz val="9"/>
        <color theme="1"/>
        <rFont val="맑은 고딕"/>
        <family val="3"/>
        <charset val="129"/>
      </rPr>
      <t xml:space="preserve">모현읍</t>
    </r>
    <r>
      <rPr>
        <sz val="9"/>
        <color theme="1"/>
        <rFont val="맑은 고딕"/>
        <family val="2"/>
        <charset val="128"/>
      </rPr>
      <t xml:space="preserve"> </t>
    </r>
    <r>
      <rPr>
        <sz val="9"/>
        <color theme="1"/>
        <rFont val="맑은 고딕"/>
        <family val="3"/>
        <charset val="129"/>
      </rPr>
      <t xml:space="preserve">동림리</t>
    </r>
    <r>
      <rPr>
        <sz val="9"/>
        <color theme="1"/>
        <rFont val="맑은 고딕"/>
        <family val="2"/>
        <charset val="128"/>
      </rPr>
      <t xml:space="preserve"> </t>
    </r>
    <r>
      <rPr>
        <sz val="9"/>
        <color theme="1"/>
        <rFont val="Calibri"/>
        <family val="2"/>
        <charset val="1"/>
      </rPr>
      <t xml:space="preserve">155</t>
    </r>
  </si>
  <si>
    <t xml:space="preserve">Drne 1</t>
  </si>
  <si>
    <t xml:space="preserve">351,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</si>
  <si>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351</t>
    </r>
  </si>
  <si>
    <t xml:space="preserve">37.077911 / 128.990722</t>
  </si>
  <si>
    <t xml:space="preserve">Sungil Energy</t>
  </si>
  <si>
    <t xml:space="preserve">Drne 2</t>
  </si>
  <si>
    <t xml:space="preserve">330-1,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</si>
  <si>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330-1</t>
    </r>
  </si>
  <si>
    <t xml:space="preserve">37.078246 / 128.987168</t>
  </si>
  <si>
    <t xml:space="preserve">WangsanDaeki 9</t>
  </si>
  <si>
    <t xml:space="preserve">Drne 5</t>
  </si>
  <si>
    <t xml:space="preserve">373,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</si>
  <si>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373</t>
    </r>
  </si>
  <si>
    <t xml:space="preserve">37.081866 / 128.980149 </t>
  </si>
  <si>
    <t xml:space="preserve">Gwangmyeong</t>
  </si>
  <si>
    <t xml:space="preserve">Drne 6</t>
  </si>
  <si>
    <t xml:space="preserve">336,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</si>
  <si>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336</t>
    </r>
  </si>
  <si>
    <t xml:space="preserve">37.078474 / 128.983815</t>
  </si>
  <si>
    <t xml:space="preserve">WangsanDaeki 7</t>
  </si>
  <si>
    <t xml:space="preserve">Drne 7</t>
  </si>
  <si>
    <t xml:space="preserve">306-1,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</si>
  <si>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306-1</t>
    </r>
  </si>
  <si>
    <t xml:space="preserve">37.079454 / 128.980403</t>
  </si>
  <si>
    <t xml:space="preserve">Daewoo Solar</t>
  </si>
  <si>
    <t xml:space="preserve">Drne 8</t>
  </si>
  <si>
    <t xml:space="preserve">302,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</si>
  <si>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302 </t>
    </r>
  </si>
  <si>
    <t xml:space="preserve">37.077591 / 128.980871</t>
  </si>
  <si>
    <t xml:space="preserve">WangsanDaeki 11</t>
  </si>
  <si>
    <t xml:space="preserve">Drne 9</t>
  </si>
  <si>
    <t xml:space="preserve">297,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</si>
  <si>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297</t>
    </r>
  </si>
  <si>
    <t xml:space="preserve">37.079014 / 128.976915</t>
  </si>
  <si>
    <t xml:space="preserve">WangsanDaeki</t>
  </si>
  <si>
    <t xml:space="preserve">Drne 10</t>
  </si>
  <si>
    <t xml:space="preserve">294, Daehyeon-ri, Seokpo-myeon, Bonghwa-gun, Gyeongsangbuk-do</t>
  </si>
  <si>
    <r>
      <rPr>
        <sz val="9"/>
        <color theme="1"/>
        <rFont val="맑은 고딕"/>
        <family val="3"/>
        <charset val="129"/>
      </rPr>
      <t xml:space="preserve">경북</t>
    </r>
    <r>
      <rPr>
        <sz val="9"/>
        <color theme="1"/>
        <rFont val="맑은 고딕"/>
        <family val="2"/>
        <charset val="128"/>
      </rPr>
      <t xml:space="preserve"> </t>
    </r>
    <r>
      <rPr>
        <sz val="9"/>
        <color theme="1"/>
        <rFont val="맑은 고딕"/>
        <family val="3"/>
        <charset val="129"/>
      </rPr>
      <t xml:space="preserve">봉화군</t>
    </r>
    <r>
      <rPr>
        <sz val="9"/>
        <color theme="1"/>
        <rFont val="맑은 고딕"/>
        <family val="2"/>
        <charset val="128"/>
      </rPr>
      <t xml:space="preserve"> </t>
    </r>
    <r>
      <rPr>
        <sz val="9"/>
        <color theme="1"/>
        <rFont val="맑은 고딕"/>
        <family val="3"/>
        <charset val="129"/>
      </rPr>
      <t xml:space="preserve">석포면</t>
    </r>
    <r>
      <rPr>
        <sz val="9"/>
        <color theme="1"/>
        <rFont val="맑은 고딕"/>
        <family val="2"/>
        <charset val="128"/>
      </rPr>
      <t xml:space="preserve"> </t>
    </r>
    <r>
      <rPr>
        <sz val="9"/>
        <color theme="1"/>
        <rFont val="맑은 고딕"/>
        <family val="3"/>
        <charset val="129"/>
      </rPr>
      <t xml:space="preserve">대현리</t>
    </r>
    <r>
      <rPr>
        <sz val="9"/>
        <color theme="1"/>
        <rFont val="맑은 고딕"/>
        <family val="2"/>
        <charset val="128"/>
      </rPr>
      <t xml:space="preserve"> </t>
    </r>
    <r>
      <rPr>
        <sz val="9"/>
        <color theme="1"/>
        <rFont val="Calibri"/>
        <family val="2"/>
        <charset val="1"/>
      </rPr>
      <t xml:space="preserve">294 </t>
    </r>
  </si>
  <si>
    <t xml:space="preserve">37.079421 / 128.974548</t>
  </si>
  <si>
    <t xml:space="preserve">Sunjin Solar 1</t>
  </si>
  <si>
    <t xml:space="preserve">Batch 2_RTB</t>
  </si>
  <si>
    <t xml:space="preserve">Project Site Address</t>
  </si>
  <si>
    <t xml:space="preserve">Permitted
 Capacity(kw)</t>
  </si>
  <si>
    <t xml:space="preserve">Specific Production
 [kWh/kWp]</t>
  </si>
  <si>
    <t xml:space="preserve">KIER</t>
  </si>
  <si>
    <t xml:space="preserve">AEP [MWh]</t>
  </si>
  <si>
    <t xml:space="preserve">Land Use</t>
  </si>
  <si>
    <t xml:space="preserve">Self Owned/Rented</t>
  </si>
  <si>
    <t xml:space="preserve">License Status</t>
  </si>
  <si>
    <t xml:space="preserve">Grid Connection Status</t>
  </si>
  <si>
    <t xml:space="preserve">EBL(1)</t>
  </si>
  <si>
    <t xml:space="preserve">Development
permit(2)</t>
  </si>
  <si>
    <t xml:space="preserve">Business
registration(3)</t>
  </si>
  <si>
    <t xml:space="preserve">Certified copy
of the register(4)</t>
  </si>
  <si>
    <t xml:space="preserve">Shareholder
register(5)</t>
  </si>
  <si>
    <t xml:space="preserve">Certificate of a
registered seal(6)</t>
  </si>
  <si>
    <t xml:space="preserve">Module Layout</t>
  </si>
  <si>
    <t xml:space="preserve">PPA agmt.(7)</t>
  </si>
  <si>
    <t xml:space="preserve">Sellers PPA to KEPCO</t>
  </si>
  <si>
    <t xml:space="preserve">Power of
Attorney(8)</t>
  </si>
  <si>
    <t xml:space="preserve">ID copy
of owner(9)</t>
  </si>
  <si>
    <t xml:space="preserve">GIA</t>
  </si>
  <si>
    <t xml:space="preserve">Lease agmt.</t>
  </si>
  <si>
    <t xml:space="preserve">day</t>
  </si>
  <si>
    <t xml:space="preserve">South</t>
  </si>
  <si>
    <t xml:space="preserve">East-West</t>
  </si>
  <si>
    <t xml:space="preserve">Date to be issued</t>
  </si>
  <si>
    <t xml:space="preserve">Date Expired</t>
  </si>
  <si>
    <t xml:space="preserve">Available to connect</t>
  </si>
  <si>
    <t xml:space="preserve">경북 봉화군 재산면 갈산리 2133,2135</t>
  </si>
  <si>
    <t xml:space="preserve">Self-Owned</t>
  </si>
  <si>
    <t xml:space="preserve">Development Permit Completed</t>
  </si>
  <si>
    <t xml:space="preserve">Second half of the year in 2026</t>
  </si>
  <si>
    <t xml:space="preserve">O</t>
  </si>
  <si>
    <t xml:space="preserve">x</t>
  </si>
  <si>
    <t xml:space="preserve">Jan '25</t>
  </si>
  <si>
    <t xml:space="preserve">경북 봉화군 재산면 갈산리 2134,2279</t>
  </si>
  <si>
    <t xml:space="preserve">Jan '27</t>
  </si>
  <si>
    <t xml:space="preserve">경북 봉화군 재산면 갈산리 2127,2280,2281</t>
  </si>
  <si>
    <t xml:space="preserve">경북 봉화군 재산면 갈산리 2127,2128</t>
  </si>
  <si>
    <t xml:space="preserve">=365*</t>
  </si>
  <si>
    <t xml:space="preserve">경상북도 영양군 석보면 지경리 98-1</t>
  </si>
  <si>
    <t xml:space="preserve">Mar '25</t>
  </si>
  <si>
    <t xml:space="preserve">전라남도 고흥군 과역면 호덕리 12-4</t>
  </si>
  <si>
    <t xml:space="preserve">Sole proprietorship</t>
  </si>
  <si>
    <t xml:space="preserve">Jul '25</t>
  </si>
  <si>
    <t xml:space="preserve">경남 합천군 대양면 무곡리 351,352</t>
  </si>
  <si>
    <t xml:space="preserve">Till end by Construction</t>
  </si>
  <si>
    <t xml:space="preserve">경상북도 영양군 석보면 지경리 98-1, 산51-22</t>
  </si>
  <si>
    <t xml:space="preserve">May '26</t>
  </si>
  <si>
    <t xml:space="preserve">경북 봉화군 춘양면 우구치리 145-1,145-2</t>
  </si>
  <si>
    <t xml:space="preserve">Jun '26</t>
  </si>
  <si>
    <t xml:space="preserve">경북 봉화군 춘양면 우구치리 146-1,146-2</t>
  </si>
  <si>
    <t xml:space="preserve">경북 봉화군 춘양면 우구치리 141,142</t>
  </si>
  <si>
    <t xml:space="preserve">Rented(25yrs)</t>
  </si>
  <si>
    <t xml:space="preserve">전남 해남군 마산면 장촌리 260,262,713-1,713-2,714,715,716</t>
  </si>
  <si>
    <t xml:space="preserve">Jul '26</t>
  </si>
  <si>
    <t xml:space="preserve">Masan 1</t>
  </si>
  <si>
    <t xml:space="preserve">충청북도 영동군 황간면 마산리 188</t>
  </si>
  <si>
    <t xml:space="preserve">Aug '26</t>
  </si>
  <si>
    <t xml:space="preserve">경북 봉화군 봉성면 봉양리 1126,1127,1129,1131,1137,1138</t>
  </si>
  <si>
    <t xml:space="preserve">경북 봉화군 봉성면 봉양리 1126,1127,1129,1131</t>
  </si>
  <si>
    <t xml:space="preserve">경북 봉화군 봉성면 봉양리 1513-1,1513-2</t>
  </si>
  <si>
    <t xml:space="preserve">경북 봉화군 봉성면 봉양리 1139,1140</t>
  </si>
  <si>
    <t xml:space="preserve">경북 봉화군 봉성면 봉양리 801,806,807,808</t>
  </si>
  <si>
    <t xml:space="preserve">MunChon Taeyang</t>
  </si>
  <si>
    <t xml:space="preserve">경북 봉화군 상운면 문촌리 401,402,403</t>
  </si>
  <si>
    <t xml:space="preserve">전북 남원시 대강면 월탄리 73,74</t>
  </si>
  <si>
    <t xml:space="preserve">EXPENSE FOERCAST</t>
  </si>
  <si>
    <t xml:space="preserve">Next Step</t>
  </si>
  <si>
    <t xml:space="preserve"> Proyect Name</t>
  </si>
  <si>
    <t xml:space="preserve">DC</t>
  </si>
  <si>
    <t xml:space="preserve">AC</t>
  </si>
  <si>
    <t xml:space="preserve">GV COD
Mark</t>
  </si>
  <si>
    <t xml:space="preserve">Utility Progress</t>
  </si>
  <si>
    <t xml:space="preserve">Preliminary app date</t>
  </si>
  <si>
    <t xml:space="preserve">Secondary app date</t>
  </si>
  <si>
    <t xml:space="preserve">Secondary response date</t>
  </si>
  <si>
    <t xml:space="preserve">ICC reception date</t>
  </si>
  <si>
    <t xml:space="preserve">Utility construction period (months)</t>
  </si>
  <si>
    <t xml:space="preserve">Utility COD</t>
  </si>
  <si>
    <r>
      <rPr>
        <b val="true"/>
        <sz val="12"/>
        <color theme="0"/>
        <rFont val="Calibri"/>
        <family val="2"/>
        <charset val="1"/>
      </rPr>
      <t xml:space="preserve">Land Area(</t>
    </r>
    <r>
      <rPr>
        <b val="true"/>
        <sz val="12"/>
        <color theme="0"/>
        <rFont val="맑은 고딕"/>
        <family val="2"/>
        <charset val="128"/>
      </rPr>
      <t xml:space="preserve">㎡</t>
    </r>
    <r>
      <rPr>
        <b val="true"/>
        <sz val="12"/>
        <color theme="0"/>
        <rFont val="Calibri"/>
        <family val="2"/>
        <charset val="1"/>
      </rPr>
      <t xml:space="preserve">)</t>
    </r>
  </si>
  <si>
    <t xml:space="preserve">Development Permit</t>
  </si>
  <si>
    <t xml:space="preserve">Farmland only</t>
  </si>
  <si>
    <t xml:space="preserve">Utility</t>
  </si>
  <si>
    <t xml:space="preserve">Land /
Wp</t>
  </si>
  <si>
    <t xml:space="preserve">Utility /
Wp</t>
  </si>
  <si>
    <t xml:space="preserve">Permit /
Wp</t>
  </si>
  <si>
    <t xml:space="preserve">EPC /
Wp</t>
  </si>
  <si>
    <t xml:space="preserve">Total / Wp</t>
  </si>
  <si>
    <t xml:space="preserve">Specific Production (kWh/kAp/year)</t>
  </si>
  <si>
    <t xml:space="preserve">SPC</t>
  </si>
  <si>
    <t xml:space="preserve">Description</t>
  </si>
  <si>
    <t xml:space="preserve">Batch 1 - YJ NANSAN 1</t>
  </si>
  <si>
    <t xml:space="preserve">제주도 서귀포시 성산읍 난산리 2794</t>
  </si>
  <si>
    <t xml:space="preserve">- EPC company has been decided as the DB company.
- Require site survey and get approved the detailed drawing by GV.
- Make a report to Jeju local government, KEPCO and Kesco(Korea Electrical Safety Corportation).
- After Kesco's approval -&gt; COD</t>
  </si>
  <si>
    <t xml:space="preserve">Batch 1 - YJ NANSAN 2</t>
  </si>
  <si>
    <t xml:space="preserve">Batch 1 - YJ GASI 1</t>
  </si>
  <si>
    <t xml:space="preserve">제주도 서귀포시 표선면 가시리 3097</t>
  </si>
  <si>
    <t xml:space="preserve">Batch 1 - YJ GASI 2</t>
  </si>
  <si>
    <t xml:space="preserve">Batch 1 - Dream 1</t>
  </si>
  <si>
    <t xml:space="preserve">제주도 서귀포시 남원읍 위미리 3745</t>
  </si>
  <si>
    <t xml:space="preserve">Batch 1 - Dream 2</t>
  </si>
  <si>
    <t xml:space="preserve">Batch 1 - JEIL TECH 1</t>
  </si>
  <si>
    <t xml:space="preserve">제주도 서귀포시 남원읍 수망리 산 56</t>
  </si>
  <si>
    <t xml:space="preserve">Batch 1 - JEIL TECH 2</t>
  </si>
  <si>
    <t xml:space="preserve">제주도 서귀포시 남원읍 수망리 619번지 &amp; 산 56</t>
  </si>
  <si>
    <t xml:space="preserve">2133, Galsan-ri, Jaesan-myeon, Bonghwa-gun, Gyeongsangbuk-do</t>
  </si>
  <si>
    <t xml:space="preserve">전라남도 해남군 마산면 장촌리 260</t>
  </si>
  <si>
    <t xml:space="preserve">충북 영동군 황간면 마산리 188</t>
  </si>
  <si>
    <t xml:space="preserve">경상북도 합천군 대양면 무곡리 351</t>
  </si>
  <si>
    <t xml:space="preserve">경상북도 봉화군 재산면 갈산리 2133</t>
  </si>
  <si>
    <t xml:space="preserve">Galsan, Mineuri, Saegol, Jaesan</t>
  </si>
  <si>
    <t xml:space="preserve">경상북도 봉화군 춘양면 우구치리 145-1</t>
  </si>
  <si>
    <t xml:space="preserve">Seodeul, Siwol, Guemjeong</t>
  </si>
  <si>
    <t xml:space="preserve">Batch 2 - SooAm 1</t>
  </si>
  <si>
    <t xml:space="preserve">- The land owner is going to proceed with the development action in person and OG will pay them for the sales and permitting amounts.
Appr. KRW 50milion/MW (M&amp;A) + KRW 400milion/MW (Development incl. DAP) + KRW 20milion/MW (Broker fee) + KRW 900mil-1billion/MW = Total KRW 1.4 bilion/MW
The detailed information will be updated.</t>
  </si>
  <si>
    <t xml:space="preserve">Batch 2 - SooAm 2</t>
  </si>
  <si>
    <t xml:space="preserve">Batch 2 - SooAm 3</t>
  </si>
  <si>
    <t xml:space="preserve">Batch 2 - SooAm 4</t>
  </si>
  <si>
    <t xml:space="preserve">Batch 2 - SooAm 5</t>
  </si>
  <si>
    <t xml:space="preserve">Batch 2 - SooAm 6</t>
  </si>
  <si>
    <t xml:space="preserve">Batch 2 - SooAm 7</t>
  </si>
  <si>
    <t xml:space="preserve">Batch 2 - SooAm 8</t>
  </si>
  <si>
    <t xml:space="preserve">Batch 2 - SooAm 9</t>
  </si>
  <si>
    <t xml:space="preserve">Total 17.5MW</t>
  </si>
  <si>
    <t xml:space="preserve">Ground Mounted-PV Organic</t>
  </si>
  <si>
    <t xml:space="preserve">Project Name</t>
  </si>
  <si>
    <t xml:space="preserve">PD</t>
  </si>
  <si>
    <t xml:space="preserve">PM</t>
  </si>
  <si>
    <t xml:space="preserve">Development Act Permit</t>
  </si>
  <si>
    <t xml:space="preserve">DG-PV M&amp;A</t>
  </si>
  <si>
    <t xml:space="preserve">Unit: KRW</t>
  </si>
  <si>
    <t xml:space="preserve">NEH
(Year)</t>
  </si>
  <si>
    <t xml:space="preserve">Roof  Lease Price/kW/Year</t>
  </si>
  <si>
    <r>
      <rPr>
        <b val="true"/>
        <sz val="10"/>
        <color theme="0"/>
        <rFont val="Calibri"/>
        <family val="2"/>
        <charset val="1"/>
      </rPr>
      <t xml:space="preserve">Roof Area(</t>
    </r>
    <r>
      <rPr>
        <b val="true"/>
        <sz val="10"/>
        <color theme="0"/>
        <rFont val="맑은 고딕"/>
        <family val="2"/>
        <charset val="128"/>
      </rPr>
      <t xml:space="preserve">㎡</t>
    </r>
    <r>
      <rPr>
        <b val="true"/>
        <sz val="10"/>
        <color theme="0"/>
        <rFont val="Calibri"/>
        <family val="2"/>
        <charset val="1"/>
      </rPr>
      <t xml:space="preserve">)</t>
    </r>
  </si>
  <si>
    <t xml:space="preserve">Last 
updated on</t>
  </si>
  <si>
    <t xml:space="preserve">Module 
Type</t>
  </si>
  <si>
    <t xml:space="preserve">No. of Module</t>
  </si>
  <si>
    <t xml:space="preserve">POSN2-1HO</t>
  </si>
  <si>
    <t xml:space="preserve">14, Yuchonsandan 1-gil, Geumwang-eup, Eumseong-gun, Chungcheongbuk-do</t>
  </si>
  <si>
    <r>
      <rPr>
        <sz val="9"/>
        <color theme="1"/>
        <rFont val="맑은 고딕"/>
        <family val="3"/>
        <charset val="129"/>
      </rPr>
      <t xml:space="preserve">충청북도</t>
    </r>
    <r>
      <rPr>
        <sz val="9"/>
        <color theme="1"/>
        <rFont val="맑은 고딕"/>
        <family val="2"/>
        <charset val="128"/>
      </rPr>
      <t xml:space="preserve"> </t>
    </r>
    <r>
      <rPr>
        <sz val="9"/>
        <color theme="1"/>
        <rFont val="맑은 고딕"/>
        <family val="3"/>
        <charset val="129"/>
      </rPr>
      <t xml:space="preserve">음성군</t>
    </r>
    <r>
      <rPr>
        <sz val="9"/>
        <color theme="1"/>
        <rFont val="맑은 고딕"/>
        <family val="2"/>
        <charset val="128"/>
      </rPr>
      <t xml:space="preserve"> </t>
    </r>
    <r>
      <rPr>
        <sz val="9"/>
        <color theme="1"/>
        <rFont val="맑은 고딕"/>
        <family val="3"/>
        <charset val="129"/>
      </rPr>
      <t xml:space="preserve">금왕읍</t>
    </r>
    <r>
      <rPr>
        <sz val="9"/>
        <color theme="1"/>
        <rFont val="맑은 고딕"/>
        <family val="2"/>
        <charset val="128"/>
      </rPr>
      <t xml:space="preserve"> </t>
    </r>
    <r>
      <rPr>
        <sz val="9"/>
        <color theme="1"/>
        <rFont val="맑은 고딕"/>
        <family val="3"/>
        <charset val="129"/>
      </rPr>
      <t xml:space="preserve">유촌리</t>
    </r>
    <r>
      <rPr>
        <sz val="9"/>
        <color theme="1"/>
        <rFont val="맑은 고딕"/>
        <family val="2"/>
        <charset val="128"/>
      </rPr>
      <t xml:space="preserve"> </t>
    </r>
    <r>
      <rPr>
        <sz val="9"/>
        <color theme="1"/>
        <rFont val="Calibri"/>
        <family val="2"/>
        <charset val="1"/>
      </rPr>
      <t xml:space="preserve">779</t>
    </r>
  </si>
  <si>
    <t xml:space="preserve">36.954473 / 127.563122</t>
  </si>
  <si>
    <t xml:space="preserve">Eumseong, Chungbuk</t>
  </si>
  <si>
    <t xml:space="preserve">By 06 Apr '26</t>
  </si>
  <si>
    <t xml:space="preserve">By 31 Dec '26</t>
  </si>
  <si>
    <t xml:space="preserve">Hanjeon PPA Applied</t>
  </si>
  <si>
    <t xml:space="preserve">NamEumseong S/S, Ingok D/L_10.6MW</t>
  </si>
  <si>
    <t xml:space="preserve">Next S</t>
  </si>
  <si>
    <t xml:space="preserve">380V</t>
  </si>
  <si>
    <t xml:space="preserve">SL65-78TDP-600S</t>
  </si>
  <si>
    <r>
      <rPr>
        <sz val="9"/>
        <color theme="1"/>
        <rFont val="Calibri"/>
        <family val="2"/>
        <charset val="1"/>
      </rPr>
      <t xml:space="preserve">The capacity was 345.6kW but on PPA application it's applied</t>
    </r>
    <r>
      <rPr>
        <b val="true"/>
        <sz val="9"/>
        <color theme="1"/>
        <rFont val="Calibri"/>
        <family val="2"/>
        <charset val="1"/>
      </rPr>
      <t xml:space="preserve"> 362.88kW</t>
    </r>
    <r>
      <rPr>
        <sz val="9"/>
        <color theme="1"/>
        <rFont val="Calibri"/>
        <family val="2"/>
        <charset val="1"/>
      </rPr>
      <t xml:space="preserve">. Upfront 1-5years of lease: 10% discount, annually shall be paid from the 6th year. Pay 90% of Devex at SPA signing and rest 10% at DAP completion (TBC)</t>
    </r>
  </si>
  <si>
    <t xml:space="preserve">POSN2-3HO</t>
  </si>
  <si>
    <t xml:space="preserve">278-48 &amp; 7 lots(413-11, 334-3, 336-1, 333-2, 332-2, 413-10, 316-4), Deokgeum-ro, Jincheon-eup, Jincheon-gun, Chungcheongbuk-do</t>
  </si>
  <si>
    <r>
      <rPr>
        <sz val="9"/>
        <color rgb="FF000000"/>
        <rFont val="맑은 고딕"/>
        <family val="3"/>
        <charset val="129"/>
      </rPr>
      <t xml:space="preserve">충청북도</t>
    </r>
    <r>
      <rPr>
        <sz val="9"/>
        <color rgb="FF000000"/>
        <rFont val="맑은 고딕"/>
        <family val="2"/>
        <charset val="128"/>
      </rPr>
      <t xml:space="preserve"> </t>
    </r>
    <r>
      <rPr>
        <sz val="9"/>
        <color rgb="FF000000"/>
        <rFont val="맑은 고딕"/>
        <family val="3"/>
        <charset val="129"/>
      </rPr>
      <t xml:space="preserve">진천군</t>
    </r>
    <r>
      <rPr>
        <sz val="9"/>
        <color rgb="FF000000"/>
        <rFont val="맑은 고딕"/>
        <family val="2"/>
        <charset val="128"/>
      </rPr>
      <t xml:space="preserve"> </t>
    </r>
    <r>
      <rPr>
        <sz val="9"/>
        <color rgb="FF000000"/>
        <rFont val="맑은 고딕"/>
        <family val="3"/>
        <charset val="129"/>
      </rPr>
      <t xml:space="preserve">진천읍</t>
    </r>
    <r>
      <rPr>
        <sz val="9"/>
        <color rgb="FF000000"/>
        <rFont val="맑은 고딕"/>
        <family val="2"/>
        <charset val="128"/>
      </rPr>
      <t xml:space="preserve"> 상신리 </t>
    </r>
    <r>
      <rPr>
        <sz val="9"/>
        <color rgb="FF000000"/>
        <rFont val="Calibri"/>
        <family val="2"/>
        <charset val="1"/>
      </rPr>
      <t xml:space="preserve">310-5</t>
    </r>
    <r>
      <rPr>
        <sz val="9"/>
        <color rgb="FF000000"/>
        <rFont val="맑은 고딕"/>
        <family val="2"/>
        <charset val="128"/>
      </rPr>
      <t xml:space="preserve">번지 외 </t>
    </r>
    <r>
      <rPr>
        <sz val="9"/>
        <color rgb="FF000000"/>
        <rFont val="Calibri"/>
        <family val="2"/>
        <charset val="1"/>
      </rPr>
      <t xml:space="preserve">7</t>
    </r>
    <r>
      <rPr>
        <sz val="9"/>
        <color rgb="FF000000"/>
        <rFont val="맑은 고딕"/>
        <family val="2"/>
        <charset val="128"/>
      </rPr>
      <t xml:space="preserve">필지</t>
    </r>
  </si>
  <si>
    <t xml:space="preserve">Jincheon, Chungbuk</t>
  </si>
  <si>
    <t xml:space="preserve">By 25 Sep '27</t>
  </si>
  <si>
    <t xml:space="preserve">By 31 Oct '25</t>
  </si>
  <si>
    <t xml:space="preserve">Deoksan S/S, Sangshin D/L_3MW</t>
  </si>
  <si>
    <t xml:space="preserve">SL65-78TDP-630S</t>
  </si>
  <si>
    <t xml:space="preserve">Upfront 1- 5years of lease: 10% discount, annually shall be paid from the 6th year.</t>
  </si>
  <si>
    <t xml:space="preserve">POSN2-4HO</t>
  </si>
  <si>
    <t xml:space="preserve">77, Chungjusandan 7-ro, Chungju-si, Chungcheongbuk-do</t>
  </si>
  <si>
    <r>
      <rPr>
        <sz val="9"/>
        <color theme="1"/>
        <rFont val="맑은 고딕"/>
        <family val="3"/>
        <charset val="129"/>
      </rPr>
      <t xml:space="preserve">충청북도</t>
    </r>
    <r>
      <rPr>
        <sz val="9"/>
        <color theme="1"/>
        <rFont val="맑은 고딕"/>
        <family val="2"/>
        <charset val="128"/>
      </rPr>
      <t xml:space="preserve"> </t>
    </r>
    <r>
      <rPr>
        <sz val="9"/>
        <color theme="1"/>
        <rFont val="맑은 고딕"/>
        <family val="3"/>
        <charset val="129"/>
      </rPr>
      <t xml:space="preserve">충주시</t>
    </r>
    <r>
      <rPr>
        <sz val="9"/>
        <color theme="1"/>
        <rFont val="맑은 고딕"/>
        <family val="2"/>
        <charset val="128"/>
      </rPr>
      <t xml:space="preserve"> </t>
    </r>
    <r>
      <rPr>
        <sz val="9"/>
        <color theme="1"/>
        <rFont val="맑은 고딕"/>
        <family val="3"/>
        <charset val="129"/>
      </rPr>
      <t xml:space="preserve">충주산단</t>
    </r>
    <r>
      <rPr>
        <sz val="9"/>
        <color theme="1"/>
        <rFont val="Calibri"/>
        <family val="2"/>
        <charset val="1"/>
      </rPr>
      <t xml:space="preserve">7</t>
    </r>
    <r>
      <rPr>
        <sz val="9"/>
        <color theme="1"/>
        <rFont val="맑은 고딕"/>
        <family val="3"/>
        <charset val="129"/>
      </rPr>
      <t xml:space="preserve">로</t>
    </r>
    <r>
      <rPr>
        <sz val="9"/>
        <color theme="1"/>
        <rFont val="맑은 고딕"/>
        <family val="2"/>
        <charset val="128"/>
      </rPr>
      <t xml:space="preserve"> </t>
    </r>
    <r>
      <rPr>
        <sz val="9"/>
        <color theme="1"/>
        <rFont val="Calibri"/>
        <family val="2"/>
        <charset val="1"/>
      </rPr>
      <t xml:space="preserve">77</t>
    </r>
  </si>
  <si>
    <t xml:space="preserve">37.016515 / 127.953404</t>
  </si>
  <si>
    <t xml:space="preserve">Chungju, Chungbuk</t>
  </si>
  <si>
    <t xml:space="preserve">By 17 Nov '27</t>
  </si>
  <si>
    <t xml:space="preserve">Choonju S/S, Bolt D/L_5MW</t>
  </si>
  <si>
    <t xml:space="preserve">22.9kV</t>
  </si>
  <si>
    <t xml:space="preserve">Upfront 1-5years of lease: 10% discount, annually shall be paid from the 6th year.</t>
  </si>
  <si>
    <t xml:space="preserve">POSN2-6HO</t>
  </si>
  <si>
    <t xml:space="preserve">245, Gongdan 3-daero, Siheung-si, Gyeonggi-do</t>
  </si>
  <si>
    <r>
      <rPr>
        <sz val="9"/>
        <color theme="1"/>
        <rFont val="맑은 고딕"/>
        <family val="3"/>
        <charset val="129"/>
      </rPr>
      <t xml:space="preserve">경기도</t>
    </r>
    <r>
      <rPr>
        <sz val="9"/>
        <color theme="1"/>
        <rFont val="맑은 고딕"/>
        <family val="2"/>
        <charset val="128"/>
      </rPr>
      <t xml:space="preserve"> </t>
    </r>
    <r>
      <rPr>
        <sz val="9"/>
        <color theme="1"/>
        <rFont val="맑은 고딕"/>
        <family val="3"/>
        <charset val="129"/>
      </rPr>
      <t xml:space="preserve">시흥시</t>
    </r>
    <r>
      <rPr>
        <sz val="9"/>
        <color theme="1"/>
        <rFont val="맑은 고딕"/>
        <family val="2"/>
        <charset val="128"/>
      </rPr>
      <t xml:space="preserve"> </t>
    </r>
    <r>
      <rPr>
        <sz val="9"/>
        <color theme="1"/>
        <rFont val="맑은 고딕"/>
        <family val="3"/>
        <charset val="129"/>
      </rPr>
      <t xml:space="preserve">공단</t>
    </r>
    <r>
      <rPr>
        <sz val="9"/>
        <color theme="1"/>
        <rFont val="Calibri"/>
        <family val="2"/>
        <charset val="1"/>
      </rPr>
      <t xml:space="preserve">3</t>
    </r>
    <r>
      <rPr>
        <sz val="9"/>
        <color theme="1"/>
        <rFont val="맑은 고딕"/>
        <family val="3"/>
        <charset val="129"/>
      </rPr>
      <t xml:space="preserve">대로</t>
    </r>
    <r>
      <rPr>
        <sz val="9"/>
        <color theme="1"/>
        <rFont val="맑은 고딕"/>
        <family val="2"/>
        <charset val="128"/>
      </rPr>
      <t xml:space="preserve"> </t>
    </r>
    <r>
      <rPr>
        <sz val="9"/>
        <color theme="1"/>
        <rFont val="Calibri"/>
        <family val="2"/>
        <charset val="1"/>
      </rPr>
      <t xml:space="preserve">245</t>
    </r>
  </si>
  <si>
    <t xml:space="preserve">37.321046 / 126.714477</t>
  </si>
  <si>
    <t xml:space="preserve">Siheung, Gyeonggido</t>
  </si>
  <si>
    <t xml:space="preserve">By 05 Jun '26</t>
  </si>
  <si>
    <t xml:space="preserve">Accepted Jan '25</t>
  </si>
  <si>
    <t xml:space="preserve">NamJeongwang S/S, Miho D/L_4MW</t>
  </si>
  <si>
    <t xml:space="preserve">POSN2-8HO</t>
  </si>
  <si>
    <t xml:space="preserve">89-24, Daegot-ro 328beon-gil, Daegot-myeon, Gimpo-si</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</si>
  <si>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김포시</t>
    </r>
    <r>
      <rPr>
        <sz val="9"/>
        <color rgb="FF000000"/>
        <rFont val="맑은 고딕"/>
        <family val="2"/>
        <charset val="128"/>
      </rPr>
      <t xml:space="preserve"> </t>
    </r>
    <r>
      <rPr>
        <sz val="9"/>
        <color rgb="FF000000"/>
        <rFont val="맑은 고딕"/>
        <family val="3"/>
        <charset val="129"/>
      </rPr>
      <t xml:space="preserve">대곶면</t>
    </r>
    <r>
      <rPr>
        <sz val="9"/>
        <color rgb="FF000000"/>
        <rFont val="맑은 고딕"/>
        <family val="2"/>
        <charset val="128"/>
      </rPr>
      <t xml:space="preserve"> </t>
    </r>
    <r>
      <rPr>
        <sz val="9"/>
        <color rgb="FF000000"/>
        <rFont val="맑은 고딕"/>
        <family val="3"/>
        <charset val="129"/>
      </rPr>
      <t xml:space="preserve">석정리</t>
    </r>
    <r>
      <rPr>
        <sz val="9"/>
        <color rgb="FF000000"/>
        <rFont val="맑은 고딕"/>
        <family val="2"/>
        <charset val="128"/>
      </rPr>
      <t xml:space="preserve"> </t>
    </r>
    <r>
      <rPr>
        <sz val="9"/>
        <color rgb="FF000000"/>
        <rFont val="Calibri"/>
        <family val="2"/>
        <charset val="1"/>
      </rPr>
      <t xml:space="preserve">169-27 </t>
    </r>
    <r>
      <rPr>
        <sz val="9"/>
        <color rgb="FF000000"/>
        <rFont val="맑은 고딕"/>
        <family val="2"/>
        <charset val="128"/>
      </rPr>
      <t xml:space="preserve">가동</t>
    </r>
    <r>
      <rPr>
        <sz val="9"/>
        <color rgb="FF000000"/>
        <rFont val="Calibri"/>
        <family val="2"/>
        <charset val="1"/>
      </rPr>
      <t xml:space="preserve">,</t>
    </r>
    <r>
      <rPr>
        <sz val="9"/>
        <color rgb="FF000000"/>
        <rFont val="맑은 고딕"/>
        <family val="2"/>
        <charset val="128"/>
      </rPr>
      <t xml:space="preserve">나동</t>
    </r>
    <r>
      <rPr>
        <sz val="9"/>
        <color rgb="FF000000"/>
        <rFont val="Calibri"/>
        <family val="2"/>
        <charset val="1"/>
      </rPr>
      <t xml:space="preserve">, 169-20 </t>
    </r>
    <r>
      <rPr>
        <sz val="9"/>
        <color rgb="FF000000"/>
        <rFont val="맑은 고딕"/>
        <family val="2"/>
        <charset val="128"/>
      </rPr>
      <t xml:space="preserve">가동</t>
    </r>
    <r>
      <rPr>
        <sz val="9"/>
        <color rgb="FF000000"/>
        <rFont val="Calibri"/>
        <family val="2"/>
        <charset val="1"/>
      </rPr>
      <t xml:space="preserve">,</t>
    </r>
    <r>
      <rPr>
        <sz val="9"/>
        <color rgb="FF000000"/>
        <rFont val="맑은 고딕"/>
        <family val="2"/>
        <charset val="128"/>
      </rPr>
      <t xml:space="preserve">나동</t>
    </r>
    <r>
      <rPr>
        <sz val="9"/>
        <color rgb="FF000000"/>
        <rFont val="Calibri"/>
        <family val="2"/>
        <charset val="1"/>
      </rPr>
      <t xml:space="preserve">. 169-32 </t>
    </r>
    <r>
      <rPr>
        <sz val="9"/>
        <color rgb="FF000000"/>
        <rFont val="맑은 고딕"/>
        <family val="2"/>
        <charset val="128"/>
      </rPr>
      <t xml:space="preserve">건물 위</t>
    </r>
  </si>
  <si>
    <t xml:space="preserve">37.675322 / 126.560357</t>
  </si>
  <si>
    <t xml:space="preserve">Gimpo, Gyeonggido</t>
  </si>
  <si>
    <t xml:space="preserve">By 09 Jul '26</t>
  </si>
  <si>
    <t xml:space="preserve">Applied </t>
  </si>
  <si>
    <t xml:space="preserve">Yanggok S/S, Tongjin D/L_5MW</t>
  </si>
  <si>
    <t xml:space="preserve">Asan 500KW</t>
  </si>
  <si>
    <t xml:space="preserve">234, Sinui-gil, Eumbong-myeon, Asan-si, Chungcheongnam-do</t>
  </si>
  <si>
    <t xml:space="preserve">- Shall meet a seller to discuss further</t>
  </si>
  <si>
    <t xml:space="preserve">Boryeong 500KW</t>
  </si>
  <si>
    <t xml:space="preserve">57-17, Ungcheonsandan 2-gil, Ungcheon-eup, Boryeong-si, Chungcheongnam-do</t>
  </si>
  <si>
    <t xml:space="preserve">- Shall meet a seller with Ken to discuss related to lease amount.</t>
  </si>
  <si>
    <t xml:space="preserve">Kwangyang port 7.5MW</t>
  </si>
  <si>
    <t xml:space="preserve">11, Hangman 3-ro, Gwangyang-si, Jeollanam-do</t>
  </si>
  <si>
    <t xml:space="preserve">- Value proposal sent out to KL.
- According to the sub station status survey, Gwangyang sub station is full so new sub stations or DL should be considered.
- IRR : Appr. 9.65%</t>
  </si>
  <si>
    <t xml:space="preserve">Cheonan 5.3MW</t>
  </si>
  <si>
    <t xml:space="preserve">5, Saeteo-gil, Seonggeo-eup, Seobuk-gu, Cheonan-si, Chungcheongnam-do</t>
  </si>
  <si>
    <t xml:space="preserve">- 3 Storages. Batch 1: module 202ea(128.27kW), Batch 2: module 203ea(128.905kW), Batch3: module 7,953ea(5,050.155kW)/ Total: 5,307.33kW
- Require to visit the site to check the available DL Point(Confirmed Seonggeo SS #4 TR has left appr. 7MW)
- Require to confirm connection status and timing with KEPCO.
- IRR : Appr. 8.95% </t>
  </si>
  <si>
    <t xml:space="preserve">Donate $6,000 in rent to scholarships</t>
  </si>
  <si>
    <t xml:space="preserve">Grid available '26-'27</t>
  </si>
  <si>
    <t xml:space="preserve">Sejin MSC </t>
  </si>
  <si>
    <t xml:space="preserve">Myeongil Curtain Wall</t>
  </si>
  <si>
    <t xml:space="preserve">계약예정</t>
  </si>
  <si>
    <t xml:space="preserve">Seoyong </t>
  </si>
  <si>
    <t xml:space="preserve">Yeoju NH Investment &amp; Securities</t>
  </si>
  <si>
    <t xml:space="preserve">From Kyobo Realco</t>
  </si>
  <si>
    <t xml:space="preserve">Icheon NH Investment &amp; Securities</t>
  </si>
  <si>
    <t xml:space="preserve">Chilgok Melon Asset No. 12 Specialized Investment Private Real Estate Investment (Co.)</t>
  </si>
  <si>
    <t xml:space="preserve">KIC</t>
  </si>
  <si>
    <r>
      <rPr>
        <sz val="9"/>
        <color theme="1"/>
        <rFont val="맑은 고딕"/>
        <family val="2"/>
        <charset val="128"/>
      </rPr>
      <t xml:space="preserve">계약예정</t>
    </r>
    <r>
      <rPr>
        <sz val="9"/>
        <color theme="1"/>
        <rFont val="Calibri"/>
        <family val="2"/>
        <charset val="1"/>
      </rPr>
      <t xml:space="preserve">/ Grid available '26-'27</t>
    </r>
  </si>
  <si>
    <t xml:space="preserve">Under lease</t>
  </si>
  <si>
    <t xml:space="preserve">Cosmo chemical </t>
  </si>
  <si>
    <t xml:space="preserve">MPM Trade </t>
  </si>
  <si>
    <t xml:space="preserve">Medicox Gimhae </t>
  </si>
  <si>
    <t xml:space="preserve">Medicoxx Goseong </t>
  </si>
  <si>
    <t xml:space="preserve">Seohae Industries</t>
  </si>
  <si>
    <t xml:space="preserve">Daekyung Industrial 1-1</t>
  </si>
  <si>
    <t xml:space="preserve">Daekyung Industrial 1-2</t>
  </si>
  <si>
    <t xml:space="preserve">Korea E&amp;R</t>
  </si>
  <si>
    <t xml:space="preserve"> kWp </t>
  </si>
  <si>
    <t xml:space="preserve">Location</t>
  </si>
  <si>
    <t xml:space="preserve">RtB date</t>
  </si>
  <si>
    <t xml:space="preserve">Cod date</t>
  </si>
  <si>
    <t xml:space="preserve">Seq.</t>
  </si>
  <si>
    <t xml:space="preserve">No.</t>
  </si>
  <si>
    <r>
      <rPr>
        <b val="true"/>
        <sz val="10"/>
        <color rgb="FFFFFFFF"/>
        <rFont val="Calibri"/>
        <family val="2"/>
        <charset val="1"/>
      </rPr>
      <t xml:space="preserve">Capacity</t>
    </r>
    <r>
      <rPr>
        <sz val="8"/>
        <color rgb="FFFFFFFF"/>
        <rFont val="Calibri"/>
        <family val="2"/>
        <charset val="1"/>
      </rPr>
      <t xml:space="preserve">(kWp)</t>
    </r>
  </si>
  <si>
    <t xml:space="preserve">Grid connection</t>
  </si>
  <si>
    <t xml:space="preserve">Jinyoung Metal Factory 1</t>
  </si>
  <si>
    <t xml:space="preserve">Apr '25</t>
  </si>
  <si>
    <t xml:space="preserve">Oct '25</t>
  </si>
  <si>
    <t xml:space="preserve">①</t>
  </si>
  <si>
    <t xml:space="preserve">  12MW spare capacity</t>
  </si>
  <si>
    <t xml:space="preserve">Jinyoung Metal Factory 2</t>
  </si>
  <si>
    <t xml:space="preserve">May '25</t>
  </si>
  <si>
    <t xml:space="preserve">Nov '25</t>
  </si>
  <si>
    <t xml:space="preserve">②</t>
  </si>
  <si>
    <t xml:space="preserve">③</t>
  </si>
  <si>
    <t xml:space="preserve"> 6MW spare capacity</t>
  </si>
  <si>
    <t xml:space="preserve">④</t>
  </si>
  <si>
    <t xml:space="preserve">  5MW spare capacity</t>
  </si>
  <si>
    <t xml:space="preserve">Younggwang Industry*</t>
  </si>
  <si>
    <t xml:space="preserve">Jun '25</t>
  </si>
  <si>
    <t xml:space="preserve">Dec '25</t>
  </si>
  <si>
    <t xml:space="preserve"> 12MW spare capacity</t>
  </si>
  <si>
    <t xml:space="preserve">Esun*</t>
  </si>
  <si>
    <t xml:space="preserve"> 10MW spare capacity</t>
  </si>
  <si>
    <t xml:space="preserve">Sejin SMC *</t>
  </si>
  <si>
    <t xml:space="preserve">  11MW spare capacity</t>
  </si>
  <si>
    <t xml:space="preserve">Seoyong*</t>
  </si>
  <si>
    <t xml:space="preserve">⑤</t>
  </si>
  <si>
    <t xml:space="preserve">   10MW spare capacity</t>
  </si>
  <si>
    <t xml:space="preserve">Ajin P&amp;S*</t>
  </si>
  <si>
    <t xml:space="preserve">  9MW spare capacity</t>
  </si>
  <si>
    <t xml:space="preserve">Cosmo chemical*</t>
  </si>
  <si>
    <t xml:space="preserve">⑥</t>
  </si>
  <si>
    <t xml:space="preserve">8MW spare capacity</t>
  </si>
  <si>
    <t xml:space="preserve">Eco Inshutech*</t>
  </si>
  <si>
    <t xml:space="preserve">Myunghyun Tech</t>
  </si>
  <si>
    <t xml:space="preserve">Total kWp</t>
  </si>
  <si>
    <t xml:space="preserve">서류준비는 끝났으나 담당이사님 (임영화)이 오늘까지 연차여서 SPA 도장이 늦는다</t>
  </si>
  <si>
    <t xml:space="preserve">부산 15ea</t>
  </si>
  <si>
    <t xml:space="preserve">Industrial Technology</t>
  </si>
  <si>
    <t xml:space="preserve">Lee Won Precision Co.</t>
  </si>
  <si>
    <t xml:space="preserve">Lee Won Precision Co. Factory 1</t>
  </si>
  <si>
    <t xml:space="preserve">Vision E&amp;C Roof Top</t>
  </si>
  <si>
    <t xml:space="preserve">충북 3ea</t>
  </si>
  <si>
    <t xml:space="preserve">Nurungji</t>
  </si>
  <si>
    <t xml:space="preserve">충남 5ea</t>
  </si>
  <si>
    <t xml:space="preserve">대구 1ea</t>
  </si>
  <si>
    <t xml:space="preserve">강원도 1ea</t>
  </si>
  <si>
    <t xml:space="preserve">Myeongju</t>
  </si>
  <si>
    <t xml:space="preserve">경기도 37ea</t>
  </si>
  <si>
    <t xml:space="preserve">Myeongil Curtain Wall </t>
  </si>
  <si>
    <t xml:space="preserve">MPM Trade Roof Top</t>
  </si>
  <si>
    <t xml:space="preserve">Singal logistics storage 1</t>
  </si>
  <si>
    <t xml:space="preserve">Singal logistics storage 1-1</t>
  </si>
  <si>
    <t xml:space="preserve">Seohae Industry</t>
  </si>
  <si>
    <t xml:space="preserve">Daegyung Industry 1-1</t>
  </si>
  <si>
    <t xml:space="preserve">Daegyung Industry 1-2</t>
  </si>
  <si>
    <t xml:space="preserve">Gyeonggi Curtain Wall 1-1</t>
  </si>
  <si>
    <t xml:space="preserve">Gyeonggi Curtain Wall 1-2</t>
  </si>
  <si>
    <t xml:space="preserve">Gyeonggi Changho </t>
  </si>
  <si>
    <t xml:space="preserve">GTI Co.</t>
  </si>
  <si>
    <t xml:space="preserve">Sunkyung Industry (building owned by the representative)</t>
  </si>
  <si>
    <t xml:space="preserve">Shinyang Mecatech Co.</t>
  </si>
  <si>
    <t xml:space="preserve">Yale Hightech 1-1 Co.</t>
  </si>
  <si>
    <t xml:space="preserve">Yale Hightech 1-2 Co.</t>
  </si>
  <si>
    <t xml:space="preserve">Fine clean Co.</t>
  </si>
  <si>
    <t xml:space="preserve">Oracom Co.</t>
  </si>
  <si>
    <t xml:space="preserve">Boseung Co.</t>
  </si>
  <si>
    <t xml:space="preserve">World Paper</t>
  </si>
  <si>
    <t xml:space="preserve">경북 8ea</t>
  </si>
  <si>
    <t xml:space="preserve">Chilgok Melon Asset No. 12 Specialized Investment Private Real Estate Investment</t>
  </si>
  <si>
    <t xml:space="preserve">Medicox Gimhae</t>
  </si>
  <si>
    <t xml:space="preserve">Medicox Goseong</t>
  </si>
  <si>
    <t xml:space="preserve">경남 16ea</t>
  </si>
  <si>
    <t xml:space="preserve">Forex-Changwon</t>
  </si>
  <si>
    <t xml:space="preserve">Forex-Jinju</t>
  </si>
  <si>
    <t xml:space="preserve">Shin Mi-ok (building owned by an individual)</t>
  </si>
  <si>
    <t xml:space="preserve">Songwol Towel Noryong</t>
  </si>
  <si>
    <t xml:space="preserve">Hanjin Susan </t>
  </si>
  <si>
    <t xml:space="preserve">인천 1ea</t>
  </si>
  <si>
    <t xml:space="preserve">전북 1ea</t>
  </si>
  <si>
    <t xml:space="preserve">AT Jangseong</t>
  </si>
  <si>
    <t xml:space="preserve">전남 1ea</t>
  </si>
  <si>
    <t xml:space="preserve">울산 2ea</t>
  </si>
  <si>
    <t xml:space="preserve">세종 1ea</t>
  </si>
  <si>
    <t xml:space="preserve">Tyson Foods Korea</t>
  </si>
  <si>
    <t xml:space="preserve">Quarterly Business Development Projection Analysis</t>
  </si>
  <si>
    <r>
      <rPr>
        <b val="true"/>
        <sz val="8"/>
        <color theme="1"/>
        <rFont val="Calibri"/>
        <family val="2"/>
        <charset val="1"/>
      </rPr>
      <t xml:space="preserve">Project</t>
    </r>
    <r>
      <rPr>
        <b val="true"/>
        <sz val="8"/>
        <color rgb="FF0000FF"/>
        <rFont val="Calibri"/>
        <family val="2"/>
        <charset val="1"/>
      </rPr>
      <t xml:space="preserve">*</t>
    </r>
    <r>
      <rPr>
        <b val="true"/>
        <sz val="8"/>
        <color theme="1"/>
        <rFont val="Calibri"/>
        <family val="2"/>
        <charset val="1"/>
      </rPr>
      <t xml:space="preserve"> : Previously granted approval</t>
    </r>
  </si>
  <si>
    <t xml:space="preserve">
[Unit: KRW K, Incl. VAT 10%]</t>
  </si>
  <si>
    <t xml:space="preserve">DG Batch</t>
  </si>
  <si>
    <t xml:space="preserve">Bank</t>
  </si>
  <si>
    <t xml:space="preserve">Bank  Account Number</t>
  </si>
  <si>
    <t xml:space="preserve">Grid 
constraint</t>
  </si>
  <si>
    <t xml:space="preserve">kWp</t>
  </si>
  <si>
    <t xml:space="preserve">NEH (Year)</t>
  </si>
  <si>
    <t xml:space="preserve">IRR ASSM
Based on GV</t>
  </si>
  <si>
    <t xml:space="preserve">RTB Date</t>
  </si>
  <si>
    <t xml:space="preserve">COD Date</t>
  </si>
  <si>
    <t xml:space="preserve">(1) Brokerage
Fee</t>
  </si>
  <si>
    <t xml:space="preserve">(2) DEVEX</t>
  </si>
  <si>
    <t xml:space="preserve">T. (1+2)</t>
  </si>
  <si>
    <t xml:space="preserve">T. DEVEX/MW</t>
  </si>
  <si>
    <t xml:space="preserve">T. CAPEX</t>
  </si>
  <si>
    <t xml:space="preserve">T. OPEX/MW</t>
  </si>
  <si>
    <r>
      <rPr>
        <sz val="9"/>
        <color theme="1"/>
        <rFont val="Calibri"/>
        <family val="2"/>
        <charset val="1"/>
      </rPr>
      <t xml:space="preserve">Eco Inshutech</t>
    </r>
    <r>
      <rPr>
        <sz val="9"/>
        <color rgb="FF0000FF"/>
        <rFont val="Calibri"/>
        <family val="2"/>
        <charset val="1"/>
      </rPr>
      <t xml:space="preserve">*</t>
    </r>
  </si>
  <si>
    <t xml:space="preserve">Kookmin Bank</t>
  </si>
  <si>
    <r>
      <rPr>
        <sz val="9"/>
        <color theme="1"/>
        <rFont val="Calibri"/>
        <family val="2"/>
        <charset val="1"/>
      </rPr>
      <t xml:space="preserve">Younggwang Industry</t>
    </r>
    <r>
      <rPr>
        <sz val="9"/>
        <color rgb="FF0000FF"/>
        <rFont val="Calibri"/>
        <family val="2"/>
        <charset val="1"/>
      </rPr>
      <t xml:space="preserve">*</t>
    </r>
  </si>
  <si>
    <r>
      <rPr>
        <sz val="9"/>
        <color theme="1"/>
        <rFont val="Calibri"/>
        <family val="2"/>
        <charset val="1"/>
      </rPr>
      <t xml:space="preserve">Ajin P&amp;S</t>
    </r>
    <r>
      <rPr>
        <sz val="9"/>
        <color rgb="FF0000FF"/>
        <rFont val="Calibri"/>
        <family val="2"/>
        <charset val="1"/>
      </rPr>
      <t xml:space="preserve">*</t>
    </r>
  </si>
  <si>
    <r>
      <rPr>
        <sz val="9"/>
        <color theme="1"/>
        <rFont val="Calibri"/>
        <family val="2"/>
        <charset val="1"/>
      </rPr>
      <t xml:space="preserve">Sejin SMC</t>
    </r>
    <r>
      <rPr>
        <sz val="9"/>
        <color rgb="FF0000FF"/>
        <rFont val="Calibri"/>
        <family val="2"/>
        <charset val="1"/>
      </rPr>
      <t xml:space="preserve"> *</t>
    </r>
  </si>
  <si>
    <t xml:space="preserve">Q1</t>
  </si>
  <si>
    <r>
      <rPr>
        <sz val="9"/>
        <color rgb="FF000000"/>
        <rFont val="Calibri"/>
        <family val="2"/>
        <charset val="1"/>
      </rPr>
      <t xml:space="preserve">Seoyong</t>
    </r>
    <r>
      <rPr>
        <sz val="9"/>
        <color rgb="FF0000FF"/>
        <rFont val="Calibri"/>
        <family val="2"/>
        <charset val="1"/>
      </rPr>
      <t xml:space="preserve">*</t>
    </r>
  </si>
  <si>
    <r>
      <rPr>
        <sz val="9"/>
        <color rgb="FF000000"/>
        <rFont val="맑은 고딕"/>
        <family val="2"/>
        <charset val="128"/>
      </rPr>
      <t xml:space="preserve">부산광역시 강서구 가리새</t>
    </r>
    <r>
      <rPr>
        <sz val="9"/>
        <color rgb="FF000000"/>
        <rFont val="Calibri"/>
        <family val="2"/>
        <charset val="1"/>
      </rPr>
      <t xml:space="preserve">2</t>
    </r>
    <r>
      <rPr>
        <sz val="9"/>
        <color rgb="FF000000"/>
        <rFont val="맑은 고딕"/>
        <family val="2"/>
        <charset val="128"/>
      </rPr>
      <t xml:space="preserve">로 </t>
    </r>
    <r>
      <rPr>
        <sz val="9"/>
        <color rgb="FF000000"/>
        <rFont val="Calibri"/>
        <family val="2"/>
        <charset val="1"/>
      </rPr>
      <t xml:space="preserve">50(</t>
    </r>
    <r>
      <rPr>
        <sz val="9"/>
        <color rgb="FF000000"/>
        <rFont val="맑은 고딕"/>
        <family val="2"/>
        <charset val="128"/>
      </rPr>
      <t xml:space="preserve">범방동 </t>
    </r>
    <r>
      <rPr>
        <sz val="9"/>
        <color rgb="FF000000"/>
        <rFont val="Calibri"/>
        <family val="2"/>
        <charset val="1"/>
      </rPr>
      <t xml:space="preserve">1921-9)</t>
    </r>
  </si>
  <si>
    <r>
      <rPr>
        <sz val="9"/>
        <color rgb="FF000000"/>
        <rFont val="맑은 고딕"/>
        <family val="2"/>
        <charset val="128"/>
      </rPr>
      <t xml:space="preserve">부산광역시 강서구 미음국제</t>
    </r>
    <r>
      <rPr>
        <sz val="9"/>
        <color rgb="FF000000"/>
        <rFont val="Calibri"/>
        <family val="2"/>
        <charset val="1"/>
      </rPr>
      <t xml:space="preserve">2</t>
    </r>
    <r>
      <rPr>
        <sz val="9"/>
        <color rgb="FF000000"/>
        <rFont val="맑은 고딕"/>
        <family val="2"/>
        <charset val="128"/>
      </rPr>
      <t xml:space="preserve">로 </t>
    </r>
    <r>
      <rPr>
        <sz val="9"/>
        <color rgb="FF000000"/>
        <rFont val="Calibri"/>
        <family val="2"/>
        <charset val="1"/>
      </rPr>
      <t xml:space="preserve">124(</t>
    </r>
    <r>
      <rPr>
        <sz val="9"/>
        <color rgb="FF000000"/>
        <rFont val="맑은 고딕"/>
        <family val="2"/>
        <charset val="128"/>
      </rPr>
      <t xml:space="preserve">미음동 </t>
    </r>
    <r>
      <rPr>
        <sz val="9"/>
        <color rgb="FF000000"/>
        <rFont val="Calibri"/>
        <family val="2"/>
        <charset val="1"/>
      </rPr>
      <t xml:space="preserve">1644-3)</t>
    </r>
  </si>
  <si>
    <r>
      <rPr>
        <sz val="9"/>
        <color rgb="FF000000"/>
        <rFont val="맑은 고딕"/>
        <family val="2"/>
        <charset val="129"/>
      </rPr>
      <t xml:space="preserve">충청북도</t>
    </r>
    <r>
      <rPr>
        <sz val="9"/>
        <color rgb="FF000000"/>
        <rFont val="맑은 고딕"/>
        <family val="2"/>
        <charset val="128"/>
      </rPr>
      <t xml:space="preserve"> </t>
    </r>
    <r>
      <rPr>
        <sz val="9"/>
        <color rgb="FF000000"/>
        <rFont val="맑은 고딕"/>
        <family val="2"/>
        <charset val="129"/>
      </rPr>
      <t xml:space="preserve">제천시</t>
    </r>
    <r>
      <rPr>
        <sz val="9"/>
        <color rgb="FF000000"/>
        <rFont val="맑은 고딕"/>
        <family val="2"/>
        <charset val="128"/>
      </rPr>
      <t xml:space="preserve"> </t>
    </r>
    <r>
      <rPr>
        <sz val="9"/>
        <color rgb="FF000000"/>
        <rFont val="맑은 고딕"/>
        <family val="2"/>
        <charset val="129"/>
      </rPr>
      <t xml:space="preserve">제</t>
    </r>
    <r>
      <rPr>
        <sz val="9"/>
        <color rgb="FF000000"/>
        <rFont val="Calibri"/>
        <family val="2"/>
        <charset val="1"/>
      </rPr>
      <t xml:space="preserve">3</t>
    </r>
    <r>
      <rPr>
        <sz val="9"/>
        <color rgb="FF000000"/>
        <rFont val="맑은 고딕"/>
        <family val="2"/>
        <charset val="129"/>
      </rPr>
      <t xml:space="preserve">산단</t>
    </r>
    <r>
      <rPr>
        <sz val="9"/>
        <color rgb="FF000000"/>
        <rFont val="Calibri"/>
        <family val="2"/>
        <charset val="1"/>
      </rPr>
      <t xml:space="preserve">3</t>
    </r>
    <r>
      <rPr>
        <sz val="9"/>
        <color rgb="FF000000"/>
        <rFont val="맑은 고딕"/>
        <family val="2"/>
        <charset val="129"/>
      </rPr>
      <t xml:space="preserve">로</t>
    </r>
    <r>
      <rPr>
        <sz val="9"/>
        <color rgb="FF000000"/>
        <rFont val="맑은 고딕"/>
        <family val="2"/>
        <charset val="128"/>
      </rPr>
      <t xml:space="preserve"> </t>
    </r>
    <r>
      <rPr>
        <sz val="9"/>
        <color rgb="FF000000"/>
        <rFont val="Calibri"/>
        <family val="2"/>
        <charset val="1"/>
      </rPr>
      <t xml:space="preserve">35 (</t>
    </r>
    <r>
      <rPr>
        <sz val="9"/>
        <color rgb="FF000000"/>
        <rFont val="맑은 고딕"/>
        <family val="2"/>
        <charset val="129"/>
      </rPr>
      <t xml:space="preserve">충청북도</t>
    </r>
    <r>
      <rPr>
        <sz val="9"/>
        <color rgb="FF000000"/>
        <rFont val="맑은 고딕"/>
        <family val="2"/>
        <charset val="128"/>
      </rPr>
      <t xml:space="preserve"> </t>
    </r>
    <r>
      <rPr>
        <sz val="9"/>
        <color rgb="FF000000"/>
        <rFont val="맑은 고딕"/>
        <family val="2"/>
        <charset val="129"/>
      </rPr>
      <t xml:space="preserve">제천시</t>
    </r>
    <r>
      <rPr>
        <sz val="9"/>
        <color rgb="FF000000"/>
        <rFont val="맑은 고딕"/>
        <family val="2"/>
        <charset val="128"/>
      </rPr>
      <t xml:space="preserve"> </t>
    </r>
    <r>
      <rPr>
        <sz val="9"/>
        <color rgb="FF000000"/>
        <rFont val="맑은 고딕"/>
        <family val="2"/>
        <charset val="129"/>
      </rPr>
      <t xml:space="preserve">왕암동</t>
    </r>
    <r>
      <rPr>
        <sz val="9"/>
        <color rgb="FF000000"/>
        <rFont val="맑은 고딕"/>
        <family val="2"/>
        <charset val="128"/>
      </rPr>
      <t xml:space="preserve"> </t>
    </r>
    <r>
      <rPr>
        <sz val="9"/>
        <color rgb="FF000000"/>
        <rFont val="Calibri"/>
        <family val="2"/>
        <charset val="1"/>
      </rPr>
      <t xml:space="preserve">1435)</t>
    </r>
  </si>
  <si>
    <t xml:space="preserve">37.145323 / 128.142151</t>
  </si>
  <si>
    <r>
      <rPr>
        <sz val="9"/>
        <color theme="1"/>
        <rFont val="Calibri"/>
        <family val="2"/>
        <charset val="1"/>
      </rPr>
      <t xml:space="preserve">Cosmo chemical</t>
    </r>
    <r>
      <rPr>
        <sz val="9"/>
        <color rgb="FF0000FF"/>
        <rFont val="Calibri"/>
        <family val="2"/>
        <charset val="1"/>
      </rPr>
      <t xml:space="preserve">*</t>
    </r>
  </si>
  <si>
    <t xml:space="preserve">096301-04-103343</t>
  </si>
  <si>
    <r>
      <rPr>
        <sz val="9"/>
        <color theme="1"/>
        <rFont val="Calibri"/>
        <family val="2"/>
        <charset val="1"/>
      </rPr>
      <t xml:space="preserve">Esun</t>
    </r>
    <r>
      <rPr>
        <sz val="9"/>
        <color rgb="FF0000FF"/>
        <rFont val="Calibri"/>
        <family val="2"/>
        <charset val="1"/>
      </rPr>
      <t xml:space="preserve">*</t>
    </r>
  </si>
  <si>
    <t xml:space="preserve">Total Capacity</t>
  </si>
  <si>
    <t xml:space="preserve">Average IRR(%)</t>
  </si>
  <si>
    <t xml:space="preserve">Grand T. (1+2)</t>
  </si>
  <si>
    <t xml:space="preserve">KRW 5,737,589 K (c EUR 3,903,122)</t>
  </si>
  <si>
    <t xml:space="preserve">096301-04-103330</t>
  </si>
  <si>
    <t xml:space="preserve">T CAPEX KRW</t>
  </si>
  <si>
    <t xml:space="preserve">T CAPEX EUR</t>
  </si>
  <si>
    <t xml:space="preserve">DVEX/MW KRW</t>
  </si>
  <si>
    <t xml:space="preserve">DVEX/MW EUR</t>
  </si>
  <si>
    <t xml:space="preserve">Q1-1</t>
  </si>
  <si>
    <t xml:space="preserve">096301-04-103327</t>
  </si>
  <si>
    <t xml:space="preserve">KRW K (c EUR )</t>
  </si>
  <si>
    <t xml:space="preserve">Q2
2025</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</si>
  <si>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장안동</t>
    </r>
    <r>
      <rPr>
        <sz val="9"/>
        <color rgb="FF000000"/>
        <rFont val="맑은 고딕"/>
        <family val="2"/>
        <charset val="128"/>
      </rPr>
      <t xml:space="preserve"> </t>
    </r>
    <r>
      <rPr>
        <sz val="9"/>
        <color rgb="FF000000"/>
        <rFont val="Calibri"/>
        <family val="2"/>
        <charset val="1"/>
      </rPr>
      <t xml:space="preserve">353</t>
    </r>
  </si>
  <si>
    <t xml:space="preserve">976-9, Hyeeum-ro, Gwangtan-myeon, Paju-si,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</si>
  <si>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파주시</t>
    </r>
    <r>
      <rPr>
        <sz val="9"/>
        <color rgb="FF000000"/>
        <rFont val="맑은 고딕"/>
        <family val="2"/>
        <charset val="128"/>
      </rPr>
      <t xml:space="preserve"> </t>
    </r>
    <r>
      <rPr>
        <sz val="9"/>
        <color rgb="FF000000"/>
        <rFont val="맑은 고딕"/>
        <family val="2"/>
        <charset val="1"/>
      </rPr>
      <t xml:space="preserve">광탄면</t>
    </r>
    <r>
      <rPr>
        <sz val="9"/>
        <color rgb="FF000000"/>
        <rFont val="맑은 고딕"/>
        <family val="2"/>
        <charset val="128"/>
      </rPr>
      <t xml:space="preserve"> </t>
    </r>
    <r>
      <rPr>
        <sz val="9"/>
        <color rgb="FF000000"/>
        <rFont val="맑은 고딕"/>
        <family val="2"/>
        <charset val="1"/>
      </rPr>
      <t xml:space="preserve">혜음로</t>
    </r>
    <r>
      <rPr>
        <sz val="9"/>
        <color rgb="FF000000"/>
        <rFont val="맑은 고딕"/>
        <family val="2"/>
        <charset val="128"/>
      </rPr>
      <t xml:space="preserve"> </t>
    </r>
    <r>
      <rPr>
        <sz val="9"/>
        <color rgb="FF000000"/>
        <rFont val="Calibri"/>
        <family val="2"/>
        <charset val="1"/>
      </rPr>
      <t xml:space="preserve">976-9</t>
    </r>
  </si>
  <si>
    <t xml:space="preserve">37.770977 / 126.851925</t>
  </si>
  <si>
    <t xml:space="preserve">1049, Gyeongchung-daero, Ganam-eup, Yeoju-si,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</si>
  <si>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여주시</t>
    </r>
    <r>
      <rPr>
        <sz val="9"/>
        <color rgb="FF000000"/>
        <rFont val="맑은 고딕"/>
        <family val="2"/>
        <charset val="128"/>
      </rPr>
      <t xml:space="preserve"> </t>
    </r>
    <r>
      <rPr>
        <sz val="9"/>
        <color rgb="FF000000"/>
        <rFont val="맑은 고딕"/>
        <family val="2"/>
        <charset val="1"/>
      </rPr>
      <t xml:space="preserve">가남읍</t>
    </r>
    <r>
      <rPr>
        <sz val="9"/>
        <color rgb="FF000000"/>
        <rFont val="맑은 고딕"/>
        <family val="2"/>
        <charset val="128"/>
      </rPr>
      <t xml:space="preserve"> </t>
    </r>
    <r>
      <rPr>
        <sz val="9"/>
        <color rgb="FF000000"/>
        <rFont val="맑은 고딕"/>
        <family val="2"/>
        <charset val="1"/>
      </rPr>
      <t xml:space="preserve">경충대로</t>
    </r>
    <r>
      <rPr>
        <sz val="9"/>
        <color rgb="FF000000"/>
        <rFont val="맑은 고딕"/>
        <family val="2"/>
        <charset val="128"/>
      </rPr>
      <t xml:space="preserve"> </t>
    </r>
    <r>
      <rPr>
        <sz val="9"/>
        <color rgb="FF000000"/>
        <rFont val="Calibri"/>
        <family val="2"/>
        <charset val="1"/>
      </rPr>
      <t xml:space="preserve">1049</t>
    </r>
  </si>
  <si>
    <t xml:space="preserve">37.188297 / 127.559881</t>
  </si>
  <si>
    <t xml:space="preserve">1894, Jinsangmi-ro, Icheon-si,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</si>
  <si>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이천시</t>
    </r>
    <r>
      <rPr>
        <sz val="9"/>
        <color rgb="FF000000"/>
        <rFont val="맑은 고딕"/>
        <family val="2"/>
        <charset val="128"/>
      </rPr>
      <t xml:space="preserve"> </t>
    </r>
    <r>
      <rPr>
        <sz val="9"/>
        <color rgb="FF000000"/>
        <rFont val="맑은 고딕"/>
        <family val="2"/>
        <charset val="1"/>
      </rPr>
      <t xml:space="preserve">진상미로</t>
    </r>
    <r>
      <rPr>
        <sz val="9"/>
        <color rgb="FF000000"/>
        <rFont val="맑은 고딕"/>
        <family val="2"/>
        <charset val="128"/>
      </rPr>
      <t xml:space="preserve"> </t>
    </r>
    <r>
      <rPr>
        <sz val="9"/>
        <color rgb="FF000000"/>
        <rFont val="Calibri"/>
        <family val="2"/>
        <charset val="1"/>
      </rPr>
      <t xml:space="preserve">1894</t>
    </r>
  </si>
  <si>
    <t xml:space="preserve">37.216792 / 127.452298</t>
  </si>
  <si>
    <t xml:space="preserve">6-15, Gongdan-ro 13-gil, Waegwan-eup, Chilgok-gun, Gyeongsangbuk-do</t>
  </si>
  <si>
    <r>
      <rPr>
        <sz val="9"/>
        <color rgb="FF000000"/>
        <rFont val="맑은 고딕"/>
        <family val="2"/>
        <charset val="1"/>
      </rPr>
      <t xml:space="preserve">경상북도</t>
    </r>
    <r>
      <rPr>
        <sz val="9"/>
        <color rgb="FF000000"/>
        <rFont val="맑은 고딕"/>
        <family val="2"/>
        <charset val="128"/>
      </rPr>
      <t xml:space="preserve"> </t>
    </r>
    <r>
      <rPr>
        <sz val="9"/>
        <color rgb="FF000000"/>
        <rFont val="맑은 고딕"/>
        <family val="2"/>
        <charset val="1"/>
      </rPr>
      <t xml:space="preserve">칠곡군</t>
    </r>
    <r>
      <rPr>
        <sz val="9"/>
        <color rgb="FF000000"/>
        <rFont val="맑은 고딕"/>
        <family val="2"/>
        <charset val="128"/>
      </rPr>
      <t xml:space="preserve"> </t>
    </r>
    <r>
      <rPr>
        <sz val="9"/>
        <color rgb="FF000000"/>
        <rFont val="맑은 고딕"/>
        <family val="2"/>
        <charset val="1"/>
      </rPr>
      <t xml:space="preserve">왜관읍</t>
    </r>
    <r>
      <rPr>
        <sz val="9"/>
        <color rgb="FF000000"/>
        <rFont val="맑은 고딕"/>
        <family val="2"/>
        <charset val="128"/>
      </rPr>
      <t xml:space="preserve"> </t>
    </r>
    <r>
      <rPr>
        <sz val="9"/>
        <color rgb="FF000000"/>
        <rFont val="맑은 고딕"/>
        <family val="2"/>
        <charset val="1"/>
      </rPr>
      <t xml:space="preserve">공단로</t>
    </r>
    <r>
      <rPr>
        <sz val="9"/>
        <color rgb="FF000000"/>
        <rFont val="Calibri"/>
        <family val="2"/>
        <charset val="1"/>
      </rPr>
      <t xml:space="preserve">13</t>
    </r>
    <r>
      <rPr>
        <sz val="9"/>
        <color rgb="FF000000"/>
        <rFont val="맑은 고딕"/>
        <family val="2"/>
        <charset val="1"/>
      </rPr>
      <t xml:space="preserve">길</t>
    </r>
    <r>
      <rPr>
        <sz val="9"/>
        <color rgb="FF000000"/>
        <rFont val="맑은 고딕"/>
        <family val="2"/>
        <charset val="128"/>
      </rPr>
      <t xml:space="preserve"> </t>
    </r>
    <r>
      <rPr>
        <sz val="9"/>
        <color rgb="FF000000"/>
        <rFont val="Calibri"/>
        <family val="2"/>
        <charset val="1"/>
      </rPr>
      <t xml:space="preserve">6-15</t>
    </r>
  </si>
  <si>
    <t xml:space="preserve">35.962166 / 128.408782</t>
  </si>
  <si>
    <r>
      <rPr>
        <sz val="9"/>
        <color rgb="FF000000"/>
        <rFont val="맑은 고딕"/>
        <family val="2"/>
        <charset val="128"/>
      </rPr>
      <t xml:space="preserve">충청북도 충주시 주덕읍 중원산업로 </t>
    </r>
    <r>
      <rPr>
        <sz val="9"/>
        <color rgb="FF000000"/>
        <rFont val="Calibri"/>
        <family val="2"/>
        <charset val="1"/>
      </rPr>
      <t xml:space="preserve">289</t>
    </r>
  </si>
  <si>
    <t xml:space="preserve">Q3-4 2025</t>
  </si>
  <si>
    <t xml:space="preserve">154-47, Gimhae-daero 916beon-gil, Hallim-myeon, Gimhae-si,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</si>
  <si>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김해시</t>
    </r>
    <r>
      <rPr>
        <sz val="9"/>
        <color rgb="FF000000"/>
        <rFont val="맑은 고딕"/>
        <family val="2"/>
        <charset val="128"/>
      </rPr>
      <t xml:space="preserve"> </t>
    </r>
    <r>
      <rPr>
        <sz val="9"/>
        <color rgb="FF000000"/>
        <rFont val="맑은 고딕"/>
        <family val="2"/>
        <charset val="1"/>
      </rPr>
      <t xml:space="preserve">한림면</t>
    </r>
    <r>
      <rPr>
        <sz val="9"/>
        <color rgb="FF000000"/>
        <rFont val="맑은 고딕"/>
        <family val="2"/>
        <charset val="128"/>
      </rPr>
      <t xml:space="preserve"> </t>
    </r>
    <r>
      <rPr>
        <sz val="9"/>
        <color rgb="FF000000"/>
        <rFont val="맑은 고딕"/>
        <family val="2"/>
        <charset val="1"/>
      </rPr>
      <t xml:space="preserve">김해대로</t>
    </r>
    <r>
      <rPr>
        <sz val="9"/>
        <color rgb="FF000000"/>
        <rFont val="맑은 고딕"/>
        <family val="2"/>
        <charset val="128"/>
      </rPr>
      <t xml:space="preserve"> </t>
    </r>
    <r>
      <rPr>
        <sz val="9"/>
        <color rgb="FF000000"/>
        <rFont val="Calibri"/>
        <family val="2"/>
        <charset val="1"/>
      </rPr>
      <t xml:space="preserve">916</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154-47</t>
    </r>
  </si>
  <si>
    <t xml:space="preserve">35.282896 / 128.795583</t>
  </si>
  <si>
    <t xml:space="preserve">739, Donghae-ro, Georyu-myeon, Goseong-gun,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</si>
  <si>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고성군</t>
    </r>
    <r>
      <rPr>
        <sz val="9"/>
        <color rgb="FF000000"/>
        <rFont val="맑은 고딕"/>
        <family val="2"/>
        <charset val="128"/>
      </rPr>
      <t xml:space="preserve"> </t>
    </r>
    <r>
      <rPr>
        <sz val="9"/>
        <color rgb="FF000000"/>
        <rFont val="맑은 고딕"/>
        <family val="2"/>
        <charset val="1"/>
      </rPr>
      <t xml:space="preserve">거류면</t>
    </r>
    <r>
      <rPr>
        <sz val="9"/>
        <color rgb="FF000000"/>
        <rFont val="맑은 고딕"/>
        <family val="2"/>
        <charset val="128"/>
      </rPr>
      <t xml:space="preserve"> </t>
    </r>
    <r>
      <rPr>
        <sz val="9"/>
        <color rgb="FF000000"/>
        <rFont val="맑은 고딕"/>
        <family val="2"/>
        <charset val="1"/>
      </rPr>
      <t xml:space="preserve">동해로</t>
    </r>
    <r>
      <rPr>
        <sz val="9"/>
        <color rgb="FF000000"/>
        <rFont val="맑은 고딕"/>
        <family val="2"/>
        <charset val="128"/>
      </rPr>
      <t xml:space="preserve"> </t>
    </r>
    <r>
      <rPr>
        <sz val="9"/>
        <color rgb="FF000000"/>
        <rFont val="Calibri"/>
        <family val="2"/>
        <charset val="1"/>
      </rPr>
      <t xml:space="preserve">739</t>
    </r>
  </si>
  <si>
    <t xml:space="preserve">35.016398 / 128.389241</t>
  </si>
  <si>
    <t xml:space="preserve">28, Gangbyeon-ro 670beon-gil, Gangneung-si, Gangwon-do</t>
  </si>
  <si>
    <r>
      <rPr>
        <sz val="9"/>
        <color rgb="FF000000"/>
        <rFont val="맑은 고딕"/>
        <family val="2"/>
        <charset val="1"/>
      </rPr>
      <t xml:space="preserve">강원도</t>
    </r>
    <r>
      <rPr>
        <sz val="9"/>
        <color rgb="FF000000"/>
        <rFont val="맑은 고딕"/>
        <family val="2"/>
        <charset val="128"/>
      </rPr>
      <t xml:space="preserve"> </t>
    </r>
    <r>
      <rPr>
        <sz val="9"/>
        <color rgb="FF000000"/>
        <rFont val="맑은 고딕"/>
        <family val="2"/>
        <charset val="1"/>
      </rPr>
      <t xml:space="preserve">강릉시</t>
    </r>
    <r>
      <rPr>
        <sz val="9"/>
        <color rgb="FF000000"/>
        <rFont val="맑은 고딕"/>
        <family val="2"/>
        <charset val="128"/>
      </rPr>
      <t xml:space="preserve"> </t>
    </r>
    <r>
      <rPr>
        <sz val="9"/>
        <color rgb="FF000000"/>
        <rFont val="맑은 고딕"/>
        <family val="2"/>
        <charset val="1"/>
      </rPr>
      <t xml:space="preserve">강변로</t>
    </r>
    <r>
      <rPr>
        <sz val="9"/>
        <color rgb="FF000000"/>
        <rFont val="Calibri"/>
        <family val="2"/>
        <charset val="1"/>
      </rPr>
      <t xml:space="preserve">670</t>
    </r>
    <r>
      <rPr>
        <sz val="9"/>
        <color rgb="FF000000"/>
        <rFont val="맑은 고딕"/>
        <family val="2"/>
        <charset val="1"/>
      </rPr>
      <t xml:space="preserve">번길</t>
    </r>
    <r>
      <rPr>
        <sz val="9"/>
        <color rgb="FF000000"/>
        <rFont val="맑은 고딕"/>
        <family val="2"/>
        <charset val="128"/>
      </rPr>
      <t xml:space="preserve"> </t>
    </r>
    <r>
      <rPr>
        <sz val="9"/>
        <color rgb="FF000000"/>
        <rFont val="Calibri"/>
        <family val="2"/>
        <charset val="1"/>
      </rPr>
      <t xml:space="preserve">28</t>
    </r>
  </si>
  <si>
    <t xml:space="preserve">37.767065 / 128.932636</t>
  </si>
  <si>
    <t xml:space="preserve">81-1, Songnae-gil, Poseung-eup, Pyeongtaek-si,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</si>
  <si>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포승읍</t>
    </r>
    <r>
      <rPr>
        <sz val="9"/>
        <color rgb="FF000000"/>
        <rFont val="맑은 고딕"/>
        <family val="2"/>
        <charset val="128"/>
      </rPr>
      <t xml:space="preserve"> </t>
    </r>
    <r>
      <rPr>
        <sz val="9"/>
        <color rgb="FF000000"/>
        <rFont val="맑은 고딕"/>
        <family val="2"/>
        <charset val="1"/>
      </rPr>
      <t xml:space="preserve">송내길</t>
    </r>
    <r>
      <rPr>
        <sz val="9"/>
        <color rgb="FF000000"/>
        <rFont val="맑은 고딕"/>
        <family val="2"/>
        <charset val="128"/>
      </rPr>
      <t xml:space="preserve"> </t>
    </r>
    <r>
      <rPr>
        <sz val="9"/>
        <color rgb="FF000000"/>
        <rFont val="Calibri"/>
        <family val="2"/>
        <charset val="1"/>
      </rPr>
      <t xml:space="preserve">81-1</t>
    </r>
  </si>
  <si>
    <t xml:space="preserve">36.964554 / 126.868290</t>
  </si>
  <si>
    <t xml:space="preserve">71, Eunma-gil, Ilsandong-gu, Goyang-si,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</si>
  <si>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고양시</t>
    </r>
    <r>
      <rPr>
        <sz val="9"/>
        <color rgb="FF000000"/>
        <rFont val="맑은 고딕"/>
        <family val="2"/>
        <charset val="128"/>
      </rPr>
      <t xml:space="preserve"> </t>
    </r>
    <r>
      <rPr>
        <sz val="9"/>
        <color rgb="FF000000"/>
        <rFont val="맑은 고딕"/>
        <family val="2"/>
        <charset val="1"/>
      </rPr>
      <t xml:space="preserve">일산동구</t>
    </r>
    <r>
      <rPr>
        <sz val="9"/>
        <color rgb="FF000000"/>
        <rFont val="맑은 고딕"/>
        <family val="2"/>
        <charset val="128"/>
      </rPr>
      <t xml:space="preserve"> </t>
    </r>
    <r>
      <rPr>
        <sz val="9"/>
        <color rgb="FF000000"/>
        <rFont val="맑은 고딕"/>
        <family val="2"/>
        <charset val="1"/>
      </rPr>
      <t xml:space="preserve">설문동</t>
    </r>
    <r>
      <rPr>
        <sz val="9"/>
        <color rgb="FF000000"/>
        <rFont val="맑은 고딕"/>
        <family val="2"/>
        <charset val="128"/>
      </rPr>
      <t xml:space="preserve"> </t>
    </r>
    <r>
      <rPr>
        <sz val="9"/>
        <color rgb="FF000000"/>
        <rFont val="Calibri"/>
        <family val="2"/>
        <charset val="1"/>
      </rPr>
      <t xml:space="preserve">495-1</t>
    </r>
  </si>
  <si>
    <t xml:space="preserve">37.714686 / 126.806743</t>
  </si>
  <si>
    <t xml:space="preserve">217, Eunma-gil, Ilsandong-gu, Goyang-si,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</si>
  <si>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고양시</t>
    </r>
    <r>
      <rPr>
        <sz val="9"/>
        <color rgb="FF000000"/>
        <rFont val="맑은 고딕"/>
        <family val="2"/>
        <charset val="128"/>
      </rPr>
      <t xml:space="preserve"> </t>
    </r>
    <r>
      <rPr>
        <sz val="9"/>
        <color rgb="FF000000"/>
        <rFont val="맑은 고딕"/>
        <family val="2"/>
        <charset val="1"/>
      </rPr>
      <t xml:space="preserve">일산동구</t>
    </r>
    <r>
      <rPr>
        <sz val="9"/>
        <color rgb="FF000000"/>
        <rFont val="맑은 고딕"/>
        <family val="2"/>
        <charset val="128"/>
      </rPr>
      <t xml:space="preserve"> </t>
    </r>
    <r>
      <rPr>
        <sz val="9"/>
        <color rgb="FF000000"/>
        <rFont val="맑은 고딕"/>
        <family val="2"/>
        <charset val="1"/>
      </rPr>
      <t xml:space="preserve">설문동</t>
    </r>
    <r>
      <rPr>
        <sz val="9"/>
        <color rgb="FF000000"/>
        <rFont val="맑은 고딕"/>
        <family val="2"/>
        <charset val="128"/>
      </rPr>
      <t xml:space="preserve"> </t>
    </r>
    <r>
      <rPr>
        <sz val="9"/>
        <color rgb="FF000000"/>
        <rFont val="Calibri"/>
        <family val="2"/>
        <charset val="1"/>
      </rPr>
      <t xml:space="preserve">576-8</t>
    </r>
  </si>
  <si>
    <t xml:space="preserve">37.725217 / 126.801923</t>
  </si>
  <si>
    <t xml:space="preserve">374-33, Manjangsan-ro, Gwangtan-myeon, Paju-si, Gyeonggi-do</t>
  </si>
  <si>
    <r>
      <rPr>
        <sz val="9"/>
        <color rgb="FF000000"/>
        <rFont val="맑은 고딕"/>
        <family val="2"/>
        <charset val="1"/>
      </rPr>
      <t xml:space="preserve">경기</t>
    </r>
    <r>
      <rPr>
        <sz val="9"/>
        <color rgb="FF000000"/>
        <rFont val="맑은 고딕"/>
        <family val="2"/>
        <charset val="128"/>
      </rPr>
      <t xml:space="preserve"> </t>
    </r>
    <r>
      <rPr>
        <sz val="9"/>
        <color rgb="FF000000"/>
        <rFont val="맑은 고딕"/>
        <family val="2"/>
        <charset val="1"/>
      </rPr>
      <t xml:space="preserve">파주시</t>
    </r>
    <r>
      <rPr>
        <sz val="9"/>
        <color rgb="FF000000"/>
        <rFont val="맑은 고딕"/>
        <family val="2"/>
        <charset val="128"/>
      </rPr>
      <t xml:space="preserve"> </t>
    </r>
    <r>
      <rPr>
        <sz val="9"/>
        <color rgb="FF000000"/>
        <rFont val="맑은 고딕"/>
        <family val="2"/>
        <charset val="1"/>
      </rPr>
      <t xml:space="preserve">광탄면</t>
    </r>
    <r>
      <rPr>
        <sz val="9"/>
        <color rgb="FF000000"/>
        <rFont val="맑은 고딕"/>
        <family val="2"/>
        <charset val="128"/>
      </rPr>
      <t xml:space="preserve"> </t>
    </r>
    <r>
      <rPr>
        <sz val="9"/>
        <color rgb="FF000000"/>
        <rFont val="맑은 고딕"/>
        <family val="2"/>
        <charset val="1"/>
      </rPr>
      <t xml:space="preserve">창만리</t>
    </r>
    <r>
      <rPr>
        <sz val="9"/>
        <color rgb="FF000000"/>
        <rFont val="맑은 고딕"/>
        <family val="2"/>
        <charset val="128"/>
      </rPr>
      <t xml:space="preserve"> </t>
    </r>
    <r>
      <rPr>
        <sz val="9"/>
        <color rgb="FF000000"/>
        <rFont val="Calibri"/>
        <family val="2"/>
        <charset val="1"/>
      </rPr>
      <t xml:space="preserve">201-6</t>
    </r>
  </si>
  <si>
    <t xml:space="preserve">37.798231 / 126.877088</t>
  </si>
  <si>
    <t xml:space="preserve">199-38, Eungol-gil, Jori-eup, Paju-si, Gyeonggi-do</t>
  </si>
  <si>
    <r>
      <rPr>
        <sz val="9"/>
        <color rgb="FF000000"/>
        <rFont val="맑은 고딕"/>
        <family val="2"/>
        <charset val="1"/>
      </rPr>
      <t xml:space="preserve">경기</t>
    </r>
    <r>
      <rPr>
        <sz val="9"/>
        <color rgb="FF000000"/>
        <rFont val="맑은 고딕"/>
        <family val="2"/>
        <charset val="128"/>
      </rPr>
      <t xml:space="preserve"> </t>
    </r>
    <r>
      <rPr>
        <sz val="9"/>
        <color rgb="FF000000"/>
        <rFont val="맑은 고딕"/>
        <family val="2"/>
        <charset val="1"/>
      </rPr>
      <t xml:space="preserve">파주시</t>
    </r>
    <r>
      <rPr>
        <sz val="9"/>
        <color rgb="FF000000"/>
        <rFont val="맑은 고딕"/>
        <family val="2"/>
        <charset val="128"/>
      </rPr>
      <t xml:space="preserve"> </t>
    </r>
    <r>
      <rPr>
        <sz val="9"/>
        <color rgb="FF000000"/>
        <rFont val="맑은 고딕"/>
        <family val="2"/>
        <charset val="1"/>
      </rPr>
      <t xml:space="preserve">조리읍</t>
    </r>
    <r>
      <rPr>
        <sz val="9"/>
        <color rgb="FF000000"/>
        <rFont val="맑은 고딕"/>
        <family val="2"/>
        <charset val="128"/>
      </rPr>
      <t xml:space="preserve"> </t>
    </r>
    <r>
      <rPr>
        <sz val="9"/>
        <color rgb="FF000000"/>
        <rFont val="맑은 고딕"/>
        <family val="2"/>
        <charset val="1"/>
      </rPr>
      <t xml:space="preserve">장곡리</t>
    </r>
    <r>
      <rPr>
        <sz val="9"/>
        <color rgb="FF000000"/>
        <rFont val="맑은 고딕"/>
        <family val="2"/>
        <charset val="128"/>
      </rPr>
      <t xml:space="preserve"> </t>
    </r>
    <r>
      <rPr>
        <sz val="9"/>
        <color rgb="FF000000"/>
        <rFont val="Calibri"/>
        <family val="2"/>
        <charset val="1"/>
      </rPr>
      <t xml:space="preserve">44-11</t>
    </r>
  </si>
  <si>
    <t xml:space="preserve">37.751772 / 126.848093</t>
  </si>
  <si>
    <t xml:space="preserve">46, Banwol-ro, Seongsan-gu, Changwon-si, Gyeongsangnam-do</t>
  </si>
  <si>
    <r>
      <rPr>
        <sz val="9"/>
        <color rgb="FF000000"/>
        <rFont val="맑은 고딕"/>
        <family val="2"/>
        <charset val="1"/>
      </rPr>
      <t xml:space="preserve">경남</t>
    </r>
    <r>
      <rPr>
        <sz val="9"/>
        <color rgb="FF000000"/>
        <rFont val="맑은 고딕"/>
        <family val="2"/>
        <charset val="128"/>
      </rPr>
      <t xml:space="preserve"> </t>
    </r>
    <r>
      <rPr>
        <sz val="9"/>
        <color rgb="FF000000"/>
        <rFont val="맑은 고딕"/>
        <family val="2"/>
        <charset val="1"/>
      </rPr>
      <t xml:space="preserve">창원시</t>
    </r>
    <r>
      <rPr>
        <sz val="9"/>
        <color rgb="FF000000"/>
        <rFont val="맑은 고딕"/>
        <family val="2"/>
        <charset val="128"/>
      </rPr>
      <t xml:space="preserve"> </t>
    </r>
    <r>
      <rPr>
        <sz val="9"/>
        <color rgb="FF000000"/>
        <rFont val="맑은 고딕"/>
        <family val="2"/>
        <charset val="1"/>
      </rPr>
      <t xml:space="preserve">성산구</t>
    </r>
    <r>
      <rPr>
        <sz val="9"/>
        <color rgb="FF000000"/>
        <rFont val="맑은 고딕"/>
        <family val="2"/>
        <charset val="128"/>
      </rPr>
      <t xml:space="preserve"> </t>
    </r>
    <r>
      <rPr>
        <sz val="9"/>
        <color rgb="FF000000"/>
        <rFont val="맑은 고딕"/>
        <family val="2"/>
        <charset val="1"/>
      </rPr>
      <t xml:space="preserve">반월로</t>
    </r>
    <r>
      <rPr>
        <sz val="9"/>
        <color rgb="FF000000"/>
        <rFont val="맑은 고딕"/>
        <family val="2"/>
        <charset val="128"/>
      </rPr>
      <t xml:space="preserve"> </t>
    </r>
    <r>
      <rPr>
        <sz val="9"/>
        <color rgb="FF000000"/>
        <rFont val="Calibri"/>
        <family val="2"/>
        <charset val="1"/>
      </rPr>
      <t xml:space="preserve">46</t>
    </r>
  </si>
  <si>
    <t xml:space="preserve">35.207624 / 128.634204</t>
  </si>
  <si>
    <t xml:space="preserve">74, Saneop-ro, Jeongchon-myeon, Jinju-si, Gyeongsangnam-do</t>
  </si>
  <si>
    <r>
      <rPr>
        <sz val="9"/>
        <color rgb="FF000000"/>
        <rFont val="맑은 고딕"/>
        <family val="2"/>
        <charset val="1"/>
      </rPr>
      <t xml:space="preserve">경남</t>
    </r>
    <r>
      <rPr>
        <sz val="9"/>
        <color rgb="FF000000"/>
        <rFont val="맑은 고딕"/>
        <family val="2"/>
        <charset val="128"/>
      </rPr>
      <t xml:space="preserve"> </t>
    </r>
    <r>
      <rPr>
        <sz val="9"/>
        <color rgb="FF000000"/>
        <rFont val="맑은 고딕"/>
        <family val="2"/>
        <charset val="1"/>
      </rPr>
      <t xml:space="preserve">진주시</t>
    </r>
    <r>
      <rPr>
        <sz val="9"/>
        <color rgb="FF000000"/>
        <rFont val="맑은 고딕"/>
        <family val="2"/>
        <charset val="128"/>
      </rPr>
      <t xml:space="preserve"> </t>
    </r>
    <r>
      <rPr>
        <sz val="9"/>
        <color rgb="FF000000"/>
        <rFont val="맑은 고딕"/>
        <family val="2"/>
        <charset val="1"/>
      </rPr>
      <t xml:space="preserve">정촌면</t>
    </r>
    <r>
      <rPr>
        <sz val="9"/>
        <color rgb="FF000000"/>
        <rFont val="맑은 고딕"/>
        <family val="2"/>
        <charset val="128"/>
      </rPr>
      <t xml:space="preserve"> </t>
    </r>
    <r>
      <rPr>
        <sz val="9"/>
        <color rgb="FF000000"/>
        <rFont val="맑은 고딕"/>
        <family val="2"/>
        <charset val="1"/>
      </rPr>
      <t xml:space="preserve">산업로</t>
    </r>
    <r>
      <rPr>
        <sz val="9"/>
        <color rgb="FF000000"/>
        <rFont val="맑은 고딕"/>
        <family val="2"/>
        <charset val="128"/>
      </rPr>
      <t xml:space="preserve"> </t>
    </r>
    <r>
      <rPr>
        <sz val="9"/>
        <color rgb="FF000000"/>
        <rFont val="Calibri"/>
        <family val="2"/>
        <charset val="1"/>
      </rPr>
      <t xml:space="preserve">74</t>
    </r>
  </si>
  <si>
    <t xml:space="preserve">35.121341 / 128.106637</t>
  </si>
  <si>
    <t xml:space="preserve">275-38, Eungol-gil, Jori-eup, Paju-si, Gyeonggi-do</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</si>
  <si>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파주시</t>
    </r>
    <r>
      <rPr>
        <sz val="9"/>
        <color rgb="FF000000"/>
        <rFont val="맑은 고딕"/>
        <family val="2"/>
        <charset val="128"/>
      </rPr>
      <t xml:space="preserve"> </t>
    </r>
    <r>
      <rPr>
        <sz val="9"/>
        <color rgb="FF000000"/>
        <rFont val="맑은 고딕"/>
        <family val="2"/>
        <charset val="1"/>
      </rPr>
      <t xml:space="preserve">조리읍</t>
    </r>
    <r>
      <rPr>
        <sz val="9"/>
        <color rgb="FF000000"/>
        <rFont val="맑은 고딕"/>
        <family val="2"/>
        <charset val="128"/>
      </rPr>
      <t xml:space="preserve"> </t>
    </r>
    <r>
      <rPr>
        <sz val="9"/>
        <color rgb="FF000000"/>
        <rFont val="맑은 고딕"/>
        <family val="2"/>
        <charset val="1"/>
      </rPr>
      <t xml:space="preserve">은골길</t>
    </r>
    <r>
      <rPr>
        <sz val="9"/>
        <color rgb="FF000000"/>
        <rFont val="맑은 고딕"/>
        <family val="2"/>
        <charset val="128"/>
      </rPr>
      <t xml:space="preserve"> </t>
    </r>
    <r>
      <rPr>
        <sz val="9"/>
        <color rgb="FF000000"/>
        <rFont val="Calibri"/>
        <family val="2"/>
        <charset val="1"/>
      </rPr>
      <t xml:space="preserve">275-38</t>
    </r>
  </si>
  <si>
    <t xml:space="preserve">37.751031 / 126.846303</t>
  </si>
  <si>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평택시</t>
    </r>
    <r>
      <rPr>
        <sz val="9"/>
        <color rgb="FF000000"/>
        <rFont val="맑은 고딕"/>
        <family val="2"/>
        <charset val="128"/>
      </rPr>
      <t xml:space="preserve"> </t>
    </r>
    <r>
      <rPr>
        <sz val="9"/>
        <color rgb="FF000000"/>
        <rFont val="맑은 고딕"/>
        <family val="2"/>
        <charset val="1"/>
      </rPr>
      <t xml:space="preserve">오성면</t>
    </r>
    <r>
      <rPr>
        <sz val="9"/>
        <color rgb="FF000000"/>
        <rFont val="맑은 고딕"/>
        <family val="2"/>
        <charset val="128"/>
      </rPr>
      <t xml:space="preserve"> </t>
    </r>
    <r>
      <rPr>
        <sz val="9"/>
        <color rgb="FF000000"/>
        <rFont val="맑은 고딕"/>
        <family val="2"/>
        <charset val="1"/>
      </rPr>
      <t xml:space="preserve">창신뜰길</t>
    </r>
    <r>
      <rPr>
        <sz val="9"/>
        <color rgb="FF000000"/>
        <rFont val="맑은 고딕"/>
        <family val="2"/>
        <charset val="128"/>
      </rPr>
      <t xml:space="preserve"> </t>
    </r>
    <r>
      <rPr>
        <sz val="9"/>
        <color rgb="FF000000"/>
        <rFont val="Calibri"/>
        <family val="2"/>
        <charset val="1"/>
      </rPr>
      <t xml:space="preserve">8, 10</t>
    </r>
  </si>
  <si>
    <r>
      <rPr>
        <sz val="9"/>
        <color rgb="FF000000"/>
        <rFont val="맑은 고딕"/>
        <family val="2"/>
        <charset val="1"/>
      </rPr>
      <t xml:space="preserve">경기도</t>
    </r>
    <r>
      <rPr>
        <sz val="9"/>
        <color rgb="FF000000"/>
        <rFont val="맑은 고딕"/>
        <family val="2"/>
        <charset val="128"/>
      </rPr>
      <t xml:space="preserve"> </t>
    </r>
    <r>
      <rPr>
        <sz val="9"/>
        <color rgb="FF000000"/>
        <rFont val="맑은 고딕"/>
        <family val="2"/>
        <charset val="1"/>
      </rPr>
      <t xml:space="preserve">이천시</t>
    </r>
    <r>
      <rPr>
        <sz val="9"/>
        <color rgb="FF000000"/>
        <rFont val="맑은 고딕"/>
        <family val="2"/>
        <charset val="128"/>
      </rPr>
      <t xml:space="preserve"> </t>
    </r>
    <r>
      <rPr>
        <sz val="9"/>
        <color rgb="FF000000"/>
        <rFont val="맑은 고딕"/>
        <family val="2"/>
        <charset val="1"/>
      </rPr>
      <t xml:space="preserve">대월면</t>
    </r>
    <r>
      <rPr>
        <sz val="9"/>
        <color rgb="FF000000"/>
        <rFont val="맑은 고딕"/>
        <family val="2"/>
        <charset val="128"/>
      </rPr>
      <t xml:space="preserve"> </t>
    </r>
    <r>
      <rPr>
        <sz val="9"/>
        <color rgb="FF000000"/>
        <rFont val="맑은 고딕"/>
        <family val="2"/>
        <charset val="129"/>
      </rPr>
      <t xml:space="preserve">대평로</t>
    </r>
    <r>
      <rPr>
        <sz val="9"/>
        <color rgb="FF000000"/>
        <rFont val="맑은 고딕"/>
        <family val="2"/>
        <charset val="128"/>
      </rPr>
      <t xml:space="preserve"> </t>
    </r>
    <r>
      <rPr>
        <sz val="9"/>
        <color rgb="FF000000"/>
        <rFont val="Calibri"/>
        <family val="2"/>
        <charset val="1"/>
      </rPr>
      <t xml:space="preserve">124-33</t>
    </r>
  </si>
  <si>
    <t xml:space="preserve">142, Danpung-ro, Jangseong-eup, Jangseong-gun, Jeollanam-do</t>
  </si>
  <si>
    <r>
      <rPr>
        <sz val="9"/>
        <color rgb="FF000000"/>
        <rFont val="맑은 고딕"/>
        <family val="3"/>
        <charset val="129"/>
      </rPr>
      <t xml:space="preserve">전라남도</t>
    </r>
    <r>
      <rPr>
        <sz val="9"/>
        <color rgb="FF000000"/>
        <rFont val="맑은 고딕"/>
        <family val="2"/>
        <charset val="128"/>
      </rPr>
      <t xml:space="preserve"> </t>
    </r>
    <r>
      <rPr>
        <sz val="9"/>
        <color rgb="FF000000"/>
        <rFont val="맑은 고딕"/>
        <family val="3"/>
        <charset val="129"/>
      </rPr>
      <t xml:space="preserve">장성군</t>
    </r>
    <r>
      <rPr>
        <sz val="9"/>
        <color rgb="FF000000"/>
        <rFont val="맑은 고딕"/>
        <family val="2"/>
        <charset val="128"/>
      </rPr>
      <t xml:space="preserve"> </t>
    </r>
    <r>
      <rPr>
        <sz val="9"/>
        <color rgb="FF000000"/>
        <rFont val="맑은 고딕"/>
        <family val="3"/>
        <charset val="129"/>
      </rPr>
      <t xml:space="preserve">장성읍</t>
    </r>
    <r>
      <rPr>
        <sz val="9"/>
        <color rgb="FF000000"/>
        <rFont val="맑은 고딕"/>
        <family val="2"/>
        <charset val="128"/>
      </rPr>
      <t xml:space="preserve"> </t>
    </r>
    <r>
      <rPr>
        <sz val="9"/>
        <color rgb="FF000000"/>
        <rFont val="맑은 고딕"/>
        <family val="3"/>
        <charset val="129"/>
      </rPr>
      <t xml:space="preserve">유탕리</t>
    </r>
    <r>
      <rPr>
        <sz val="9"/>
        <color rgb="FF000000"/>
        <rFont val="맑은 고딕"/>
        <family val="2"/>
        <charset val="128"/>
      </rPr>
      <t xml:space="preserve"> </t>
    </r>
    <r>
      <rPr>
        <sz val="9"/>
        <color rgb="FF000000"/>
        <rFont val="Calibri"/>
        <family val="2"/>
        <charset val="1"/>
      </rPr>
      <t xml:space="preserve">1831</t>
    </r>
  </si>
  <si>
    <t xml:space="preserve"> 35.315957 / 126.797718</t>
  </si>
  <si>
    <r>
      <rPr>
        <sz val="9"/>
        <color rgb="FF000000"/>
        <rFont val="맑은 고딕"/>
        <family val="3"/>
        <charset val="129"/>
      </rPr>
      <t xml:space="preserve">경상북도</t>
    </r>
    <r>
      <rPr>
        <sz val="9"/>
        <color rgb="FF000000"/>
        <rFont val="맑은 고딕"/>
        <family val="2"/>
        <charset val="128"/>
      </rPr>
      <t xml:space="preserve"> </t>
    </r>
    <r>
      <rPr>
        <sz val="9"/>
        <color rgb="FF000000"/>
        <rFont val="맑은 고딕"/>
        <family val="3"/>
        <charset val="129"/>
      </rPr>
      <t xml:space="preserve">영주시</t>
    </r>
    <r>
      <rPr>
        <sz val="9"/>
        <color rgb="FF000000"/>
        <rFont val="맑은 고딕"/>
        <family val="2"/>
        <charset val="128"/>
      </rPr>
      <t xml:space="preserve"> </t>
    </r>
    <r>
      <rPr>
        <sz val="9"/>
        <color rgb="FF000000"/>
        <rFont val="맑은 고딕"/>
        <family val="3"/>
        <charset val="129"/>
      </rPr>
      <t xml:space="preserve">적서동</t>
    </r>
    <r>
      <rPr>
        <sz val="9"/>
        <color rgb="FF000000"/>
        <rFont val="맑은 고딕"/>
        <family val="2"/>
        <charset val="128"/>
      </rPr>
      <t xml:space="preserve"> </t>
    </r>
    <r>
      <rPr>
        <sz val="9"/>
        <color rgb="FF000000"/>
        <rFont val="Calibri"/>
        <family val="2"/>
        <charset val="1"/>
      </rPr>
      <t xml:space="preserve">250</t>
    </r>
  </si>
  <si>
    <t xml:space="preserve">15, Hyundaikia-ro 830beon-gil, Bibong-myeon, Hwaseong-si, Gyeonggi-do</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</si>
  <si>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화성시</t>
    </r>
    <r>
      <rPr>
        <sz val="9"/>
        <color rgb="FF000000"/>
        <rFont val="맑은 고딕"/>
        <family val="2"/>
        <charset val="128"/>
      </rPr>
      <t xml:space="preserve"> </t>
    </r>
    <r>
      <rPr>
        <sz val="9"/>
        <color rgb="FF000000"/>
        <rFont val="맑은 고딕"/>
        <family val="3"/>
        <charset val="129"/>
      </rPr>
      <t xml:space="preserve">비봉면</t>
    </r>
    <r>
      <rPr>
        <sz val="9"/>
        <color rgb="FF000000"/>
        <rFont val="맑은 고딕"/>
        <family val="2"/>
        <charset val="128"/>
      </rPr>
      <t xml:space="preserve"> </t>
    </r>
    <r>
      <rPr>
        <sz val="9"/>
        <color rgb="FF000000"/>
        <rFont val="맑은 고딕"/>
        <family val="3"/>
        <charset val="129"/>
      </rPr>
      <t xml:space="preserve">양노리</t>
    </r>
    <r>
      <rPr>
        <sz val="9"/>
        <color rgb="FF000000"/>
        <rFont val="맑은 고딕"/>
        <family val="2"/>
        <charset val="128"/>
      </rPr>
      <t xml:space="preserve"> </t>
    </r>
    <r>
      <rPr>
        <sz val="9"/>
        <color rgb="FF000000"/>
        <rFont val="Calibri"/>
        <family val="2"/>
        <charset val="1"/>
      </rPr>
      <t xml:space="preserve">722-8</t>
    </r>
  </si>
  <si>
    <t xml:space="preserve"> 37.221639 / 126.860580</t>
  </si>
  <si>
    <t xml:space="preserve">70-21, Soran-gil, Yanggam-myeon, Hwaseong-si, Gyeonggi-do</t>
  </si>
  <si>
    <r>
      <rPr>
        <sz val="9"/>
        <color rgb="FF000000"/>
        <rFont val="맑은 고딕"/>
        <family val="3"/>
        <charset val="129"/>
      </rPr>
      <t xml:space="preserve">경기도</t>
    </r>
    <r>
      <rPr>
        <sz val="9"/>
        <color rgb="FF000000"/>
        <rFont val="맑은 고딕"/>
        <family val="2"/>
        <charset val="128"/>
      </rPr>
      <t xml:space="preserve"> </t>
    </r>
    <r>
      <rPr>
        <sz val="9"/>
        <color rgb="FF000000"/>
        <rFont val="맑은 고딕"/>
        <family val="3"/>
        <charset val="129"/>
      </rPr>
      <t xml:space="preserve">화성시</t>
    </r>
    <r>
      <rPr>
        <sz val="9"/>
        <color rgb="FF000000"/>
        <rFont val="맑은 고딕"/>
        <family val="2"/>
        <charset val="128"/>
      </rPr>
      <t xml:space="preserve"> </t>
    </r>
    <r>
      <rPr>
        <sz val="9"/>
        <color rgb="FF000000"/>
        <rFont val="맑은 고딕"/>
        <family val="3"/>
        <charset val="129"/>
      </rPr>
      <t xml:space="preserve">양감면</t>
    </r>
    <r>
      <rPr>
        <sz val="9"/>
        <color rgb="FF000000"/>
        <rFont val="맑은 고딕"/>
        <family val="2"/>
        <charset val="128"/>
      </rPr>
      <t xml:space="preserve"> </t>
    </r>
    <r>
      <rPr>
        <sz val="9"/>
        <color rgb="FF000000"/>
        <rFont val="맑은 고딕"/>
        <family val="3"/>
        <charset val="129"/>
      </rPr>
      <t xml:space="preserve">사창리</t>
    </r>
    <r>
      <rPr>
        <sz val="9"/>
        <color rgb="FF000000"/>
        <rFont val="맑은 고딕"/>
        <family val="2"/>
        <charset val="128"/>
      </rPr>
      <t xml:space="preserve"> </t>
    </r>
    <r>
      <rPr>
        <sz val="9"/>
        <color rgb="FF000000"/>
        <rFont val="Calibri"/>
        <family val="2"/>
        <charset val="1"/>
      </rPr>
      <t xml:space="preserve">1101-15</t>
    </r>
  </si>
  <si>
    <t xml:space="preserve"> 37.081635 / 126.966262</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</si>
  <si>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김해시</t>
    </r>
    <r>
      <rPr>
        <sz val="9"/>
        <color rgb="FF000000"/>
        <rFont val="맑은 고딕"/>
        <family val="2"/>
        <charset val="128"/>
      </rPr>
      <t xml:space="preserve"> </t>
    </r>
    <r>
      <rPr>
        <sz val="9"/>
        <color rgb="FF000000"/>
        <rFont val="맑은 고딕"/>
        <family val="2"/>
        <charset val="1"/>
      </rPr>
      <t xml:space="preserve">한림면</t>
    </r>
    <r>
      <rPr>
        <sz val="9"/>
        <color rgb="FF000000"/>
        <rFont val="맑은 고딕"/>
        <family val="2"/>
        <charset val="128"/>
      </rPr>
      <t xml:space="preserve"> </t>
    </r>
    <r>
      <rPr>
        <sz val="9"/>
        <color rgb="FF000000"/>
        <rFont val="맑은 고딕"/>
        <family val="2"/>
        <charset val="1"/>
      </rPr>
      <t xml:space="preserve">안하리</t>
    </r>
    <r>
      <rPr>
        <sz val="9"/>
        <color rgb="FF000000"/>
        <rFont val="맑은 고딕"/>
        <family val="2"/>
        <charset val="128"/>
      </rPr>
      <t xml:space="preserve"> </t>
    </r>
    <r>
      <rPr>
        <sz val="9"/>
        <color rgb="FF000000"/>
        <rFont val="Calibri"/>
        <family val="2"/>
        <charset val="1"/>
      </rPr>
      <t xml:space="preserve">2002-9</t>
    </r>
  </si>
  <si>
    <t xml:space="preserve"> 35.300778 / 128.831988</t>
  </si>
  <si>
    <t xml:space="preserve">255, Bongnaenaru-ro, Yeongdo-gu,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</si>
  <si>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영도구</t>
    </r>
    <r>
      <rPr>
        <sz val="9"/>
        <color rgb="FF000000"/>
        <rFont val="맑은 고딕"/>
        <family val="2"/>
        <charset val="128"/>
      </rPr>
      <t xml:space="preserve"> </t>
    </r>
    <r>
      <rPr>
        <sz val="9"/>
        <color rgb="FF000000"/>
        <rFont val="맑은 고딕"/>
        <family val="2"/>
        <charset val="1"/>
      </rPr>
      <t xml:space="preserve">봉래나루로</t>
    </r>
    <r>
      <rPr>
        <sz val="9"/>
        <color rgb="FF000000"/>
        <rFont val="맑은 고딕"/>
        <family val="2"/>
        <charset val="128"/>
      </rPr>
      <t xml:space="preserve"> </t>
    </r>
    <r>
      <rPr>
        <sz val="9"/>
        <color rgb="FF000000"/>
        <rFont val="Calibri"/>
        <family val="2"/>
        <charset val="1"/>
      </rPr>
      <t xml:space="preserve">255</t>
    </r>
  </si>
  <si>
    <t xml:space="preserve">35.095200 / 129.046420</t>
  </si>
  <si>
    <t xml:space="preserve">455, Gamcheonhang-ro, Saha-gu,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</si>
  <si>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사하구</t>
    </r>
    <r>
      <rPr>
        <sz val="9"/>
        <color rgb="FF000000"/>
        <rFont val="맑은 고딕"/>
        <family val="2"/>
        <charset val="128"/>
      </rPr>
      <t xml:space="preserve"> </t>
    </r>
    <r>
      <rPr>
        <sz val="9"/>
        <color rgb="FF000000"/>
        <rFont val="맑은 고딕"/>
        <family val="2"/>
        <charset val="1"/>
      </rPr>
      <t xml:space="preserve">감천항로</t>
    </r>
    <r>
      <rPr>
        <sz val="9"/>
        <color rgb="FF000000"/>
        <rFont val="맑은 고딕"/>
        <family val="2"/>
        <charset val="128"/>
      </rPr>
      <t xml:space="preserve"> </t>
    </r>
    <r>
      <rPr>
        <sz val="9"/>
        <color rgb="FF000000"/>
        <rFont val="Calibri"/>
        <family val="2"/>
        <charset val="1"/>
      </rPr>
      <t xml:space="preserve">455</t>
    </r>
  </si>
  <si>
    <t xml:space="preserve">35.051661 / 128.991992</t>
  </si>
  <si>
    <t xml:space="preserve">259-34 Changmil-ro, Changnyeong-eup, Changnyeong-gun,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</si>
  <si>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창녕군</t>
    </r>
    <r>
      <rPr>
        <sz val="9"/>
        <color rgb="FF000000"/>
        <rFont val="맑은 고딕"/>
        <family val="2"/>
        <charset val="128"/>
      </rPr>
      <t xml:space="preserve"> </t>
    </r>
    <r>
      <rPr>
        <sz val="9"/>
        <color rgb="FF000000"/>
        <rFont val="맑은 고딕"/>
        <family val="2"/>
        <charset val="1"/>
      </rPr>
      <t xml:space="preserve">창녕읍</t>
    </r>
    <r>
      <rPr>
        <sz val="9"/>
        <color rgb="FF000000"/>
        <rFont val="맑은 고딕"/>
        <family val="2"/>
        <charset val="128"/>
      </rPr>
      <t xml:space="preserve"> </t>
    </r>
    <r>
      <rPr>
        <sz val="9"/>
        <color rgb="FF000000"/>
        <rFont val="맑은 고딕"/>
        <family val="2"/>
        <charset val="1"/>
      </rPr>
      <t xml:space="preserve">창밀로</t>
    </r>
    <r>
      <rPr>
        <sz val="9"/>
        <color rgb="FF000000"/>
        <rFont val="맑은 고딕"/>
        <family val="2"/>
        <charset val="128"/>
      </rPr>
      <t xml:space="preserve"> </t>
    </r>
    <r>
      <rPr>
        <sz val="9"/>
        <color rgb="FF000000"/>
        <rFont val="Calibri"/>
        <family val="2"/>
        <charset val="1"/>
      </rPr>
      <t xml:space="preserve">259-34</t>
    </r>
  </si>
  <si>
    <t xml:space="preserve">35.564485 / 128.500462</t>
  </si>
  <si>
    <t xml:space="preserve">256, Bongnaenaru-ro, Yeongdo-gu,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</si>
  <si>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영도구</t>
    </r>
    <r>
      <rPr>
        <sz val="9"/>
        <color rgb="FF000000"/>
        <rFont val="맑은 고딕"/>
        <family val="2"/>
        <charset val="128"/>
      </rPr>
      <t xml:space="preserve"> </t>
    </r>
    <r>
      <rPr>
        <sz val="9"/>
        <color rgb="FF000000"/>
        <rFont val="맑은 고딕"/>
        <family val="2"/>
        <charset val="1"/>
      </rPr>
      <t xml:space="preserve">봉래나루로</t>
    </r>
    <r>
      <rPr>
        <sz val="9"/>
        <color rgb="FF000000"/>
        <rFont val="맑은 고딕"/>
        <family val="2"/>
        <charset val="128"/>
      </rPr>
      <t xml:space="preserve"> </t>
    </r>
    <r>
      <rPr>
        <sz val="9"/>
        <color rgb="FF000000"/>
        <rFont val="Calibri"/>
        <family val="2"/>
        <charset val="1"/>
      </rPr>
      <t xml:space="preserve">256</t>
    </r>
  </si>
  <si>
    <t xml:space="preserve">35.095200 / 129.046421</t>
  </si>
  <si>
    <t xml:space="preserve">456, Gamcheonhang-ro, Saha-gu,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</si>
  <si>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사하구</t>
    </r>
    <r>
      <rPr>
        <sz val="9"/>
        <color rgb="FF000000"/>
        <rFont val="맑은 고딕"/>
        <family val="2"/>
        <charset val="128"/>
      </rPr>
      <t xml:space="preserve"> </t>
    </r>
    <r>
      <rPr>
        <sz val="9"/>
        <color rgb="FF000000"/>
        <rFont val="맑은 고딕"/>
        <family val="2"/>
        <charset val="1"/>
      </rPr>
      <t xml:space="preserve">감천항로</t>
    </r>
    <r>
      <rPr>
        <sz val="9"/>
        <color rgb="FF000000"/>
        <rFont val="맑은 고딕"/>
        <family val="2"/>
        <charset val="128"/>
      </rPr>
      <t xml:space="preserve"> </t>
    </r>
    <r>
      <rPr>
        <sz val="9"/>
        <color rgb="FF000000"/>
        <rFont val="Calibri"/>
        <family val="2"/>
        <charset val="1"/>
      </rPr>
      <t xml:space="preserve">456</t>
    </r>
  </si>
  <si>
    <t xml:space="preserve">35.051661 / 128.991993</t>
  </si>
  <si>
    <t xml:space="preserve">259-35 Changmil-ro, Changnyeong-eup, Changnyeong-gun, Gyeongsangnam-do</t>
  </si>
  <si>
    <r>
      <rPr>
        <sz val="9"/>
        <color rgb="FF000000"/>
        <rFont val="맑은 고딕"/>
        <family val="2"/>
        <charset val="1"/>
      </rPr>
      <t xml:space="preserve">경상남도</t>
    </r>
    <r>
      <rPr>
        <sz val="9"/>
        <color rgb="FF000000"/>
        <rFont val="맑은 고딕"/>
        <family val="2"/>
        <charset val="128"/>
      </rPr>
      <t xml:space="preserve"> </t>
    </r>
    <r>
      <rPr>
        <sz val="9"/>
        <color rgb="FF000000"/>
        <rFont val="맑은 고딕"/>
        <family val="2"/>
        <charset val="1"/>
      </rPr>
      <t xml:space="preserve">창녕군</t>
    </r>
    <r>
      <rPr>
        <sz val="9"/>
        <color rgb="FF000000"/>
        <rFont val="맑은 고딕"/>
        <family val="2"/>
        <charset val="128"/>
      </rPr>
      <t xml:space="preserve"> </t>
    </r>
    <r>
      <rPr>
        <sz val="9"/>
        <color rgb="FF000000"/>
        <rFont val="맑은 고딕"/>
        <family val="2"/>
        <charset val="1"/>
      </rPr>
      <t xml:space="preserve">창녕읍</t>
    </r>
    <r>
      <rPr>
        <sz val="9"/>
        <color rgb="FF000000"/>
        <rFont val="맑은 고딕"/>
        <family val="2"/>
        <charset val="128"/>
      </rPr>
      <t xml:space="preserve"> </t>
    </r>
    <r>
      <rPr>
        <sz val="9"/>
        <color rgb="FF000000"/>
        <rFont val="맑은 고딕"/>
        <family val="2"/>
        <charset val="1"/>
      </rPr>
      <t xml:space="preserve">창밀로</t>
    </r>
    <r>
      <rPr>
        <sz val="9"/>
        <color rgb="FF000000"/>
        <rFont val="맑은 고딕"/>
        <family val="2"/>
        <charset val="128"/>
      </rPr>
      <t xml:space="preserve"> </t>
    </r>
    <r>
      <rPr>
        <sz val="9"/>
        <color rgb="FF000000"/>
        <rFont val="Calibri"/>
        <family val="2"/>
        <charset val="1"/>
      </rPr>
      <t xml:space="preserve">259-35</t>
    </r>
  </si>
  <si>
    <t xml:space="preserve">35.564485 / 128.500463</t>
  </si>
  <si>
    <t xml:space="preserve">257, Bongnaenaru-ro, Yeongdo-gu, Busan</t>
  </si>
  <si>
    <r>
      <rPr>
        <sz val="9"/>
        <color rgb="FF000000"/>
        <rFont val="맑은 고딕"/>
        <family val="2"/>
        <charset val="1"/>
      </rPr>
      <t xml:space="preserve">부산광역시</t>
    </r>
    <r>
      <rPr>
        <sz val="9"/>
        <color rgb="FF000000"/>
        <rFont val="맑은 고딕"/>
        <family val="2"/>
        <charset val="128"/>
      </rPr>
      <t xml:space="preserve"> </t>
    </r>
    <r>
      <rPr>
        <sz val="9"/>
        <color rgb="FF000000"/>
        <rFont val="맑은 고딕"/>
        <family val="2"/>
        <charset val="1"/>
      </rPr>
      <t xml:space="preserve">영도구</t>
    </r>
    <r>
      <rPr>
        <sz val="9"/>
        <color rgb="FF000000"/>
        <rFont val="맑은 고딕"/>
        <family val="2"/>
        <charset val="128"/>
      </rPr>
      <t xml:space="preserve"> </t>
    </r>
    <r>
      <rPr>
        <sz val="9"/>
        <color rgb="FF000000"/>
        <rFont val="맑은 고딕"/>
        <family val="2"/>
        <charset val="1"/>
      </rPr>
      <t xml:space="preserve">봉래나루로</t>
    </r>
    <r>
      <rPr>
        <sz val="9"/>
        <color rgb="FF000000"/>
        <rFont val="맑은 고딕"/>
        <family val="2"/>
        <charset val="128"/>
      </rPr>
      <t xml:space="preserve"> </t>
    </r>
    <r>
      <rPr>
        <sz val="9"/>
        <color rgb="FF000000"/>
        <rFont val="Calibri"/>
        <family val="2"/>
        <charset val="1"/>
      </rPr>
      <t xml:space="preserve">257</t>
    </r>
  </si>
  <si>
    <t xml:space="preserve">35.095200 / 129.046422</t>
  </si>
  <si>
    <t xml:space="preserve">Gyeongnam</t>
  </si>
  <si>
    <t xml:space="preserve">Gyeong</t>
  </si>
  <si>
    <t xml:space="preserve">Gyeongbuk</t>
  </si>
  <si>
    <r>
      <rPr>
        <sz val="9"/>
        <color rgb="FF000000"/>
        <rFont val="맑은 고딕"/>
        <family val="2"/>
        <charset val="128"/>
      </rPr>
      <t xml:space="preserve">부산광역시 영도구 봉래나루로 </t>
    </r>
    <r>
      <rPr>
        <sz val="9"/>
        <color rgb="FF000000"/>
        <rFont val="Calibri"/>
        <family val="2"/>
        <charset val="1"/>
      </rPr>
      <t xml:space="preserve">254</t>
    </r>
  </si>
  <si>
    <r>
      <rPr>
        <sz val="9"/>
        <color rgb="FF000000"/>
        <rFont val="맑은 고딕"/>
        <family val="2"/>
        <charset val="128"/>
      </rPr>
      <t xml:space="preserve">부산광역시 사하구 감천항로 </t>
    </r>
    <r>
      <rPr>
        <sz val="9"/>
        <color rgb="FF000000"/>
        <rFont val="Calibri"/>
        <family val="2"/>
        <charset val="1"/>
      </rPr>
      <t xml:space="preserve">454</t>
    </r>
  </si>
  <si>
    <r>
      <rPr>
        <sz val="9"/>
        <color rgb="FF000000"/>
        <rFont val="맑은 고딕"/>
        <family val="2"/>
        <charset val="128"/>
      </rPr>
      <t xml:space="preserve">경상남도 창녕군 창녕읍 창밀로 </t>
    </r>
    <r>
      <rPr>
        <sz val="9"/>
        <color rgb="FF000000"/>
        <rFont val="Calibri"/>
        <family val="2"/>
        <charset val="1"/>
      </rPr>
      <t xml:space="preserve">259-33</t>
    </r>
  </si>
  <si>
    <r>
      <rPr>
        <sz val="9"/>
        <color rgb="FF000000"/>
        <rFont val="맑은 고딕"/>
        <family val="2"/>
        <charset val="128"/>
      </rPr>
      <t xml:space="preserve">부산광역시 사상구 가야대로 </t>
    </r>
    <r>
      <rPr>
        <sz val="9"/>
        <color rgb="FF000000"/>
        <rFont val="Calibri"/>
        <family val="2"/>
        <charset val="1"/>
      </rPr>
      <t xml:space="preserve">46</t>
    </r>
  </si>
  <si>
    <r>
      <rPr>
        <sz val="9"/>
        <color rgb="FF000000"/>
        <rFont val="맑은 고딕"/>
        <family val="2"/>
        <charset val="128"/>
      </rPr>
      <t xml:space="preserve">충청남도 아산시 신창면 가덕길</t>
    </r>
    <r>
      <rPr>
        <sz val="9"/>
        <color rgb="FF000000"/>
        <rFont val="Calibri"/>
        <family val="2"/>
        <charset val="1"/>
      </rPr>
      <t xml:space="preserve">2</t>
    </r>
    <r>
      <rPr>
        <sz val="9"/>
        <color rgb="FF000000"/>
        <rFont val="맑은 고딕"/>
        <family val="2"/>
        <charset val="128"/>
      </rPr>
      <t xml:space="preserve">번길 </t>
    </r>
    <r>
      <rPr>
        <sz val="9"/>
        <color rgb="FF000000"/>
        <rFont val="Calibri"/>
        <family val="2"/>
        <charset val="1"/>
      </rPr>
      <t xml:space="preserve">35</t>
    </r>
  </si>
  <si>
    <r>
      <rPr>
        <sz val="9"/>
        <color rgb="FF000000"/>
        <rFont val="맑은 고딕"/>
        <family val="2"/>
        <charset val="128"/>
      </rPr>
      <t xml:space="preserve">부산광역시 기장군 장안산단</t>
    </r>
    <r>
      <rPr>
        <sz val="9"/>
        <color rgb="FF000000"/>
        <rFont val="Calibri"/>
        <family val="2"/>
        <charset val="1"/>
      </rPr>
      <t xml:space="preserve">9</t>
    </r>
    <r>
      <rPr>
        <sz val="9"/>
        <color rgb="FF000000"/>
        <rFont val="맑은 고딕"/>
        <family val="2"/>
        <charset val="128"/>
      </rPr>
      <t xml:space="preserve">로 </t>
    </r>
    <r>
      <rPr>
        <sz val="9"/>
        <color rgb="FF000000"/>
        <rFont val="Calibri"/>
        <family val="2"/>
        <charset val="1"/>
      </rPr>
      <t xml:space="preserve">143</t>
    </r>
  </si>
  <si>
    <r>
      <rPr>
        <sz val="9"/>
        <color rgb="FF000000"/>
        <rFont val="맑은 고딕"/>
        <family val="2"/>
        <charset val="128"/>
      </rPr>
      <t xml:space="preserve">울산광역시 울주군 언양읍 반천산업로 </t>
    </r>
    <r>
      <rPr>
        <sz val="9"/>
        <color rgb="FF000000"/>
        <rFont val="Calibri"/>
        <family val="2"/>
        <charset val="1"/>
      </rPr>
      <t xml:space="preserve">24</t>
    </r>
  </si>
  <si>
    <t xml:space="preserve">Wind</t>
  </si>
  <si>
    <t xml:space="preserve">Lidar name</t>
  </si>
  <si>
    <t xml:space="preserve">Lidar Location (Korean)</t>
  </si>
  <si>
    <t xml:space="preserve">Monday
No.</t>
  </si>
  <si>
    <t xml:space="preserve">Devex
No.</t>
  </si>
  <si>
    <t xml:space="preserve">Boseong Wind 80MW</t>
  </si>
  <si>
    <t xml:space="preserve">JP</t>
  </si>
  <si>
    <t xml:space="preserve">Mountain 161, Bongsan-ri, Boseong-eup, Boseong-gun, Jeollanam-do</t>
  </si>
  <si>
    <t xml:space="preserve">- Received Raw Data on Oct 10.
- Require to review transporation way and re-check location of turbines.
- Require to create an input sheet for Capex, DeVex and Opex
- Conduct NDA sign with KAI energy</t>
  </si>
  <si>
    <t xml:space="preserve">DSR 1.8MW</t>
  </si>
  <si>
    <t xml:space="preserve">Mountain 39-1, Deoksang-ri, Jeungpyeong-eup, Jeungpyeong-gun, Chungcheongbuk-do</t>
  </si>
  <si>
    <t xml:space="preserve">충청북도 증평군 증평읍 덕상리 산 39-1</t>
  </si>
  <si>
    <t xml:space="preserve">36.759087 / 127.616790</t>
  </si>
  <si>
    <t xml:space="preserve">Mountain, Farmland</t>
  </si>
  <si>
    <t xml:space="preserve">Drop</t>
  </si>
  <si>
    <t xml:space="preserve">Batch 2 - Hanil Taepyeong</t>
  </si>
  <si>
    <t xml:space="preserve">318-7 Taepyeong-ri, Sandong-myeon, Namwon-si, Jeollabuk-do</t>
  </si>
  <si>
    <t xml:space="preserve">전라북도 남원시 산동면 태평리 318-7</t>
  </si>
  <si>
    <t xml:space="preserve">35.498415 / 127.478277</t>
  </si>
  <si>
    <t xml:space="preserve">Taepyeong</t>
  </si>
  <si>
    <t xml:space="preserve">Batch 2 - Hanil Seomae 1, 2</t>
  </si>
  <si>
    <t xml:space="preserve">1078-3 Seomae-ri, Geumji-myeon, Namwon-si, Jeollabuk-do</t>
  </si>
  <si>
    <t xml:space="preserve">전라북도 남원시 금지면 서매리 1078-3</t>
  </si>
  <si>
    <t xml:space="preserve">35.359098 / 127.270429</t>
  </si>
  <si>
    <t xml:space="preserve">Seomae, Sim Cheolwoo</t>
  </si>
  <si>
    <t xml:space="preserve">Batch 2 - Taepyeong 6,7,8,9,10,11,14</t>
  </si>
  <si>
    <t xml:space="preserve">318 Taepyeong-ri, Sandong-myeon, Namwon-si, Jeollabuk-do</t>
  </si>
  <si>
    <t xml:space="preserve">전라북도 남원시 산동면 태평리 318</t>
  </si>
  <si>
    <t xml:space="preserve">35.498924 / 127.478533</t>
  </si>
  <si>
    <t xml:space="preserve">Sim Cheolwoo + 2</t>
  </si>
  <si>
    <t xml:space="preserve">Batch 2 - Hanil Wari 1 ~ 5</t>
  </si>
  <si>
    <t xml:space="preserve">136, Wa-ri, Yulgok-myeon, Hapcheon-gun, Gyeongsangnam-do</t>
  </si>
  <si>
    <t xml:space="preserve">경상남도 합천군 율곡면 와리 136</t>
  </si>
  <si>
    <t xml:space="preserve">35.626028 / 128.208020</t>
  </si>
  <si>
    <t xml:space="preserve">Batch 2 - Hi</t>
  </si>
  <si>
    <t xml:space="preserve">830, Mokchon-ri, Nagan-myeon, Suncheon-si, Jeollanam-do</t>
  </si>
  <si>
    <t xml:space="preserve">전라남도 순천시 낙안면 목촌리 830</t>
  </si>
  <si>
    <t xml:space="preserve">34.942417 / 127.316117</t>
  </si>
  <si>
    <t xml:space="preserve">Hi</t>
  </si>
  <si>
    <t xml:space="preserve">Batch 2 - Seonghyeon Solar</t>
  </si>
  <si>
    <t xml:space="preserve">1088, Bongjeon-ri, Seoha-myeon, Hamyang-gun, Gyeongsangnam-do</t>
  </si>
  <si>
    <t xml:space="preserve">경상남도 함양군 서하면 봉정리 1088</t>
  </si>
  <si>
    <t xml:space="preserve">35.636304 / 127.729371</t>
  </si>
  <si>
    <t xml:space="preserve">SeongHyeon</t>
  </si>
  <si>
    <t xml:space="preserve">Batch 2 - Sinuie Solar</t>
  </si>
  <si>
    <t xml:space="preserve">365-2, Yeondeok-ri, Byeonggok-myeon, Hamyang-gun, Gyeongsangnam-do</t>
  </si>
  <si>
    <t xml:space="preserve">경남 함양군 병곡면 연덕리 365-2,365-5,369-1,369-2,369-3,374,376,380</t>
  </si>
  <si>
    <t xml:space="preserve">35.513975 / 127.675755</t>
  </si>
  <si>
    <t xml:space="preserve">Sinuie</t>
  </si>
  <si>
    <t xml:space="preserve">Batch 2 - Seunghui1 Solar</t>
  </si>
  <si>
    <t xml:space="preserve">Mountain 97-1, BeomA-ri, Gojeon-myeon, Hadong-gun, Gyeongsangnam-do</t>
  </si>
  <si>
    <t xml:space="preserve">경남 하동군 고전면 범아리 산97-1 토지위</t>
  </si>
  <si>
    <t xml:space="preserve">35.023563 / 127.801960</t>
  </si>
  <si>
    <t xml:space="preserve"> Jung Seung-hui</t>
  </si>
  <si>
    <t xml:space="preserve">REC: 0.5 -  Mountain</t>
  </si>
  <si>
    <t xml:space="preserve">Batch 2 -Bongyang 1</t>
  </si>
  <si>
    <t xml:space="preserve">경북 봉화군 봉성면 봉양리 1126,1127,1129</t>
  </si>
  <si>
    <t xml:space="preserve">Batch 2 -Bongyang 3</t>
  </si>
  <si>
    <t xml:space="preserve">경북 봉화군 봉성면 봉양리 1131,1137,1138</t>
  </si>
  <si>
    <t xml:space="preserve">Batch 2 -Bongyang 4</t>
  </si>
  <si>
    <t xml:space="preserve">경상북도 봉화군 봉양리 1513</t>
  </si>
  <si>
    <t xml:space="preserve">Batch 2 -Bongyang 6</t>
  </si>
  <si>
    <t xml:space="preserve">경상북도 봉화군 봉양리 1139</t>
  </si>
  <si>
    <t xml:space="preserve">Batch 2 -Bongyang 10</t>
  </si>
  <si>
    <t xml:space="preserve">경상북도 봉화군 봉양리 801</t>
  </si>
  <si>
    <t xml:space="preserve">Batch 2 -Moonchon Taeyang</t>
  </si>
  <si>
    <t xml:space="preserve">경상북도 봉화군 상운면 문촌리 401</t>
  </si>
  <si>
    <t xml:space="preserve">Batch 2 -Woltan Taeyang</t>
  </si>
  <si>
    <t xml:space="preserve">전라북도 남원시 대강면 월탄리 73</t>
  </si>
  <si>
    <t xml:space="preserve">Chungcheongbuk-do 18MW</t>
  </si>
  <si>
    <t xml:space="preserve">Gyeongsangnam-do 16MW</t>
  </si>
  <si>
    <t xml:space="preserve">Under development introduction 5.3MW</t>
  </si>
  <si>
    <t xml:space="preserve">Batch 1 - SooAm 1</t>
  </si>
  <si>
    <t xml:space="preserve">Batch 1 - Boner 1</t>
  </si>
  <si>
    <t xml:space="preserve">Batch 1 - Drne 1</t>
  </si>
  <si>
    <t xml:space="preserve">Drop
DG
Organic</t>
  </si>
  <si>
    <t xml:space="preserve">Boseong Wind 37.2MW (Phase1)</t>
  </si>
  <si>
    <t xml:space="preserve">Met mast</t>
  </si>
  <si>
    <r>
      <rPr>
        <sz val="9"/>
        <color theme="1"/>
        <rFont val="맑은 고딕"/>
        <family val="2"/>
        <charset val="1"/>
      </rPr>
      <t xml:space="preserve">전라남도</t>
    </r>
    <r>
      <rPr>
        <sz val="9"/>
        <color theme="1"/>
        <rFont val="맑은 고딕"/>
        <family val="2"/>
        <charset val="128"/>
      </rPr>
      <t xml:space="preserve"> </t>
    </r>
    <r>
      <rPr>
        <sz val="9"/>
        <color theme="1"/>
        <rFont val="맑은 고딕"/>
        <family val="2"/>
        <charset val="1"/>
      </rPr>
      <t xml:space="preserve">보성군</t>
    </r>
    <r>
      <rPr>
        <sz val="9"/>
        <color theme="1"/>
        <rFont val="맑은 고딕"/>
        <family val="2"/>
        <charset val="128"/>
      </rPr>
      <t xml:space="preserve"> </t>
    </r>
    <r>
      <rPr>
        <sz val="9"/>
        <color theme="1"/>
        <rFont val="맑은 고딕"/>
        <family val="2"/>
        <charset val="1"/>
      </rPr>
      <t xml:space="preserve">보성읍</t>
    </r>
    <r>
      <rPr>
        <sz val="9"/>
        <color theme="1"/>
        <rFont val="맑은 고딕"/>
        <family val="2"/>
        <charset val="128"/>
      </rPr>
      <t xml:space="preserve"> </t>
    </r>
    <r>
      <rPr>
        <sz val="9"/>
        <color theme="1"/>
        <rFont val="맑은 고딕"/>
        <family val="2"/>
        <charset val="1"/>
      </rPr>
      <t xml:space="preserve">봉산리</t>
    </r>
    <r>
      <rPr>
        <sz val="9"/>
        <color theme="1"/>
        <rFont val="맑은 고딕"/>
        <family val="2"/>
        <charset val="128"/>
      </rPr>
      <t xml:space="preserve"> </t>
    </r>
    <r>
      <rPr>
        <sz val="9"/>
        <color theme="1"/>
        <rFont val="맑은 고딕"/>
        <family val="2"/>
        <charset val="1"/>
      </rPr>
      <t xml:space="preserve">산</t>
    </r>
    <r>
      <rPr>
        <sz val="9"/>
        <color theme="1"/>
        <rFont val="맑은 고딕"/>
        <family val="2"/>
        <charset val="128"/>
      </rPr>
      <t xml:space="preserve"> </t>
    </r>
    <r>
      <rPr>
        <sz val="9"/>
        <color theme="1"/>
        <rFont val="Calibri"/>
        <family val="2"/>
        <charset val="1"/>
      </rPr>
      <t xml:space="preserve">161(Met mast installation)</t>
    </r>
  </si>
  <si>
    <t xml:space="preserve">34.43737 / 127.41782</t>
  </si>
  <si>
    <t xml:space="preserve">KAI Energy</t>
  </si>
  <si>
    <t xml:space="preserve">Onshore Wind</t>
  </si>
  <si>
    <t xml:space="preserve">- Prepare LDD and TDD table with conclusions in English
- ldd remains to be received / tdd for translation
- discuss projects acquisition sum: need to add a premium equivalent to what we think really went through haedcounts and stakeholders fee (Rex to organise fees table for JP to negotiate)
By 06 Feb 2025</t>
  </si>
  <si>
    <t xml:space="preserve">p-1-1</t>
  </si>
  <si>
    <t xml:space="preserve">34.725195 / 127.057292</t>
  </si>
  <si>
    <t xml:space="preserve">p-1-2</t>
  </si>
  <si>
    <t xml:space="preserve">34.725389 /127.061820</t>
  </si>
  <si>
    <t xml:space="preserve">p-1-3</t>
  </si>
  <si>
    <t xml:space="preserve">34.724207 / 127.066994</t>
  </si>
  <si>
    <t xml:space="preserve">p-1-4</t>
  </si>
  <si>
    <t xml:space="preserve">34.724612 / 127.071497</t>
  </si>
  <si>
    <t xml:space="preserve">p-1-5</t>
  </si>
  <si>
    <t xml:space="preserve">34.724514 / 127.078911</t>
  </si>
  <si>
    <t xml:space="preserve">p-1-6</t>
  </si>
  <si>
    <t xml:space="preserve">34.727320 / 127.082602</t>
  </si>
  <si>
    <t xml:space="preserve">Boseong Wind 31.0MW (Phase2)</t>
  </si>
  <si>
    <r>
      <rPr>
        <sz val="9"/>
        <color theme="1"/>
        <rFont val="맑은 고딕"/>
        <family val="2"/>
        <charset val="128"/>
      </rPr>
      <t xml:space="preserve">보성군 득량면 해평리 산</t>
    </r>
    <r>
      <rPr>
        <sz val="9"/>
        <color theme="1"/>
        <rFont val="Calibri"/>
        <family val="2"/>
        <charset val="1"/>
      </rPr>
      <t xml:space="preserve">81 (Met mast installation)</t>
    </r>
  </si>
  <si>
    <t xml:space="preserve"> 34.724371 / 127.167627</t>
  </si>
  <si>
    <t xml:space="preserve">p-2-1</t>
  </si>
  <si>
    <t xml:space="preserve"> 34.731218 / 127.171230</t>
  </si>
  <si>
    <t xml:space="preserve">p-2-2</t>
  </si>
  <si>
    <t xml:space="preserve"> 34.728091 / 127.169266</t>
  </si>
  <si>
    <t xml:space="preserve">p-2-3</t>
  </si>
  <si>
    <t xml:space="preserve"> 34.725211 / 127.167906</t>
  </si>
  <si>
    <t xml:space="preserve">p-2-4</t>
  </si>
  <si>
    <t xml:space="preserve"> 34.721917 / 127.166118</t>
  </si>
  <si>
    <t xml:space="preserve">p-2-5</t>
  </si>
  <si>
    <t xml:space="preserve"> 34.718840 / 127.163877</t>
  </si>
  <si>
    <t xml:space="preserve">p-2-6</t>
  </si>
  <si>
    <t xml:space="preserve"> 34.715624 / 127.162070</t>
  </si>
  <si>
    <t xml:space="preserve">1.Submitted documents for Preliminary</t>
  </si>
  <si>
    <t xml:space="preserve">2.Preliminary Answer Received</t>
  </si>
  <si>
    <t xml:space="preserve">3.Submitted documents for Secondary</t>
  </si>
  <si>
    <t xml:space="preserve">4.Secondary answer Received</t>
  </si>
  <si>
    <t xml:space="preserve">5.Submitted documents for IC contract</t>
  </si>
  <si>
    <t xml:space="preserve">6.IC contract received</t>
  </si>
  <si>
    <t xml:space="preserve">(Multiple Items)</t>
  </si>
  <si>
    <t xml:space="preserve">Sum of DC</t>
  </si>
</sst>
</file>

<file path=xl/styles.xml><?xml version="1.0" encoding="utf-8"?>
<styleSheet xmlns="http://schemas.openxmlformats.org/spreadsheetml/2006/main">
  <numFmts count="57">
    <numFmt numFmtId="164" formatCode="General"/>
    <numFmt numFmtId="165" formatCode="0%"/>
    <numFmt numFmtId="166" formatCode="_-* #,##0_-;\-* #,##0_-;_-* \-_-;_-@_-"/>
    <numFmt numFmtId="167" formatCode="_-\₩* #,##0_-;&quot;-₩&quot;* #,##0_-;_-\₩* \-_-;_-@_-"/>
    <numFmt numFmtId="168" formatCode="_(* #,##0_);_(* \(#,##0\);_(* \-??_);_(@_)"/>
    <numFmt numFmtId="169" formatCode="_-* #,##0.00_-;\-* #,##0.00_-;_-* \-_-;_-@_-"/>
    <numFmt numFmtId="170" formatCode="General"/>
    <numFmt numFmtId="171" formatCode="_-* #,##0.00_-;\-* #,##0.00_-;_-* \-??_-;_-@_-"/>
    <numFmt numFmtId="172" formatCode="#,##0;[RED]\-#,##0"/>
    <numFmt numFmtId="173" formatCode="&quot;EUR  &quot;#,##0.00;[RED]\-#,##0.00"/>
    <numFmt numFmtId="174" formatCode="#,##0.00;[RED]\-#,##0.00"/>
    <numFmt numFmtId="175" formatCode="mmm\-yy"/>
    <numFmt numFmtId="176" formatCode="0.0%"/>
    <numFmt numFmtId="177" formatCode="\₩#,##0_);[RED]&quot;(₩&quot;#,##0\)"/>
    <numFmt numFmtId="178" formatCode="_-[$€-2]\ * #,##0.00_-;\-[$€-2]\ * #,##0.00_-;_-[$€-2]\ * \-??_-;_-@_-"/>
    <numFmt numFmtId="179" formatCode="#,##0"/>
    <numFmt numFmtId="180" formatCode="0.00"/>
    <numFmt numFmtId="181" formatCode="yyyy\-mm\-dd"/>
    <numFmt numFmtId="182" formatCode="#,##0.00;\-#,##0.00"/>
    <numFmt numFmtId="183" formatCode="&quot;EUR&quot;#,##0.00;[RED]&quot;EUR-&quot;#,##0.00"/>
    <numFmt numFmtId="184" formatCode="0.00%"/>
    <numFmt numFmtId="185" formatCode="0"/>
    <numFmt numFmtId="186" formatCode="0.00000_ "/>
    <numFmt numFmtId="187" formatCode="0.000_ "/>
    <numFmt numFmtId="188" formatCode="0.000000"/>
    <numFmt numFmtId="189" formatCode="\₩#,##0"/>
    <numFmt numFmtId="190" formatCode="0.00_ "/>
    <numFmt numFmtId="191" formatCode="_(* #,##0.00_);_(* \(#,##0.00\);_(* \-??_);_(@_)"/>
    <numFmt numFmtId="192" formatCode="#,##0_ "/>
    <numFmt numFmtId="193" formatCode="[=1]&quot;Yes&quot;;[=0]&quot;No&quot;;&quot;Invalid&quot;"/>
    <numFmt numFmtId="194" formatCode="_-* #,##0.0000_-;\-* #,##0.0000_-;_-* \-_-;_-@_-"/>
    <numFmt numFmtId="195" formatCode="#,##0.0"/>
    <numFmt numFmtId="196" formatCode="yyyy/mm/dd;@"/>
    <numFmt numFmtId="197" formatCode="#,##0.0;[RED]\-#,##0.0"/>
    <numFmt numFmtId="198" formatCode="#,##0.00_ ;[RED]\-#,##0.00\ "/>
    <numFmt numFmtId="199" formatCode="#,##0.00"/>
    <numFmt numFmtId="200" formatCode="#,##0.000;[RED]\-#,##0.000"/>
    <numFmt numFmtId="201" formatCode="#,##0.00;[RED]#,##0.00"/>
    <numFmt numFmtId="202" formatCode="[$-409]mmm\-yy;@"/>
    <numFmt numFmtId="203" formatCode="#,##0;[RED]#,##0"/>
    <numFmt numFmtId="204" formatCode="General&quot; years&quot;"/>
    <numFmt numFmtId="205" formatCode="#,##0.00&quot; kW&quot;"/>
    <numFmt numFmtId="206" formatCode="[$-409]mmm/yy;@"/>
    <numFmt numFmtId="207" formatCode="[$-409]d\-mmm\-yyyy;@"/>
    <numFmt numFmtId="208" formatCode="&quot;참&quot;;&quot;참&quot;;&quot;거짓&quot;"/>
    <numFmt numFmtId="209" formatCode="[$-409]mmmm\ d&quot;, &quot;yyyy;@"/>
    <numFmt numFmtId="210" formatCode="#,##0;\-#,##0"/>
    <numFmt numFmtId="211" formatCode="#,##0.00&quot; kWp&quot;"/>
    <numFmt numFmtId="212" formatCode="#,##0.0000_);[RED]\(#,##0.0000\)"/>
    <numFmt numFmtId="213" formatCode="_(* #,##0.0_);_(* \(#,##0.0\);_(* \-??_);_(@_)"/>
    <numFmt numFmtId="214" formatCode="#,##0.0000;[RED]\-#,##0.0000"/>
    <numFmt numFmtId="215" formatCode="0.0_);[RED]\(0.0\)"/>
    <numFmt numFmtId="216" formatCode="dd\-mmm\-yy"/>
    <numFmt numFmtId="217" formatCode="#,##0.0_ ;[RED]\-#,##0.0\ "/>
    <numFmt numFmtId="218" formatCode="#,##0.000;[RED]#,##0.000"/>
    <numFmt numFmtId="219" formatCode="_-\₩* #,##0.00_-;&quot;-₩&quot;* #,##0.00_-;_-\₩* \-??_-;_-@_-"/>
    <numFmt numFmtId="220" formatCode="_(* #,##0.000_);_(* \(#,##0.000\);_(* \-??_);_(@_)"/>
  </numFmts>
  <fonts count="196">
    <font>
      <sz val="11"/>
      <color theme="1"/>
      <name val="맑은 고딕"/>
      <family val="2"/>
      <charset val="128"/>
    </font>
    <font>
      <sz val="10"/>
      <name val="Arial"/>
      <family val="0"/>
    </font>
    <font>
      <sz val="10"/>
      <name val="Arial"/>
      <family val="0"/>
    </font>
    <font>
      <sz val="10"/>
      <name val="Arial"/>
      <family val="0"/>
    </font>
    <font>
      <sz val="11"/>
      <color theme="1"/>
      <name val="맑은 고딕"/>
      <family val="3"/>
      <charset val="129"/>
    </font>
    <font>
      <sz val="11"/>
      <color theme="1"/>
      <name val="맑은 고딕"/>
      <family val="2"/>
      <charset val="129"/>
    </font>
    <font>
      <sz val="11"/>
      <color rgb="FF000000"/>
      <name val="맑은 고딕"/>
      <family val="3"/>
      <charset val="129"/>
    </font>
    <font>
      <b val="true"/>
      <sz val="11"/>
      <color theme="1"/>
      <name val="맑은 고딕"/>
      <family val="2"/>
      <charset val="128"/>
    </font>
    <font>
      <b val="true"/>
      <sz val="18"/>
      <color theme="1"/>
      <name val="맑은 고딕"/>
      <family val="2"/>
      <charset val="128"/>
    </font>
    <font>
      <b val="true"/>
      <sz val="12"/>
      <color theme="1"/>
      <name val="맑은 고딕"/>
      <family val="2"/>
      <charset val="128"/>
    </font>
    <font>
      <sz val="12"/>
      <color theme="1"/>
      <name val="맑은 고딕"/>
      <family val="2"/>
      <charset val="128"/>
    </font>
    <font>
      <sz val="10"/>
      <color theme="1"/>
      <name val="맑은 고딕"/>
      <family val="2"/>
      <charset val="129"/>
    </font>
    <font>
      <sz val="10"/>
      <color theme="1"/>
      <name val="맑은 고딕"/>
      <family val="3"/>
      <charset val="129"/>
    </font>
    <font>
      <b val="true"/>
      <sz val="10"/>
      <color theme="1"/>
      <name val="맑은 고딕"/>
      <family val="3"/>
      <charset val="129"/>
    </font>
    <font>
      <sz val="8"/>
      <color theme="1"/>
      <name val="맑은 고딕"/>
      <family val="2"/>
      <charset val="129"/>
    </font>
    <font>
      <sz val="10"/>
      <color theme="1"/>
      <name val="맑은 고딕"/>
      <family val="2"/>
      <charset val="128"/>
    </font>
    <font>
      <sz val="10"/>
      <name val="맑은 고딕"/>
      <family val="2"/>
      <charset val="128"/>
    </font>
    <font>
      <b val="true"/>
      <sz val="10"/>
      <name val="Calibri"/>
      <family val="2"/>
      <charset val="1"/>
    </font>
    <font>
      <sz val="10"/>
      <color theme="1"/>
      <name val="Calibri"/>
      <family val="2"/>
      <charset val="1"/>
    </font>
    <font>
      <sz val="10"/>
      <name val="Calibri"/>
      <family val="2"/>
      <charset val="1"/>
    </font>
    <font>
      <b val="true"/>
      <sz val="10"/>
      <name val="맑은 고딕"/>
      <family val="2"/>
      <charset val="128"/>
    </font>
    <font>
      <sz val="10"/>
      <name val="Calibri"/>
      <family val="3"/>
      <charset val="1"/>
    </font>
    <font>
      <b val="true"/>
      <sz val="10"/>
      <color rgb="FF156082"/>
      <name val="Calibri"/>
      <family val="2"/>
      <charset val="1"/>
    </font>
    <font>
      <b val="true"/>
      <sz val="10"/>
      <color theme="1"/>
      <name val="맑은 고딕"/>
      <family val="2"/>
      <charset val="128"/>
    </font>
    <font>
      <b val="true"/>
      <sz val="10"/>
      <color theme="1"/>
      <name val="Calibri"/>
      <family val="2"/>
      <charset val="1"/>
    </font>
    <font>
      <sz val="10"/>
      <name val="맑은 고딕"/>
      <family val="2"/>
      <charset val="129"/>
    </font>
    <font>
      <sz val="10"/>
      <color theme="1" tint="0.2499"/>
      <name val="Calibri"/>
      <family val="2"/>
      <charset val="1"/>
    </font>
    <font>
      <sz val="10"/>
      <color rgb="FFFF0000"/>
      <name val="맑은 고딕"/>
      <family val="2"/>
      <charset val="128"/>
    </font>
    <font>
      <b val="true"/>
      <sz val="10"/>
      <color rgb="FFFF0000"/>
      <name val="Calibri"/>
      <family val="2"/>
      <charset val="1"/>
    </font>
    <font>
      <b val="true"/>
      <sz val="10"/>
      <color rgb="FFFF0000"/>
      <name val="맑은 고딕"/>
      <family val="2"/>
      <charset val="128"/>
    </font>
    <font>
      <sz val="10"/>
      <color theme="0"/>
      <name val="Calibri"/>
      <family val="2"/>
      <charset val="1"/>
    </font>
    <font>
      <sz val="10"/>
      <color theme="0"/>
      <name val="맑은 고딕"/>
      <family val="2"/>
      <charset val="129"/>
    </font>
    <font>
      <sz val="10"/>
      <color theme="0"/>
      <name val="맑은 고딕"/>
      <family val="2"/>
      <charset val="128"/>
    </font>
    <font>
      <sz val="10"/>
      <name val="맑은 고딕"/>
      <family val="2"/>
    </font>
    <font>
      <sz val="10"/>
      <color theme="1" tint="0.2499"/>
      <name val="맑은 고딕"/>
      <family val="2"/>
      <charset val="129"/>
    </font>
    <font>
      <sz val="11"/>
      <name val="맑은 고딕"/>
      <family val="2"/>
      <charset val="128"/>
    </font>
    <font>
      <sz val="11"/>
      <color rgb="FFFF0000"/>
      <name val="맑은 고딕"/>
      <family val="2"/>
      <charset val="128"/>
    </font>
    <font>
      <sz val="11"/>
      <color theme="0"/>
      <name val="맑은 고딕"/>
      <family val="2"/>
      <charset val="128"/>
    </font>
    <font>
      <sz val="10"/>
      <color rgb="FFFF0000"/>
      <name val="맑은 고딕"/>
      <family val="2"/>
      <charset val="129"/>
    </font>
    <font>
      <sz val="10"/>
      <color rgb="FFFF0000"/>
      <name val="Calibri"/>
      <family val="2"/>
      <charset val="1"/>
    </font>
    <font>
      <b val="true"/>
      <sz val="10"/>
      <color theme="1"/>
      <name val="Gadugi"/>
      <family val="2"/>
      <charset val="1"/>
    </font>
    <font>
      <sz val="8"/>
      <color theme="1"/>
      <name val="맑은 고딕"/>
      <family val="2"/>
      <charset val="128"/>
    </font>
    <font>
      <b val="true"/>
      <sz val="10"/>
      <color theme="0"/>
      <name val="Gadugi"/>
      <family val="2"/>
      <charset val="1"/>
    </font>
    <font>
      <b val="true"/>
      <sz val="10"/>
      <color theme="0"/>
      <name val="맑은 고딕"/>
      <family val="2"/>
      <charset val="128"/>
    </font>
    <font>
      <sz val="8"/>
      <color theme="0" tint="-0.5"/>
      <name val="맑은 고딕"/>
      <family val="2"/>
      <charset val="128"/>
    </font>
    <font>
      <b val="true"/>
      <sz val="8"/>
      <color theme="1"/>
      <name val="맑은 고딕"/>
      <family val="2"/>
      <charset val="128"/>
    </font>
    <font>
      <b val="true"/>
      <sz val="8"/>
      <color theme="1"/>
      <name val="Gadugi"/>
      <family val="2"/>
      <charset val="1"/>
    </font>
    <font>
      <i val="true"/>
      <sz val="10"/>
      <color theme="1"/>
      <name val="Gadugi"/>
      <family val="2"/>
      <charset val="1"/>
    </font>
    <font>
      <i val="true"/>
      <sz val="10"/>
      <color theme="1"/>
      <name val="맑은 고딕"/>
      <family val="2"/>
      <charset val="128"/>
    </font>
    <font>
      <sz val="10"/>
      <color rgb="FF0000FF"/>
      <name val="Gadugi"/>
      <family val="2"/>
      <charset val="1"/>
    </font>
    <font>
      <sz val="10"/>
      <color theme="1"/>
      <name val="Gadugi"/>
      <family val="2"/>
      <charset val="1"/>
    </font>
    <font>
      <sz val="10"/>
      <color rgb="FF0000FF"/>
      <name val="맑은 고딕"/>
      <family val="2"/>
      <charset val="128"/>
    </font>
    <font>
      <sz val="10"/>
      <color theme="0" tint="-0.5"/>
      <name val="맑은 고딕"/>
      <family val="2"/>
      <charset val="128"/>
    </font>
    <font>
      <sz val="10"/>
      <color rgb="FF0066FF"/>
      <name val="맑은 고딕"/>
      <family val="2"/>
      <charset val="128"/>
    </font>
    <font>
      <sz val="10"/>
      <color rgb="FFFF0000"/>
      <name val="Gadugi"/>
      <family val="2"/>
      <charset val="1"/>
    </font>
    <font>
      <sz val="10"/>
      <color rgb="FF0066FF"/>
      <name val="Gadugi"/>
      <family val="2"/>
      <charset val="1"/>
    </font>
    <font>
      <sz val="10"/>
      <color theme="0"/>
      <name val="Gadugi"/>
      <family val="2"/>
      <charset val="1"/>
    </font>
    <font>
      <sz val="11"/>
      <color theme="1"/>
      <name val="Gadugi"/>
      <family val="2"/>
      <charset val="1"/>
    </font>
    <font>
      <sz val="11"/>
      <color theme="1"/>
      <name val="맑은 고딕"/>
      <family val="2"/>
      <charset val="1"/>
    </font>
    <font>
      <sz val="11"/>
      <color theme="0"/>
      <name val="맑은 고딕"/>
      <family val="2"/>
      <charset val="1"/>
    </font>
    <font>
      <sz val="11"/>
      <color theme="0"/>
      <name val="맑은 고딕"/>
      <family val="3"/>
      <charset val="129"/>
    </font>
    <font>
      <b val="true"/>
      <sz val="11"/>
      <color theme="1"/>
      <name val="맑은 고딕"/>
      <family val="2"/>
      <charset val="1"/>
    </font>
    <font>
      <b val="true"/>
      <sz val="11"/>
      <color theme="1"/>
      <name val="맑은 고딕"/>
      <family val="3"/>
      <charset val="129"/>
    </font>
    <font>
      <sz val="10"/>
      <color rgb="FF0000FF"/>
      <name val="맑은 고딕"/>
      <family val="2"/>
      <charset val="129"/>
    </font>
    <font>
      <sz val="10"/>
      <color rgb="FF0000FF"/>
      <name val="맑은 고딕"/>
      <family val="3"/>
      <charset val="129"/>
    </font>
    <font>
      <sz val="10"/>
      <name val="맑은 고딕"/>
      <family val="3"/>
      <charset val="129"/>
    </font>
    <font>
      <b val="true"/>
      <sz val="10"/>
      <name val="맑은 고딕"/>
      <family val="3"/>
      <charset val="129"/>
    </font>
    <font>
      <b val="true"/>
      <sz val="10"/>
      <name val="맑은 고딕"/>
      <family val="2"/>
      <charset val="129"/>
    </font>
    <font>
      <sz val="10"/>
      <color rgb="FF000000"/>
      <name val="맑은 고딕"/>
      <family val="2"/>
      <charset val="129"/>
    </font>
    <font>
      <b val="true"/>
      <sz val="10"/>
      <color rgb="FF000000"/>
      <name val="맑은 고딕"/>
      <family val="2"/>
      <charset val="129"/>
    </font>
    <font>
      <i val="true"/>
      <sz val="10"/>
      <color rgb="FF000000"/>
      <name val="맑은 고딕"/>
      <family val="2"/>
      <charset val="129"/>
    </font>
    <font>
      <b val="true"/>
      <sz val="10"/>
      <color rgb="FF156082"/>
      <name val="맑은 고딕"/>
      <family val="2"/>
      <charset val="129"/>
    </font>
    <font>
      <sz val="10"/>
      <color rgb="FF404040"/>
      <name val="Calibri"/>
      <family val="2"/>
      <charset val="1"/>
    </font>
    <font>
      <sz val="10"/>
      <color rgb="FF404040"/>
      <name val="맑은 고딕"/>
      <family val="2"/>
      <charset val="129"/>
    </font>
    <font>
      <sz val="10"/>
      <color rgb="FF404040"/>
      <name val="맑은 고딕"/>
      <family val="2"/>
      <charset val="128"/>
    </font>
    <font>
      <sz val="10"/>
      <color rgb="FF000000"/>
      <name val="Calibri"/>
      <family val="2"/>
      <charset val="1"/>
    </font>
    <font>
      <sz val="10"/>
      <color rgb="FF000000"/>
      <name val="맑은 고딕"/>
      <family val="2"/>
      <charset val="128"/>
    </font>
    <font>
      <b val="true"/>
      <sz val="10"/>
      <color theme="0"/>
      <name val="Calibri"/>
      <family val="2"/>
      <charset val="1"/>
    </font>
    <font>
      <sz val="10"/>
      <color theme="1"/>
      <name val="돋움"/>
      <family val="3"/>
      <charset val="129"/>
    </font>
    <font>
      <b val="true"/>
      <sz val="16"/>
      <color rgb="FF000000"/>
      <name val="맑은 고딕"/>
      <family val="3"/>
      <charset val="129"/>
    </font>
    <font>
      <sz val="16"/>
      <color rgb="FF000000"/>
      <name val="맑은 고딕"/>
      <family val="3"/>
      <charset val="129"/>
    </font>
    <font>
      <b val="true"/>
      <sz val="14"/>
      <color rgb="FF000000"/>
      <name val="맑은 고딕"/>
      <family val="3"/>
      <charset val="129"/>
    </font>
    <font>
      <b val="true"/>
      <sz val="11"/>
      <color rgb="FF000000"/>
      <name val="맑은 고딕"/>
      <family val="3"/>
      <charset val="129"/>
    </font>
    <font>
      <b val="true"/>
      <sz val="11"/>
      <color rgb="FFFF0000"/>
      <name val="맑은 고딕"/>
      <family val="3"/>
      <charset val="129"/>
    </font>
    <font>
      <b val="true"/>
      <sz val="10"/>
      <color rgb="FF000000"/>
      <name val="맑은 고딕"/>
      <family val="3"/>
      <charset val="129"/>
    </font>
    <font>
      <sz val="10"/>
      <color rgb="FF000000"/>
      <name val="맑은 고딕"/>
      <family val="3"/>
      <charset val="129"/>
    </font>
    <font>
      <sz val="10"/>
      <color rgb="FFFF0000"/>
      <name val="맑은 고딕"/>
      <family val="3"/>
      <charset val="129"/>
    </font>
    <font>
      <strike val="true"/>
      <sz val="11"/>
      <color rgb="FF000000"/>
      <name val="맑은 고딕"/>
      <family val="3"/>
      <charset val="129"/>
    </font>
    <font>
      <sz val="11"/>
      <name val="맑은 고딕"/>
      <family val="2"/>
      <charset val="1"/>
    </font>
    <font>
      <sz val="9"/>
      <color theme="1"/>
      <name val="맑은 고딕"/>
      <family val="2"/>
      <charset val="1"/>
    </font>
    <font>
      <b val="true"/>
      <sz val="14"/>
      <color theme="1"/>
      <name val="Calibri"/>
      <family val="2"/>
      <charset val="1"/>
    </font>
    <font>
      <b val="true"/>
      <sz val="11"/>
      <color theme="0"/>
      <name val="Calibri"/>
      <family val="2"/>
      <charset val="1"/>
    </font>
    <font>
      <sz val="11"/>
      <color theme="0"/>
      <name val="Calibri"/>
      <family val="2"/>
      <charset val="1"/>
    </font>
    <font>
      <b val="true"/>
      <sz val="8"/>
      <color theme="0"/>
      <name val="Calibri"/>
      <family val="2"/>
      <charset val="1"/>
    </font>
    <font>
      <b val="true"/>
      <sz val="10"/>
      <color rgb="FFFFFFFF"/>
      <name val="맑은 고딕"/>
      <family val="3"/>
      <charset val="129"/>
    </font>
    <font>
      <b val="true"/>
      <sz val="10"/>
      <color rgb="FFFFFFFF"/>
      <name val="Calibri"/>
      <family val="2"/>
      <charset val="1"/>
    </font>
    <font>
      <b val="true"/>
      <sz val="10"/>
      <color theme="0"/>
      <name val="맑은 고딕"/>
      <family val="2"/>
      <charset val="1"/>
    </font>
    <font>
      <sz val="9"/>
      <color theme="1"/>
      <name val="Calibri"/>
      <family val="2"/>
      <charset val="1"/>
    </font>
    <font>
      <sz val="9"/>
      <color rgb="FF000000"/>
      <name val="맑은 고딕"/>
      <family val="3"/>
      <charset val="129"/>
    </font>
    <font>
      <sz val="9"/>
      <color rgb="FF000000"/>
      <name val="맑은 고딕"/>
      <family val="2"/>
      <charset val="128"/>
    </font>
    <font>
      <sz val="9"/>
      <color rgb="FF000000"/>
      <name val="Calibri"/>
      <family val="2"/>
      <charset val="1"/>
    </font>
    <font>
      <sz val="9"/>
      <color theme="1"/>
      <name val="맑은 고딕"/>
      <family val="2"/>
      <charset val="128"/>
    </font>
    <font>
      <sz val="9"/>
      <color rgb="FFFF0000"/>
      <name val="Calibri"/>
      <family val="2"/>
      <charset val="1"/>
    </font>
    <font>
      <b val="true"/>
      <sz val="9"/>
      <color rgb="FFFF0000"/>
      <name val="Calibri"/>
      <family val="2"/>
      <charset val="1"/>
    </font>
    <font>
      <sz val="9"/>
      <color rgb="FF000000"/>
      <name val="맑은 고딕"/>
      <family val="2"/>
      <charset val="129"/>
    </font>
    <font>
      <sz val="9"/>
      <color rgb="FF000000"/>
      <name val="맑은 고딕"/>
      <family val="2"/>
      <charset val="1"/>
    </font>
    <font>
      <strike val="true"/>
      <sz val="9"/>
      <color rgb="FFC00000"/>
      <name val="Calibri"/>
      <family val="2"/>
      <charset val="1"/>
    </font>
    <font>
      <strike val="true"/>
      <sz val="9"/>
      <color rgb="FFC00000"/>
      <name val="맑은 고딕"/>
      <family val="2"/>
      <charset val="128"/>
    </font>
    <font>
      <b val="true"/>
      <sz val="9"/>
      <color rgb="FFC00000"/>
      <name val="Calibri"/>
      <family val="2"/>
      <charset val="1"/>
    </font>
    <font>
      <strike val="true"/>
      <sz val="11"/>
      <color rgb="FFC00000"/>
      <name val="맑은 고딕"/>
      <family val="2"/>
      <charset val="1"/>
    </font>
    <font>
      <strike val="true"/>
      <sz val="9"/>
      <color rgb="FFC00000"/>
      <name val="맑은 고딕"/>
      <family val="3"/>
      <charset val="129"/>
    </font>
    <font>
      <strike val="true"/>
      <sz val="9"/>
      <color rgb="FFC00000"/>
      <name val="맑은 고딕"/>
      <family val="2"/>
      <charset val="129"/>
    </font>
    <font>
      <b val="true"/>
      <sz val="9"/>
      <color rgb="FF0000FF"/>
      <name val="Calibri"/>
      <family val="2"/>
      <charset val="1"/>
    </font>
    <font>
      <sz val="9"/>
      <color theme="1"/>
      <name val="Calibri"/>
      <family val="3"/>
      <charset val="1"/>
    </font>
    <font>
      <b val="true"/>
      <sz val="9"/>
      <color rgb="FF0000FF"/>
      <name val="Calibri"/>
      <family val="3"/>
      <charset val="1"/>
    </font>
    <font>
      <sz val="9"/>
      <color theme="1"/>
      <name val="돋움"/>
      <family val="3"/>
      <charset val="129"/>
    </font>
    <font>
      <sz val="9"/>
      <color rgb="FFFF0000"/>
      <name val="맑은 고딕"/>
      <family val="2"/>
      <charset val="129"/>
    </font>
    <font>
      <sz val="9"/>
      <color theme="1"/>
      <name val="맑은 고딕"/>
      <family val="3"/>
      <charset val="129"/>
    </font>
    <font>
      <b val="true"/>
      <sz val="9"/>
      <color theme="1"/>
      <name val="Calibri"/>
      <family val="2"/>
      <charset val="1"/>
    </font>
    <font>
      <sz val="9"/>
      <color theme="1"/>
      <name val="Malgun Gothic"/>
      <family val="2"/>
      <charset val="129"/>
    </font>
    <font>
      <strike val="true"/>
      <sz val="9"/>
      <color rgb="FFC00000"/>
      <name val="맑은 고딕"/>
      <family val="2"/>
      <charset val="1"/>
    </font>
    <font>
      <b val="true"/>
      <sz val="11"/>
      <color theme="1"/>
      <name val="Calibri"/>
      <family val="2"/>
      <charset val="1"/>
    </font>
    <font>
      <sz val="10"/>
      <color theme="1"/>
      <name val="Calibri"/>
      <family val="0"/>
    </font>
    <font>
      <sz val="11"/>
      <color rgb="FF000000"/>
      <name val="맑은 고딕"/>
      <family val="2"/>
      <charset val="129"/>
    </font>
    <font>
      <b val="true"/>
      <sz val="11"/>
      <color rgb="FF000000"/>
      <name val="Calibri"/>
      <family val="2"/>
      <charset val="1"/>
    </font>
    <font>
      <i val="true"/>
      <sz val="11"/>
      <color rgb="FF000000"/>
      <name val="맑은 고딕"/>
      <family val="2"/>
      <charset val="129"/>
    </font>
    <font>
      <b val="true"/>
      <sz val="11"/>
      <color rgb="FF000000"/>
      <name val="맑은 고딕"/>
      <family val="2"/>
      <charset val="129"/>
    </font>
    <font>
      <sz val="10"/>
      <color rgb="FF156082"/>
      <name val="Calibri"/>
      <family val="2"/>
      <charset val="1"/>
    </font>
    <font>
      <sz val="11"/>
      <color rgb="FF000000"/>
      <name val="Calibri"/>
      <family val="2"/>
      <charset val="1"/>
    </font>
    <font>
      <sz val="11"/>
      <color rgb="FF000000"/>
      <name val="맑은 고딕"/>
      <family val="2"/>
      <charset val="128"/>
    </font>
    <font>
      <sz val="9"/>
      <color rgb="FF404040"/>
      <name val="Calibri"/>
      <family val="2"/>
      <charset val="1"/>
    </font>
    <font>
      <sz val="10"/>
      <color rgb="FF156082"/>
      <name val="맑은 고딕"/>
      <family val="2"/>
      <charset val="129"/>
    </font>
    <font>
      <sz val="11"/>
      <color rgb="FFFF0000"/>
      <name val="맑은 고딕"/>
      <family val="2"/>
      <charset val="129"/>
    </font>
    <font>
      <sz val="10"/>
      <color rgb="FF404040"/>
      <name val="맑은 고딕"/>
      <family val="3"/>
      <charset val="129"/>
    </font>
    <font>
      <b val="true"/>
      <sz val="11"/>
      <color theme="0"/>
      <name val="맑은 고딕"/>
      <family val="2"/>
      <charset val="128"/>
    </font>
    <font>
      <sz val="9"/>
      <name val="Calibri"/>
      <family val="2"/>
      <charset val="1"/>
    </font>
    <font>
      <b val="true"/>
      <sz val="10"/>
      <color rgb="FF000000"/>
      <name val="Calibri"/>
      <family val="2"/>
      <charset val="1"/>
    </font>
    <font>
      <b val="true"/>
      <sz val="10"/>
      <color rgb="FF000000"/>
      <name val="맑은 고딕"/>
      <family val="2"/>
      <charset val="128"/>
    </font>
    <font>
      <strike val="true"/>
      <sz val="9"/>
      <color rgb="FF000000"/>
      <name val="맑은 고딕"/>
      <family val="2"/>
      <charset val="128"/>
    </font>
    <font>
      <strike val="true"/>
      <sz val="9"/>
      <color theme="1"/>
      <name val="Calibri"/>
      <family val="2"/>
      <charset val="1"/>
    </font>
    <font>
      <strike val="true"/>
      <sz val="9"/>
      <color theme="1"/>
      <name val="맑은 고딕"/>
      <family val="3"/>
      <charset val="129"/>
    </font>
    <font>
      <strike val="true"/>
      <sz val="9"/>
      <color theme="1"/>
      <name val="맑은 고딕"/>
      <family val="2"/>
      <charset val="128"/>
    </font>
    <font>
      <strike val="true"/>
      <sz val="11"/>
      <color theme="1"/>
      <name val="맑은 고딕"/>
      <family val="2"/>
      <charset val="128"/>
    </font>
    <font>
      <strike val="true"/>
      <sz val="11"/>
      <name val="맑은 고딕"/>
      <family val="2"/>
      <charset val="128"/>
    </font>
    <font>
      <strike val="true"/>
      <sz val="9"/>
      <name val="Calibri"/>
      <family val="2"/>
      <charset val="1"/>
    </font>
    <font>
      <strike val="true"/>
      <sz val="9"/>
      <color rgb="FF000000"/>
      <name val="Calibri"/>
      <family val="2"/>
      <charset val="1"/>
    </font>
    <font>
      <strike val="true"/>
      <sz val="9"/>
      <name val="맑은 고딕"/>
      <family val="2"/>
      <charset val="128"/>
    </font>
    <font>
      <strike val="true"/>
      <sz val="9"/>
      <color rgb="FFFF0000"/>
      <name val="Calibri"/>
      <family val="2"/>
      <charset val="1"/>
    </font>
    <font>
      <strike val="true"/>
      <sz val="11"/>
      <color rgb="FF000000"/>
      <name val="맑은 고딕"/>
      <family val="2"/>
      <charset val="128"/>
    </font>
    <font>
      <sz val="11"/>
      <color theme="1"/>
      <name val="Calibri"/>
      <family val="2"/>
      <charset val="1"/>
    </font>
    <font>
      <sz val="11"/>
      <color rgb="FF323130"/>
      <name val="맑은 고딕"/>
      <family val="2"/>
      <charset val="128"/>
    </font>
    <font>
      <sz val="8"/>
      <color rgb="FF323130"/>
      <name val="맑은 고딕"/>
      <family val="2"/>
      <charset val="128"/>
    </font>
    <font>
      <sz val="11"/>
      <color rgb="FF605E5C"/>
      <name val="맑은 고딕"/>
      <family val="2"/>
      <charset val="128"/>
    </font>
    <font>
      <sz val="13.5"/>
      <color rgb="FF000000"/>
      <name val="Malgun Gothic"/>
      <family val="2"/>
      <charset val="1"/>
    </font>
    <font>
      <b val="true"/>
      <sz val="22"/>
      <color rgb="FF000000"/>
      <name val="맑은 고딕"/>
      <family val="3"/>
      <charset val="129"/>
    </font>
    <font>
      <b val="true"/>
      <sz val="11"/>
      <color rgb="FF808080"/>
      <name val="맑은 고딕"/>
      <family val="3"/>
      <charset val="129"/>
    </font>
    <font>
      <b val="true"/>
      <sz val="12"/>
      <color rgb="FF000000"/>
      <name val="Calibri"/>
      <family val="2"/>
      <charset val="1"/>
    </font>
    <font>
      <b val="true"/>
      <sz val="12"/>
      <color theme="0"/>
      <name val="Calibri"/>
      <family val="2"/>
      <charset val="1"/>
    </font>
    <font>
      <b val="true"/>
      <sz val="12"/>
      <color rgb="FFFF0000"/>
      <name val="Calibri"/>
      <family val="2"/>
      <charset val="1"/>
    </font>
    <font>
      <b val="true"/>
      <sz val="12"/>
      <color theme="0"/>
      <name val="맑은 고딕"/>
      <family val="2"/>
      <charset val="128"/>
    </font>
    <font>
      <sz val="11"/>
      <name val="Calibri"/>
      <family val="2"/>
      <charset val="1"/>
    </font>
    <font>
      <sz val="9"/>
      <name val="맑은 고딕"/>
      <family val="2"/>
      <charset val="128"/>
    </font>
    <font>
      <b val="true"/>
      <sz val="9"/>
      <color theme="0"/>
      <name val="Calibri"/>
      <family val="2"/>
      <charset val="1"/>
    </font>
    <font>
      <sz val="11"/>
      <color rgb="FF000000"/>
      <name val="돋움"/>
      <family val="2"/>
      <charset val="129"/>
    </font>
    <font>
      <b val="true"/>
      <sz val="10"/>
      <color theme="0"/>
      <name val="Calibri"/>
      <family val="0"/>
    </font>
    <font>
      <b val="true"/>
      <sz val="6"/>
      <color theme="0"/>
      <name val="맑은 고딕"/>
      <family val="2"/>
      <charset val="128"/>
    </font>
    <font>
      <b val="true"/>
      <sz val="11"/>
      <color rgb="FF0070C0"/>
      <name val="맑은 고딕"/>
      <family val="2"/>
      <charset val="128"/>
    </font>
    <font>
      <b val="true"/>
      <sz val="11"/>
      <color rgb="FFFFFFFF"/>
      <name val="Calibri"/>
      <family val="2"/>
      <charset val="1"/>
    </font>
    <font>
      <b val="true"/>
      <sz val="11"/>
      <color rgb="FFFFFFFF"/>
      <name val="맑은 고딕"/>
      <family val="2"/>
      <charset val="128"/>
    </font>
    <font>
      <sz val="8"/>
      <color rgb="FFFFFFFF"/>
      <name val="Calibri"/>
      <family val="2"/>
      <charset val="1"/>
    </font>
    <font>
      <b val="true"/>
      <sz val="10"/>
      <color rgb="FFC00000"/>
      <name val="맑은 고딕"/>
      <family val="2"/>
      <charset val="128"/>
    </font>
    <font>
      <b val="true"/>
      <sz val="10"/>
      <color rgb="FF0000FF"/>
      <name val="맑은 고딕"/>
      <family val="2"/>
      <charset val="128"/>
    </font>
    <font>
      <b val="true"/>
      <sz val="10"/>
      <color rgb="FF00B050"/>
      <name val="맑은 고딕"/>
      <family val="2"/>
      <charset val="128"/>
    </font>
    <font>
      <b val="true"/>
      <sz val="10"/>
      <color rgb="FF7030A0"/>
      <name val="맑은 고딕"/>
      <family val="2"/>
      <charset val="128"/>
    </font>
    <font>
      <b val="true"/>
      <sz val="10"/>
      <color rgb="FFFFC000"/>
      <name val="맑은 고딕"/>
      <family val="2"/>
      <charset val="128"/>
    </font>
    <font>
      <sz val="11"/>
      <color rgb="FFFF0000"/>
      <name val="Calibri"/>
      <family val="2"/>
      <charset val="1"/>
    </font>
    <font>
      <sz val="11"/>
      <color rgb="FF0070C0"/>
      <name val="Calibri"/>
      <family val="2"/>
      <charset val="1"/>
    </font>
    <font>
      <b val="true"/>
      <sz val="18"/>
      <color theme="1"/>
      <name val="Calibri"/>
      <family val="2"/>
      <charset val="1"/>
    </font>
    <font>
      <b val="true"/>
      <sz val="16"/>
      <color theme="1"/>
      <name val="맑은 고딕"/>
      <family val="2"/>
      <charset val="128"/>
    </font>
    <font>
      <b val="true"/>
      <sz val="11"/>
      <color theme="0"/>
      <name val="맑은 고딕"/>
      <family val="2"/>
      <charset val="1"/>
    </font>
    <font>
      <b val="true"/>
      <sz val="8"/>
      <color theme="1"/>
      <name val="Calibri"/>
      <family val="2"/>
      <charset val="1"/>
    </font>
    <font>
      <b val="true"/>
      <sz val="8"/>
      <color rgb="FF0000FF"/>
      <name val="Calibri"/>
      <family val="2"/>
      <charset val="1"/>
    </font>
    <font>
      <sz val="9"/>
      <color rgb="FF0000FF"/>
      <name val="Calibri"/>
      <family val="2"/>
      <charset val="1"/>
    </font>
    <font>
      <sz val="8"/>
      <color rgb="FF000000"/>
      <name val="Calibri"/>
      <family val="2"/>
      <charset val="1"/>
    </font>
    <font>
      <b val="true"/>
      <strike val="true"/>
      <sz val="10"/>
      <color rgb="FFC00000"/>
      <name val="맑은 고딕"/>
      <family val="2"/>
      <charset val="128"/>
    </font>
    <font>
      <strike val="true"/>
      <sz val="10"/>
      <color rgb="FFC00000"/>
      <name val="Calibri"/>
      <family val="2"/>
      <charset val="1"/>
    </font>
    <font>
      <strike val="true"/>
      <sz val="11"/>
      <color rgb="FFC00000"/>
      <name val="맑은 고딕"/>
      <family val="2"/>
      <charset val="128"/>
    </font>
    <font>
      <strike val="true"/>
      <sz val="8"/>
      <color rgb="FFC00000"/>
      <name val="Calibri"/>
      <family val="2"/>
      <charset val="1"/>
    </font>
    <font>
      <sz val="10"/>
      <color theme="1"/>
      <name val="맑은 고딕"/>
      <family val="2"/>
      <charset val="1"/>
    </font>
    <font>
      <sz val="8"/>
      <color rgb="FF000000"/>
      <name val="맑은 고딕"/>
      <family val="2"/>
      <charset val="128"/>
    </font>
    <font>
      <b val="true"/>
      <sz val="11"/>
      <color rgb="FF000000"/>
      <name val="맑은 고딕"/>
      <family val="2"/>
      <charset val="128"/>
    </font>
    <font>
      <b val="true"/>
      <sz val="11"/>
      <color rgb="FFFF0000"/>
      <name val="Calibri"/>
      <family val="2"/>
      <charset val="1"/>
    </font>
    <font>
      <b val="true"/>
      <sz val="6"/>
      <color theme="0"/>
      <name val="Calibri"/>
      <family val="2"/>
      <charset val="1"/>
    </font>
    <font>
      <b val="true"/>
      <sz val="9"/>
      <color theme="1"/>
      <name val="맑은 고딕"/>
      <family val="2"/>
      <charset val="128"/>
    </font>
    <font>
      <sz val="9"/>
      <color theme="1"/>
      <name val="Calibri"/>
      <family val="2"/>
      <charset val="129"/>
    </font>
    <font>
      <b val="true"/>
      <sz val="9"/>
      <color rgb="FF000000"/>
      <name val="Calibri"/>
      <family val="2"/>
      <charset val="1"/>
    </font>
  </fonts>
  <fills count="29">
    <fill>
      <patternFill patternType="none"/>
    </fill>
    <fill>
      <patternFill patternType="gray125"/>
    </fill>
    <fill>
      <patternFill patternType="solid">
        <fgColor theme="4" tint="0.7999"/>
        <bgColor rgb="FFDAE9F8"/>
      </patternFill>
    </fill>
    <fill>
      <patternFill patternType="solid">
        <fgColor theme="9" tint="0.7999"/>
        <bgColor rgb="FFDAF2D0"/>
      </patternFill>
    </fill>
    <fill>
      <patternFill patternType="solid">
        <fgColor rgb="FFFFFF00"/>
        <bgColor rgb="FFFFC000"/>
      </patternFill>
    </fill>
    <fill>
      <patternFill patternType="solid">
        <fgColor rgb="FFFBF5EF"/>
        <bgColor rgb="FFF2F2F2"/>
      </patternFill>
    </fill>
    <fill>
      <patternFill patternType="solid">
        <fgColor theme="0"/>
        <bgColor rgb="FFFBF5EF"/>
      </patternFill>
    </fill>
    <fill>
      <patternFill patternType="solid">
        <fgColor theme="0" tint="-0.05"/>
        <bgColor rgb="FFEBEEF2"/>
      </patternFill>
    </fill>
    <fill>
      <patternFill patternType="solid">
        <fgColor theme="8" tint="0.7999"/>
        <bgColor rgb="FFDAE9F8"/>
      </patternFill>
    </fill>
    <fill>
      <patternFill patternType="solid">
        <fgColor theme="6" tint="0.5999"/>
        <bgColor rgb="FFD9D9D9"/>
      </patternFill>
    </fill>
    <fill>
      <patternFill patternType="solid">
        <fgColor rgb="FF5F5F5F"/>
        <bgColor rgb="FF605E5C"/>
      </patternFill>
    </fill>
    <fill>
      <patternFill patternType="solid">
        <fgColor rgb="FF37A2B1"/>
        <bgColor rgb="FF00B050"/>
      </patternFill>
    </fill>
    <fill>
      <patternFill patternType="solid">
        <fgColor theme="3" tint="0.8999"/>
        <bgColor rgb="FFEDEDED"/>
      </patternFill>
    </fill>
    <fill>
      <patternFill patternType="solid">
        <fgColor theme="0" tint="-0.15"/>
        <bgColor rgb="FFDBDBDB"/>
      </patternFill>
    </fill>
    <fill>
      <patternFill patternType="solid">
        <fgColor rgb="FFDAE9F8"/>
        <bgColor rgb="FFDEEBF7"/>
      </patternFill>
    </fill>
    <fill>
      <patternFill patternType="solid">
        <fgColor rgb="FFDAF2D0"/>
        <bgColor rgb="FFE2F0D9"/>
      </patternFill>
    </fill>
    <fill>
      <patternFill patternType="solid">
        <fgColor theme="9" tint="-0.5"/>
        <bgColor rgb="FF404040"/>
      </patternFill>
    </fill>
    <fill>
      <patternFill patternType="solid">
        <fgColor theme="8" tint="-0.5"/>
        <bgColor rgb="FF2F5597"/>
      </patternFill>
    </fill>
    <fill>
      <patternFill patternType="solid">
        <fgColor theme="5" tint="0.5999"/>
        <bgColor rgb="FFF7C7AC"/>
      </patternFill>
    </fill>
    <fill>
      <patternFill patternType="solid">
        <fgColor theme="7" tint="0.7999"/>
        <bgColor rgb="FFFFFFC9"/>
      </patternFill>
    </fill>
    <fill>
      <patternFill patternType="solid">
        <fgColor theme="0" tint="-0.5"/>
        <bgColor rgb="FF7F7F7F"/>
      </patternFill>
    </fill>
    <fill>
      <patternFill patternType="solid">
        <fgColor rgb="FFFFFFC9"/>
        <bgColor rgb="FFFFF2CC"/>
      </patternFill>
    </fill>
    <fill>
      <patternFill patternType="solid">
        <fgColor rgb="FFF2CEEF"/>
        <bgColor rgb="FFDBDBDB"/>
      </patternFill>
    </fill>
    <fill>
      <patternFill patternType="solid">
        <fgColor rgb="FFF7C7AC"/>
        <bgColor rgb="FFF8CBAD"/>
      </patternFill>
    </fill>
    <fill>
      <patternFill patternType="solid">
        <fgColor rgb="FFCAEDFB"/>
        <bgColor rgb="FFDAE9F8"/>
      </patternFill>
    </fill>
    <fill>
      <patternFill patternType="solid">
        <fgColor theme="5" tint="-0.5"/>
        <bgColor rgb="FF404040"/>
      </patternFill>
    </fill>
    <fill>
      <patternFill patternType="solid">
        <fgColor theme="4" tint="-0.25"/>
        <bgColor rgb="FF1F4E79"/>
      </patternFill>
    </fill>
    <fill>
      <patternFill patternType="solid">
        <fgColor rgb="FF002060"/>
        <bgColor rgb="FF153D64"/>
      </patternFill>
    </fill>
    <fill>
      <patternFill patternType="solid">
        <fgColor rgb="FF153D64"/>
        <bgColor rgb="FF1F4E79"/>
      </patternFill>
    </fill>
  </fills>
  <borders count="340">
    <border diagonalUp="false" diagonalDown="false">
      <left/>
      <right/>
      <top/>
      <bottom/>
      <diagonal/>
    </border>
    <border diagonalUp="false" diagonalDown="false">
      <left/>
      <right/>
      <top/>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top style="thin"/>
      <bottom/>
      <diagonal/>
    </border>
    <border diagonalUp="false" diagonalDown="false">
      <left style="thin"/>
      <right/>
      <top/>
      <bottom style="thin"/>
      <diagonal/>
    </border>
    <border diagonalUp="false" diagonalDown="false">
      <left style="thin"/>
      <right/>
      <top/>
      <bottom/>
      <diagonal/>
    </border>
    <border diagonalUp="false" diagonalDown="false">
      <left style="thin"/>
      <right style="thin"/>
      <top/>
      <bottom/>
      <diagonal/>
    </border>
    <border diagonalUp="false" diagonalDown="false">
      <left style="thin"/>
      <right style="thin"/>
      <top style="hair"/>
      <bottom/>
      <diagonal/>
    </border>
    <border diagonalUp="false" diagonalDown="false">
      <left style="thin"/>
      <right style="thin"/>
      <top style="thin"/>
      <bottom style="hair"/>
      <diagonal/>
    </border>
    <border diagonalUp="false" diagonalDown="false">
      <left style="thin"/>
      <right style="thin"/>
      <top style="hair"/>
      <bottom style="hair"/>
      <diagonal/>
    </border>
    <border diagonalUp="false" diagonalDown="false">
      <left style="thin"/>
      <right style="thin"/>
      <top style="hair"/>
      <bottom style="thin"/>
      <diagonal/>
    </border>
    <border diagonalUp="false" diagonalDown="false">
      <left style="thin"/>
      <right style="thin"/>
      <top/>
      <bottom style="hair"/>
      <diagonal/>
    </border>
    <border diagonalUp="false" diagonalDown="false">
      <left style="medium">
        <color rgb="FFC00000"/>
      </left>
      <right style="medium">
        <color rgb="FFC00000"/>
      </right>
      <top style="medium">
        <color rgb="FFC00000"/>
      </top>
      <bottom style="hair"/>
      <diagonal/>
    </border>
    <border diagonalUp="false" diagonalDown="false">
      <left/>
      <right style="thin"/>
      <top style="thin"/>
      <bottom style="hair"/>
      <diagonal/>
    </border>
    <border diagonalUp="false" diagonalDown="false">
      <left style="medium">
        <color rgb="FFC00000"/>
      </left>
      <right style="thin"/>
      <top style="hair"/>
      <bottom style="thin"/>
      <diagonal/>
    </border>
    <border diagonalUp="false" diagonalDown="false">
      <left style="thin"/>
      <right style="medium">
        <color rgb="FFC00000"/>
      </right>
      <top style="hair"/>
      <bottom style="thin"/>
      <diagonal/>
    </border>
    <border diagonalUp="false" diagonalDown="false">
      <left/>
      <right style="thin"/>
      <top style="hair"/>
      <bottom style="thin"/>
      <diagonal/>
    </border>
    <border diagonalUp="false" diagonalDown="false">
      <left style="thin"/>
      <right/>
      <top style="thin"/>
      <bottom style="hair"/>
      <diagonal/>
    </border>
    <border diagonalUp="false" diagonalDown="false">
      <left style="medium">
        <color rgb="FFC00000"/>
      </left>
      <right style="thin"/>
      <top style="thin"/>
      <bottom style="hair"/>
      <diagonal/>
    </border>
    <border diagonalUp="false" diagonalDown="false">
      <left style="thin"/>
      <right style="medium">
        <color rgb="FFC00000"/>
      </right>
      <top style="thin"/>
      <bottom style="hair"/>
      <diagonal/>
    </border>
    <border diagonalUp="false" diagonalDown="false">
      <left style="thin"/>
      <right/>
      <top style="hair"/>
      <bottom style="hair"/>
      <diagonal/>
    </border>
    <border diagonalUp="false" diagonalDown="false">
      <left style="medium">
        <color rgb="FFC00000"/>
      </left>
      <right style="thin"/>
      <top style="hair"/>
      <bottom style="hair"/>
      <diagonal/>
    </border>
    <border diagonalUp="false" diagonalDown="false">
      <left style="thin"/>
      <right style="medium">
        <color rgb="FFC00000"/>
      </right>
      <top style="hair"/>
      <bottom style="hair"/>
      <diagonal/>
    </border>
    <border diagonalUp="false" diagonalDown="false">
      <left/>
      <right style="thin"/>
      <top style="hair"/>
      <bottom style="hair"/>
      <diagonal/>
    </border>
    <border diagonalUp="false" diagonalDown="false">
      <left style="medium">
        <color rgb="FFC00000"/>
      </left>
      <right style="thin"/>
      <top style="hair"/>
      <bottom/>
      <diagonal/>
    </border>
    <border diagonalUp="false" diagonalDown="false">
      <left style="thin"/>
      <right style="medium">
        <color rgb="FFC00000"/>
      </right>
      <top style="hair"/>
      <bottom/>
      <diagonal/>
    </border>
    <border diagonalUp="false" diagonalDown="false">
      <left/>
      <right style="thin"/>
      <top style="hair"/>
      <bottom/>
      <diagonal/>
    </border>
    <border diagonalUp="false" diagonalDown="false">
      <left style="thin"/>
      <right/>
      <top style="hair"/>
      <bottom style="thin"/>
      <diagonal/>
    </border>
    <border diagonalUp="false" diagonalDown="false">
      <left style="thin"/>
      <right/>
      <top style="hair"/>
      <bottom/>
      <diagonal/>
    </border>
    <border diagonalUp="false" diagonalDown="false">
      <left style="medium">
        <color rgb="FFC00000"/>
      </left>
      <right style="thin"/>
      <top/>
      <bottom/>
      <diagonal/>
    </border>
    <border diagonalUp="false" diagonalDown="false">
      <left style="thin"/>
      <right/>
      <top/>
      <bottom style="hair"/>
      <diagonal/>
    </border>
    <border diagonalUp="false" diagonalDown="false">
      <left style="thin">
        <color theme="1"/>
      </left>
      <right style="medium">
        <color rgb="FFC00000"/>
      </right>
      <top style="hair"/>
      <bottom style="medium">
        <color rgb="FFC00000"/>
      </bottom>
      <diagonal/>
    </border>
    <border diagonalUp="false" diagonalDown="false">
      <left style="medium">
        <color rgb="FFFF0000"/>
      </left>
      <right/>
      <top style="hair"/>
      <bottom style="thin"/>
      <diagonal/>
    </border>
    <border diagonalUp="false" diagonalDown="false">
      <left style="medium">
        <color rgb="FFC00000"/>
      </left>
      <right style="thin">
        <color theme="1"/>
      </right>
      <top style="hair"/>
      <bottom style="medium">
        <color rgb="FFC00000"/>
      </bottom>
      <diagonal/>
    </border>
    <border diagonalUp="false" diagonalDown="false">
      <left style="medium">
        <color rgb="FFFF0000"/>
      </left>
      <right style="medium">
        <color rgb="FFFF0000"/>
      </right>
      <top style="medium">
        <color rgb="FFFF0000"/>
      </top>
      <bottom style="hair"/>
      <diagonal/>
    </border>
    <border diagonalUp="false" diagonalDown="false">
      <left style="medium">
        <color rgb="FFFF0000"/>
      </left>
      <right style="thin"/>
      <top style="hair"/>
      <bottom style="thin"/>
      <diagonal/>
    </border>
    <border diagonalUp="false" diagonalDown="false">
      <left style="thin"/>
      <right style="medium">
        <color rgb="FFFF0000"/>
      </right>
      <top style="hair"/>
      <bottom style="thin"/>
      <diagonal/>
    </border>
    <border diagonalUp="false" diagonalDown="false">
      <left style="medium">
        <color rgb="FFFF0000"/>
      </left>
      <right style="thin"/>
      <top style="thin"/>
      <bottom style="hair"/>
      <diagonal/>
    </border>
    <border diagonalUp="false" diagonalDown="false">
      <left style="thin"/>
      <right style="medium">
        <color rgb="FFFF0000"/>
      </right>
      <top style="thin"/>
      <bottom style="hair"/>
      <diagonal/>
    </border>
    <border diagonalUp="false" diagonalDown="false">
      <left style="medium">
        <color rgb="FFFF0000"/>
      </left>
      <right style="thin"/>
      <top style="hair"/>
      <bottom style="hair"/>
      <diagonal/>
    </border>
    <border diagonalUp="false" diagonalDown="false">
      <left style="thin"/>
      <right style="medium">
        <color rgb="FFFF0000"/>
      </right>
      <top style="hair"/>
      <bottom style="hair"/>
      <diagonal/>
    </border>
    <border diagonalUp="false" diagonalDown="false">
      <left/>
      <right/>
      <top style="hair"/>
      <bottom style="thin"/>
      <diagonal/>
    </border>
    <border diagonalUp="false" diagonalDown="false">
      <left/>
      <right/>
      <top style="hair"/>
      <bottom/>
      <diagonal/>
    </border>
    <border diagonalUp="false" diagonalDown="false">
      <left style="medium">
        <color rgb="FFFF0000"/>
      </left>
      <right style="thin"/>
      <top style="hair"/>
      <bottom/>
      <diagonal/>
    </border>
    <border diagonalUp="false" diagonalDown="false">
      <left style="thin"/>
      <right style="medium">
        <color rgb="FFFF0000"/>
      </right>
      <top style="hair"/>
      <bottom/>
      <diagonal/>
    </border>
    <border diagonalUp="false" diagonalDown="false">
      <left style="medium">
        <color rgb="FFFF0000"/>
      </left>
      <right style="thin"/>
      <top style="hair"/>
      <bottom style="medium">
        <color rgb="FFFF0000"/>
      </bottom>
      <diagonal/>
    </border>
    <border diagonalUp="false" diagonalDown="false">
      <left style="thin"/>
      <right style="medium">
        <color rgb="FFFF0000"/>
      </right>
      <top style="hair"/>
      <bottom style="medium">
        <color rgb="FFFF0000"/>
      </bottom>
      <diagonal/>
    </border>
    <border diagonalUp="false" diagonalDown="false">
      <left style="hair"/>
      <right style="hair"/>
      <top style="hair"/>
      <bottom style="hair"/>
      <diagonal/>
    </border>
    <border diagonalUp="false" diagonalDown="false">
      <left style="hair"/>
      <right style="hair"/>
      <top/>
      <bottom style="hair"/>
      <diagonal/>
    </border>
    <border diagonalUp="false" diagonalDown="false">
      <left/>
      <right style="hair"/>
      <top/>
      <bottom/>
      <diagonal/>
    </border>
    <border diagonalUp="false" diagonalDown="false">
      <left style="hair"/>
      <right/>
      <top/>
      <bottom style="hair"/>
      <diagonal/>
    </border>
    <border diagonalUp="false" diagonalDown="false">
      <left style="hair"/>
      <right/>
      <top style="hair"/>
      <bottom style="hair"/>
      <diagonal/>
    </border>
    <border diagonalUp="false" diagonalDown="false">
      <left/>
      <right/>
      <top style="thin"/>
      <bottom/>
      <diagonal/>
    </border>
    <border diagonalUp="false" diagonalDown="false">
      <left/>
      <right style="hair"/>
      <top style="thin"/>
      <bottom style="hair"/>
      <diagonal/>
    </border>
    <border diagonalUp="false" diagonalDown="false">
      <left style="thin"/>
      <right style="thin"/>
      <top style="thin"/>
      <bottom style="hair">
        <color theme="0" tint="-0.5"/>
      </bottom>
      <diagonal/>
    </border>
    <border diagonalUp="false" diagonalDown="false">
      <left style="thin"/>
      <right style="thin"/>
      <top/>
      <bottom style="hair">
        <color theme="0" tint="-0.5"/>
      </bottom>
      <diagonal/>
    </border>
    <border diagonalUp="false" diagonalDown="false">
      <left style="thin"/>
      <right style="thin"/>
      <top style="hair">
        <color theme="0" tint="-0.5"/>
      </top>
      <bottom style="hair">
        <color theme="0" tint="-0.5"/>
      </bottom>
      <diagonal/>
    </border>
    <border diagonalUp="false" diagonalDown="false">
      <left style="thin">
        <color theme="0" tint="-0.5"/>
      </left>
      <right style="thin"/>
      <top/>
      <bottom style="hair">
        <color theme="0" tint="-0.5"/>
      </bottom>
      <diagonal/>
    </border>
    <border diagonalUp="false" diagonalDown="false">
      <left style="thin"/>
      <right style="thin"/>
      <top style="hair">
        <color theme="0" tint="-0.5"/>
      </top>
      <bottom/>
      <diagonal/>
    </border>
    <border diagonalUp="false" diagonalDown="false">
      <left style="thin"/>
      <right style="thin"/>
      <top style="hair">
        <color theme="0" tint="-0.5"/>
      </top>
      <bottom style="thin"/>
      <diagonal/>
    </border>
    <border diagonalUp="false" diagonalDown="false">
      <left style="thin">
        <color theme="0" tint="-0.5"/>
      </left>
      <right style="thin"/>
      <top style="hair">
        <color theme="0" tint="-0.5"/>
      </top>
      <bottom style="thin"/>
      <diagonal/>
    </border>
    <border diagonalUp="false" diagonalDown="false">
      <left style="thin">
        <color theme="0" tint="-0.5"/>
      </left>
      <right style="thin"/>
      <top style="thin"/>
      <bottom style="thin"/>
      <diagonal/>
    </border>
    <border diagonalUp="false" diagonalDown="false">
      <left style="thin"/>
      <right style="thin"/>
      <top style="hair">
        <color theme="0" tint="-0.5"/>
      </top>
      <bottom style="hair"/>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style="thin"/>
      <right style="thin"/>
      <top style="medium"/>
      <bottom style="medium"/>
      <diagonal/>
    </border>
    <border diagonalUp="false" diagonalDown="false">
      <left style="thin"/>
      <right style="thin"/>
      <top/>
      <bottom style="medium"/>
      <diagonal/>
    </border>
    <border diagonalUp="false" diagonalDown="false">
      <left style="thin"/>
      <right style="medium"/>
      <top/>
      <bottom style="thin"/>
      <diagonal/>
    </border>
    <border diagonalUp="false" diagonalDown="false">
      <left/>
      <right style="thin"/>
      <top/>
      <bottom style="medium"/>
      <diagonal/>
    </border>
    <border diagonalUp="false" diagonalDown="false">
      <left/>
      <right/>
      <top style="thin"/>
      <bottom style="thin"/>
      <diagonal/>
    </border>
    <border diagonalUp="false" diagonalDown="false">
      <left/>
      <right/>
      <top style="medium"/>
      <bottom style="thin">
        <color theme="0"/>
      </bottom>
      <diagonal/>
    </border>
    <border diagonalUp="false" diagonalDown="false">
      <left/>
      <right style="medium">
        <color theme="0"/>
      </right>
      <top style="thin">
        <color theme="0"/>
      </top>
      <bottom style="thin">
        <color theme="0"/>
      </bottom>
      <diagonal/>
    </border>
    <border diagonalUp="false" diagonalDown="false">
      <left style="medium">
        <color theme="0"/>
      </left>
      <right style="thin">
        <color theme="0"/>
      </right>
      <top style="medium">
        <color theme="0"/>
      </top>
      <bottom style="thin">
        <color theme="0"/>
      </bottom>
      <diagonal/>
    </border>
    <border diagonalUp="false" diagonalDown="false">
      <left style="thin">
        <color theme="0"/>
      </left>
      <right/>
      <top style="thin">
        <color theme="0"/>
      </top>
      <bottom style="thin">
        <color theme="0"/>
      </bottom>
      <diagonal/>
    </border>
    <border diagonalUp="false" diagonalDown="false">
      <left/>
      <right/>
      <top style="thin">
        <color theme="0"/>
      </top>
      <bottom style="thin">
        <color theme="0"/>
      </bottom>
      <diagonal/>
    </border>
    <border diagonalUp="false" diagonalDown="false">
      <left/>
      <right/>
      <top/>
      <bottom style="thin">
        <color theme="0"/>
      </bottom>
      <diagonal/>
    </border>
    <border diagonalUp="false" diagonalDown="false">
      <left/>
      <right style="thin"/>
      <top/>
      <bottom style="thin">
        <color theme="0"/>
      </bottom>
      <diagonal/>
    </border>
    <border diagonalUp="false" diagonalDown="false">
      <left style="thin"/>
      <right/>
      <top/>
      <bottom style="thin">
        <color theme="0"/>
      </bottom>
      <diagonal/>
    </border>
    <border diagonalUp="false" diagonalDown="false">
      <left style="thin"/>
      <right style="thin">
        <color theme="0"/>
      </right>
      <top/>
      <bottom style="medium">
        <color theme="0"/>
      </bottom>
      <diagonal/>
    </border>
    <border diagonalUp="false" diagonalDown="false">
      <left style="thin">
        <color theme="0"/>
      </left>
      <right style="thin">
        <color theme="0"/>
      </right>
      <top/>
      <bottom style="medium">
        <color theme="0"/>
      </bottom>
      <diagonal/>
    </border>
    <border diagonalUp="false" diagonalDown="false">
      <left style="thin">
        <color theme="0"/>
      </left>
      <right style="thin">
        <color theme="0"/>
      </right>
      <top/>
      <bottom/>
      <diagonal/>
    </border>
    <border diagonalUp="false" diagonalDown="false">
      <left/>
      <right style="thin">
        <color theme="0"/>
      </right>
      <top style="thin">
        <color theme="0"/>
      </top>
      <bottom/>
      <diagonal/>
    </border>
    <border diagonalUp="false" diagonalDown="false">
      <left style="thin"/>
      <right style="thin"/>
      <top style="medium">
        <color theme="0"/>
      </top>
      <bottom/>
      <diagonal/>
    </border>
    <border diagonalUp="false" diagonalDown="false">
      <left/>
      <right style="thin">
        <color theme="1" tint="0.2499"/>
      </right>
      <top style="medium">
        <color theme="0"/>
      </top>
      <bottom/>
      <diagonal/>
    </border>
    <border diagonalUp="false" diagonalDown="false">
      <left style="thin">
        <color theme="1" tint="0.2499"/>
      </left>
      <right style="thin">
        <color theme="1" tint="0.2499"/>
      </right>
      <top/>
      <bottom/>
      <diagonal/>
    </border>
    <border diagonalUp="false" diagonalDown="false">
      <left style="thin">
        <color theme="1" tint="0.3499"/>
      </left>
      <right style="thin">
        <color theme="1" tint="0.3499"/>
      </right>
      <top/>
      <bottom/>
      <diagonal/>
    </border>
    <border diagonalUp="false" diagonalDown="false">
      <left/>
      <right style="thin">
        <color theme="1" tint="0.2499"/>
      </right>
      <top/>
      <bottom/>
      <diagonal/>
    </border>
    <border diagonalUp="false" diagonalDown="false">
      <left style="thin">
        <color theme="1" tint="0.2499"/>
      </left>
      <right/>
      <top/>
      <bottom/>
      <diagonal/>
    </border>
    <border diagonalUp="false" diagonalDown="false">
      <left style="thin">
        <color theme="1" tint="0.2499"/>
      </left>
      <right style="thin">
        <color theme="1" tint="0.3499"/>
      </right>
      <top/>
      <bottom/>
      <diagonal/>
    </border>
    <border diagonalUp="false" diagonalDown="false">
      <left style="thin">
        <color theme="1" tint="0.2499"/>
      </left>
      <right style="thin">
        <color theme="1" tint="0.2499"/>
      </right>
      <top style="medium">
        <color theme="0"/>
      </top>
      <bottom/>
      <diagonal/>
    </border>
    <border diagonalUp="false" diagonalDown="false">
      <left style="thin">
        <color theme="1" tint="0.2499"/>
      </left>
      <right style="thin">
        <color theme="1" tint="0.2499"/>
      </right>
      <top/>
      <bottom style="thin"/>
      <diagonal/>
    </border>
    <border diagonalUp="false" diagonalDown="false">
      <left style="thin">
        <color theme="1" tint="0.2499"/>
      </left>
      <right style="thin">
        <color theme="1" tint="0.2499"/>
      </right>
      <top style="thin">
        <color theme="0"/>
      </top>
      <bottom/>
      <diagonal/>
    </border>
    <border diagonalUp="false" diagonalDown="false">
      <left style="thin"/>
      <right style="thin"/>
      <top/>
      <bottom style="thin">
        <color theme="1" tint="0.3499"/>
      </bottom>
      <diagonal/>
    </border>
    <border diagonalUp="false" diagonalDown="false">
      <left/>
      <right style="thin">
        <color theme="1" tint="0.2499"/>
      </right>
      <top/>
      <bottom style="thin">
        <color theme="1" tint="0.3499"/>
      </bottom>
      <diagonal/>
    </border>
    <border diagonalUp="false" diagonalDown="false">
      <left/>
      <right/>
      <top/>
      <bottom style="thin">
        <color theme="1" tint="0.3499"/>
      </bottom>
      <diagonal/>
    </border>
    <border diagonalUp="false" diagonalDown="false">
      <left style="thin">
        <color theme="1" tint="0.2499"/>
      </left>
      <right style="thin">
        <color theme="1" tint="0.2499"/>
      </right>
      <top/>
      <bottom style="thin">
        <color theme="1" tint="0.2499"/>
      </bottom>
      <diagonal/>
    </border>
    <border diagonalUp="false" diagonalDown="false">
      <left/>
      <right/>
      <top/>
      <bottom style="thin">
        <color theme="1" tint="0.2499"/>
      </bottom>
      <diagonal/>
    </border>
    <border diagonalUp="false" diagonalDown="false">
      <left style="thin">
        <color theme="1" tint="0.3499"/>
      </left>
      <right/>
      <top/>
      <bottom style="thin">
        <color theme="1" tint="0.3499"/>
      </bottom>
      <diagonal/>
    </border>
    <border diagonalUp="false" diagonalDown="false">
      <left style="thin">
        <color theme="1" tint="0.3499"/>
      </left>
      <right style="thin">
        <color theme="1" tint="0.3499"/>
      </right>
      <top/>
      <bottom style="thin"/>
      <diagonal/>
    </border>
    <border diagonalUp="false" diagonalDown="false">
      <left/>
      <right style="thin">
        <color theme="1" tint="0.2499"/>
      </right>
      <top/>
      <bottom style="thin">
        <color theme="1" tint="0.2499"/>
      </bottom>
      <diagonal/>
    </border>
    <border diagonalUp="false" diagonalDown="false">
      <left style="thin">
        <color theme="1" tint="0.2499"/>
      </left>
      <right/>
      <top/>
      <bottom style="thin">
        <color theme="1" tint="0.2499"/>
      </bottom>
      <diagonal/>
    </border>
    <border diagonalUp="false" diagonalDown="false">
      <left style="thin">
        <color theme="1" tint="0.2499"/>
      </left>
      <right style="thin">
        <color theme="1" tint="0.2499"/>
      </right>
      <top/>
      <bottom style="thin">
        <color theme="1" tint="0.3499"/>
      </bottom>
      <diagonal/>
    </border>
    <border diagonalUp="false" diagonalDown="false">
      <left style="thin"/>
      <right style="thin"/>
      <top style="thin">
        <color theme="1" tint="0.3499"/>
      </top>
      <bottom/>
      <diagonal/>
    </border>
    <border diagonalUp="false" diagonalDown="false">
      <left style="thin">
        <color theme="1" tint="0.3499"/>
      </left>
      <right/>
      <top/>
      <bottom/>
      <diagonal/>
    </border>
    <border diagonalUp="false" diagonalDown="false">
      <left style="thin"/>
      <right style="thin"/>
      <top/>
      <bottom style="thin">
        <color theme="1" tint="0.2499"/>
      </bottom>
      <diagonal/>
    </border>
    <border diagonalUp="false" diagonalDown="false">
      <left style="thin">
        <color theme="1" tint="0.3499"/>
      </left>
      <right/>
      <top/>
      <bottom style="thin">
        <color theme="1" tint="0.2499"/>
      </bottom>
      <diagonal/>
    </border>
    <border diagonalUp="false" diagonalDown="false">
      <left style="thin">
        <color theme="1" tint="0.3499"/>
      </left>
      <right style="thin">
        <color theme="1" tint="0.3499"/>
      </right>
      <top/>
      <bottom style="thin">
        <color theme="1" tint="0.2499"/>
      </bottom>
      <diagonal/>
    </border>
    <border diagonalUp="false" diagonalDown="false">
      <left style="thin"/>
      <right/>
      <top style="thin">
        <color theme="1" tint="0.2499"/>
      </top>
      <bottom/>
      <diagonal/>
    </border>
    <border diagonalUp="false" diagonalDown="false">
      <left/>
      <right/>
      <top style="thin">
        <color theme="1" tint="0.2499"/>
      </top>
      <bottom/>
      <diagonal/>
    </border>
    <border diagonalUp="false" diagonalDown="false">
      <left/>
      <right style="thin">
        <color theme="1" tint="0.2499"/>
      </right>
      <top style="thin">
        <color theme="1" tint="0.2499"/>
      </top>
      <bottom/>
      <diagonal/>
    </border>
    <border diagonalUp="false" diagonalDown="false">
      <left/>
      <right style="thin">
        <color theme="1" tint="0.2499"/>
      </right>
      <top/>
      <bottom style="thin"/>
      <diagonal/>
    </border>
    <border diagonalUp="false" diagonalDown="false">
      <left/>
      <right style="thin">
        <color theme="0" tint="-0.5"/>
      </right>
      <top/>
      <bottom/>
      <diagonal/>
    </border>
    <border diagonalUp="false" diagonalDown="false">
      <left style="thin"/>
      <right style="thin">
        <color theme="0" tint="-0.5"/>
      </right>
      <top/>
      <bottom style="thin"/>
      <diagonal/>
    </border>
    <border diagonalUp="false" diagonalDown="false">
      <left style="thin">
        <color theme="1" tint="0.2499"/>
      </left>
      <right/>
      <top/>
      <bottom style="thin"/>
      <diagonal/>
    </border>
    <border diagonalUp="false" diagonalDown="false">
      <left/>
      <right style="thin">
        <color theme="0" tint="-0.5"/>
      </right>
      <top/>
      <bottom style="thin"/>
      <diagonal/>
    </border>
    <border diagonalUp="false" diagonalDown="false">
      <left style="thin">
        <color theme="1" tint="0.3499"/>
      </left>
      <right style="thin">
        <color theme="1" tint="0.3499"/>
      </right>
      <top/>
      <bottom style="thin">
        <color theme="1" tint="0.3499"/>
      </bottom>
      <diagonal/>
    </border>
    <border diagonalUp="false" diagonalDown="false">
      <left style="thin">
        <color theme="1" tint="0.3499"/>
      </left>
      <right/>
      <top/>
      <bottom style="thin"/>
      <diagonal/>
    </border>
    <border diagonalUp="false" diagonalDown="false">
      <left/>
      <right/>
      <top/>
      <bottom style="medium">
        <color theme="0" tint="-0.5"/>
      </bottom>
      <diagonal/>
    </border>
    <border diagonalUp="false" diagonalDown="false">
      <left style="medium">
        <color theme="0" tint="-0.5"/>
      </left>
      <right style="thin">
        <color theme="0" tint="-0.5"/>
      </right>
      <top style="medium">
        <color theme="0" tint="-0.5"/>
      </top>
      <bottom/>
      <diagonal/>
    </border>
    <border diagonalUp="false" diagonalDown="false">
      <left style="thin">
        <color theme="0" tint="-0.5"/>
      </left>
      <right style="thin">
        <color theme="0" tint="-0.5"/>
      </right>
      <top style="medium">
        <color theme="0" tint="-0.5"/>
      </top>
      <bottom style="medium">
        <color theme="0" tint="-0.5"/>
      </bottom>
      <diagonal/>
    </border>
    <border diagonalUp="false" diagonalDown="false">
      <left/>
      <right/>
      <top style="medium">
        <color theme="0" tint="-0.5"/>
      </top>
      <bottom style="medium">
        <color theme="0" tint="-0.5"/>
      </bottom>
      <diagonal/>
    </border>
    <border diagonalUp="false" diagonalDown="false">
      <left style="thin">
        <color theme="0" tint="-0.5"/>
      </left>
      <right/>
      <top style="medium">
        <color theme="0" tint="-0.5"/>
      </top>
      <bottom/>
      <diagonal/>
    </border>
    <border diagonalUp="false" diagonalDown="false">
      <left style="thin">
        <color theme="0" tint="-0.5"/>
      </left>
      <right style="thin">
        <color theme="0" tint="-0.5"/>
      </right>
      <top style="medium">
        <color theme="0" tint="-0.5"/>
      </top>
      <bottom style="thin"/>
      <diagonal/>
    </border>
    <border diagonalUp="false" diagonalDown="false">
      <left/>
      <right/>
      <top style="medium">
        <color theme="0" tint="-0.5"/>
      </top>
      <bottom style="thin">
        <color theme="0" tint="-0.5"/>
      </bottom>
      <diagonal/>
    </border>
    <border diagonalUp="false" diagonalDown="false">
      <left style="thin">
        <color theme="0" tint="-0.5"/>
      </left>
      <right style="thin">
        <color theme="0" tint="-0.5"/>
      </right>
      <top style="medium">
        <color theme="0" tint="-0.5"/>
      </top>
      <bottom style="thin">
        <color theme="0" tint="-0.5"/>
      </bottom>
      <diagonal/>
    </border>
    <border diagonalUp="false" diagonalDown="false">
      <left style="thin">
        <color theme="0" tint="-0.5"/>
      </left>
      <right style="thin">
        <color theme="0" tint="-0.5"/>
      </right>
      <top style="medium">
        <color theme="0" tint="-0.5"/>
      </top>
      <bottom/>
      <diagonal/>
    </border>
    <border diagonalUp="false" diagonalDown="false">
      <left/>
      <right style="medium">
        <color theme="0" tint="-0.5"/>
      </right>
      <top style="medium">
        <color theme="0" tint="-0.5"/>
      </top>
      <bottom/>
      <diagonal/>
    </border>
    <border diagonalUp="false" diagonalDown="false">
      <left style="medium">
        <color theme="0" tint="-0.5"/>
      </left>
      <right style="thin">
        <color theme="0" tint="-0.5"/>
      </right>
      <top style="medium">
        <color theme="0" tint="-0.5"/>
      </top>
      <bottom style="thin">
        <color theme="0" tint="-0.5"/>
      </bottom>
      <diagonal/>
    </border>
    <border diagonalUp="false" diagonalDown="false">
      <left style="thin">
        <color theme="0" tint="-0.5"/>
      </left>
      <right style="medium">
        <color theme="0" tint="-0.5"/>
      </right>
      <top style="medium">
        <color theme="0" tint="-0.5"/>
      </top>
      <bottom style="medium">
        <color theme="0" tint="-0.5"/>
      </bottom>
      <diagonal/>
    </border>
    <border diagonalUp="false" diagonalDown="false">
      <left/>
      <right/>
      <top style="thin">
        <color theme="0" tint="-0.5"/>
      </top>
      <bottom style="medium">
        <color theme="0" tint="-0.5"/>
      </bottom>
      <diagonal/>
    </border>
    <border diagonalUp="false" diagonalDown="false">
      <left style="thin">
        <color theme="0" tint="-0.5"/>
      </left>
      <right style="thin">
        <color theme="0" tint="-0.5"/>
      </right>
      <top style="thin">
        <color theme="0" tint="-0.5"/>
      </top>
      <bottom style="medium">
        <color theme="0" tint="-0.5"/>
      </bottom>
      <diagonal/>
    </border>
    <border diagonalUp="false" diagonalDown="false">
      <left/>
      <right style="thin">
        <color theme="0" tint="-0.5"/>
      </right>
      <top style="thin">
        <color theme="0" tint="-0.5"/>
      </top>
      <bottom style="medium">
        <color theme="0" tint="-0.5"/>
      </bottom>
      <diagonal/>
    </border>
    <border diagonalUp="false" diagonalDown="false">
      <left/>
      <right style="thin">
        <color theme="0" tint="-0.5"/>
      </right>
      <top style="thin">
        <color theme="0" tint="-0.5"/>
      </top>
      <bottom/>
      <diagonal/>
    </border>
    <border diagonalUp="false" diagonalDown="false">
      <left style="medium">
        <color theme="0" tint="-0.5"/>
      </left>
      <right style="thin">
        <color theme="0" tint="-0.5"/>
      </right>
      <top style="thin">
        <color theme="0" tint="-0.5"/>
      </top>
      <bottom/>
      <diagonal/>
    </border>
    <border diagonalUp="false" diagonalDown="false">
      <left style="thin">
        <color theme="0" tint="-0.5"/>
      </left>
      <right style="thin">
        <color theme="0" tint="-0.5"/>
      </right>
      <top style="thin">
        <color theme="0" tint="-0.5"/>
      </top>
      <bottom/>
      <diagonal/>
    </border>
    <border diagonalUp="false" diagonalDown="false">
      <left style="thin">
        <color theme="0" tint="-0.5"/>
      </left>
      <right style="thin">
        <color theme="0" tint="-0.5"/>
      </right>
      <top style="thin"/>
      <bottom style="thin"/>
      <diagonal/>
    </border>
    <border diagonalUp="false" diagonalDown="false">
      <left style="thin">
        <color theme="0" tint="-0.5"/>
      </left>
      <right/>
      <top style="thin"/>
      <bottom style="thin"/>
      <diagonal/>
    </border>
    <border diagonalUp="false" diagonalDown="false">
      <left style="thin">
        <color theme="0" tint="-0.5"/>
      </left>
      <right style="thin">
        <color theme="0" tint="-0.5"/>
      </right>
      <top/>
      <bottom style="thin"/>
      <diagonal/>
    </border>
    <border diagonalUp="false" diagonalDown="false">
      <left style="thin">
        <color theme="0" tint="-0.5"/>
      </left>
      <right style="thin">
        <color theme="0" tint="-0.5"/>
      </right>
      <top/>
      <bottom style="hair">
        <color theme="0" tint="-0.5"/>
      </bottom>
      <diagonal/>
    </border>
    <border diagonalUp="false" diagonalDown="false">
      <left style="thin"/>
      <right style="thin">
        <color theme="0" tint="-0.5"/>
      </right>
      <top/>
      <bottom style="hair">
        <color theme="0" tint="-0.5"/>
      </bottom>
      <diagonal/>
    </border>
    <border diagonalUp="false" diagonalDown="false">
      <left/>
      <right style="thin"/>
      <top/>
      <bottom style="hair">
        <color theme="0" tint="-0.5"/>
      </bottom>
      <diagonal/>
    </border>
    <border diagonalUp="false" diagonalDown="false">
      <left style="thin"/>
      <right style="thin">
        <color theme="0" tint="-0.5"/>
      </right>
      <top style="thin"/>
      <bottom style="hair">
        <color theme="0" tint="-0.5"/>
      </bottom>
      <diagonal/>
    </border>
    <border diagonalUp="false" diagonalDown="false">
      <left/>
      <right style="thin">
        <color theme="0" tint="-0.5"/>
      </right>
      <top style="thin"/>
      <bottom style="hair">
        <color theme="0" tint="-0.5"/>
      </bottom>
      <diagonal/>
    </border>
    <border diagonalUp="false" diagonalDown="false">
      <left style="thin">
        <color theme="0" tint="-0.5"/>
      </left>
      <right style="thin">
        <color theme="0" tint="-0.5"/>
      </right>
      <top style="thin"/>
      <bottom style="hair">
        <color theme="0" tint="-0.5"/>
      </bottom>
      <diagonal/>
    </border>
    <border diagonalUp="false" diagonalDown="false">
      <left/>
      <right style="medium">
        <color theme="0" tint="-0.5"/>
      </right>
      <top style="thin"/>
      <bottom style="hair">
        <color theme="0" tint="-0.5"/>
      </bottom>
      <diagonal/>
    </border>
    <border diagonalUp="false" diagonalDown="false">
      <left style="medium">
        <color theme="0" tint="-0.5"/>
      </left>
      <right style="thin">
        <color theme="0" tint="-0.5"/>
      </right>
      <top style="thin"/>
      <bottom style="hair">
        <color theme="0" tint="-0.5"/>
      </bottom>
      <diagonal/>
    </border>
    <border diagonalUp="false" diagonalDown="false">
      <left style="thin">
        <color theme="0" tint="-0.5"/>
      </left>
      <right/>
      <top style="thin"/>
      <bottom style="hair">
        <color theme="0" tint="-0.5"/>
      </bottom>
      <diagonal/>
    </border>
    <border diagonalUp="false" diagonalDown="false">
      <left style="thin">
        <color theme="0" tint="-0.5"/>
      </left>
      <right style="medium">
        <color theme="0" tint="-0.5"/>
      </right>
      <top style="medium">
        <color theme="0" tint="-0.5"/>
      </top>
      <bottom style="thin">
        <color theme="0" tint="-0.5"/>
      </bottom>
      <diagonal/>
    </border>
    <border diagonalUp="false" diagonalDown="false">
      <left style="thin">
        <color theme="0" tint="-0.5"/>
      </left>
      <right style="thin">
        <color theme="0" tint="-0.5"/>
      </right>
      <top style="hair">
        <color theme="0" tint="-0.5"/>
      </top>
      <bottom style="hair">
        <color theme="0" tint="-0.5"/>
      </bottom>
      <diagonal/>
    </border>
    <border diagonalUp="false" diagonalDown="false">
      <left style="thin">
        <color theme="0" tint="-0.5"/>
      </left>
      <right style="thin"/>
      <top style="hair">
        <color theme="0" tint="-0.5"/>
      </top>
      <bottom style="hair">
        <color theme="0" tint="-0.5"/>
      </bottom>
      <diagonal/>
    </border>
    <border diagonalUp="false" diagonalDown="false">
      <left style="thin"/>
      <right style="thin">
        <color theme="0" tint="-0.5"/>
      </right>
      <top style="hair">
        <color theme="0" tint="-0.5"/>
      </top>
      <bottom style="hair">
        <color theme="0" tint="-0.5"/>
      </bottom>
      <diagonal/>
    </border>
    <border diagonalUp="false" diagonalDown="false">
      <left/>
      <right style="thin"/>
      <top style="hair">
        <color theme="0" tint="-0.5"/>
      </top>
      <bottom style="hair">
        <color theme="0" tint="-0.5"/>
      </bottom>
      <diagonal/>
    </border>
    <border diagonalUp="false" diagonalDown="false">
      <left/>
      <right style="thin">
        <color theme="0" tint="-0.5"/>
      </right>
      <top style="hair">
        <color theme="0" tint="-0.5"/>
      </top>
      <bottom style="hair">
        <color theme="0" tint="-0.5"/>
      </bottom>
      <diagonal/>
    </border>
    <border diagonalUp="false" diagonalDown="false">
      <left/>
      <right style="medium">
        <color theme="0" tint="-0.5"/>
      </right>
      <top style="hair">
        <color theme="0" tint="-0.5"/>
      </top>
      <bottom style="hair">
        <color theme="0" tint="-0.5"/>
      </bottom>
      <diagonal/>
    </border>
    <border diagonalUp="false" diagonalDown="false">
      <left style="medium">
        <color theme="0" tint="-0.5"/>
      </left>
      <right style="thin">
        <color theme="0" tint="-0.5"/>
      </right>
      <top style="hair">
        <color theme="0" tint="-0.5"/>
      </top>
      <bottom style="hair">
        <color theme="0" tint="-0.5"/>
      </bottom>
      <diagonal/>
    </border>
    <border diagonalUp="false" diagonalDown="false">
      <left style="thin">
        <color theme="0" tint="-0.5"/>
      </left>
      <right/>
      <top style="hair">
        <color theme="0" tint="-0.5"/>
      </top>
      <bottom style="hair">
        <color theme="0" tint="-0.5"/>
      </bottom>
      <diagonal/>
    </border>
    <border diagonalUp="false" diagonalDown="false">
      <left style="thin">
        <color theme="0" tint="-0.5"/>
      </left>
      <right style="thin">
        <color theme="0" tint="-0.5"/>
      </right>
      <top style="hair">
        <color theme="0" tint="-0.5"/>
      </top>
      <bottom style="thin"/>
      <diagonal/>
    </border>
    <border diagonalUp="false" diagonalDown="false">
      <left style="thin"/>
      <right style="thin">
        <color theme="0" tint="-0.5"/>
      </right>
      <top style="hair">
        <color theme="0" tint="-0.5"/>
      </top>
      <bottom style="thin"/>
      <diagonal/>
    </border>
    <border diagonalUp="false" diagonalDown="false">
      <left/>
      <right style="thin"/>
      <top style="hair">
        <color theme="0" tint="-0.5"/>
      </top>
      <bottom style="thin"/>
      <diagonal/>
    </border>
    <border diagonalUp="false" diagonalDown="false">
      <left/>
      <right style="thin">
        <color theme="0" tint="-0.5"/>
      </right>
      <top style="hair">
        <color theme="0" tint="-0.5"/>
      </top>
      <bottom style="thin"/>
      <diagonal/>
    </border>
    <border diagonalUp="false" diagonalDown="false">
      <left/>
      <right style="medium">
        <color theme="0" tint="-0.5"/>
      </right>
      <top style="hair">
        <color theme="0" tint="-0.5"/>
      </top>
      <bottom style="thin"/>
      <diagonal/>
    </border>
    <border diagonalUp="false" diagonalDown="false">
      <left style="medium">
        <color theme="0" tint="-0.5"/>
      </left>
      <right style="thin">
        <color theme="0" tint="-0.5"/>
      </right>
      <top style="hair">
        <color theme="0" tint="-0.5"/>
      </top>
      <bottom style="thin"/>
      <diagonal/>
    </border>
    <border diagonalUp="false" diagonalDown="false">
      <left style="thin">
        <color theme="0" tint="-0.5"/>
      </left>
      <right/>
      <top style="hair">
        <color theme="0" tint="-0.5"/>
      </top>
      <bottom style="thin"/>
      <diagonal/>
    </border>
    <border diagonalUp="false" diagonalDown="false">
      <left/>
      <right style="thin">
        <color theme="0" tint="-0.5"/>
      </right>
      <top style="thin"/>
      <bottom style="thin"/>
      <diagonal/>
    </border>
    <border diagonalUp="false" diagonalDown="false">
      <left style="thin">
        <color theme="0" tint="-0.5"/>
      </left>
      <right style="thin"/>
      <top style="thin"/>
      <bottom style="hair">
        <color theme="0" tint="-0.5"/>
      </bottom>
      <diagonal/>
    </border>
    <border diagonalUp="false" diagonalDown="false">
      <left/>
      <right style="thin"/>
      <top style="thin"/>
      <bottom style="hair">
        <color theme="0" tint="-0.5"/>
      </bottom>
      <diagonal/>
    </border>
    <border diagonalUp="false" diagonalDown="false">
      <left/>
      <right style="thin">
        <color theme="0" tint="-0.5"/>
      </right>
      <top/>
      <bottom style="hair">
        <color theme="0" tint="-0.5"/>
      </bottom>
      <diagonal/>
    </border>
    <border diagonalUp="false" diagonalDown="false">
      <left/>
      <right style="medium">
        <color theme="0" tint="-0.5"/>
      </right>
      <top/>
      <bottom style="hair">
        <color theme="0" tint="-0.5"/>
      </bottom>
      <diagonal/>
    </border>
    <border diagonalUp="false" diagonalDown="false">
      <left/>
      <right style="thin">
        <color theme="0" tint="-0.5"/>
      </right>
      <top style="medium">
        <color theme="0" tint="-0.5"/>
      </top>
      <bottom style="hair">
        <color theme="0" tint="-0.5"/>
      </bottom>
      <diagonal/>
    </border>
    <border diagonalUp="false" diagonalDown="false">
      <left style="thin">
        <color theme="0" tint="-0.5"/>
      </left>
      <right style="thin">
        <color theme="0" tint="-0.5"/>
      </right>
      <top/>
      <bottom/>
      <diagonal/>
    </border>
    <border diagonalUp="false" diagonalDown="false">
      <left style="thin">
        <color theme="0" tint="-0.5"/>
      </left>
      <right/>
      <top/>
      <bottom style="hair">
        <color theme="0" tint="-0.5"/>
      </bottom>
      <diagonal/>
    </border>
    <border diagonalUp="false" diagonalDown="false">
      <left style="thin">
        <color theme="0" tint="-0.5"/>
      </left>
      <right style="thin">
        <color theme="0" tint="-0.5"/>
      </right>
      <top style="hair">
        <color theme="0" tint="-0.5"/>
      </top>
      <bottom/>
      <diagonal/>
    </border>
    <border diagonalUp="false" diagonalDown="false">
      <left style="thin">
        <color theme="0" tint="-0.5"/>
      </left>
      <right/>
      <top style="hair">
        <color theme="0" tint="-0.5"/>
      </top>
      <bottom/>
      <diagonal/>
    </border>
    <border diagonalUp="false" diagonalDown="false">
      <left/>
      <right/>
      <top/>
      <bottom style="thin">
        <color theme="0" tint="-0.5"/>
      </bottom>
      <diagonal/>
    </border>
    <border diagonalUp="false" diagonalDown="false">
      <left style="thin">
        <color theme="0" tint="-0.5"/>
      </left>
      <right style="thin"/>
      <top/>
      <bottom style="thin"/>
      <diagonal/>
    </border>
    <border diagonalUp="false" diagonalDown="false">
      <left style="thin">
        <color theme="0" tint="-0.5"/>
      </left>
      <right style="medium">
        <color theme="0" tint="-0.5"/>
      </right>
      <top style="thin">
        <color theme="0" tint="-0.5"/>
      </top>
      <bottom/>
      <diagonal/>
    </border>
    <border diagonalUp="false" diagonalDown="false">
      <left style="thin">
        <color theme="0" tint="-0.5"/>
      </left>
      <right style="thin"/>
      <top style="hair">
        <color theme="0" tint="-0.5"/>
      </top>
      <bottom/>
      <diagonal/>
    </border>
    <border diagonalUp="false" diagonalDown="false">
      <left style="medium">
        <color theme="0" tint="-0.5"/>
      </left>
      <right style="thin">
        <color theme="0" tint="-0.5"/>
      </right>
      <top/>
      <bottom style="hair">
        <color theme="0" tint="-0.5"/>
      </bottom>
      <diagonal/>
    </border>
    <border diagonalUp="false" diagonalDown="false">
      <left style="thin"/>
      <right style="thin"/>
      <top style="thin"/>
      <bottom style="medium">
        <color theme="0" tint="-0.5"/>
      </bottom>
      <diagonal/>
    </border>
    <border diagonalUp="false" diagonalDown="false">
      <left style="thin"/>
      <right style="thin">
        <color theme="0" tint="-0.5"/>
      </right>
      <top style="hair">
        <color theme="0" tint="-0.5"/>
      </top>
      <bottom style="medium">
        <color theme="0" tint="-0.5"/>
      </bottom>
      <diagonal/>
    </border>
    <border diagonalUp="false" diagonalDown="false">
      <left style="thin">
        <color theme="0" tint="-0.5"/>
      </left>
      <right style="thin"/>
      <top style="hair">
        <color theme="0" tint="-0.5"/>
      </top>
      <bottom style="medium">
        <color theme="0" tint="-0.5"/>
      </bottom>
      <diagonal/>
    </border>
    <border diagonalUp="false" diagonalDown="false">
      <left/>
      <right style="thin"/>
      <top style="hair">
        <color theme="0" tint="-0.5"/>
      </top>
      <bottom style="medium">
        <color theme="0" tint="-0.5"/>
      </bottom>
      <diagonal/>
    </border>
    <border diagonalUp="false" diagonalDown="false">
      <left/>
      <right style="thin">
        <color theme="0" tint="-0.5"/>
      </right>
      <top style="hair">
        <color theme="0" tint="-0.5"/>
      </top>
      <bottom style="medium">
        <color theme="0" tint="-0.5"/>
      </bottom>
      <diagonal/>
    </border>
    <border diagonalUp="false" diagonalDown="false">
      <left style="thin">
        <color theme="0" tint="-0.5"/>
      </left>
      <right style="thin">
        <color theme="0" tint="-0.5"/>
      </right>
      <top style="hair">
        <color theme="0" tint="-0.5"/>
      </top>
      <bottom style="medium">
        <color theme="0" tint="-0.5"/>
      </bottom>
      <diagonal/>
    </border>
    <border diagonalUp="false" diagonalDown="false">
      <left/>
      <right style="medium">
        <color theme="0" tint="-0.5"/>
      </right>
      <top style="hair">
        <color theme="0" tint="-0.5"/>
      </top>
      <bottom style="medium">
        <color theme="0" tint="-0.5"/>
      </bottom>
      <diagonal/>
    </border>
    <border diagonalUp="false" diagonalDown="false">
      <left/>
      <right style="thin">
        <color theme="0" tint="-0.5"/>
      </right>
      <top style="medium">
        <color theme="0" tint="-0.5"/>
      </top>
      <bottom style="medium">
        <color theme="0" tint="-0.5"/>
      </bottom>
      <diagonal/>
    </border>
    <border diagonalUp="false" diagonalDown="false">
      <left style="thin">
        <color theme="0" tint="-0.5"/>
      </left>
      <right/>
      <top style="medium">
        <color theme="0" tint="-0.5"/>
      </top>
      <bottom style="thin">
        <color theme="0" tint="-0.5"/>
      </bottom>
      <diagonal/>
    </border>
    <border diagonalUp="false" diagonalDown="false">
      <left/>
      <right style="thin">
        <color theme="0" tint="-0.5"/>
      </right>
      <top style="medium">
        <color theme="0" tint="-0.5"/>
      </top>
      <bottom style="thin">
        <color theme="0" tint="-0.5"/>
      </bottom>
      <diagonal/>
    </border>
    <border diagonalUp="false" diagonalDown="false">
      <left style="medium">
        <color theme="0" tint="-0.5"/>
      </left>
      <right style="thin">
        <color theme="0" tint="-0.5"/>
      </right>
      <top style="thin"/>
      <bottom style="thin"/>
      <diagonal/>
    </border>
    <border diagonalUp="false" diagonalDown="false">
      <left style="thin">
        <color theme="0" tint="-0.5"/>
      </left>
      <right/>
      <top/>
      <bottom/>
      <diagonal/>
    </border>
    <border diagonalUp="false" diagonalDown="false">
      <left style="thin">
        <color theme="0" tint="-0.5"/>
      </left>
      <right style="thin">
        <color theme="0" tint="-0.5"/>
      </right>
      <top style="thin"/>
      <bottom/>
      <diagonal/>
    </border>
    <border diagonalUp="false" diagonalDown="false">
      <left style="thin">
        <color theme="0" tint="-0.5"/>
      </left>
      <right style="thin"/>
      <top style="thin"/>
      <bottom/>
      <diagonal/>
    </border>
    <border diagonalUp="false" diagonalDown="false">
      <left/>
      <right style="thin">
        <color theme="0" tint="-0.5"/>
      </right>
      <top style="thin"/>
      <bottom/>
      <diagonal/>
    </border>
    <border diagonalUp="false" diagonalDown="false">
      <left style="thin"/>
      <right style="thin">
        <color theme="0" tint="-0.5"/>
      </right>
      <top style="hair">
        <color theme="0" tint="-0.5"/>
      </top>
      <bottom/>
      <diagonal/>
    </border>
    <border diagonalUp="false" diagonalDown="false">
      <left/>
      <right style="thin">
        <color theme="0" tint="-0.5"/>
      </right>
      <top style="hair">
        <color theme="0" tint="-0.5"/>
      </top>
      <bottom/>
      <diagonal/>
    </border>
    <border diagonalUp="false" diagonalDown="false">
      <left/>
      <right style="medium">
        <color theme="0" tint="-0.5"/>
      </right>
      <top style="hair">
        <color theme="0" tint="-0.5"/>
      </top>
      <bottom/>
      <diagonal/>
    </border>
    <border diagonalUp="false" diagonalDown="false">
      <left style="thin"/>
      <right style="thin">
        <color theme="0" tint="-0.5"/>
      </right>
      <top style="thin"/>
      <bottom style="thin"/>
      <diagonal/>
    </border>
    <border diagonalUp="false" diagonalDown="false">
      <left/>
      <right/>
      <top style="thin"/>
      <bottom style="thin">
        <color theme="0" tint="-0.5"/>
      </bottom>
      <diagonal/>
    </border>
    <border diagonalUp="false" diagonalDown="false">
      <left style="thin"/>
      <right style="thin">
        <color theme="0" tint="-0.5"/>
      </right>
      <top/>
      <bottom/>
      <diagonal/>
    </border>
    <border diagonalUp="false" diagonalDown="false">
      <left style="thin"/>
      <right/>
      <top/>
      <bottom style="hair">
        <color theme="0" tint="-0.5"/>
      </bottom>
      <diagonal/>
    </border>
    <border diagonalUp="false" diagonalDown="false">
      <left style="thin"/>
      <right/>
      <top style="hair">
        <color theme="0" tint="-0.5"/>
      </top>
      <bottom style="hair">
        <color theme="0" tint="-0.5"/>
      </bottom>
      <diagonal/>
    </border>
    <border diagonalUp="false" diagonalDown="false">
      <left style="thin"/>
      <right/>
      <top style="hair">
        <color theme="0" tint="-0.5"/>
      </top>
      <bottom style="medium">
        <color theme="0" tint="-0.5"/>
      </bottom>
      <diagonal/>
    </border>
    <border diagonalUp="false" diagonalDown="false">
      <left style="medium">
        <color theme="0" tint="-0.5"/>
      </left>
      <right style="thin">
        <color theme="0" tint="-0.5"/>
      </right>
      <top style="thin"/>
      <bottom/>
      <diagonal/>
    </border>
    <border diagonalUp="false" diagonalDown="false">
      <left style="medium"/>
      <right style="thin"/>
      <top style="medium"/>
      <bottom style="medium"/>
      <diagonal/>
    </border>
    <border diagonalUp="false" diagonalDown="false">
      <left/>
      <right style="thin">
        <color theme="0" tint="-0.5"/>
      </right>
      <top style="medium"/>
      <bottom/>
      <diagonal/>
    </border>
    <border diagonalUp="false" diagonalDown="false">
      <left style="thin">
        <color theme="0" tint="-0.5"/>
      </left>
      <right style="thin">
        <color theme="0" tint="-0.5"/>
      </right>
      <top style="medium"/>
      <bottom/>
      <diagonal/>
    </border>
    <border diagonalUp="false" diagonalDown="false">
      <left style="thin">
        <color theme="0" tint="-0.5"/>
      </left>
      <right style="thin">
        <color theme="0" tint="-0.5"/>
      </right>
      <top style="medium"/>
      <bottom style="hair">
        <color theme="0" tint="-0.5"/>
      </bottom>
      <diagonal/>
    </border>
    <border diagonalUp="false" diagonalDown="false">
      <left style="thin">
        <color theme="0" tint="-0.5"/>
      </left>
      <right/>
      <top style="medium"/>
      <bottom style="hair">
        <color theme="0" tint="-0.5"/>
      </bottom>
      <diagonal/>
    </border>
    <border diagonalUp="false" diagonalDown="false">
      <left/>
      <right/>
      <top style="medium"/>
      <bottom/>
      <diagonal/>
    </border>
    <border diagonalUp="false" diagonalDown="false">
      <left style="thin"/>
      <right style="thin">
        <color theme="0" tint="-0.5"/>
      </right>
      <top style="medium"/>
      <bottom style="hair">
        <color theme="0" tint="-0.5"/>
      </bottom>
      <diagonal/>
    </border>
    <border diagonalUp="false" diagonalDown="false">
      <left style="thin">
        <color theme="0" tint="-0.5"/>
      </left>
      <right style="thin"/>
      <top style="medium"/>
      <bottom style="hair">
        <color theme="0" tint="-0.5"/>
      </bottom>
      <diagonal/>
    </border>
    <border diagonalUp="false" diagonalDown="false">
      <left/>
      <right style="thin">
        <color theme="0" tint="-0.5"/>
      </right>
      <top style="medium"/>
      <bottom style="hair">
        <color theme="0" tint="-0.5"/>
      </bottom>
      <diagonal/>
    </border>
    <border diagonalUp="false" diagonalDown="false">
      <left/>
      <right style="medium"/>
      <top style="medium"/>
      <bottom style="hair">
        <color theme="0" tint="-0.5"/>
      </bottom>
      <diagonal/>
    </border>
    <border diagonalUp="false" diagonalDown="false">
      <left/>
      <right style="medium"/>
      <top style="hair">
        <color theme="0" tint="-0.5"/>
      </top>
      <bottom style="hair">
        <color theme="0" tint="-0.5"/>
      </bottom>
      <diagonal/>
    </border>
    <border diagonalUp="false" diagonalDown="false">
      <left/>
      <right style="medium"/>
      <top style="hair">
        <color theme="0" tint="-0.5"/>
      </top>
      <bottom style="thin"/>
      <diagonal/>
    </border>
    <border diagonalUp="false" diagonalDown="false">
      <left style="thin">
        <color theme="0" tint="-0.5"/>
      </left>
      <right/>
      <top style="medium">
        <color theme="0" tint="-0.5"/>
      </top>
      <bottom style="hair">
        <color theme="0" tint="-0.5"/>
      </bottom>
      <diagonal/>
    </border>
    <border diagonalUp="false" diagonalDown="false">
      <left/>
      <right/>
      <top style="hair">
        <color theme="0" tint="-0.5"/>
      </top>
      <bottom/>
      <diagonal/>
    </border>
    <border diagonalUp="false" diagonalDown="false">
      <left style="thin"/>
      <right/>
      <top style="thin"/>
      <bottom style="hair">
        <color theme="0" tint="-0.5"/>
      </bottom>
      <diagonal/>
    </border>
    <border diagonalUp="false" diagonalDown="false">
      <left style="thin"/>
      <right/>
      <top style="hair">
        <color theme="0" tint="-0.5"/>
      </top>
      <bottom style="thin"/>
      <diagonal/>
    </border>
    <border diagonalUp="false" diagonalDown="false">
      <left style="thin">
        <color theme="0" tint="-0.5"/>
      </left>
      <right style="medium">
        <color theme="0" tint="-0.5"/>
      </right>
      <top style="thin">
        <color theme="0" tint="-0.5"/>
      </top>
      <bottom style="thin"/>
      <diagonal/>
    </border>
    <border diagonalUp="false" diagonalDown="false">
      <left style="thin">
        <color theme="0" tint="-0.5"/>
      </left>
      <right style="medium">
        <color theme="0" tint="-0.5"/>
      </right>
      <top/>
      <bottom style="medium">
        <color theme="0" tint="-0.5"/>
      </bottom>
      <diagonal/>
    </border>
    <border diagonalUp="false" diagonalDown="false">
      <left style="medium">
        <color theme="0" tint="-0.5"/>
      </left>
      <right style="thin">
        <color theme="0" tint="-0.5"/>
      </right>
      <top style="hair">
        <color theme="0" tint="-0.5"/>
      </top>
      <bottom style="medium">
        <color theme="0" tint="-0.5"/>
      </bottom>
      <diagonal/>
    </border>
    <border diagonalUp="false" diagonalDown="false">
      <left style="thin">
        <color theme="0" tint="-0.5"/>
      </left>
      <right/>
      <top style="hair">
        <color theme="0" tint="-0.5"/>
      </top>
      <bottom style="medium">
        <color theme="0" tint="-0.5"/>
      </bottom>
      <diagonal/>
    </border>
    <border diagonalUp="false" diagonalDown="false">
      <left style="thin"/>
      <right/>
      <top/>
      <bottom style="medium">
        <color theme="0" tint="-0.5"/>
      </bottom>
      <diagonal/>
    </border>
    <border diagonalUp="false" diagonalDown="false">
      <left style="thin"/>
      <right style="thin"/>
      <top/>
      <bottom style="medium">
        <color theme="0" tint="-0.5"/>
      </bottom>
      <diagonal/>
    </border>
    <border diagonalUp="false" diagonalDown="false">
      <left/>
      <right style="medium"/>
      <top/>
      <bottom style="hair">
        <color theme="0" tint="-0.5"/>
      </bottom>
      <diagonal/>
    </border>
    <border diagonalUp="false" diagonalDown="false">
      <left/>
      <right style="thin">
        <color theme="0" tint="-0.5"/>
      </right>
      <top style="hair">
        <color theme="0" tint="-0.5"/>
      </top>
      <bottom style="medium"/>
      <diagonal/>
    </border>
    <border diagonalUp="false" diagonalDown="false">
      <left/>
      <right style="medium"/>
      <top style="hair">
        <color theme="0" tint="-0.5"/>
      </top>
      <bottom style="medium">
        <color theme="0" tint="-0.5"/>
      </bottom>
      <diagonal/>
    </border>
    <border diagonalUp="false" diagonalDown="false">
      <left style="thin">
        <color theme="0" tint="-0.5"/>
      </left>
      <right style="thin">
        <color theme="0" tint="-0.5"/>
      </right>
      <top style="hair">
        <color theme="0" tint="-0.5"/>
      </top>
      <bottom style="medium"/>
      <diagonal/>
    </border>
    <border diagonalUp="false" diagonalDown="false">
      <left style="thin">
        <color theme="0" tint="-0.5"/>
      </left>
      <right/>
      <top style="hair">
        <color theme="0" tint="-0.5"/>
      </top>
      <bottom style="medium"/>
      <diagonal/>
    </border>
    <border diagonalUp="false" diagonalDown="false">
      <left/>
      <right/>
      <top/>
      <bottom style="medium"/>
      <diagonal/>
    </border>
    <border diagonalUp="false" diagonalDown="false">
      <left style="thin">
        <color theme="0" tint="-0.5"/>
      </left>
      <right style="thin"/>
      <top style="hair">
        <color theme="0" tint="-0.5"/>
      </top>
      <bottom style="medium"/>
      <diagonal/>
    </border>
    <border diagonalUp="false" diagonalDown="false">
      <left style="thin"/>
      <right style="thin">
        <color theme="0" tint="-0.5"/>
      </right>
      <top style="hair">
        <color theme="0" tint="-0.5"/>
      </top>
      <bottom style="medium"/>
      <diagonal/>
    </border>
    <border diagonalUp="false" diagonalDown="false">
      <left/>
      <right style="medium"/>
      <top style="hair">
        <color theme="0" tint="-0.5"/>
      </top>
      <bottom style="mediu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style="medium"/>
      <right style="thin"/>
      <top style="thin"/>
      <bottom style="thin"/>
      <diagonal/>
    </border>
    <border diagonalUp="false" diagonalDown="false">
      <left style="medium"/>
      <right style="medium"/>
      <top style="medium"/>
      <bottom style="medium"/>
      <diagonal/>
    </border>
    <border diagonalUp="false" diagonalDown="false">
      <left style="medium">
        <color theme="0"/>
      </left>
      <right/>
      <top style="medium">
        <color theme="0"/>
      </top>
      <bottom/>
      <diagonal/>
    </border>
    <border diagonalUp="false" diagonalDown="false">
      <left/>
      <right/>
      <top style="medium">
        <color theme="0"/>
      </top>
      <bottom/>
      <diagonal/>
    </border>
    <border diagonalUp="false" diagonalDown="false">
      <left/>
      <right style="medium">
        <color theme="0"/>
      </right>
      <top style="medium">
        <color theme="0"/>
      </top>
      <bottom/>
      <diagonal/>
    </border>
    <border diagonalUp="false" diagonalDown="false">
      <left/>
      <right style="thin">
        <color theme="0"/>
      </right>
      <top style="thin">
        <color theme="0"/>
      </top>
      <bottom style="thin">
        <color theme="0"/>
      </bottom>
      <diagonal/>
    </border>
    <border diagonalUp="false" diagonalDown="false">
      <left style="thin">
        <color theme="0"/>
      </left>
      <right style="medium">
        <color theme="0"/>
      </right>
      <top style="thin">
        <color theme="0"/>
      </top>
      <bottom style="medium">
        <color theme="0"/>
      </bottom>
      <diagonal/>
    </border>
    <border diagonalUp="false" diagonalDown="false">
      <left style="medium">
        <color theme="0"/>
      </left>
      <right style="medium">
        <color theme="0"/>
      </right>
      <top style="thin">
        <color theme="0"/>
      </top>
      <bottom style="medium">
        <color theme="0"/>
      </bottom>
      <diagonal/>
    </border>
    <border diagonalUp="false" diagonalDown="false">
      <left/>
      <right style="medium">
        <color theme="0"/>
      </right>
      <top/>
      <bottom style="medium">
        <color theme="0"/>
      </bottom>
      <diagonal/>
    </border>
    <border diagonalUp="false" diagonalDown="false">
      <left/>
      <right style="thin">
        <color theme="1" tint="0.2499"/>
      </right>
      <top style="thin">
        <color theme="0"/>
      </top>
      <bottom style="thin">
        <color theme="1" tint="0.2499"/>
      </bottom>
      <diagonal/>
    </border>
    <border diagonalUp="false" diagonalDown="false">
      <left style="medium">
        <color rgb="FFFF0000"/>
      </left>
      <right style="thin"/>
      <top style="medium">
        <color rgb="FFFF0000"/>
      </top>
      <bottom/>
      <diagonal/>
    </border>
    <border diagonalUp="false" diagonalDown="false">
      <left style="thin"/>
      <right style="thin"/>
      <top style="medium">
        <color rgb="FFFF0000"/>
      </top>
      <bottom style="thin"/>
      <diagonal/>
    </border>
    <border diagonalUp="false" diagonalDown="false">
      <left style="thin"/>
      <right style="thin"/>
      <top style="medium">
        <color rgb="FFFF0000"/>
      </top>
      <bottom/>
      <diagonal/>
    </border>
    <border diagonalUp="false" diagonalDown="false">
      <left/>
      <right style="thin"/>
      <top style="medium">
        <color rgb="FFFF0000"/>
      </top>
      <bottom style="thin"/>
      <diagonal/>
    </border>
    <border diagonalUp="false" diagonalDown="false">
      <left style="thin"/>
      <right style="medium">
        <color rgb="FFFF0000"/>
      </right>
      <top style="medium">
        <color rgb="FFFF0000"/>
      </top>
      <bottom/>
      <diagonal/>
    </border>
    <border diagonalUp="false" diagonalDown="false">
      <left style="medium">
        <color rgb="FFFF0000"/>
      </left>
      <right style="thin"/>
      <top style="thin"/>
      <bottom style="thin"/>
      <diagonal/>
    </border>
    <border diagonalUp="false" diagonalDown="false">
      <left/>
      <right style="medium">
        <color rgb="FFFF0000"/>
      </right>
      <top style="thin"/>
      <bottom style="thin"/>
      <diagonal/>
    </border>
    <border diagonalUp="false" diagonalDown="false">
      <left style="medium">
        <color rgb="FFFF0000"/>
      </left>
      <right style="thin"/>
      <top/>
      <bottom style="thin"/>
      <diagonal/>
    </border>
    <border diagonalUp="false" diagonalDown="false">
      <left/>
      <right style="medium">
        <color rgb="FFFF0000"/>
      </right>
      <top/>
      <bottom style="thin"/>
      <diagonal/>
    </border>
    <border diagonalUp="false" diagonalDown="false">
      <left style="medium">
        <color rgb="FFFF0000"/>
      </left>
      <right style="thin"/>
      <top/>
      <bottom style="medium">
        <color rgb="FFFF0000"/>
      </bottom>
      <diagonal/>
    </border>
    <border diagonalUp="false" diagonalDown="false">
      <left/>
      <right style="thin"/>
      <top/>
      <bottom style="medium">
        <color rgb="FFFF0000"/>
      </bottom>
      <diagonal/>
    </border>
    <border diagonalUp="false" diagonalDown="false">
      <left/>
      <right/>
      <top/>
      <bottom style="medium">
        <color rgb="FFFF0000"/>
      </bottom>
      <diagonal/>
    </border>
    <border diagonalUp="false" diagonalDown="false">
      <left/>
      <right style="medium">
        <color rgb="FFFF0000"/>
      </right>
      <top/>
      <bottom style="medium">
        <color rgb="FFFF0000"/>
      </bottom>
      <diagonal/>
    </border>
    <border diagonalUp="false" diagonalDown="false">
      <left/>
      <right style="thin">
        <color theme="0"/>
      </right>
      <top/>
      <bottom/>
      <diagonal/>
    </border>
    <border diagonalUp="false" diagonalDown="false">
      <left style="medium">
        <color theme="0"/>
      </left>
      <right/>
      <top/>
      <bottom style="medium">
        <color theme="0"/>
      </bottom>
      <diagonal/>
    </border>
    <border diagonalUp="false" diagonalDown="false">
      <left/>
      <right/>
      <top/>
      <bottom style="medium">
        <color theme="0"/>
      </bottom>
      <diagonal/>
    </border>
    <border diagonalUp="false" diagonalDown="false">
      <left style="thin"/>
      <right style="thin"/>
      <top/>
      <bottom style="thin">
        <color theme="0"/>
      </bottom>
      <diagonal/>
    </border>
    <border diagonalUp="false" diagonalDown="false">
      <left/>
      <right/>
      <top style="thin">
        <color theme="0"/>
      </top>
      <bottom style="thin"/>
      <diagonal/>
    </border>
    <border diagonalUp="false" diagonalDown="false">
      <left/>
      <right style="medium">
        <color theme="0"/>
      </right>
      <top/>
      <bottom style="thin">
        <color theme="0"/>
      </bottom>
      <diagonal/>
    </border>
    <border diagonalUp="false" diagonalDown="false">
      <left style="thin">
        <color theme="0"/>
      </left>
      <right style="thin">
        <color rgb="FFFFFFFF"/>
      </right>
      <top style="thin">
        <color theme="0"/>
      </top>
      <bottom style="thin">
        <color theme="0"/>
      </bottom>
      <diagonal/>
    </border>
    <border diagonalUp="false" diagonalDown="false">
      <left/>
      <right style="thin"/>
      <top style="thin">
        <color theme="0"/>
      </top>
      <bottom style="thin">
        <color theme="0"/>
      </bottom>
      <diagonal/>
    </border>
    <border diagonalUp="false" diagonalDown="false">
      <left style="medium">
        <color theme="0"/>
      </left>
      <right/>
      <top style="thin">
        <color theme="0"/>
      </top>
      <bottom style="medium">
        <color theme="0"/>
      </bottom>
      <diagonal/>
    </border>
    <border diagonalUp="false" diagonalDown="false">
      <left style="thin">
        <color theme="1" tint="0.3499"/>
      </left>
      <right style="thin">
        <color theme="1" tint="0.3499"/>
      </right>
      <top style="medium">
        <color theme="0"/>
      </top>
      <bottom/>
      <diagonal/>
    </border>
    <border diagonalUp="false" diagonalDown="false">
      <left/>
      <right style="thin">
        <color theme="1" tint="0.3499"/>
      </right>
      <top/>
      <bottom/>
      <diagonal/>
    </border>
    <border diagonalUp="false" diagonalDown="false">
      <left/>
      <right style="thin">
        <color theme="1" tint="0.3499"/>
      </right>
      <top style="thin">
        <color theme="0"/>
      </top>
      <bottom/>
      <diagonal/>
    </border>
    <border diagonalUp="false" diagonalDown="false">
      <left/>
      <right style="thin">
        <color theme="1" tint="0.3499"/>
      </right>
      <top/>
      <bottom style="thin">
        <color theme="1" tint="0.3499"/>
      </bottom>
      <diagonal/>
    </border>
    <border diagonalUp="false" diagonalDown="false">
      <left style="thin">
        <color rgb="FF7F7F7F"/>
      </left>
      <right style="thin">
        <color rgb="FF7F7F7F"/>
      </right>
      <top style="thin">
        <color rgb="FF7F7F7F"/>
      </top>
      <bottom style="thin"/>
      <diagonal/>
    </border>
    <border diagonalUp="false" diagonalDown="false">
      <left style="thin">
        <color rgb="FF7F7F7F"/>
      </left>
      <right style="thin">
        <color rgb="FF7F7F7F"/>
      </right>
      <top style="thin"/>
      <bottom style="thin">
        <color theme="1" tint="0.2499"/>
      </bottom>
      <diagonal/>
    </border>
    <border diagonalUp="false" diagonalDown="false">
      <left style="thin">
        <color rgb="FF7F7F7F"/>
      </left>
      <right style="thin">
        <color rgb="FF7F7F7F"/>
      </right>
      <top/>
      <bottom style="thin">
        <color theme="1" tint="0.2499"/>
      </bottom>
      <diagonal/>
    </border>
    <border diagonalUp="false" diagonalDown="false">
      <left style="thin">
        <color rgb="FF7F7F7F"/>
      </left>
      <right style="thin">
        <color rgb="FF7F7F7F"/>
      </right>
      <top/>
      <bottom style="thin">
        <color rgb="FFD9D9D9"/>
      </bottom>
      <diagonal/>
    </border>
    <border diagonalUp="false" diagonalDown="false">
      <left style="thin">
        <color rgb="FF7F7F7F"/>
      </left>
      <right style="thin">
        <color rgb="FF7F7F7F"/>
      </right>
      <top style="thin">
        <color theme="1" tint="0.2499"/>
      </top>
      <bottom style="thin">
        <color theme="1" tint="0.2499"/>
      </bottom>
      <diagonal/>
    </border>
    <border diagonalUp="false" diagonalDown="false">
      <left style="thin">
        <color rgb="FF7F7F7F"/>
      </left>
      <right style="thin">
        <color rgb="FF7F7F7F"/>
      </right>
      <top style="thin">
        <color rgb="FFD9D9D9"/>
      </top>
      <bottom style="thin">
        <color theme="0" tint="-0.15"/>
      </bottom>
      <diagonal/>
    </border>
    <border diagonalUp="false" diagonalDown="false">
      <left style="thin">
        <color rgb="FF7F7F7F"/>
      </left>
      <right style="thin">
        <color rgb="FF7F7F7F"/>
      </right>
      <top style="thin">
        <color rgb="FFD9D9D9"/>
      </top>
      <bottom style="thin">
        <color theme="1" tint="0.2499"/>
      </bottom>
      <diagonal/>
    </border>
    <border diagonalUp="false" diagonalDown="false">
      <left/>
      <right/>
      <top/>
      <bottom style="double">
        <color theme="1" tint="0.3499"/>
      </bottom>
      <diagonal/>
    </border>
    <border diagonalUp="false" diagonalDown="false">
      <left style="thin">
        <color theme="1" tint="0.3499"/>
      </left>
      <right style="thin">
        <color theme="0"/>
      </right>
      <top style="double">
        <color theme="1" tint="0.3499"/>
      </top>
      <bottom style="double">
        <color theme="1" tint="0.3499"/>
      </bottom>
      <diagonal/>
    </border>
    <border diagonalUp="false" diagonalDown="false">
      <left/>
      <right style="thin">
        <color theme="0"/>
      </right>
      <top style="double">
        <color theme="1" tint="0.3499"/>
      </top>
      <bottom style="double">
        <color theme="1" tint="0.3499"/>
      </bottom>
      <diagonal/>
    </border>
    <border diagonalUp="false" diagonalDown="false">
      <left/>
      <right/>
      <top style="double">
        <color theme="1" tint="0.3499"/>
      </top>
      <bottom style="double">
        <color theme="1" tint="0.3499"/>
      </bottom>
      <diagonal/>
    </border>
    <border diagonalUp="false" diagonalDown="false">
      <left/>
      <right style="thin">
        <color theme="1" tint="0.3499"/>
      </right>
      <top style="double">
        <color theme="1" tint="0.3499"/>
      </top>
      <bottom style="double">
        <color theme="1" tint="0.3499"/>
      </bottom>
      <diagonal/>
    </border>
    <border diagonalUp="false" diagonalDown="false">
      <left style="thin">
        <color theme="1" tint="0.3499"/>
      </left>
      <right style="thin">
        <color theme="0" tint="-0.25"/>
      </right>
      <top style="double">
        <color theme="1" tint="0.3499"/>
      </top>
      <bottom/>
      <diagonal/>
    </border>
    <border diagonalUp="false" diagonalDown="false">
      <left style="thin">
        <color theme="0" tint="-0.25"/>
      </left>
      <right style="thin">
        <color theme="0" tint="-0.25"/>
      </right>
      <top/>
      <bottom style="thin">
        <color theme="0" tint="-0.25"/>
      </bottom>
      <diagonal/>
    </border>
    <border diagonalUp="false" diagonalDown="false">
      <left/>
      <right/>
      <top/>
      <bottom style="thin">
        <color theme="0" tint="-0.25"/>
      </bottom>
      <diagonal/>
    </border>
    <border diagonalUp="false" diagonalDown="false">
      <left/>
      <right style="thin">
        <color theme="1" tint="0.3499"/>
      </right>
      <top/>
      <bottom style="thin">
        <color theme="0" tint="-0.25"/>
      </bottom>
      <diagonal/>
    </border>
    <border diagonalUp="false" diagonalDown="false">
      <left style="thin">
        <color theme="1" tint="0.3499"/>
      </left>
      <right style="thin">
        <color theme="0" tint="-0.25"/>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top style="thin">
        <color theme="0" tint="-0.25"/>
      </top>
      <bottom style="thin">
        <color theme="0" tint="-0.25"/>
      </bottom>
      <diagonal/>
    </border>
    <border diagonalUp="false" diagonalDown="false">
      <left style="thin">
        <color rgb="FFBFBFBF"/>
      </left>
      <right style="thin">
        <color rgb="FFBFBFBF"/>
      </right>
      <top style="double">
        <color rgb="FF595959"/>
      </top>
      <bottom style="thin">
        <color rgb="FFBFBFBF"/>
      </bottom>
      <diagonal/>
    </border>
    <border diagonalUp="false" diagonalDown="false">
      <left style="thin">
        <color theme="0" tint="-0.25"/>
      </left>
      <right style="thin">
        <color theme="0" tint="-0.25"/>
      </right>
      <top/>
      <bottom/>
      <diagonal/>
    </border>
    <border diagonalUp="false" diagonalDown="false">
      <left/>
      <right style="thin">
        <color theme="1" tint="0.3499"/>
      </right>
      <top style="thin">
        <color theme="0" tint="-0.25"/>
      </top>
      <bottom style="thin">
        <color theme="0" tint="-0.25"/>
      </bottom>
      <diagonal/>
    </border>
    <border diagonalUp="false" diagonalDown="false">
      <left style="thin">
        <color theme="1" tint="0.3499"/>
      </left>
      <right style="thin">
        <color theme="0" tint="-0.25"/>
      </right>
      <top/>
      <bottom style="double">
        <color theme="1" tint="0.3499"/>
      </bottom>
      <diagonal/>
    </border>
    <border diagonalUp="false" diagonalDown="false">
      <left style="thin">
        <color theme="0" tint="-0.25"/>
      </left>
      <right style="thin">
        <color theme="0" tint="-0.25"/>
      </right>
      <top style="thin">
        <color theme="0" tint="-0.25"/>
      </top>
      <bottom style="double">
        <color theme="1" tint="0.3499"/>
      </bottom>
      <diagonal/>
    </border>
    <border diagonalUp="false" diagonalDown="false">
      <left/>
      <right/>
      <top style="thin">
        <color theme="0" tint="-0.25"/>
      </top>
      <bottom style="double">
        <color theme="1" tint="0.3499"/>
      </bottom>
      <diagonal/>
    </border>
    <border diagonalUp="false" diagonalDown="false">
      <left/>
      <right style="thin">
        <color theme="1" tint="0.3499"/>
      </right>
      <top style="thin">
        <color theme="0" tint="-0.25"/>
      </top>
      <bottom style="double">
        <color theme="1" tint="0.3499"/>
      </bottom>
      <diagonal/>
    </border>
    <border diagonalUp="false" diagonalDown="false">
      <left style="thin">
        <color theme="0" tint="-0.25"/>
      </left>
      <right style="thin">
        <color theme="0" tint="-0.5"/>
      </right>
      <top style="double">
        <color theme="1" tint="0.3499"/>
      </top>
      <bottom style="thin">
        <color theme="0" tint="-0.25"/>
      </bottom>
      <diagonal/>
    </border>
    <border diagonalUp="false" diagonalDown="false">
      <left style="thin">
        <color theme="0" tint="-0.25"/>
      </left>
      <right style="thin">
        <color theme="0" tint="-0.5"/>
      </right>
      <top/>
      <bottom style="thin">
        <color theme="0" tint="-0.25"/>
      </bottom>
      <diagonal/>
    </border>
    <border diagonalUp="false" diagonalDown="false">
      <left style="thin">
        <color theme="1" tint="0.3499"/>
      </left>
      <right style="thin">
        <color theme="0" tint="-0.25"/>
      </right>
      <top/>
      <bottom style="thin">
        <color theme="1" tint="0.3499"/>
      </bottom>
      <diagonal/>
    </border>
    <border diagonalUp="false" diagonalDown="false">
      <left style="thin">
        <color theme="0" tint="-0.25"/>
      </left>
      <right style="thin">
        <color theme="0" tint="-0.25"/>
      </right>
      <top/>
      <bottom style="thin">
        <color theme="1" tint="0.3499"/>
      </bottom>
      <diagonal/>
    </border>
    <border diagonalUp="false" diagonalDown="false">
      <left style="thin">
        <color theme="0" tint="-0.25"/>
      </left>
      <right style="thin">
        <color theme="0" tint="-0.5"/>
      </right>
      <top style="thin">
        <color theme="0" tint="-0.25"/>
      </top>
      <bottom style="thin">
        <color theme="1" tint="0.3499"/>
      </bottom>
      <diagonal/>
    </border>
    <border diagonalUp="false" diagonalDown="false">
      <left style="thin">
        <color theme="1" tint="0.3499"/>
      </left>
      <right style="thin">
        <color theme="0" tint="-0.25"/>
      </right>
      <top style="thin">
        <color theme="1" tint="0.3499"/>
      </top>
      <bottom/>
      <diagonal/>
    </border>
    <border diagonalUp="false" diagonalDown="false">
      <left/>
      <right/>
      <top style="thin">
        <color theme="1" tint="0.3499"/>
      </top>
      <bottom/>
      <diagonal/>
    </border>
    <border diagonalUp="false" diagonalDown="false">
      <left style="thin">
        <color theme="0" tint="-0.25"/>
      </left>
      <right style="thin">
        <color theme="0" tint="-0.25"/>
      </right>
      <top style="thin">
        <color theme="1" tint="0.3499"/>
      </top>
      <bottom style="thin">
        <color theme="0" tint="-0.25"/>
      </bottom>
      <diagonal/>
    </border>
    <border diagonalUp="false" diagonalDown="false">
      <left/>
      <right/>
      <top style="thin">
        <color theme="1" tint="0.3499"/>
      </top>
      <bottom style="thin">
        <color theme="0" tint="-0.25"/>
      </bottom>
      <diagonal/>
    </border>
    <border diagonalUp="false" diagonalDown="false">
      <left/>
      <right style="thin">
        <color theme="1" tint="0.3499"/>
      </right>
      <top style="thin">
        <color theme="1" tint="0.3499"/>
      </top>
      <bottom style="thin">
        <color theme="0" tint="-0.25"/>
      </bottom>
      <diagonal/>
    </border>
    <border diagonalUp="false" diagonalDown="false">
      <left/>
      <right/>
      <top style="thin">
        <color theme="0" tint="-0.25"/>
      </top>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style="thin">
        <color theme="0" tint="-0.25"/>
      </top>
      <bottom style="thin">
        <color theme="1" tint="0.3499"/>
      </bottom>
      <diagonal/>
    </border>
    <border diagonalUp="false" diagonalDown="false">
      <left style="thin">
        <color theme="0" tint="-0.25"/>
      </left>
      <right style="thin">
        <color theme="0" tint="-0.25"/>
      </right>
      <top style="thin">
        <color theme="1" tint="0.3499"/>
      </top>
      <bottom/>
      <diagonal/>
    </border>
    <border diagonalUp="false" diagonalDown="false">
      <left/>
      <right style="thin">
        <color theme="0" tint="-0.25"/>
      </right>
      <top/>
      <bottom style="thin">
        <color theme="0" tint="-0.25"/>
      </bottom>
      <diagonal/>
    </border>
    <border diagonalUp="false" diagonalDown="false">
      <left/>
      <right style="thin">
        <color theme="0" tint="-0.25"/>
      </right>
      <top style="thin">
        <color theme="0" tint="-0.25"/>
      </top>
      <bottom style="thin">
        <color theme="0" tint="-0.25"/>
      </bottom>
      <diagonal/>
    </border>
    <border diagonalUp="false" diagonalDown="false">
      <left/>
      <right style="thin">
        <color theme="0" tint="-0.25"/>
      </right>
      <top/>
      <bottom/>
      <diagonal/>
    </border>
    <border diagonalUp="false" diagonalDown="false">
      <left/>
      <right style="thin">
        <color theme="0" tint="-0.25"/>
      </right>
      <top/>
      <bottom style="double">
        <color theme="1" tint="0.3499"/>
      </bottom>
      <diagonal/>
    </border>
    <border diagonalUp="false" diagonalDown="false">
      <left style="thin">
        <color theme="0" tint="-0.25"/>
      </left>
      <right style="thin">
        <color theme="0" tint="-0.25"/>
      </right>
      <top/>
      <bottom style="double">
        <color theme="1" tint="0.3499"/>
      </bottom>
      <diagonal/>
    </border>
    <border diagonalUp="false" diagonalDown="false">
      <left style="thin">
        <color theme="0" tint="-0.25"/>
      </left>
      <right style="thin">
        <color theme="0" tint="-0.25"/>
      </right>
      <top style="thin">
        <color theme="0" tint="-0.25"/>
      </top>
      <bottom style="double">
        <color theme="1" tint="0.2499"/>
      </bottom>
      <diagonal/>
    </border>
    <border diagonalUp="false" diagonalDown="false">
      <left style="thin">
        <color theme="0" tint="-0.25"/>
      </left>
      <right/>
      <top style="thin">
        <color theme="0" tint="-0.25"/>
      </top>
      <bottom style="double">
        <color theme="1" tint="0.2499"/>
      </bottom>
      <diagonal/>
    </border>
    <border diagonalUp="false" diagonalDown="false">
      <left/>
      <right style="thin">
        <color theme="1" tint="0.3499"/>
      </right>
      <top style="thin">
        <color theme="0" tint="-0.25"/>
      </top>
      <bottom style="double">
        <color theme="1" tint="0.2499"/>
      </bottom>
      <diagonal/>
    </border>
    <border diagonalUp="false" diagonalDown="false">
      <left style="thin">
        <color theme="1" tint="0.3499"/>
      </left>
      <right/>
      <top style="thin">
        <color theme="0" tint="-0.5"/>
      </top>
      <bottom style="double">
        <color theme="1" tint="0.3499"/>
      </bottom>
      <diagonal/>
    </border>
    <border diagonalUp="false" diagonalDown="false">
      <left style="thin">
        <color theme="1" tint="0.3499"/>
      </left>
      <right style="thin">
        <color theme="1" tint="0.3499"/>
      </right>
      <top style="thin">
        <color theme="1" tint="0.3499"/>
      </top>
      <bottom/>
      <diagonal/>
    </border>
    <border diagonalUp="false" diagonalDown="false">
      <left style="thin">
        <color theme="1" tint="0.3499"/>
      </left>
      <right style="thin">
        <color theme="0" tint="-0.25"/>
      </right>
      <top style="thin">
        <color theme="1" tint="0.3499"/>
      </top>
      <bottom style="thin">
        <color theme="0" tint="-0.25"/>
      </bottom>
      <diagonal/>
    </border>
    <border diagonalUp="false" diagonalDown="false">
      <left/>
      <right/>
      <top style="thin">
        <color theme="0" tint="-0.25"/>
      </top>
      <bottom style="thin">
        <color theme="1" tint="0.3499"/>
      </bottom>
      <diagonal/>
    </border>
    <border diagonalUp="false" diagonalDown="false">
      <left/>
      <right style="thin">
        <color theme="1" tint="0.3499"/>
      </right>
      <top style="thin">
        <color theme="0" tint="-0.25"/>
      </top>
      <bottom style="thin">
        <color theme="1" tint="0.3499"/>
      </bottom>
      <diagonal/>
    </border>
  </borders>
  <cellStyleXfs count="37">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center"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center" textRotation="0" wrapText="false" indent="0" shrinkToFit="false"/>
    </xf>
    <xf numFmtId="165" fontId="0" fillId="0" borderId="0" applyFont="true" applyBorder="false" applyAlignment="true" applyProtection="false">
      <alignment horizontal="general" vertical="center" textRotation="0" wrapText="false" indent="0" shrinkToFit="false"/>
    </xf>
    <xf numFmtId="165" fontId="0" fillId="0" borderId="0" applyFont="true" applyBorder="false" applyAlignment="true" applyProtection="false">
      <alignment horizontal="general" vertical="center" textRotation="0" wrapText="false" indent="0" shrinkToFit="false"/>
    </xf>
    <xf numFmtId="165" fontId="0" fillId="0" borderId="0" applyFont="true" applyBorder="false" applyAlignment="true" applyProtection="false">
      <alignment horizontal="general" vertical="center" textRotation="0" wrapText="false" indent="0" shrinkToFit="false"/>
    </xf>
    <xf numFmtId="166" fontId="0" fillId="0" borderId="0" applyFont="true" applyBorder="false" applyAlignment="true" applyProtection="false">
      <alignment horizontal="general" vertical="center" textRotation="0" wrapText="false" indent="0" shrinkToFit="false"/>
    </xf>
    <xf numFmtId="166" fontId="0" fillId="0" borderId="0" applyFont="true" applyBorder="false" applyAlignment="true" applyProtection="false">
      <alignment horizontal="general" vertical="center" textRotation="0" wrapText="false" indent="0" shrinkToFit="false"/>
    </xf>
    <xf numFmtId="166" fontId="0" fillId="0" borderId="0" applyFont="true" applyBorder="false" applyAlignment="true" applyProtection="false">
      <alignment horizontal="general" vertical="center" textRotation="0" wrapText="false" indent="0" shrinkToFit="false"/>
    </xf>
    <xf numFmtId="166" fontId="0" fillId="0" borderId="0" applyFont="true" applyBorder="false" applyAlignment="true" applyProtection="false">
      <alignment horizontal="general" vertical="center" textRotation="0" wrapText="false" indent="0" shrinkToFit="false"/>
    </xf>
    <xf numFmtId="164"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false" applyAlignment="true" applyProtection="false">
      <alignment horizontal="general" vertical="center" textRotation="0" wrapText="false" indent="0" shrinkToFit="false"/>
    </xf>
    <xf numFmtId="172" fontId="0" fillId="0" borderId="0" applyFont="true" applyBorder="false" applyAlignment="true" applyProtection="false">
      <alignment horizontal="general" vertical="center" textRotation="0" wrapText="false" indent="0" shrinkToFit="false"/>
    </xf>
  </cellStyleXfs>
  <cellXfs count="2580">
    <xf numFmtId="164" fontId="0" fillId="0" borderId="0" xfId="0" applyFont="false" applyBorder="false" applyAlignment="false" applyProtection="false">
      <alignment horizontal="general"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8"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8" fontId="0" fillId="0" borderId="0" xfId="0" applyFont="fals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general" vertical="center" textRotation="0" wrapText="true" indent="0" shrinkToFit="false"/>
      <protection locked="true" hidden="false"/>
    </xf>
    <xf numFmtId="164" fontId="0" fillId="0" borderId="6" xfId="0" applyFont="true" applyBorder="true" applyAlignment="true" applyProtection="false">
      <alignment horizontal="general" vertical="center" textRotation="0" wrapText="tru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left" vertical="center" textRotation="0" wrapText="false" indent="0" shrinkToFit="false"/>
      <protection locked="true" hidden="false"/>
    </xf>
    <xf numFmtId="164" fontId="0" fillId="0" borderId="9" xfId="0" applyFont="true" applyBorder="true" applyAlignment="true" applyProtection="false">
      <alignment horizontal="general" vertical="center" textRotation="0" wrapText="true" indent="0" shrinkToFit="false"/>
      <protection locked="true" hidden="false"/>
    </xf>
    <xf numFmtId="164" fontId="0" fillId="0" borderId="8"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9" fillId="2" borderId="10"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true" indent="0" shrinkToFit="false"/>
      <protection locked="true" hidden="false"/>
    </xf>
    <xf numFmtId="164" fontId="0" fillId="0" borderId="5" xfId="0" applyFont="tru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left" vertical="center" textRotation="0" wrapText="true" indent="0" shrinkToFit="false"/>
      <protection locked="true" hidden="false"/>
    </xf>
    <xf numFmtId="164" fontId="5" fillId="0" borderId="0" xfId="32" applyFont="true" applyBorder="false" applyAlignment="true" applyProtection="false">
      <alignment horizontal="general" vertical="center" textRotation="0" wrapText="false" indent="0" shrinkToFit="false"/>
      <protection locked="true" hidden="false"/>
    </xf>
    <xf numFmtId="164" fontId="11" fillId="0" borderId="0" xfId="32" applyFont="true" applyBorder="false" applyAlignment="true" applyProtection="false">
      <alignment horizontal="general" vertical="center" textRotation="0" wrapText="false" indent="0" shrinkToFit="false"/>
      <protection locked="true" hidden="false"/>
    </xf>
    <xf numFmtId="164" fontId="11" fillId="0" borderId="0" xfId="32" applyFont="true" applyBorder="false" applyAlignment="true" applyProtection="false">
      <alignment horizontal="center" vertical="center" textRotation="0" wrapText="false" indent="0" shrinkToFit="false"/>
      <protection locked="true" hidden="false"/>
    </xf>
    <xf numFmtId="164" fontId="11" fillId="0" borderId="0" xfId="32" applyFont="true" applyBorder="false" applyAlignment="true" applyProtection="false">
      <alignment horizontal="right" vertical="center" textRotation="0" wrapText="false" indent="0" shrinkToFit="false"/>
      <protection locked="true" hidden="false"/>
    </xf>
    <xf numFmtId="164" fontId="11" fillId="3" borderId="5" xfId="32" applyFont="true" applyBorder="true" applyAlignment="true" applyProtection="false">
      <alignment horizontal="center" vertical="center" textRotation="0" wrapText="false" indent="0" shrinkToFit="false"/>
      <protection locked="true" hidden="false"/>
    </xf>
    <xf numFmtId="165" fontId="5" fillId="0" borderId="0" xfId="32" applyFont="true" applyBorder="false" applyAlignment="true" applyProtection="false">
      <alignment horizontal="general" vertical="center" textRotation="0" wrapText="false" indent="0" shrinkToFit="false"/>
      <protection locked="true" hidden="false"/>
    </xf>
    <xf numFmtId="164" fontId="11" fillId="0" borderId="5" xfId="32" applyFont="true" applyBorder="true" applyAlignment="true" applyProtection="false">
      <alignment horizontal="center" vertical="center" textRotation="0" wrapText="false" indent="0" shrinkToFit="false"/>
      <protection locked="true" hidden="false"/>
    </xf>
    <xf numFmtId="169" fontId="11" fillId="0" borderId="5" xfId="25" applyFont="true" applyBorder="true" applyAlignment="true" applyProtection="true">
      <alignment horizontal="general" vertical="center" textRotation="0" wrapText="false" indent="0" shrinkToFit="false"/>
      <protection locked="true" hidden="false"/>
    </xf>
    <xf numFmtId="169" fontId="12" fillId="0" borderId="5" xfId="25" applyFont="true" applyBorder="true" applyAlignment="true" applyProtection="true">
      <alignment horizontal="general" vertical="center" textRotation="0" wrapText="false" indent="0" shrinkToFit="false"/>
      <protection locked="true" hidden="false"/>
    </xf>
    <xf numFmtId="166" fontId="12" fillId="0" borderId="5" xfId="25" applyFont="true" applyBorder="true" applyAlignment="true" applyProtection="true">
      <alignment horizontal="general" vertical="center" textRotation="0" wrapText="false" indent="0" shrinkToFit="false"/>
      <protection locked="true" hidden="false"/>
    </xf>
    <xf numFmtId="164" fontId="5" fillId="4" borderId="0" xfId="32" applyFont="true" applyBorder="false" applyAlignment="true" applyProtection="false">
      <alignment horizontal="general" vertical="center" textRotation="0" wrapText="false" indent="0" shrinkToFit="false"/>
      <protection locked="true" hidden="false"/>
    </xf>
    <xf numFmtId="165" fontId="12" fillId="4" borderId="5" xfId="32" applyFont="true" applyBorder="true" applyAlignment="true" applyProtection="false">
      <alignment horizontal="center" vertical="center" textRotation="0" wrapText="false" indent="0" shrinkToFit="false"/>
      <protection locked="true" hidden="false"/>
    </xf>
    <xf numFmtId="166" fontId="12" fillId="4" borderId="5" xfId="25" applyFont="true" applyBorder="true" applyAlignment="true" applyProtection="true">
      <alignment horizontal="general" vertical="center" textRotation="0" wrapText="false" indent="0" shrinkToFit="false"/>
      <protection locked="true" hidden="false"/>
    </xf>
    <xf numFmtId="165" fontId="12" fillId="0" borderId="5" xfId="32" applyFont="true" applyBorder="true" applyAlignment="true" applyProtection="false">
      <alignment horizontal="center" vertical="center" textRotation="0" wrapText="false" indent="0" shrinkToFit="false"/>
      <protection locked="true" hidden="false"/>
    </xf>
    <xf numFmtId="165" fontId="13" fillId="4" borderId="5" xfId="32" applyFont="true" applyBorder="true" applyAlignment="true" applyProtection="false">
      <alignment horizontal="center" vertical="center" textRotation="0" wrapText="false" indent="0" shrinkToFit="false"/>
      <protection locked="true" hidden="false"/>
    </xf>
    <xf numFmtId="166" fontId="13" fillId="4" borderId="5" xfId="25" applyFont="true" applyBorder="true" applyAlignment="true" applyProtection="true">
      <alignment horizontal="general" vertical="center" textRotation="0" wrapText="false" indent="0" shrinkToFit="false"/>
      <protection locked="true" hidden="false"/>
    </xf>
    <xf numFmtId="165" fontId="13" fillId="0" borderId="5" xfId="32" applyFont="true" applyBorder="true" applyAlignment="true" applyProtection="false">
      <alignment horizontal="center" vertical="center" textRotation="0" wrapText="false" indent="0" shrinkToFit="false"/>
      <protection locked="true" hidden="false"/>
    </xf>
    <xf numFmtId="166" fontId="13" fillId="0" borderId="5" xfId="25" applyFont="true" applyBorder="true" applyAlignment="true" applyProtection="true">
      <alignment horizontal="general" vertical="center" textRotation="0" wrapText="false" indent="0" shrinkToFit="false"/>
      <protection locked="true" hidden="false"/>
    </xf>
    <xf numFmtId="169" fontId="12" fillId="0" borderId="5" xfId="25" applyFont="true" applyBorder="true" applyAlignment="true" applyProtection="true">
      <alignment horizontal="center" vertical="center" textRotation="0" wrapText="false" indent="0" shrinkToFit="false"/>
      <protection locked="true" hidden="false"/>
    </xf>
    <xf numFmtId="166" fontId="12" fillId="0" borderId="0" xfId="25" applyFont="true" applyBorder="true" applyAlignment="true" applyProtection="true">
      <alignment horizontal="center" vertical="center" textRotation="0" wrapText="false" indent="0" shrinkToFit="false"/>
      <protection locked="true" hidden="false"/>
    </xf>
    <xf numFmtId="169" fontId="12" fillId="0" borderId="0" xfId="25" applyFont="true" applyBorder="true" applyAlignment="true" applyProtection="true">
      <alignment horizontal="center" vertical="center" textRotation="0" wrapText="false" indent="0" shrinkToFit="false"/>
      <protection locked="true" hidden="false"/>
    </xf>
    <xf numFmtId="169" fontId="12" fillId="0" borderId="0" xfId="25" applyFont="true" applyBorder="true" applyAlignment="true" applyProtection="true">
      <alignment horizontal="general" vertical="center" textRotation="0" wrapText="false" indent="0" shrinkToFit="false"/>
      <protection locked="true" hidden="false"/>
    </xf>
    <xf numFmtId="165" fontId="11" fillId="0" borderId="0" xfId="32" applyFont="true" applyBorder="false" applyAlignment="true" applyProtection="false">
      <alignment horizontal="center" vertical="center" textRotation="0" wrapText="false" indent="0" shrinkToFit="false"/>
      <protection locked="true" hidden="false"/>
    </xf>
    <xf numFmtId="166" fontId="12" fillId="0" borderId="0" xfId="25" applyFont="true" applyBorder="true" applyAlignment="true" applyProtection="true">
      <alignment horizontal="general" vertical="center" textRotation="0" wrapText="false" indent="0" shrinkToFit="false"/>
      <protection locked="true" hidden="false"/>
    </xf>
    <xf numFmtId="166" fontId="11" fillId="0" borderId="0" xfId="25" applyFont="true" applyBorder="true" applyAlignment="true" applyProtection="true">
      <alignment horizontal="general" vertical="center" textRotation="0" wrapText="false" indent="0" shrinkToFit="false"/>
      <protection locked="true" hidden="false"/>
    </xf>
    <xf numFmtId="166" fontId="11" fillId="0" borderId="0" xfId="32" applyFont="true" applyBorder="false" applyAlignment="true" applyProtection="false">
      <alignment horizontal="center" vertical="center" textRotation="0" wrapText="false" indent="0" shrinkToFit="false"/>
      <protection locked="true" hidden="false"/>
    </xf>
    <xf numFmtId="165" fontId="12" fillId="0" borderId="0" xfId="32" applyFont="true" applyBorder="false" applyAlignment="true" applyProtection="false">
      <alignment horizontal="center" vertical="center" textRotation="0" wrapText="false" indent="0" shrinkToFit="false"/>
      <protection locked="true" hidden="false"/>
    </xf>
    <xf numFmtId="170" fontId="11" fillId="0" borderId="0" xfId="32" applyFont="true" applyBorder="false" applyAlignment="true" applyProtection="false">
      <alignment horizontal="general" vertical="center" textRotation="0" wrapText="false" indent="0" shrinkToFit="false"/>
      <protection locked="true" hidden="false"/>
    </xf>
    <xf numFmtId="165" fontId="11" fillId="0" borderId="0" xfId="21" applyFont="true" applyBorder="true" applyAlignment="true" applyProtection="true">
      <alignment horizontal="general" vertical="center" textRotation="0" wrapText="false" indent="0" shrinkToFit="false"/>
      <protection locked="true" hidden="false"/>
    </xf>
    <xf numFmtId="164" fontId="14" fillId="0" borderId="0" xfId="32" applyFont="true" applyBorder="false" applyAlignment="true" applyProtection="false">
      <alignment horizontal="right" vertical="center" textRotation="0" wrapText="false" indent="0" shrinkToFit="false"/>
      <protection locked="true" hidden="false"/>
    </xf>
    <xf numFmtId="164" fontId="5" fillId="0" borderId="0" xfId="32" applyFont="true" applyBorder="false" applyAlignment="true" applyProtection="false">
      <alignment horizontal="center" vertical="center" textRotation="0" wrapText="false" indent="0" shrinkToFit="false"/>
      <protection locked="true" hidden="false"/>
    </xf>
    <xf numFmtId="164" fontId="12" fillId="0" borderId="5" xfId="32" applyFont="true" applyBorder="true" applyAlignment="true" applyProtection="false">
      <alignment horizontal="general" vertical="center" textRotation="0" wrapText="false" indent="0" shrinkToFit="false"/>
      <protection locked="true" hidden="false"/>
    </xf>
    <xf numFmtId="169" fontId="0" fillId="0" borderId="0" xfId="25" applyFont="true" applyBorder="true" applyAlignment="true" applyProtection="true">
      <alignment horizontal="general" vertical="center" textRotation="0" wrapText="false" indent="0" shrinkToFit="false"/>
      <protection locked="true" hidden="false"/>
    </xf>
    <xf numFmtId="166" fontId="0" fillId="0" borderId="0" xfId="25" applyFont="true" applyBorder="true" applyAlignment="true" applyProtection="true">
      <alignment horizontal="general" vertical="center" textRotation="0" wrapText="false" indent="0" shrinkToFit="false"/>
      <protection locked="true" hidden="false"/>
    </xf>
    <xf numFmtId="164" fontId="12" fillId="0" borderId="0" xfId="32" applyFont="true" applyBorder="false" applyAlignment="true" applyProtection="false">
      <alignment horizontal="general" vertical="center" textRotation="0" wrapText="false" indent="0" shrinkToFit="false"/>
      <protection locked="true" hidden="false"/>
    </xf>
    <xf numFmtId="164" fontId="12" fillId="0" borderId="0" xfId="32" applyFont="true" applyBorder="false" applyAlignment="true" applyProtection="false">
      <alignment horizontal="center" vertical="center" textRotation="0" wrapText="false" indent="0" shrinkToFit="false"/>
      <protection locked="true" hidden="false"/>
    </xf>
    <xf numFmtId="166" fontId="12" fillId="0" borderId="0" xfId="32" applyFont="true" applyBorder="false" applyAlignment="true" applyProtection="false">
      <alignment horizontal="center" vertical="center" textRotation="0" wrapText="false" indent="0" shrinkToFit="false"/>
      <protection locked="true" hidden="false"/>
    </xf>
    <xf numFmtId="170" fontId="12" fillId="0" borderId="0" xfId="32" applyFont="true" applyBorder="false" applyAlignment="true" applyProtection="false">
      <alignment horizontal="center" vertical="center" textRotation="0" wrapText="false" indent="0" shrinkToFit="false"/>
      <protection locked="true" hidden="false"/>
    </xf>
    <xf numFmtId="171" fontId="5" fillId="0" borderId="0" xfId="32" applyFont="true" applyBorder="false" applyAlignment="true" applyProtection="false">
      <alignment horizontal="general" vertical="center" textRotation="0" wrapText="false" indent="0" shrinkToFit="false"/>
      <protection locked="true" hidden="false"/>
    </xf>
    <xf numFmtId="164" fontId="15" fillId="0" borderId="0" xfId="27" applyFont="true" applyBorder="true" applyAlignment="true" applyProtection="true">
      <alignment horizontal="general" vertical="center" textRotation="0" wrapText="false" indent="0" shrinkToFit="false"/>
      <protection locked="true" hidden="false"/>
    </xf>
    <xf numFmtId="164" fontId="15" fillId="0" borderId="0" xfId="27" applyFont="true" applyBorder="true" applyAlignment="true" applyProtection="true">
      <alignment horizontal="center" vertical="center" textRotation="0" wrapText="false" indent="0" shrinkToFit="false"/>
      <protection locked="true" hidden="false"/>
    </xf>
    <xf numFmtId="164" fontId="16" fillId="0" borderId="0" xfId="27" applyFont="true" applyBorder="true" applyAlignment="true" applyProtection="true">
      <alignment horizontal="general" vertical="center" textRotation="0" wrapText="false" indent="0" shrinkToFit="false"/>
      <protection locked="true" hidden="false"/>
    </xf>
    <xf numFmtId="164" fontId="17" fillId="0" borderId="0" xfId="27" applyFont="true" applyBorder="true" applyAlignment="true" applyProtection="true">
      <alignment horizontal="general" vertical="center" textRotation="0" wrapText="false" indent="0" shrinkToFit="false"/>
      <protection locked="true" hidden="false"/>
    </xf>
    <xf numFmtId="164" fontId="15" fillId="0" borderId="0" xfId="27" applyFont="true" applyBorder="true" applyAlignment="true" applyProtection="true">
      <alignment horizontal="right" vertical="center" textRotation="0" wrapText="false" indent="0" shrinkToFit="false"/>
      <protection locked="true" hidden="false"/>
    </xf>
    <xf numFmtId="164" fontId="18" fillId="0" borderId="0" xfId="27" applyFont="true" applyBorder="true" applyAlignment="true" applyProtection="true">
      <alignment horizontal="right" vertical="center" textRotation="0" wrapText="false" indent="0" shrinkToFit="false"/>
      <protection locked="true" hidden="false"/>
    </xf>
    <xf numFmtId="164" fontId="15" fillId="0" borderId="0" xfId="27" applyFont="true" applyBorder="true" applyAlignment="true" applyProtection="true">
      <alignment horizontal="general" vertical="center" textRotation="0" wrapText="true" indent="0" shrinkToFit="false"/>
      <protection locked="true" hidden="false"/>
    </xf>
    <xf numFmtId="164" fontId="18" fillId="3" borderId="5" xfId="27" applyFont="true" applyBorder="true" applyAlignment="true" applyProtection="true">
      <alignment horizontal="center" vertical="center" textRotation="0" wrapText="true" indent="0" shrinkToFit="false"/>
      <protection locked="true" hidden="false"/>
    </xf>
    <xf numFmtId="164" fontId="19" fillId="3" borderId="5" xfId="27" applyFont="true" applyBorder="true" applyAlignment="true" applyProtection="true">
      <alignment horizontal="center" vertical="center" textRotation="0" wrapText="true" indent="0" shrinkToFit="false"/>
      <protection locked="true" hidden="false"/>
    </xf>
    <xf numFmtId="164" fontId="18" fillId="0" borderId="5" xfId="27" applyFont="true" applyBorder="true" applyAlignment="true" applyProtection="true">
      <alignment horizontal="center" vertical="center" textRotation="0" wrapText="false" indent="0" shrinkToFit="false"/>
      <protection locked="true" hidden="false"/>
    </xf>
    <xf numFmtId="172" fontId="18" fillId="0" borderId="5" xfId="27" applyFont="true" applyBorder="true" applyAlignment="true" applyProtection="true">
      <alignment horizontal="general" vertical="center" textRotation="0" wrapText="false" indent="0" shrinkToFit="false"/>
      <protection locked="true" hidden="false"/>
    </xf>
    <xf numFmtId="172" fontId="18" fillId="0" borderId="5" xfId="27" applyFont="true" applyBorder="true" applyAlignment="true" applyProtection="true">
      <alignment horizontal="center" vertical="center" textRotation="0" wrapText="false" indent="0" shrinkToFit="false"/>
      <protection locked="true" hidden="false"/>
    </xf>
    <xf numFmtId="167" fontId="15" fillId="0" borderId="0" xfId="28" applyFont="true" applyBorder="true" applyAlignment="true" applyProtection="true">
      <alignment horizontal="general" vertical="center" textRotation="0" wrapText="false" indent="0" shrinkToFit="false"/>
      <protection locked="true" hidden="false"/>
    </xf>
    <xf numFmtId="173" fontId="18" fillId="0" borderId="5" xfId="27" applyFont="true" applyBorder="true" applyAlignment="true" applyProtection="true">
      <alignment horizontal="general" vertical="center" textRotation="0" wrapText="false" indent="0" shrinkToFit="false"/>
      <protection locked="true" hidden="false"/>
    </xf>
    <xf numFmtId="164" fontId="18" fillId="4" borderId="4" xfId="27" applyFont="true" applyBorder="true" applyAlignment="true" applyProtection="true">
      <alignment horizontal="center" vertical="center" textRotation="0" wrapText="false" indent="0" shrinkToFit="false"/>
      <protection locked="true" hidden="false"/>
    </xf>
    <xf numFmtId="164" fontId="15" fillId="4" borderId="5" xfId="27" applyFont="true" applyBorder="true" applyAlignment="true" applyProtection="true">
      <alignment horizontal="center" vertical="center" textRotation="0" wrapText="false" indent="0" shrinkToFit="false"/>
      <protection locked="true" hidden="false"/>
    </xf>
    <xf numFmtId="172" fontId="17" fillId="4" borderId="5" xfId="27" applyFont="true" applyBorder="true" applyAlignment="true" applyProtection="true">
      <alignment horizontal="general" vertical="center" textRotation="0" wrapText="false" indent="0" shrinkToFit="false"/>
      <protection locked="true" hidden="false"/>
    </xf>
    <xf numFmtId="173" fontId="17" fillId="4" borderId="5" xfId="27" applyFont="true" applyBorder="true" applyAlignment="true" applyProtection="true">
      <alignment horizontal="general" vertical="center" textRotation="0" wrapText="false" indent="0" shrinkToFit="false"/>
      <protection locked="true" hidden="false"/>
    </xf>
    <xf numFmtId="164" fontId="17" fillId="0" borderId="5" xfId="27" applyFont="true" applyBorder="true" applyAlignment="true" applyProtection="true">
      <alignment horizontal="center" vertical="center" textRotation="0" wrapText="false" indent="0" shrinkToFit="false"/>
      <protection locked="true" hidden="false"/>
    </xf>
    <xf numFmtId="172" fontId="17" fillId="0" borderId="5" xfId="27" applyFont="true" applyBorder="true" applyAlignment="true" applyProtection="true">
      <alignment horizontal="general" vertical="center" textRotation="0" wrapText="false" indent="0" shrinkToFit="false"/>
      <protection locked="true" hidden="false"/>
    </xf>
    <xf numFmtId="173" fontId="17" fillId="0" borderId="5" xfId="27" applyFont="true" applyBorder="true" applyAlignment="true" applyProtection="true">
      <alignment horizontal="general" vertical="center" textRotation="0" wrapText="false" indent="0" shrinkToFit="false"/>
      <protection locked="true" hidden="false"/>
    </xf>
    <xf numFmtId="164" fontId="17" fillId="0" borderId="4" xfId="27" applyFont="true" applyBorder="true" applyAlignment="true" applyProtection="true">
      <alignment horizontal="center" vertical="center" textRotation="0" wrapText="false" indent="0" shrinkToFit="false"/>
      <protection locked="true" hidden="false"/>
    </xf>
    <xf numFmtId="172" fontId="15" fillId="0" borderId="0" xfId="27" applyFont="true" applyBorder="true" applyAlignment="true" applyProtection="true">
      <alignment horizontal="general" vertical="center" textRotation="0" wrapText="false" indent="0" shrinkToFit="false"/>
      <protection locked="true" hidden="false"/>
    </xf>
    <xf numFmtId="174" fontId="17" fillId="0" borderId="6" xfId="27" applyFont="true" applyBorder="true" applyAlignment="true" applyProtection="true">
      <alignment horizontal="general" vertical="center" textRotation="0" wrapText="false" indent="0" shrinkToFit="false"/>
      <protection locked="true" hidden="false"/>
    </xf>
    <xf numFmtId="174" fontId="20" fillId="0" borderId="0" xfId="27" applyFont="true" applyBorder="true" applyAlignment="true" applyProtection="true">
      <alignment horizontal="general" vertical="center" textRotation="0" wrapText="false" indent="0" shrinkToFit="false"/>
      <protection locked="true" hidden="false"/>
    </xf>
    <xf numFmtId="164" fontId="21" fillId="3" borderId="5" xfId="27" applyFont="true" applyBorder="true" applyAlignment="true" applyProtection="true">
      <alignment horizontal="center" vertical="center" textRotation="0" wrapText="true" indent="0" shrinkToFit="false"/>
      <protection locked="true" hidden="false"/>
    </xf>
    <xf numFmtId="164" fontId="18" fillId="0" borderId="5" xfId="27" applyFont="true" applyBorder="true" applyAlignment="true" applyProtection="true">
      <alignment horizontal="left" vertical="center" textRotation="0" wrapText="false" indent="0" shrinkToFit="false"/>
      <protection locked="true" hidden="false"/>
    </xf>
    <xf numFmtId="164" fontId="18" fillId="0" borderId="5" xfId="27" applyFont="true" applyBorder="true" applyAlignment="true" applyProtection="true">
      <alignment horizontal="left" vertical="center" textRotation="0" wrapText="true" indent="0" shrinkToFit="false"/>
      <protection locked="true" hidden="false"/>
    </xf>
    <xf numFmtId="174" fontId="15" fillId="0" borderId="0" xfId="27"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22" fillId="5" borderId="5" xfId="32" applyFont="true" applyBorder="true" applyAlignment="true" applyProtection="false">
      <alignment horizontal="center" vertical="center" textRotation="0" wrapText="false" indent="0" shrinkToFit="false" readingOrder="1"/>
      <protection locked="true" hidden="false"/>
    </xf>
    <xf numFmtId="164" fontId="22" fillId="5" borderId="5" xfId="32" applyFont="true" applyBorder="true" applyAlignment="true" applyProtection="false">
      <alignment horizontal="center" vertical="center" textRotation="0" wrapText="true" indent="0" shrinkToFit="false" readingOrder="1"/>
      <protection locked="true" hidden="false"/>
    </xf>
    <xf numFmtId="175" fontId="22" fillId="5" borderId="5" xfId="32" applyFont="true" applyBorder="true" applyAlignment="true" applyProtection="false">
      <alignment horizontal="center" vertical="center" textRotation="0" wrapText="true" indent="0" shrinkToFit="false" readingOrder="1"/>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74" fontId="24" fillId="0" borderId="2"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general" vertical="center" textRotation="0" wrapText="false" indent="0" shrinkToFit="false"/>
      <protection locked="true" hidden="false"/>
    </xf>
    <xf numFmtId="172" fontId="24" fillId="0" borderId="2" xfId="0" applyFont="true" applyBorder="true" applyAlignment="true" applyProtection="false">
      <alignment horizontal="general" vertical="center" textRotation="0" wrapText="false" indent="0" shrinkToFit="false"/>
      <protection locked="true" hidden="false"/>
    </xf>
    <xf numFmtId="176" fontId="24" fillId="0" borderId="14" xfId="19" applyFont="true" applyBorder="tru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false">
      <alignment horizontal="center" vertical="center" textRotation="0" wrapText="false" indent="0" shrinkToFit="false"/>
      <protection locked="true" hidden="false"/>
    </xf>
    <xf numFmtId="174" fontId="24" fillId="0" borderId="5" xfId="0" applyFont="true" applyBorder="true" applyAlignment="true" applyProtection="false">
      <alignment horizontal="center" vertical="center" textRotation="0" wrapText="false" indent="0" shrinkToFit="false"/>
      <protection locked="true" hidden="false"/>
    </xf>
    <xf numFmtId="164" fontId="23" fillId="0" borderId="5" xfId="0" applyFont="true" applyBorder="true" applyAlignment="true" applyProtection="false">
      <alignment horizontal="general" vertical="center" textRotation="0" wrapText="false" indent="0" shrinkToFit="false"/>
      <protection locked="true" hidden="false"/>
    </xf>
    <xf numFmtId="172" fontId="24" fillId="0" borderId="5" xfId="36" applyFont="true" applyBorder="true" applyAlignment="true" applyProtection="true">
      <alignment horizontal="general" vertical="center" textRotation="0" wrapText="false" indent="0" shrinkToFit="false"/>
      <protection locked="true" hidden="false"/>
    </xf>
    <xf numFmtId="176" fontId="24" fillId="0" borderId="5" xfId="19" applyFont="true" applyBorder="true" applyAlignment="true" applyProtection="true">
      <alignment horizontal="general" vertical="center" textRotation="0" wrapText="false" indent="0" shrinkToFit="false"/>
      <protection locked="true" hidden="false"/>
    </xf>
    <xf numFmtId="164" fontId="18" fillId="0" borderId="5" xfId="0" applyFont="true" applyBorder="true" applyAlignment="true" applyProtection="false">
      <alignment horizontal="center" vertical="center" textRotation="0" wrapText="false" indent="0" shrinkToFit="false"/>
      <protection locked="true" hidden="false"/>
    </xf>
    <xf numFmtId="164" fontId="18" fillId="0" borderId="15" xfId="0" applyFont="true" applyBorder="true" applyAlignment="true" applyProtection="false">
      <alignment horizontal="center" vertical="center" textRotation="0" wrapText="false" indent="0" shrinkToFit="false"/>
      <protection locked="true" hidden="false"/>
    </xf>
    <xf numFmtId="174" fontId="18" fillId="0" borderId="15" xfId="0" applyFont="true" applyBorder="true" applyAlignment="true" applyProtection="false">
      <alignment horizontal="center" vertical="center" textRotation="0" wrapText="false" indent="0" shrinkToFit="false"/>
      <protection locked="true" hidden="false"/>
    </xf>
    <xf numFmtId="172" fontId="18" fillId="0" borderId="15" xfId="36" applyFont="true" applyBorder="true" applyAlignment="true" applyProtection="true">
      <alignment horizontal="general" vertical="center" textRotation="0" wrapText="false" indent="0" shrinkToFit="false"/>
      <protection locked="true" hidden="false"/>
    </xf>
    <xf numFmtId="176" fontId="18" fillId="0" borderId="15" xfId="19" applyFont="true" applyBorder="true" applyAlignment="true" applyProtection="true">
      <alignment horizontal="general" vertical="center" textRotation="0" wrapText="false" indent="0" shrinkToFit="false"/>
      <protection locked="true" hidden="false"/>
    </xf>
    <xf numFmtId="170" fontId="18" fillId="0" borderId="16" xfId="0" applyFont="true" applyBorder="true" applyAlignment="true" applyProtection="false">
      <alignment horizontal="center" vertical="center" textRotation="0" wrapText="false" indent="0" shrinkToFit="false"/>
      <protection locked="true" hidden="false"/>
    </xf>
    <xf numFmtId="174" fontId="18" fillId="0" borderId="16" xfId="0" applyFont="true" applyBorder="true" applyAlignment="true" applyProtection="false">
      <alignment horizontal="center" vertical="center" textRotation="0" wrapText="false" indent="0" shrinkToFit="false"/>
      <protection locked="true" hidden="false"/>
    </xf>
    <xf numFmtId="172" fontId="18" fillId="0" borderId="16" xfId="36" applyFont="true" applyBorder="true" applyAlignment="true" applyProtection="true">
      <alignment horizontal="general" vertical="center" textRotation="0" wrapText="false" indent="0" shrinkToFit="false"/>
      <protection locked="true" hidden="false"/>
    </xf>
    <xf numFmtId="176" fontId="18" fillId="0" borderId="16" xfId="19" applyFont="true" applyBorder="true" applyAlignment="true" applyProtection="true">
      <alignment horizontal="general" vertical="center" textRotation="0" wrapText="false" indent="0" shrinkToFit="false"/>
      <protection locked="true" hidden="false"/>
    </xf>
    <xf numFmtId="170" fontId="18" fillId="0" borderId="17" xfId="0" applyFont="true" applyBorder="true" applyAlignment="true" applyProtection="false">
      <alignment horizontal="center" vertical="center" textRotation="0" wrapText="false" indent="0" shrinkToFit="false"/>
      <protection locked="true" hidden="false"/>
    </xf>
    <xf numFmtId="174" fontId="18" fillId="0" borderId="17" xfId="0" applyFont="true" applyBorder="true" applyAlignment="true" applyProtection="false">
      <alignment horizontal="center" vertical="center" textRotation="0" wrapText="false" indent="0" shrinkToFit="false"/>
      <protection locked="true" hidden="false"/>
    </xf>
    <xf numFmtId="172" fontId="18" fillId="0" borderId="17" xfId="36" applyFont="true" applyBorder="true" applyAlignment="true" applyProtection="true">
      <alignment horizontal="general" vertical="center" textRotation="0" wrapText="false" indent="0" shrinkToFit="false"/>
      <protection locked="true" hidden="false"/>
    </xf>
    <xf numFmtId="176" fontId="18" fillId="0" borderId="17" xfId="19" applyFont="true" applyBorder="true" applyAlignment="true" applyProtection="true">
      <alignment horizontal="general" vertical="center" textRotation="0" wrapText="false" indent="0" shrinkToFit="false"/>
      <protection locked="true" hidden="false"/>
    </xf>
    <xf numFmtId="174" fontId="18" fillId="0" borderId="5" xfId="0" applyFont="true" applyBorder="true" applyAlignment="true" applyProtection="false">
      <alignment horizontal="center" vertical="center" textRotation="0" wrapText="false" indent="0" shrinkToFit="false"/>
      <protection locked="true" hidden="false"/>
    </xf>
    <xf numFmtId="172" fontId="18" fillId="0" borderId="5" xfId="36" applyFont="true" applyBorder="true" applyAlignment="true" applyProtection="true">
      <alignment horizontal="general" vertical="center" textRotation="0" wrapText="false" indent="0" shrinkToFit="false"/>
      <protection locked="true" hidden="false"/>
    </xf>
    <xf numFmtId="176" fontId="18" fillId="0" borderId="5" xfId="19" applyFont="true" applyBorder="true" applyAlignment="true" applyProtection="true">
      <alignment horizontal="general"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18" xfId="0" applyFont="true" applyBorder="true" applyAlignment="true" applyProtection="false">
      <alignment horizontal="center" vertical="center" textRotation="0" wrapText="false" indent="0" shrinkToFit="false"/>
      <protection locked="true" hidden="false"/>
    </xf>
    <xf numFmtId="174" fontId="18" fillId="0" borderId="18" xfId="0" applyFont="true" applyBorder="true" applyAlignment="true" applyProtection="false">
      <alignment horizontal="center" vertical="center" textRotation="0" wrapText="false" indent="0" shrinkToFit="false"/>
      <protection locked="true" hidden="false"/>
    </xf>
    <xf numFmtId="172" fontId="18" fillId="0" borderId="18" xfId="36" applyFont="true" applyBorder="true" applyAlignment="true" applyProtection="true">
      <alignment horizontal="general" vertical="center" textRotation="0" wrapText="false" indent="0" shrinkToFit="false"/>
      <protection locked="true" hidden="false"/>
    </xf>
    <xf numFmtId="176" fontId="18" fillId="0" borderId="18" xfId="19" applyFont="true" applyBorder="tru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8" fillId="6" borderId="0" xfId="33" applyFont="true" applyBorder="false" applyAlignment="true" applyProtection="false">
      <alignment horizontal="general" vertical="center" textRotation="0" wrapText="false" indent="0" shrinkToFit="false"/>
      <protection locked="true" hidden="false"/>
    </xf>
    <xf numFmtId="164" fontId="16" fillId="0" borderId="0" xfId="35" applyFont="true" applyBorder="true" applyAlignment="true" applyProtection="true">
      <alignment horizontal="center" vertical="center" textRotation="0" wrapText="false" indent="0" shrinkToFit="false"/>
      <protection locked="true" hidden="false"/>
    </xf>
    <xf numFmtId="164" fontId="18" fillId="6" borderId="0" xfId="33" applyFont="true" applyBorder="false" applyAlignment="true" applyProtection="false">
      <alignment horizontal="general" vertical="center" textRotation="0" wrapText="true" indent="0" shrinkToFit="false"/>
      <protection locked="true" hidden="false"/>
    </xf>
    <xf numFmtId="172" fontId="19"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19" fillId="3" borderId="5" xfId="0" applyFont="true" applyBorder="true" applyAlignment="true" applyProtection="false">
      <alignment horizontal="center" vertical="center" textRotation="0" wrapText="false" indent="0" shrinkToFit="false"/>
      <protection locked="true" hidden="false"/>
    </xf>
    <xf numFmtId="164" fontId="19" fillId="3" borderId="5" xfId="0" applyFont="true" applyBorder="true" applyAlignment="true" applyProtection="false">
      <alignment horizontal="center" vertical="center" textRotation="0" wrapText="true" indent="0" shrinkToFit="false"/>
      <protection locked="true" hidden="false"/>
    </xf>
    <xf numFmtId="164" fontId="25" fillId="3" borderId="5" xfId="0" applyFont="true" applyBorder="true" applyAlignment="true" applyProtection="false">
      <alignment horizontal="center" vertical="center" textRotation="0" wrapText="false" indent="0" shrinkToFit="false"/>
      <protection locked="true" hidden="false"/>
    </xf>
    <xf numFmtId="164" fontId="19" fillId="3" borderId="4" xfId="0" applyFont="true" applyBorder="true" applyAlignment="true" applyProtection="false">
      <alignment horizontal="center" vertical="center" textRotation="0" wrapText="true" indent="0" shrinkToFit="false"/>
      <protection locked="true" hidden="false"/>
    </xf>
    <xf numFmtId="164" fontId="19" fillId="3" borderId="19" xfId="0" applyFont="true" applyBorder="true" applyAlignment="true" applyProtection="false">
      <alignment horizontal="center" vertical="center" textRotation="0" wrapText="false" indent="0" shrinkToFit="false"/>
      <protection locked="true" hidden="false"/>
    </xf>
    <xf numFmtId="164" fontId="19" fillId="3" borderId="6" xfId="0" applyFont="true" applyBorder="true" applyAlignment="true" applyProtection="false">
      <alignment horizontal="center" vertical="center" textRotation="0" wrapText="true" indent="0" shrinkToFit="false"/>
      <protection locked="true" hidden="false"/>
    </xf>
    <xf numFmtId="164" fontId="19" fillId="3" borderId="20" xfId="0" applyFont="true" applyBorder="true" applyAlignment="true" applyProtection="false">
      <alignment horizontal="center" vertical="center" textRotation="0" wrapText="false" indent="0" shrinkToFit="false"/>
      <protection locked="true" hidden="false"/>
    </xf>
    <xf numFmtId="164" fontId="19" fillId="3" borderId="15" xfId="0" applyFont="true" applyBorder="true" applyAlignment="true" applyProtection="false">
      <alignment horizontal="center" vertical="center" textRotation="0" wrapText="false" indent="0" shrinkToFit="false"/>
      <protection locked="true" hidden="false"/>
    </xf>
    <xf numFmtId="164" fontId="19" fillId="3" borderId="21" xfId="0" applyFont="true" applyBorder="true" applyAlignment="true" applyProtection="false">
      <alignment horizontal="center" vertical="center" textRotation="0" wrapText="false" indent="0" shrinkToFit="false"/>
      <protection locked="true" hidden="false"/>
    </xf>
    <xf numFmtId="164" fontId="19" fillId="3" borderId="22" xfId="0" applyFont="true" applyBorder="true" applyAlignment="true" applyProtection="false">
      <alignment horizontal="center" vertical="center" textRotation="0" wrapText="false" indent="0" shrinkToFit="false"/>
      <protection locked="true" hidden="false"/>
    </xf>
    <xf numFmtId="164" fontId="19" fillId="3" borderId="23" xfId="0" applyFont="true" applyBorder="true" applyAlignment="true" applyProtection="false">
      <alignment horizontal="center" vertical="center" textRotation="0" wrapText="false" indent="0" shrinkToFit="false"/>
      <protection locked="true" hidden="false"/>
    </xf>
    <xf numFmtId="164" fontId="19" fillId="3" borderId="17"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center" vertical="center" textRotation="0" wrapText="true" indent="0" shrinkToFit="false"/>
      <protection locked="true" hidden="false"/>
    </xf>
    <xf numFmtId="164" fontId="19" fillId="0" borderId="10" xfId="0" applyFont="true" applyBorder="true" applyAlignment="true" applyProtection="false">
      <alignment horizontal="general" vertical="center" textRotation="0" wrapText="false" indent="0" shrinkToFit="false"/>
      <protection locked="true" hidden="false"/>
    </xf>
    <xf numFmtId="177" fontId="19" fillId="0" borderId="15" xfId="0" applyFont="true" applyBorder="true" applyAlignment="true" applyProtection="false">
      <alignment horizontal="general" vertical="center" textRotation="0" wrapText="false" indent="0" shrinkToFit="false"/>
      <protection locked="true" hidden="false"/>
    </xf>
    <xf numFmtId="174" fontId="19" fillId="0" borderId="15" xfId="0" applyFont="true" applyBorder="true" applyAlignment="true" applyProtection="false">
      <alignment horizontal="center" vertical="center" textRotation="0" wrapText="false" indent="0" shrinkToFit="false"/>
      <protection locked="true" hidden="false"/>
    </xf>
    <xf numFmtId="178" fontId="19" fillId="0" borderId="15" xfId="0" applyFont="true" applyBorder="true" applyAlignment="true" applyProtection="false">
      <alignment horizontal="center" vertical="center" textRotation="0" wrapText="false" indent="0" shrinkToFit="false"/>
      <protection locked="true" hidden="false"/>
    </xf>
    <xf numFmtId="172" fontId="19" fillId="0" borderId="15" xfId="0" applyFont="true" applyBorder="true" applyAlignment="true" applyProtection="false">
      <alignment horizontal="general" vertical="center" textRotation="0" wrapText="false" indent="0" shrinkToFit="false"/>
      <protection locked="true" hidden="false"/>
    </xf>
    <xf numFmtId="172" fontId="16" fillId="7" borderId="4" xfId="0" applyFont="true" applyBorder="true" applyAlignment="true" applyProtection="false">
      <alignment horizontal="center" vertical="center" textRotation="0" wrapText="false" indent="0" shrinkToFit="false"/>
      <protection locked="true" hidden="false"/>
    </xf>
    <xf numFmtId="172" fontId="16" fillId="7" borderId="10" xfId="0" applyFont="true" applyBorder="true" applyAlignment="true" applyProtection="false">
      <alignment horizontal="center" vertical="center" textRotation="0" wrapText="false" indent="0" shrinkToFit="false"/>
      <protection locked="true" hidden="false"/>
    </xf>
    <xf numFmtId="172" fontId="19" fillId="0" borderId="24" xfId="0" applyFont="true" applyBorder="true" applyAlignment="true" applyProtection="false">
      <alignment horizontal="general" vertical="center" textRotation="0" wrapText="false" indent="0" shrinkToFit="false"/>
      <protection locked="true" hidden="false"/>
    </xf>
    <xf numFmtId="175" fontId="26" fillId="0" borderId="25" xfId="32" applyFont="true" applyBorder="true" applyAlignment="true" applyProtection="false">
      <alignment horizontal="center" vertical="center" textRotation="0" wrapText="false" indent="0" shrinkToFit="false"/>
      <protection locked="true" hidden="false"/>
    </xf>
    <xf numFmtId="179" fontId="19" fillId="0" borderId="26" xfId="0" applyFont="true" applyBorder="true" applyAlignment="true" applyProtection="false">
      <alignment horizontal="general" vertical="center" textRotation="0" wrapText="false" indent="0" shrinkToFit="false"/>
      <protection locked="true" hidden="false"/>
    </xf>
    <xf numFmtId="172" fontId="19" fillId="0" borderId="20" xfId="0" applyFont="true" applyBorder="true" applyAlignment="true" applyProtection="false">
      <alignment horizontal="general" vertical="center" textRotation="0" wrapText="false" indent="0" shrinkToFit="false"/>
      <protection locked="true" hidden="false"/>
    </xf>
    <xf numFmtId="175" fontId="26" fillId="0" borderId="20" xfId="32" applyFont="true" applyBorder="true" applyAlignment="true" applyProtection="false">
      <alignment horizontal="center" vertical="center" textRotation="0" wrapText="false" indent="0" shrinkToFit="false"/>
      <protection locked="true" hidden="false"/>
    </xf>
    <xf numFmtId="175" fontId="26" fillId="0" borderId="15" xfId="32" applyFont="true" applyBorder="true" applyAlignment="true" applyProtection="false">
      <alignment horizontal="center" vertical="center" textRotation="0" wrapText="false" indent="0" shrinkToFit="false"/>
      <protection locked="true" hidden="false"/>
    </xf>
    <xf numFmtId="172" fontId="19" fillId="0" borderId="15" xfId="0" applyFont="true" applyBorder="true" applyAlignment="true" applyProtection="false">
      <alignment horizontal="center" vertical="center" textRotation="0" wrapText="false" indent="0" shrinkToFit="false"/>
      <protection locked="true" hidden="false"/>
    </xf>
    <xf numFmtId="164" fontId="19" fillId="0" borderId="12" xfId="0" applyFont="true" applyBorder="true" applyAlignment="true" applyProtection="false">
      <alignment horizontal="general" vertical="center" textRotation="0" wrapText="false" indent="0" shrinkToFit="false"/>
      <protection locked="true" hidden="false"/>
    </xf>
    <xf numFmtId="177" fontId="19" fillId="0" borderId="16" xfId="0" applyFont="true" applyBorder="true" applyAlignment="true" applyProtection="false">
      <alignment horizontal="general" vertical="center" textRotation="0" wrapText="false" indent="0" shrinkToFit="false"/>
      <protection locked="true" hidden="false"/>
    </xf>
    <xf numFmtId="180" fontId="19" fillId="0" borderId="16" xfId="0" applyFont="true" applyBorder="true" applyAlignment="true" applyProtection="false">
      <alignment horizontal="center" vertical="center" textRotation="0" wrapText="false" indent="0" shrinkToFit="false"/>
      <protection locked="true" hidden="false"/>
    </xf>
    <xf numFmtId="178" fontId="19" fillId="0" borderId="16" xfId="0" applyFont="true" applyBorder="true" applyAlignment="true" applyProtection="false">
      <alignment horizontal="center" vertical="center" textRotation="0" wrapText="false" indent="0" shrinkToFit="false"/>
      <protection locked="true" hidden="false"/>
    </xf>
    <xf numFmtId="172" fontId="19" fillId="0" borderId="16" xfId="0" applyFont="true" applyBorder="true" applyAlignment="true" applyProtection="false">
      <alignment horizontal="general" vertical="center" textRotation="0" wrapText="false" indent="0" shrinkToFit="false"/>
      <protection locked="true" hidden="false"/>
    </xf>
    <xf numFmtId="172" fontId="16" fillId="7" borderId="12" xfId="0" applyFont="true" applyBorder="true" applyAlignment="true" applyProtection="false">
      <alignment horizontal="center" vertical="center" textRotation="0" wrapText="false" indent="0" shrinkToFit="false"/>
      <protection locked="true" hidden="false"/>
    </xf>
    <xf numFmtId="172" fontId="19" fillId="0" borderId="27" xfId="0" applyFont="true" applyBorder="true" applyAlignment="true" applyProtection="false">
      <alignment horizontal="general" vertical="center" textRotation="0" wrapText="false" indent="0" shrinkToFit="false"/>
      <protection locked="true" hidden="false"/>
    </xf>
    <xf numFmtId="175" fontId="19" fillId="0" borderId="28" xfId="0" applyFont="true" applyBorder="true" applyAlignment="true" applyProtection="false">
      <alignment horizontal="center" vertical="center" textRotation="0" wrapText="false" indent="0" shrinkToFit="false"/>
      <protection locked="true" hidden="false"/>
    </xf>
    <xf numFmtId="172" fontId="19" fillId="0" borderId="29" xfId="0" applyFont="true" applyBorder="true" applyAlignment="true" applyProtection="false">
      <alignment horizontal="general" vertical="center" textRotation="0" wrapText="false" indent="0" shrinkToFit="false"/>
      <protection locked="true" hidden="false"/>
    </xf>
    <xf numFmtId="172" fontId="19" fillId="0" borderId="30" xfId="0" applyFont="true" applyBorder="true" applyAlignment="true" applyProtection="false">
      <alignment horizontal="general" vertical="center" textRotation="0" wrapText="false" indent="0" shrinkToFit="false"/>
      <protection locked="true" hidden="false"/>
    </xf>
    <xf numFmtId="175" fontId="19" fillId="0" borderId="30" xfId="0" applyFont="true" applyBorder="true" applyAlignment="true" applyProtection="false">
      <alignment horizontal="center" vertical="center" textRotation="0" wrapText="false" indent="0" shrinkToFit="false"/>
      <protection locked="true" hidden="false"/>
    </xf>
    <xf numFmtId="175" fontId="19" fillId="0" borderId="16" xfId="0" applyFont="true" applyBorder="true" applyAlignment="true" applyProtection="false">
      <alignment horizontal="center" vertical="center" textRotation="0" wrapText="false" indent="0" shrinkToFit="false"/>
      <protection locked="true" hidden="false"/>
    </xf>
    <xf numFmtId="172" fontId="19" fillId="0" borderId="16" xfId="0" applyFont="true" applyBorder="true" applyAlignment="true" applyProtection="false">
      <alignment horizontal="center" vertical="center" textRotation="0" wrapText="false" indent="0" shrinkToFit="false"/>
      <protection locked="true" hidden="false"/>
    </xf>
    <xf numFmtId="170" fontId="19" fillId="0" borderId="16" xfId="0" applyFont="true" applyBorder="true" applyAlignment="true" applyProtection="false">
      <alignment horizontal="center" vertical="center" textRotation="0" wrapText="false" indent="0" shrinkToFit="false"/>
      <protection locked="true" hidden="false"/>
    </xf>
    <xf numFmtId="174" fontId="19" fillId="0" borderId="16" xfId="0" applyFont="true" applyBorder="true" applyAlignment="true" applyProtection="false">
      <alignment horizontal="center" vertical="center" textRotation="0" wrapText="false" indent="0" shrinkToFit="false"/>
      <protection locked="true" hidden="false"/>
    </xf>
    <xf numFmtId="179" fontId="19" fillId="0" borderId="16" xfId="0" applyFont="true" applyBorder="true" applyAlignment="true" applyProtection="false">
      <alignment horizontal="general" vertical="center" textRotation="0" wrapText="false" indent="0" shrinkToFit="false"/>
      <protection locked="true" hidden="false"/>
    </xf>
    <xf numFmtId="172" fontId="27" fillId="0" borderId="29" xfId="0" applyFont="true" applyBorder="true" applyAlignment="true" applyProtection="false">
      <alignment horizontal="general" vertical="center" textRotation="0" wrapText="false" indent="0" shrinkToFit="false"/>
      <protection locked="true" hidden="false"/>
    </xf>
    <xf numFmtId="181" fontId="19" fillId="0" borderId="16" xfId="0" applyFont="true" applyBorder="true" applyAlignment="true" applyProtection="false">
      <alignment horizontal="center" vertical="center" textRotation="0" wrapText="false" indent="0" shrinkToFit="false"/>
      <protection locked="true" hidden="false"/>
    </xf>
    <xf numFmtId="174" fontId="19" fillId="0" borderId="12" xfId="0" applyFont="true" applyBorder="true" applyAlignment="true" applyProtection="false">
      <alignment horizontal="general" vertical="center" textRotation="0" wrapText="false" indent="0" shrinkToFit="false"/>
      <protection locked="true" hidden="false"/>
    </xf>
    <xf numFmtId="172" fontId="16" fillId="0" borderId="14" xfId="0" applyFont="true" applyBorder="true" applyAlignment="true" applyProtection="false">
      <alignment horizontal="general" vertical="center" textRotation="0" wrapText="false" indent="0" shrinkToFit="false"/>
      <protection locked="true" hidden="false"/>
    </xf>
    <xf numFmtId="175" fontId="16" fillId="0" borderId="31" xfId="0" applyFont="true" applyBorder="true" applyAlignment="true" applyProtection="false">
      <alignment horizontal="center" vertical="center" textRotation="0" wrapText="false" indent="0" shrinkToFit="false"/>
      <protection locked="true" hidden="false"/>
    </xf>
    <xf numFmtId="172" fontId="27" fillId="0" borderId="32" xfId="0" applyFont="true" applyBorder="true" applyAlignment="true" applyProtection="false">
      <alignment horizontal="general" vertical="center" textRotation="0" wrapText="false" indent="0" shrinkToFit="false"/>
      <protection locked="true" hidden="false"/>
    </xf>
    <xf numFmtId="175" fontId="16" fillId="0" borderId="33" xfId="0" applyFont="true" applyBorder="true" applyAlignment="true" applyProtection="false">
      <alignment horizontal="center" vertical="center" textRotation="0" wrapText="false" indent="0" shrinkToFit="false"/>
      <protection locked="true" hidden="false"/>
    </xf>
    <xf numFmtId="179" fontId="16" fillId="0" borderId="14" xfId="0" applyFont="true" applyBorder="true" applyAlignment="true" applyProtection="false">
      <alignment horizontal="general" vertical="center" textRotation="0" wrapText="false" indent="0" shrinkToFit="false"/>
      <protection locked="true" hidden="false"/>
    </xf>
    <xf numFmtId="175" fontId="16" fillId="0" borderId="14" xfId="0" applyFont="true" applyBorder="true" applyAlignment="true" applyProtection="false">
      <alignment horizontal="center" vertical="center" textRotation="0" wrapText="false" indent="0" shrinkToFit="false"/>
      <protection locked="true" hidden="false"/>
    </xf>
    <xf numFmtId="174" fontId="19" fillId="0" borderId="33" xfId="0" applyFont="true" applyBorder="true" applyAlignment="true" applyProtection="false">
      <alignment horizontal="center" vertical="center" textRotation="0" wrapText="false" indent="0" shrinkToFit="false"/>
      <protection locked="true" hidden="false"/>
    </xf>
    <xf numFmtId="172" fontId="16" fillId="0" borderId="32" xfId="0" applyFont="true" applyBorder="true" applyAlignment="true" applyProtection="false">
      <alignment horizontal="general" vertical="center" textRotation="0" wrapText="false" indent="0" shrinkToFit="false"/>
      <protection locked="true" hidden="false"/>
    </xf>
    <xf numFmtId="174" fontId="19" fillId="0" borderId="11" xfId="0" applyFont="true" applyBorder="true" applyAlignment="true" applyProtection="false">
      <alignment horizontal="general" vertical="center" textRotation="0" wrapText="false" indent="0" shrinkToFit="false"/>
      <protection locked="true" hidden="false"/>
    </xf>
    <xf numFmtId="177" fontId="19" fillId="0" borderId="17" xfId="0" applyFont="true" applyBorder="true" applyAlignment="true" applyProtection="false">
      <alignment horizontal="general" vertical="center" textRotation="0" wrapText="false" indent="0" shrinkToFit="false"/>
      <protection locked="true" hidden="false"/>
    </xf>
    <xf numFmtId="174" fontId="19" fillId="0" borderId="23" xfId="0" applyFont="true" applyBorder="true" applyAlignment="true" applyProtection="false">
      <alignment horizontal="center" vertical="center" textRotation="0" wrapText="false" indent="0" shrinkToFit="false"/>
      <protection locked="true" hidden="false"/>
    </xf>
    <xf numFmtId="178" fontId="19" fillId="0" borderId="17" xfId="0" applyFont="true" applyBorder="true" applyAlignment="true" applyProtection="false">
      <alignment horizontal="center" vertical="center" textRotation="0" wrapText="false" indent="0" shrinkToFit="false"/>
      <protection locked="true" hidden="false"/>
    </xf>
    <xf numFmtId="172" fontId="19" fillId="0" borderId="17" xfId="0" applyFont="true" applyBorder="true" applyAlignment="true" applyProtection="false">
      <alignment horizontal="general" vertical="center" textRotation="0" wrapText="false" indent="0" shrinkToFit="false"/>
      <protection locked="true" hidden="false"/>
    </xf>
    <xf numFmtId="172" fontId="16" fillId="7" borderId="11" xfId="0" applyFont="true" applyBorder="true" applyAlignment="true" applyProtection="false">
      <alignment horizontal="center" vertical="center" textRotation="0" wrapText="false" indent="0" shrinkToFit="false"/>
      <protection locked="true" hidden="false"/>
    </xf>
    <xf numFmtId="172" fontId="19" fillId="0" borderId="34" xfId="0" applyFont="true" applyBorder="true" applyAlignment="true" applyProtection="false">
      <alignment horizontal="general" vertical="center" textRotation="0" wrapText="false" indent="0" shrinkToFit="false"/>
      <protection locked="true" hidden="false"/>
    </xf>
    <xf numFmtId="175" fontId="16" fillId="0" borderId="21" xfId="0" applyFont="true" applyBorder="true" applyAlignment="true" applyProtection="false">
      <alignment horizontal="center" vertical="center" textRotation="0" wrapText="false" indent="0" shrinkToFit="false"/>
      <protection locked="true" hidden="false"/>
    </xf>
    <xf numFmtId="172" fontId="16" fillId="0" borderId="22" xfId="0" applyFont="true" applyBorder="true" applyAlignment="true" applyProtection="false">
      <alignment horizontal="general" vertical="center" textRotation="0" wrapText="false" indent="0" shrinkToFit="false"/>
      <protection locked="true" hidden="false"/>
    </xf>
    <xf numFmtId="172" fontId="19" fillId="0" borderId="23" xfId="0" applyFont="true" applyBorder="true" applyAlignment="true" applyProtection="false">
      <alignment horizontal="general" vertical="center" textRotation="0" wrapText="false" indent="0" shrinkToFit="false"/>
      <protection locked="true" hidden="false"/>
    </xf>
    <xf numFmtId="175" fontId="16" fillId="0" borderId="23" xfId="0" applyFont="true" applyBorder="true" applyAlignment="true" applyProtection="false">
      <alignment horizontal="center" vertical="center" textRotation="0" wrapText="false" indent="0" shrinkToFit="false"/>
      <protection locked="true" hidden="false"/>
    </xf>
    <xf numFmtId="179" fontId="16" fillId="0" borderId="17" xfId="0" applyFont="true" applyBorder="true" applyAlignment="true" applyProtection="false">
      <alignment horizontal="general" vertical="center" textRotation="0" wrapText="false" indent="0" shrinkToFit="false"/>
      <protection locked="true" hidden="false"/>
    </xf>
    <xf numFmtId="175" fontId="16" fillId="0" borderId="17" xfId="0" applyFont="true" applyBorder="true" applyAlignment="true" applyProtection="false">
      <alignment horizontal="center" vertical="center" textRotation="0" wrapText="false" indent="0" shrinkToFit="false"/>
      <protection locked="true" hidden="false"/>
    </xf>
    <xf numFmtId="174" fontId="17" fillId="0" borderId="5" xfId="0" applyFont="true" applyBorder="true" applyAlignment="true" applyProtection="false">
      <alignment horizontal="center" vertical="center" textRotation="0" wrapText="false" indent="0" shrinkToFit="false"/>
      <protection locked="true" hidden="false"/>
    </xf>
    <xf numFmtId="178" fontId="17" fillId="0" borderId="17" xfId="0" applyFont="true" applyBorder="true" applyAlignment="true" applyProtection="false">
      <alignment horizontal="center" vertical="center" textRotation="0" wrapText="false" indent="0" shrinkToFit="false"/>
      <protection locked="true" hidden="false"/>
    </xf>
    <xf numFmtId="178" fontId="17" fillId="0" borderId="14" xfId="0" applyFont="true" applyBorder="true" applyAlignment="true" applyProtection="false">
      <alignment horizontal="general" vertical="center" textRotation="0" wrapText="false" indent="0" shrinkToFit="false"/>
      <protection locked="true" hidden="false"/>
    </xf>
    <xf numFmtId="172" fontId="20" fillId="7" borderId="12" xfId="0" applyFont="true" applyBorder="true" applyAlignment="true" applyProtection="false">
      <alignment horizontal="center" vertical="center" textRotation="0" wrapText="false" indent="0" shrinkToFit="false"/>
      <protection locked="true" hidden="false"/>
    </xf>
    <xf numFmtId="178" fontId="17" fillId="0" borderId="35" xfId="0" applyFont="true" applyBorder="true" applyAlignment="true" applyProtection="false">
      <alignment horizontal="general" vertical="center" textRotation="0" wrapText="false" indent="0" shrinkToFit="false"/>
      <protection locked="true" hidden="false"/>
    </xf>
    <xf numFmtId="175" fontId="20" fillId="0" borderId="36" xfId="0" applyFont="true" applyBorder="true" applyAlignment="true" applyProtection="false">
      <alignment horizontal="center" vertical="center" textRotation="0" wrapText="false" indent="0" shrinkToFit="false"/>
      <protection locked="true" hidden="false"/>
    </xf>
    <xf numFmtId="178" fontId="28" fillId="0" borderId="32" xfId="0" applyFont="true" applyBorder="true" applyAlignment="true" applyProtection="false">
      <alignment horizontal="general" vertical="center" textRotation="0" wrapText="false" indent="0" shrinkToFit="false"/>
      <protection locked="true" hidden="false"/>
    </xf>
    <xf numFmtId="178" fontId="17" fillId="0" borderId="33" xfId="0" applyFont="true" applyBorder="true" applyAlignment="true" applyProtection="false">
      <alignment horizontal="general" vertical="center" textRotation="0" wrapText="false" indent="0" shrinkToFit="false"/>
      <protection locked="true" hidden="false"/>
    </xf>
    <xf numFmtId="175" fontId="20" fillId="0" borderId="9" xfId="0" applyFont="true" applyBorder="true" applyAlignment="true" applyProtection="false">
      <alignment horizontal="center" vertical="center" textRotation="0" wrapText="false" indent="0" shrinkToFit="false"/>
      <protection locked="true" hidden="false"/>
    </xf>
    <xf numFmtId="175" fontId="20" fillId="0" borderId="13" xfId="0" applyFont="true" applyBorder="true" applyAlignment="true" applyProtection="false">
      <alignment horizontal="center" vertical="center" textRotation="0" wrapText="false" indent="0" shrinkToFit="false"/>
      <protection locked="true" hidden="false"/>
    </xf>
    <xf numFmtId="181" fontId="16" fillId="0" borderId="18" xfId="0" applyFont="true" applyBorder="true" applyAlignment="true" applyProtection="false">
      <alignment horizontal="center" vertical="center" textRotation="0" wrapText="false" indent="0" shrinkToFit="false"/>
      <protection locked="true" hidden="false"/>
    </xf>
    <xf numFmtId="172" fontId="17" fillId="0" borderId="17" xfId="0" applyFont="true" applyBorder="true" applyAlignment="true" applyProtection="false">
      <alignment horizontal="general" vertical="center" textRotation="0" wrapText="false" indent="0" shrinkToFit="false"/>
      <protection locked="true" hidden="false"/>
    </xf>
    <xf numFmtId="172" fontId="17" fillId="0" borderId="34" xfId="0" applyFont="true" applyBorder="true" applyAlignment="true" applyProtection="false">
      <alignment horizontal="general" vertical="center" textRotation="0" wrapText="false" indent="0" shrinkToFit="false"/>
      <protection locked="true" hidden="false"/>
    </xf>
    <xf numFmtId="172" fontId="17" fillId="0" borderId="36" xfId="0" applyFont="true" applyBorder="true" applyAlignment="true" applyProtection="false">
      <alignment horizontal="center" vertical="center" textRotation="0" wrapText="false" indent="0" shrinkToFit="false"/>
      <protection locked="true" hidden="false"/>
    </xf>
    <xf numFmtId="172" fontId="17" fillId="0" borderId="22" xfId="0" applyFont="true" applyBorder="true" applyAlignment="true" applyProtection="false">
      <alignment horizontal="general" vertical="center" textRotation="0" wrapText="false" indent="0" shrinkToFit="false"/>
      <protection locked="true" hidden="false"/>
    </xf>
    <xf numFmtId="172" fontId="17" fillId="0" borderId="23" xfId="0" applyFont="true" applyBorder="true" applyAlignment="true" applyProtection="false">
      <alignment horizontal="general" vertical="center" textRotation="0" wrapText="false" indent="0" shrinkToFit="false"/>
      <protection locked="true" hidden="false"/>
    </xf>
    <xf numFmtId="172" fontId="17" fillId="0" borderId="9" xfId="0" applyFont="true" applyBorder="true" applyAlignment="true" applyProtection="false">
      <alignment horizontal="center" vertical="center" textRotation="0" wrapText="false" indent="0" shrinkToFit="false"/>
      <protection locked="true" hidden="false"/>
    </xf>
    <xf numFmtId="172" fontId="17" fillId="0" borderId="13"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77" fontId="16" fillId="0" borderId="18" xfId="0" applyFont="true" applyBorder="true" applyAlignment="true" applyProtection="false">
      <alignment horizontal="general" vertical="center" textRotation="0" wrapText="false" indent="0" shrinkToFit="false"/>
      <protection locked="true" hidden="false"/>
    </xf>
    <xf numFmtId="170" fontId="19" fillId="0" borderId="15" xfId="0" applyFont="true" applyBorder="true" applyAlignment="true" applyProtection="false">
      <alignment horizontal="center" vertical="center" textRotation="0" wrapText="false" indent="0" shrinkToFit="false"/>
      <protection locked="true" hidden="false"/>
    </xf>
    <xf numFmtId="179" fontId="19" fillId="0" borderId="29" xfId="0" applyFont="true" applyBorder="true" applyAlignment="true" applyProtection="false">
      <alignment horizontal="general" vertical="center" textRotation="0" wrapText="false" indent="0" shrinkToFit="false"/>
      <protection locked="true" hidden="false"/>
    </xf>
    <xf numFmtId="174" fontId="19" fillId="0" borderId="0" xfId="0" applyFont="true" applyBorder="false" applyAlignment="true" applyProtection="false">
      <alignment horizontal="general" vertical="center" textRotation="0" wrapText="false" indent="0" shrinkToFit="false"/>
      <protection locked="true" hidden="false"/>
    </xf>
    <xf numFmtId="164" fontId="17" fillId="0" borderId="34" xfId="0" applyFont="true" applyBorder="true" applyAlignment="true" applyProtection="false">
      <alignment horizontal="center" vertical="center" textRotation="0" wrapText="false" indent="0" shrinkToFit="false"/>
      <protection locked="true" hidden="false"/>
    </xf>
    <xf numFmtId="174" fontId="17" fillId="0" borderId="23" xfId="0" applyFont="true" applyBorder="true" applyAlignment="true" applyProtection="false">
      <alignment horizontal="center" vertical="center" textRotation="0" wrapText="false" indent="0" shrinkToFit="false"/>
      <protection locked="true" hidden="false"/>
    </xf>
    <xf numFmtId="172" fontId="20" fillId="0" borderId="14" xfId="0" applyFont="true" applyBorder="true" applyAlignment="true" applyProtection="false">
      <alignment horizontal="general" vertical="center" textRotation="0" wrapText="false" indent="0" shrinkToFit="false"/>
      <protection locked="true" hidden="false"/>
    </xf>
    <xf numFmtId="178" fontId="28" fillId="0" borderId="35" xfId="0" applyFont="true" applyBorder="true" applyAlignment="true" applyProtection="false">
      <alignment horizontal="general" vertical="center" textRotation="0" wrapText="false" indent="0" shrinkToFit="false"/>
      <protection locked="true" hidden="false"/>
    </xf>
    <xf numFmtId="175" fontId="20" fillId="0" borderId="31" xfId="0" applyFont="true" applyBorder="true" applyAlignment="true" applyProtection="false">
      <alignment horizontal="center" vertical="center" textRotation="0" wrapText="false" indent="0" shrinkToFit="false"/>
      <protection locked="true" hidden="false"/>
    </xf>
    <xf numFmtId="178" fontId="28" fillId="0" borderId="33" xfId="0" applyFont="true" applyBorder="true" applyAlignment="true" applyProtection="false">
      <alignment horizontal="general" vertical="center" textRotation="0" wrapText="false" indent="0" shrinkToFit="false"/>
      <protection locked="true" hidden="false"/>
    </xf>
    <xf numFmtId="175" fontId="20" fillId="0" borderId="33" xfId="0" applyFont="true" applyBorder="true" applyAlignment="true" applyProtection="false">
      <alignment horizontal="center" vertical="center" textRotation="0" wrapText="false" indent="0" shrinkToFit="false"/>
      <protection locked="true" hidden="false"/>
    </xf>
    <xf numFmtId="175" fontId="20" fillId="0" borderId="14" xfId="0" applyFont="true" applyBorder="true" applyAlignment="true" applyProtection="false">
      <alignment horizontal="center" vertical="center" textRotation="0" wrapText="false" indent="0" shrinkToFit="false"/>
      <protection locked="true" hidden="false"/>
    </xf>
    <xf numFmtId="181" fontId="16" fillId="0" borderId="14" xfId="0" applyFont="true" applyBorder="true" applyAlignment="true" applyProtection="false">
      <alignment horizontal="center" vertical="center" textRotation="0" wrapText="false" indent="0" shrinkToFit="false"/>
      <protection locked="true" hidden="false"/>
    </xf>
    <xf numFmtId="172" fontId="17" fillId="0" borderId="21" xfId="0" applyFont="true" applyBorder="true" applyAlignment="true" applyProtection="false">
      <alignment horizontal="center" vertical="center" textRotation="0" wrapText="false" indent="0" shrinkToFit="false"/>
      <protection locked="true" hidden="false"/>
    </xf>
    <xf numFmtId="172" fontId="17" fillId="0" borderId="23" xfId="0" applyFont="true" applyBorder="true" applyAlignment="true" applyProtection="false">
      <alignment horizontal="center" vertical="center" textRotation="0" wrapText="false" indent="0" shrinkToFit="false"/>
      <protection locked="true" hidden="false"/>
    </xf>
    <xf numFmtId="172" fontId="17" fillId="0" borderId="17" xfId="0" applyFont="true" applyBorder="true" applyAlignment="true" applyProtection="false">
      <alignment horizontal="center" vertical="center" textRotation="0" wrapText="false" indent="0" shrinkToFit="false"/>
      <protection locked="true" hidden="false"/>
    </xf>
    <xf numFmtId="164" fontId="20" fillId="0" borderId="17" xfId="0" applyFont="true" applyBorder="true" applyAlignment="true" applyProtection="false">
      <alignment horizontal="center" vertical="center" textRotation="0" wrapText="false" indent="0" shrinkToFit="false"/>
      <protection locked="true" hidden="false"/>
    </xf>
    <xf numFmtId="164" fontId="16" fillId="0" borderId="0" xfId="35" applyFont="true" applyBorder="true" applyAlignment="true" applyProtection="true">
      <alignment horizontal="general" vertical="center" textRotation="0" wrapText="false" indent="0" shrinkToFit="false"/>
      <protection locked="true" hidden="false"/>
    </xf>
    <xf numFmtId="164" fontId="17" fillId="8" borderId="7" xfId="35" applyFont="true" applyBorder="true" applyAlignment="true" applyProtection="true">
      <alignment horizontal="center" vertical="center" textRotation="0" wrapText="false" indent="0" shrinkToFit="false"/>
      <protection locked="true" hidden="false"/>
    </xf>
    <xf numFmtId="174" fontId="17" fillId="8" borderId="7" xfId="35" applyFont="true" applyBorder="true" applyAlignment="true" applyProtection="true">
      <alignment horizontal="center" vertical="center" textRotation="0" wrapText="false" indent="0" shrinkToFit="false"/>
      <protection locked="true" hidden="false"/>
    </xf>
    <xf numFmtId="182" fontId="17" fillId="8" borderId="7" xfId="27" applyFont="true" applyBorder="true" applyAlignment="true" applyProtection="true">
      <alignment horizontal="center" vertical="center" textRotation="0" wrapText="false" indent="0" shrinkToFit="false"/>
      <protection locked="true" hidden="false"/>
    </xf>
    <xf numFmtId="178" fontId="17" fillId="8" borderId="7" xfId="35" applyFont="true" applyBorder="true" applyAlignment="true" applyProtection="true">
      <alignment horizontal="center" vertical="center" textRotation="0" wrapText="false" indent="0" shrinkToFit="false"/>
      <protection locked="true" hidden="false"/>
    </xf>
    <xf numFmtId="178" fontId="17" fillId="8" borderId="18" xfId="35" applyFont="true" applyBorder="true" applyAlignment="true" applyProtection="true">
      <alignment horizontal="general" vertical="center" textRotation="0" wrapText="false" indent="0" shrinkToFit="false"/>
      <protection locked="true" hidden="false"/>
    </xf>
    <xf numFmtId="178" fontId="28" fillId="8" borderId="12" xfId="35" applyFont="true" applyBorder="true" applyAlignment="true" applyProtection="true">
      <alignment horizontal="general" vertical="center" textRotation="0" wrapText="false" indent="0" shrinkToFit="false"/>
      <protection locked="true" hidden="false"/>
    </xf>
    <xf numFmtId="178" fontId="17" fillId="8" borderId="26" xfId="35" applyFont="true" applyBorder="true" applyAlignment="true" applyProtection="true">
      <alignment horizontal="general" vertical="center" textRotation="0" wrapText="false" indent="0" shrinkToFit="false"/>
      <protection locked="true" hidden="false"/>
    </xf>
    <xf numFmtId="178" fontId="17" fillId="8" borderId="37" xfId="35" applyFont="true" applyBorder="true" applyAlignment="true" applyProtection="true">
      <alignment horizontal="general" vertical="center" textRotation="0" wrapText="false" indent="0" shrinkToFit="false"/>
      <protection locked="true" hidden="false"/>
    </xf>
    <xf numFmtId="178" fontId="29" fillId="8" borderId="25" xfId="35" applyFont="true" applyBorder="true" applyAlignment="true" applyProtection="true">
      <alignment horizontal="general" vertical="center" textRotation="0" wrapText="false" indent="0" shrinkToFit="false"/>
      <protection locked="true" hidden="false"/>
    </xf>
    <xf numFmtId="178" fontId="28" fillId="8" borderId="26" xfId="35" applyFont="true" applyBorder="true" applyAlignment="true" applyProtection="true">
      <alignment horizontal="general" vertical="center" textRotation="0" wrapText="false" indent="0" shrinkToFit="false"/>
      <protection locked="true" hidden="false"/>
    </xf>
    <xf numFmtId="178" fontId="17" fillId="8" borderId="20" xfId="35" applyFont="true" applyBorder="true" applyAlignment="true" applyProtection="true">
      <alignment horizontal="general" vertical="center" textRotation="0" wrapText="false" indent="0" shrinkToFit="false"/>
      <protection locked="true" hidden="false"/>
    </xf>
    <xf numFmtId="178" fontId="28" fillId="8" borderId="15" xfId="35" applyFont="true" applyBorder="true" applyAlignment="true" applyProtection="true">
      <alignment horizontal="general" vertical="center" textRotation="0" wrapText="false" indent="0" shrinkToFit="false"/>
      <protection locked="true" hidden="false"/>
    </xf>
    <xf numFmtId="178" fontId="17" fillId="8" borderId="15" xfId="35" applyFont="true" applyBorder="true" applyAlignment="true" applyProtection="true">
      <alignment horizontal="general" vertical="center" textRotation="0" wrapText="false" indent="0" shrinkToFit="false"/>
      <protection locked="true" hidden="false"/>
    </xf>
    <xf numFmtId="172" fontId="17" fillId="8" borderId="17" xfId="35" applyFont="true" applyBorder="true" applyAlignment="true" applyProtection="true">
      <alignment horizontal="general" vertical="center" textRotation="0" wrapText="false" indent="0" shrinkToFit="false"/>
      <protection locked="true" hidden="false"/>
    </xf>
    <xf numFmtId="172" fontId="17" fillId="8" borderId="34" xfId="35" applyFont="true" applyBorder="true" applyAlignment="true" applyProtection="true">
      <alignment horizontal="general" vertical="center" textRotation="0" wrapText="false" indent="0" shrinkToFit="false"/>
      <protection locked="true" hidden="false"/>
    </xf>
    <xf numFmtId="172" fontId="17" fillId="8" borderId="38" xfId="35" applyFont="true" applyBorder="true" applyAlignment="true" applyProtection="true">
      <alignment horizontal="general" vertical="center" textRotation="0" wrapText="false" indent="0" shrinkToFit="false"/>
      <protection locked="true" hidden="false"/>
    </xf>
    <xf numFmtId="172" fontId="17" fillId="8" borderId="39" xfId="35" applyFont="true" applyBorder="true" applyAlignment="true" applyProtection="true">
      <alignment horizontal="general" vertical="center" textRotation="0" wrapText="false" indent="0" shrinkToFit="false"/>
      <protection locked="true" hidden="false"/>
    </xf>
    <xf numFmtId="172" fontId="20" fillId="8" borderId="40" xfId="35" applyFont="true" applyBorder="true" applyAlignment="true" applyProtection="true">
      <alignment horizontal="general" vertical="center" textRotation="0" wrapText="false" indent="0" shrinkToFit="false"/>
      <protection locked="true" hidden="false"/>
    </xf>
    <xf numFmtId="172" fontId="17" fillId="8" borderId="23" xfId="35"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78" fontId="19" fillId="0" borderId="0" xfId="0" applyFont="true" applyBorder="false" applyAlignment="true" applyProtection="false">
      <alignment horizontal="general"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4" fontId="16" fillId="3" borderId="7" xfId="0" applyFont="true" applyBorder="true" applyAlignment="true" applyProtection="false">
      <alignment horizontal="center" vertical="center" textRotation="0" wrapText="true" indent="0" shrinkToFit="false"/>
      <protection locked="true" hidden="false"/>
    </xf>
    <xf numFmtId="164" fontId="16" fillId="0" borderId="5" xfId="0" applyFont="true" applyBorder="true" applyAlignment="true" applyProtection="false">
      <alignment horizontal="center" vertical="center" textRotation="0" wrapText="true" indent="0" shrinkToFit="false"/>
      <protection locked="true" hidden="false"/>
    </xf>
    <xf numFmtId="172" fontId="16" fillId="7" borderId="2" xfId="0" applyFont="true" applyBorder="true" applyAlignment="true" applyProtection="false">
      <alignment horizontal="center" vertical="center" textRotation="0" wrapText="false" indent="0" shrinkToFit="false"/>
      <protection locked="true" hidden="false"/>
    </xf>
    <xf numFmtId="172" fontId="16" fillId="7" borderId="13" xfId="0" applyFont="true" applyBorder="true" applyAlignment="true" applyProtection="false">
      <alignment horizontal="center" vertical="center" textRotation="0" wrapText="false" indent="0" shrinkToFit="false"/>
      <protection locked="true" hidden="false"/>
    </xf>
    <xf numFmtId="179" fontId="16" fillId="0" borderId="15" xfId="0" applyFont="true" applyBorder="true" applyAlignment="true" applyProtection="false">
      <alignment horizontal="general" vertical="center" textRotation="0" wrapText="false" indent="0" shrinkToFit="false"/>
      <protection locked="true" hidden="false"/>
    </xf>
    <xf numFmtId="164" fontId="16" fillId="0" borderId="15" xfId="0" applyFont="true" applyBorder="true" applyAlignment="true" applyProtection="false">
      <alignment horizontal="general" vertical="center" textRotation="0" wrapText="false" indent="0" shrinkToFit="false"/>
      <protection locked="true" hidden="false"/>
    </xf>
    <xf numFmtId="179" fontId="27" fillId="0" borderId="16" xfId="0" applyFont="true" applyBorder="true" applyAlignment="true" applyProtection="false">
      <alignment horizontal="general" vertical="center" textRotation="0" wrapText="false" indent="0" shrinkToFit="false"/>
      <protection locked="true" hidden="false"/>
    </xf>
    <xf numFmtId="164" fontId="16" fillId="0" borderId="16" xfId="0" applyFont="true" applyBorder="true" applyAlignment="true" applyProtection="false">
      <alignment horizontal="general" vertical="center" textRotation="0" wrapText="false" indent="0" shrinkToFit="false"/>
      <protection locked="true" hidden="false"/>
    </xf>
    <xf numFmtId="172" fontId="27" fillId="0" borderId="16" xfId="0" applyFont="true" applyBorder="true" applyAlignment="true" applyProtection="false">
      <alignment horizontal="general" vertical="center" textRotation="0" wrapText="false" indent="0" shrinkToFit="false"/>
      <protection locked="true" hidden="false"/>
    </xf>
    <xf numFmtId="178" fontId="28" fillId="0" borderId="14" xfId="0" applyFont="true" applyBorder="true" applyAlignment="true" applyProtection="false">
      <alignment horizontal="general" vertical="center" textRotation="0" wrapText="false" indent="0" shrinkToFit="false"/>
      <protection locked="true" hidden="false"/>
    </xf>
    <xf numFmtId="175" fontId="20" fillId="0" borderId="17" xfId="0" applyFont="true" applyBorder="true" applyAlignment="true" applyProtection="false">
      <alignment horizontal="center" vertical="center" textRotation="0" wrapText="false" indent="0" shrinkToFit="false"/>
      <protection locked="true" hidden="false"/>
    </xf>
    <xf numFmtId="170" fontId="17" fillId="0" borderId="17"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2" fontId="30" fillId="0" borderId="0" xfId="36" applyFont="true" applyBorder="true" applyAlignment="true" applyProtection="true">
      <alignment horizontal="general" vertical="center" textRotation="0" wrapText="false" indent="0" shrinkToFit="false"/>
      <protection locked="true" hidden="false"/>
    </xf>
    <xf numFmtId="172" fontId="19" fillId="0" borderId="0" xfId="36" applyFont="true" applyBorder="true" applyAlignment="true" applyProtection="true">
      <alignment horizontal="general" vertical="center" textRotation="0" wrapText="false" indent="0" shrinkToFit="false"/>
      <protection locked="true" hidden="false"/>
    </xf>
    <xf numFmtId="164" fontId="29" fillId="0" borderId="0" xfId="35" applyFont="true" applyBorder="true" applyAlignment="true" applyProtection="true">
      <alignment horizontal="right" vertical="center" textRotation="0" wrapText="false" indent="0" shrinkToFit="false"/>
      <protection locked="true" hidden="false"/>
    </xf>
    <xf numFmtId="164" fontId="19" fillId="0" borderId="0" xfId="35" applyFont="true" applyBorder="true" applyAlignment="true" applyProtection="true">
      <alignment horizontal="right" vertical="center" textRotation="0" wrapText="false" indent="0" shrinkToFit="false"/>
      <protection locked="true" hidden="false"/>
    </xf>
    <xf numFmtId="164" fontId="19" fillId="3" borderId="5" xfId="35" applyFont="true" applyBorder="true" applyAlignment="true" applyProtection="true">
      <alignment horizontal="center" vertical="center" textRotation="0" wrapText="false" indent="0" shrinkToFit="false"/>
      <protection locked="true" hidden="false"/>
    </xf>
    <xf numFmtId="164" fontId="19" fillId="3" borderId="6" xfId="35" applyFont="true" applyBorder="true" applyAlignment="true" applyProtection="true">
      <alignment horizontal="center" vertical="center" textRotation="0" wrapText="false" indent="0" shrinkToFit="false"/>
      <protection locked="true" hidden="false"/>
    </xf>
    <xf numFmtId="164" fontId="19" fillId="3" borderId="5" xfId="35" applyFont="true" applyBorder="true" applyAlignment="true" applyProtection="true">
      <alignment horizontal="center" vertical="center" textRotation="0" wrapText="true" indent="0" shrinkToFit="false"/>
      <protection locked="true" hidden="false"/>
    </xf>
    <xf numFmtId="164" fontId="19" fillId="3" borderId="4" xfId="35" applyFont="true" applyBorder="true" applyAlignment="true" applyProtection="true">
      <alignment horizontal="center" vertical="center" textRotation="0" wrapText="true" indent="0" shrinkToFit="false"/>
      <protection locked="true" hidden="false"/>
    </xf>
    <xf numFmtId="164" fontId="19" fillId="3" borderId="41" xfId="35" applyFont="true" applyBorder="true" applyAlignment="true" applyProtection="true">
      <alignment horizontal="center" vertical="center" textRotation="0" wrapText="false" indent="0" shrinkToFit="false"/>
      <protection locked="true" hidden="false"/>
    </xf>
    <xf numFmtId="164" fontId="19" fillId="3" borderId="20" xfId="35" applyFont="true" applyBorder="true" applyAlignment="true" applyProtection="true">
      <alignment horizontal="center" vertical="center" textRotation="0" wrapText="false" indent="0" shrinkToFit="false"/>
      <protection locked="true" hidden="false"/>
    </xf>
    <xf numFmtId="164" fontId="19" fillId="3" borderId="15" xfId="35" applyFont="true" applyBorder="true" applyAlignment="true" applyProtection="true">
      <alignment horizontal="center" vertical="center" textRotation="0" wrapText="false" indent="0" shrinkToFit="false"/>
      <protection locked="true" hidden="false"/>
    </xf>
    <xf numFmtId="164" fontId="19" fillId="3" borderId="42" xfId="35" applyFont="true" applyBorder="true" applyAlignment="true" applyProtection="true">
      <alignment horizontal="center" vertical="center" textRotation="0" wrapText="false" indent="0" shrinkToFit="false"/>
      <protection locked="true" hidden="false"/>
    </xf>
    <xf numFmtId="164" fontId="19" fillId="3" borderId="43" xfId="35" applyFont="true" applyBorder="true" applyAlignment="true" applyProtection="true">
      <alignment horizontal="center" vertical="center" textRotation="0" wrapText="false" indent="0" shrinkToFit="false"/>
      <protection locked="true" hidden="false"/>
    </xf>
    <xf numFmtId="164" fontId="19" fillId="3" borderId="23" xfId="35" applyFont="true" applyBorder="true" applyAlignment="true" applyProtection="true">
      <alignment horizontal="center" vertical="center" textRotation="0" wrapText="false" indent="0" shrinkToFit="false"/>
      <protection locked="true" hidden="false"/>
    </xf>
    <xf numFmtId="164" fontId="19" fillId="3" borderId="17" xfId="35" applyFont="true" applyBorder="true" applyAlignment="true" applyProtection="true">
      <alignment horizontal="center" vertical="center" textRotation="0" wrapText="false" indent="0" shrinkToFit="false"/>
      <protection locked="true" hidden="false"/>
    </xf>
    <xf numFmtId="164" fontId="19" fillId="0" borderId="5" xfId="35" applyFont="true" applyBorder="true" applyAlignment="true" applyProtection="true">
      <alignment horizontal="center" vertical="center" textRotation="0" wrapText="true" indent="0" shrinkToFit="false"/>
      <protection locked="true" hidden="false"/>
    </xf>
    <xf numFmtId="174" fontId="19" fillId="0" borderId="0" xfId="35" applyFont="true" applyBorder="true" applyAlignment="true" applyProtection="true">
      <alignment horizontal="general" vertical="center" textRotation="0" wrapText="false" indent="0" shrinkToFit="false"/>
      <protection locked="true" hidden="false"/>
    </xf>
    <xf numFmtId="177" fontId="19" fillId="0" borderId="15" xfId="35" applyFont="true" applyBorder="true" applyAlignment="true" applyProtection="true">
      <alignment horizontal="general" vertical="center" textRotation="0" wrapText="false" indent="0" shrinkToFit="false"/>
      <protection locked="true" hidden="false"/>
    </xf>
    <xf numFmtId="174" fontId="19" fillId="0" borderId="15" xfId="35" applyFont="true" applyBorder="true" applyAlignment="true" applyProtection="true">
      <alignment horizontal="center" vertical="center" textRotation="0" wrapText="false" indent="0" shrinkToFit="false"/>
      <protection locked="true" hidden="false"/>
    </xf>
    <xf numFmtId="178" fontId="19" fillId="0" borderId="15" xfId="35" applyFont="true" applyBorder="true" applyAlignment="true" applyProtection="true">
      <alignment horizontal="center" vertical="center" textRotation="0" wrapText="false" indent="0" shrinkToFit="false"/>
      <protection locked="true" hidden="false"/>
    </xf>
    <xf numFmtId="172" fontId="19" fillId="0" borderId="15" xfId="35" applyFont="true" applyBorder="true" applyAlignment="true" applyProtection="true">
      <alignment horizontal="general" vertical="center" textRotation="0" wrapText="false" indent="0" shrinkToFit="false"/>
      <protection locked="true" hidden="false"/>
    </xf>
    <xf numFmtId="172" fontId="16" fillId="7" borderId="2" xfId="35" applyFont="true" applyBorder="true" applyAlignment="true" applyProtection="true">
      <alignment horizontal="center" vertical="center" textRotation="0" wrapText="false" indent="0" shrinkToFit="false"/>
      <protection locked="true" hidden="false"/>
    </xf>
    <xf numFmtId="172" fontId="19" fillId="0" borderId="27" xfId="35" applyFont="true" applyBorder="true" applyAlignment="true" applyProtection="true">
      <alignment horizontal="general" vertical="center" textRotation="0" wrapText="false" indent="0" shrinkToFit="false"/>
      <protection locked="true" hidden="false"/>
    </xf>
    <xf numFmtId="175" fontId="26" fillId="0" borderId="44" xfId="33" applyFont="true" applyBorder="true" applyAlignment="true" applyProtection="false">
      <alignment horizontal="center" vertical="center" textRotation="0" wrapText="false" indent="0" shrinkToFit="false"/>
      <protection locked="true" hidden="false"/>
    </xf>
    <xf numFmtId="172" fontId="19" fillId="0" borderId="45" xfId="35" applyFont="true" applyBorder="true" applyAlignment="true" applyProtection="true">
      <alignment horizontal="general" vertical="center" textRotation="0" wrapText="false" indent="0" shrinkToFit="false"/>
      <protection locked="true" hidden="false"/>
    </xf>
    <xf numFmtId="172" fontId="19" fillId="0" borderId="16" xfId="35" applyFont="true" applyBorder="true" applyAlignment="true" applyProtection="true">
      <alignment horizontal="general" vertical="center" textRotation="0" wrapText="false" indent="0" shrinkToFit="false"/>
      <protection locked="true" hidden="false"/>
    </xf>
    <xf numFmtId="175" fontId="34" fillId="0" borderId="20" xfId="33" applyFont="true" applyBorder="true" applyAlignment="true" applyProtection="false">
      <alignment horizontal="center" vertical="center" textRotation="0" wrapText="false" indent="0" shrinkToFit="false"/>
      <protection locked="true" hidden="false"/>
    </xf>
    <xf numFmtId="175" fontId="34" fillId="0" borderId="15" xfId="33" applyFont="true" applyBorder="true" applyAlignment="true" applyProtection="false">
      <alignment horizontal="center" vertical="center" textRotation="0" wrapText="false" indent="0" shrinkToFit="false"/>
      <protection locked="true" hidden="false"/>
    </xf>
    <xf numFmtId="164" fontId="16" fillId="0" borderId="15" xfId="35" applyFont="true" applyBorder="true" applyAlignment="true" applyProtection="true">
      <alignment horizontal="general" vertical="center" textRotation="0" wrapText="false" indent="0" shrinkToFit="false"/>
      <protection locked="true" hidden="false"/>
    </xf>
    <xf numFmtId="172" fontId="19" fillId="0" borderId="15" xfId="35" applyFont="true" applyBorder="true" applyAlignment="true" applyProtection="true">
      <alignment horizontal="center" vertical="center" textRotation="0" wrapText="false" indent="0" shrinkToFit="false"/>
      <protection locked="true" hidden="false"/>
    </xf>
    <xf numFmtId="172" fontId="16" fillId="0" borderId="0" xfId="35" applyFont="true" applyBorder="true" applyAlignment="true" applyProtection="true">
      <alignment horizontal="general" vertical="center" textRotation="0" wrapText="false" indent="0" shrinkToFit="false"/>
      <protection locked="true" hidden="false"/>
    </xf>
    <xf numFmtId="177" fontId="19" fillId="0" borderId="16" xfId="35" applyFont="true" applyBorder="true" applyAlignment="true" applyProtection="true">
      <alignment horizontal="general" vertical="center" textRotation="0" wrapText="false" indent="0" shrinkToFit="false"/>
      <protection locked="true" hidden="false"/>
    </xf>
    <xf numFmtId="180" fontId="19" fillId="0" borderId="16" xfId="35" applyFont="true" applyBorder="true" applyAlignment="true" applyProtection="true">
      <alignment horizontal="center" vertical="center" textRotation="0" wrapText="false" indent="0" shrinkToFit="false"/>
      <protection locked="true" hidden="false"/>
    </xf>
    <xf numFmtId="178" fontId="19" fillId="0" borderId="16" xfId="35" applyFont="true" applyBorder="true" applyAlignment="true" applyProtection="true">
      <alignment horizontal="center" vertical="center" textRotation="0" wrapText="false" indent="0" shrinkToFit="false"/>
      <protection locked="true" hidden="false"/>
    </xf>
    <xf numFmtId="172" fontId="16" fillId="7" borderId="13" xfId="35" applyFont="true" applyBorder="true" applyAlignment="true" applyProtection="true">
      <alignment horizontal="center" vertical="center" textRotation="0" wrapText="false" indent="0" shrinkToFit="false"/>
      <protection locked="true" hidden="false"/>
    </xf>
    <xf numFmtId="175" fontId="19" fillId="0" borderId="46" xfId="35" applyFont="true" applyBorder="true" applyAlignment="true" applyProtection="true">
      <alignment horizontal="center" vertical="center" textRotation="0" wrapText="false" indent="0" shrinkToFit="false"/>
      <protection locked="true" hidden="false"/>
    </xf>
    <xf numFmtId="172" fontId="19" fillId="0" borderId="47" xfId="35" applyFont="true" applyBorder="true" applyAlignment="true" applyProtection="true">
      <alignment horizontal="general" vertical="center" textRotation="0" wrapText="false" indent="0" shrinkToFit="false"/>
      <protection locked="true" hidden="false"/>
    </xf>
    <xf numFmtId="175" fontId="16" fillId="0" borderId="30" xfId="35" applyFont="true" applyBorder="true" applyAlignment="true" applyProtection="true">
      <alignment horizontal="center" vertical="center" textRotation="0" wrapText="false" indent="0" shrinkToFit="false"/>
      <protection locked="true" hidden="false"/>
    </xf>
    <xf numFmtId="175" fontId="16" fillId="0" borderId="16" xfId="35" applyFont="true" applyBorder="true" applyAlignment="true" applyProtection="true">
      <alignment horizontal="center" vertical="center" textRotation="0" wrapText="false" indent="0" shrinkToFit="false"/>
      <protection locked="true" hidden="false"/>
    </xf>
    <xf numFmtId="164" fontId="16" fillId="0" borderId="16" xfId="35" applyFont="true" applyBorder="true" applyAlignment="true" applyProtection="true">
      <alignment horizontal="general" vertical="center" textRotation="0" wrapText="false" indent="0" shrinkToFit="false"/>
      <protection locked="true" hidden="false"/>
    </xf>
    <xf numFmtId="164" fontId="16" fillId="0" borderId="16" xfId="35" applyFont="true" applyBorder="true" applyAlignment="true" applyProtection="true">
      <alignment horizontal="center" vertical="center" textRotation="0" wrapText="false" indent="0" shrinkToFit="false"/>
      <protection locked="true" hidden="false"/>
    </xf>
    <xf numFmtId="172" fontId="19" fillId="0" borderId="16" xfId="35" applyFont="true" applyBorder="true" applyAlignment="true" applyProtection="true">
      <alignment horizontal="center" vertical="center" textRotation="0" wrapText="false" indent="0" shrinkToFit="false"/>
      <protection locked="true" hidden="false"/>
    </xf>
    <xf numFmtId="174" fontId="19" fillId="0" borderId="16" xfId="35" applyFont="true" applyBorder="true" applyAlignment="true" applyProtection="true">
      <alignment horizontal="center" vertical="center" textRotation="0" wrapText="false" indent="0" shrinkToFit="false"/>
      <protection locked="true" hidden="false"/>
    </xf>
    <xf numFmtId="179" fontId="19" fillId="0" borderId="47" xfId="35" applyFont="true" applyBorder="true" applyAlignment="true" applyProtection="true">
      <alignment horizontal="general" vertical="center" textRotation="0" wrapText="false" indent="0" shrinkToFit="false"/>
      <protection locked="true" hidden="false"/>
    </xf>
    <xf numFmtId="164" fontId="17" fillId="0" borderId="48" xfId="35" applyFont="true" applyBorder="true" applyAlignment="true" applyProtection="true">
      <alignment horizontal="center" vertical="center" textRotation="0" wrapText="false" indent="0" shrinkToFit="false"/>
      <protection locked="true" hidden="false"/>
    </xf>
    <xf numFmtId="164" fontId="20" fillId="0" borderId="49" xfId="35" applyFont="true" applyBorder="true" applyAlignment="true" applyProtection="true">
      <alignment horizontal="center" vertical="center" textRotation="0" wrapText="false" indent="0" shrinkToFit="false"/>
      <protection locked="true" hidden="false"/>
    </xf>
    <xf numFmtId="174" fontId="17" fillId="0" borderId="23" xfId="35" applyFont="true" applyBorder="true" applyAlignment="true" applyProtection="true">
      <alignment horizontal="center" vertical="center" textRotation="0" wrapText="false" indent="0" shrinkToFit="false"/>
      <protection locked="true" hidden="false"/>
    </xf>
    <xf numFmtId="178" fontId="17" fillId="0" borderId="17" xfId="35" applyFont="true" applyBorder="true" applyAlignment="true" applyProtection="true">
      <alignment horizontal="center" vertical="center" textRotation="0" wrapText="false" indent="0" shrinkToFit="false"/>
      <protection locked="true" hidden="false"/>
    </xf>
    <xf numFmtId="178" fontId="17" fillId="0" borderId="14" xfId="35" applyFont="true" applyBorder="true" applyAlignment="true" applyProtection="true">
      <alignment horizontal="general" vertical="center" textRotation="0" wrapText="false" indent="0" shrinkToFit="false"/>
      <protection locked="true" hidden="false"/>
    </xf>
    <xf numFmtId="178" fontId="28" fillId="0" borderId="35" xfId="35" applyFont="true" applyBorder="true" applyAlignment="true" applyProtection="true">
      <alignment horizontal="general" vertical="center" textRotation="0" wrapText="false" indent="0" shrinkToFit="false"/>
      <protection locked="true" hidden="false"/>
    </xf>
    <xf numFmtId="175" fontId="16" fillId="0" borderId="50" xfId="35" applyFont="true" applyBorder="true" applyAlignment="true" applyProtection="true">
      <alignment horizontal="center" vertical="center" textRotation="0" wrapText="false" indent="0" shrinkToFit="false"/>
      <protection locked="true" hidden="false"/>
    </xf>
    <xf numFmtId="178" fontId="28" fillId="0" borderId="51" xfId="35" applyFont="true" applyBorder="true" applyAlignment="true" applyProtection="true">
      <alignment horizontal="general" vertical="center" textRotation="0" wrapText="false" indent="0" shrinkToFit="false"/>
      <protection locked="true" hidden="false"/>
    </xf>
    <xf numFmtId="178" fontId="28" fillId="0" borderId="14" xfId="35" applyFont="true" applyBorder="true" applyAlignment="true" applyProtection="true">
      <alignment horizontal="general" vertical="center" textRotation="0" wrapText="false" indent="0" shrinkToFit="false"/>
      <protection locked="true" hidden="false"/>
    </xf>
    <xf numFmtId="175" fontId="16" fillId="0" borderId="33" xfId="35" applyFont="true" applyBorder="true" applyAlignment="true" applyProtection="true">
      <alignment horizontal="center" vertical="center" textRotation="0" wrapText="false" indent="0" shrinkToFit="false"/>
      <protection locked="true" hidden="false"/>
    </xf>
    <xf numFmtId="175" fontId="16" fillId="0" borderId="14" xfId="35" applyFont="true" applyBorder="true" applyAlignment="true" applyProtection="true">
      <alignment horizontal="center" vertical="center" textRotation="0" wrapText="false" indent="0" shrinkToFit="false"/>
      <protection locked="true" hidden="false"/>
    </xf>
    <xf numFmtId="181" fontId="16" fillId="0" borderId="14" xfId="35" applyFont="true" applyBorder="true" applyAlignment="true" applyProtection="true">
      <alignment horizontal="center" vertical="center" textRotation="0" wrapText="false" indent="0" shrinkToFit="false"/>
      <protection locked="true" hidden="false"/>
    </xf>
    <xf numFmtId="181" fontId="16" fillId="0" borderId="16" xfId="35" applyFont="true" applyBorder="true" applyAlignment="true" applyProtection="true">
      <alignment horizontal="center" vertical="center" textRotation="0" wrapText="false" indent="0" shrinkToFit="false"/>
      <protection locked="true" hidden="false"/>
    </xf>
    <xf numFmtId="164" fontId="20" fillId="0" borderId="1" xfId="35" applyFont="true" applyBorder="true" applyAlignment="true" applyProtection="true">
      <alignment horizontal="center" vertical="center" textRotation="0" wrapText="false" indent="0" shrinkToFit="false"/>
      <protection locked="true" hidden="false"/>
    </xf>
    <xf numFmtId="172" fontId="17" fillId="0" borderId="17" xfId="35" applyFont="true" applyBorder="true" applyAlignment="true" applyProtection="true">
      <alignment horizontal="general" vertical="center" textRotation="0" wrapText="false" indent="0" shrinkToFit="false"/>
      <protection locked="true" hidden="false"/>
    </xf>
    <xf numFmtId="172" fontId="17" fillId="0" borderId="34" xfId="35" applyFont="true" applyBorder="true" applyAlignment="true" applyProtection="true">
      <alignment horizontal="general" vertical="center" textRotation="0" wrapText="false" indent="0" shrinkToFit="false"/>
      <protection locked="true" hidden="false"/>
    </xf>
    <xf numFmtId="175" fontId="20" fillId="0" borderId="42" xfId="35" applyFont="true" applyBorder="true" applyAlignment="true" applyProtection="true">
      <alignment horizontal="center" vertical="center" textRotation="0" wrapText="false" indent="0" shrinkToFit="false"/>
      <protection locked="true" hidden="false"/>
    </xf>
    <xf numFmtId="172" fontId="17" fillId="0" borderId="43" xfId="35" applyFont="true" applyBorder="true" applyAlignment="true" applyProtection="true">
      <alignment horizontal="general" vertical="center" textRotation="0" wrapText="false" indent="0" shrinkToFit="false"/>
      <protection locked="true" hidden="false"/>
    </xf>
    <xf numFmtId="175" fontId="20" fillId="0" borderId="23" xfId="35" applyFont="true" applyBorder="true" applyAlignment="true" applyProtection="true">
      <alignment horizontal="center" vertical="center" textRotation="0" wrapText="false" indent="0" shrinkToFit="false"/>
      <protection locked="true" hidden="false"/>
    </xf>
    <xf numFmtId="175" fontId="20" fillId="0" borderId="17" xfId="35" applyFont="true" applyBorder="true" applyAlignment="true" applyProtection="true">
      <alignment horizontal="center" vertical="center" textRotation="0" wrapText="false" indent="0" shrinkToFit="false"/>
      <protection locked="true" hidden="false"/>
    </xf>
    <xf numFmtId="164" fontId="20" fillId="0" borderId="17" xfId="35" applyFont="true" applyBorder="true" applyAlignment="true" applyProtection="true">
      <alignment horizontal="center" vertical="center" textRotation="0" wrapText="false" indent="0" shrinkToFit="false"/>
      <protection locked="true" hidden="false"/>
    </xf>
    <xf numFmtId="181" fontId="16" fillId="0" borderId="17" xfId="35" applyFont="true" applyBorder="true" applyAlignment="true" applyProtection="true">
      <alignment horizontal="center" vertical="center" textRotation="0" wrapText="false" indent="0" shrinkToFit="false"/>
      <protection locked="true" hidden="false"/>
    </xf>
    <xf numFmtId="172" fontId="16" fillId="7" borderId="7" xfId="35" applyFont="true" applyBorder="true" applyAlignment="true" applyProtection="true">
      <alignment horizontal="center" vertical="center" textRotation="0" wrapText="false" indent="0" shrinkToFit="false"/>
      <protection locked="true" hidden="false"/>
    </xf>
    <xf numFmtId="164" fontId="20" fillId="0" borderId="7" xfId="35" applyFont="true" applyBorder="true" applyAlignment="true" applyProtection="true">
      <alignment horizontal="center" vertical="center" textRotation="0" wrapText="false" indent="0" shrinkToFit="false"/>
      <protection locked="true" hidden="false"/>
    </xf>
    <xf numFmtId="164" fontId="17" fillId="8" borderId="5" xfId="35" applyFont="true" applyBorder="true" applyAlignment="true" applyProtection="true">
      <alignment horizontal="center" vertical="center" textRotation="0" wrapText="false" indent="0" shrinkToFit="false"/>
      <protection locked="true" hidden="false"/>
    </xf>
    <xf numFmtId="164" fontId="20" fillId="8" borderId="3" xfId="35" applyFont="true" applyBorder="true" applyAlignment="true" applyProtection="true">
      <alignment horizontal="center" vertical="center" textRotation="0" wrapText="false" indent="0" shrinkToFit="false"/>
      <protection locked="true" hidden="false"/>
    </xf>
    <xf numFmtId="182" fontId="17" fillId="8" borderId="5" xfId="27" applyFont="true" applyBorder="true" applyAlignment="true" applyProtection="true">
      <alignment horizontal="center" vertical="center" textRotation="0" wrapText="false" indent="0" shrinkToFit="false"/>
      <protection locked="true" hidden="false"/>
    </xf>
    <xf numFmtId="178" fontId="17" fillId="8" borderId="5" xfId="35" applyFont="true" applyBorder="true" applyAlignment="true" applyProtection="true">
      <alignment horizontal="center" vertical="center" textRotation="0" wrapText="false" indent="0" shrinkToFit="false"/>
      <protection locked="true" hidden="false"/>
    </xf>
    <xf numFmtId="178" fontId="28" fillId="8" borderId="35" xfId="35" applyFont="true" applyBorder="true" applyAlignment="true" applyProtection="true">
      <alignment horizontal="general" vertical="center" textRotation="0" wrapText="false" indent="0" shrinkToFit="false"/>
      <protection locked="true" hidden="false"/>
    </xf>
    <xf numFmtId="178" fontId="20" fillId="8" borderId="44" xfId="35" applyFont="true" applyBorder="true" applyAlignment="true" applyProtection="true">
      <alignment horizontal="general" vertical="center" textRotation="0" wrapText="false" indent="0" shrinkToFit="false"/>
      <protection locked="true" hidden="false"/>
    </xf>
    <xf numFmtId="178" fontId="28" fillId="8" borderId="45" xfId="35" applyFont="true" applyBorder="true" applyAlignment="true" applyProtection="true">
      <alignment horizontal="general" vertical="center" textRotation="0" wrapText="false" indent="0" shrinkToFit="false"/>
      <protection locked="true" hidden="false"/>
    </xf>
    <xf numFmtId="178" fontId="20" fillId="8" borderId="20" xfId="35" applyFont="true" applyBorder="true" applyAlignment="true" applyProtection="true">
      <alignment horizontal="general" vertical="center" textRotation="0" wrapText="false" indent="0" shrinkToFit="false"/>
      <protection locked="true" hidden="false"/>
    </xf>
    <xf numFmtId="164" fontId="20" fillId="8" borderId="17" xfId="35" applyFont="true" applyBorder="true" applyAlignment="true" applyProtection="true">
      <alignment horizontal="center" vertical="center" textRotation="0" wrapText="false" indent="0" shrinkToFit="false"/>
      <protection locked="true" hidden="false"/>
    </xf>
    <xf numFmtId="164" fontId="20" fillId="8" borderId="8" xfId="35" applyFont="true" applyBorder="true" applyAlignment="true" applyProtection="true">
      <alignment horizontal="center" vertical="center" textRotation="0" wrapText="false" indent="0" shrinkToFit="false"/>
      <protection locked="true" hidden="false"/>
    </xf>
    <xf numFmtId="172" fontId="28" fillId="8" borderId="34" xfId="35" applyFont="true" applyBorder="true" applyAlignment="true" applyProtection="true">
      <alignment horizontal="general" vertical="center" textRotation="0" wrapText="false" indent="0" shrinkToFit="false"/>
      <protection locked="true" hidden="false"/>
    </xf>
    <xf numFmtId="172" fontId="20" fillId="8" borderId="52" xfId="35" applyFont="true" applyBorder="true" applyAlignment="true" applyProtection="true">
      <alignment horizontal="general" vertical="center" textRotation="0" wrapText="false" indent="0" shrinkToFit="false"/>
      <protection locked="true" hidden="false"/>
    </xf>
    <xf numFmtId="172" fontId="17" fillId="8" borderId="53" xfId="35" applyFont="true" applyBorder="true" applyAlignment="true" applyProtection="true">
      <alignment horizontal="general" vertical="center" textRotation="0" wrapText="false" indent="0" shrinkToFit="false"/>
      <protection locked="true" hidden="false"/>
    </xf>
    <xf numFmtId="172" fontId="20" fillId="8" borderId="23" xfId="35" applyFont="true" applyBorder="true" applyAlignment="true" applyProtection="true">
      <alignment horizontal="general" vertical="center" textRotation="0" wrapText="false" indent="0" shrinkToFit="false"/>
      <protection locked="true" hidden="false"/>
    </xf>
    <xf numFmtId="164" fontId="25" fillId="0" borderId="0" xfId="35" applyFont="true" applyBorder="true" applyAlignment="true" applyProtection="true">
      <alignment horizontal="general" vertical="center" textRotation="0" wrapText="false" indent="0" shrinkToFit="false"/>
      <protection locked="true" hidden="false"/>
    </xf>
    <xf numFmtId="180" fontId="19" fillId="0" borderId="0" xfId="35" applyFont="true" applyBorder="true" applyAlignment="true" applyProtection="true">
      <alignment horizontal="general" vertical="center" textRotation="0" wrapText="false" indent="0" shrinkToFit="false"/>
      <protection locked="true" hidden="false"/>
    </xf>
    <xf numFmtId="164" fontId="19" fillId="8" borderId="5" xfId="35" applyFont="true" applyBorder="true" applyAlignment="true" applyProtection="true">
      <alignment horizontal="center" vertical="center" textRotation="0" wrapText="false" indent="0" shrinkToFit="false"/>
      <protection locked="true" hidden="false"/>
    </xf>
    <xf numFmtId="175" fontId="25" fillId="8" borderId="5" xfId="35" applyFont="true" applyBorder="true" applyAlignment="true" applyProtection="true">
      <alignment horizontal="center" vertical="center" textRotation="0" wrapText="false" indent="0" shrinkToFit="false"/>
      <protection locked="true" hidden="false"/>
    </xf>
    <xf numFmtId="172" fontId="25" fillId="8" borderId="5" xfId="36" applyFont="true" applyBorder="true" applyAlignment="true" applyProtection="true">
      <alignment horizontal="center" vertical="center" textRotation="0" wrapText="false" indent="0" shrinkToFit="false"/>
      <protection locked="true" hidden="false"/>
    </xf>
    <xf numFmtId="164" fontId="19" fillId="9" borderId="5" xfId="35" applyFont="true" applyBorder="true" applyAlignment="true" applyProtection="true">
      <alignment horizontal="center" vertical="center" textRotation="0" wrapText="false" indent="0" shrinkToFit="false"/>
      <protection locked="true" hidden="false"/>
    </xf>
    <xf numFmtId="172" fontId="19" fillId="9" borderId="5" xfId="36" applyFont="true" applyBorder="true" applyAlignment="true" applyProtection="true">
      <alignment horizontal="general" vertical="center" textRotation="0" wrapText="false" indent="0" shrinkToFit="false"/>
      <protection locked="true" hidden="false"/>
    </xf>
    <xf numFmtId="183" fontId="19" fillId="9" borderId="5" xfId="36" applyFont="true" applyBorder="true" applyAlignment="true" applyProtection="true">
      <alignment horizontal="general" vertical="center" textRotation="0" wrapText="false" indent="0" shrinkToFit="false"/>
      <protection locked="true" hidden="false"/>
    </xf>
    <xf numFmtId="172" fontId="19" fillId="0" borderId="5" xfId="36" applyFont="true" applyBorder="true" applyAlignment="true" applyProtection="true">
      <alignment horizontal="general" vertical="center" textRotation="0" wrapText="false" indent="0" shrinkToFit="false"/>
      <protection locked="true" hidden="false"/>
    </xf>
    <xf numFmtId="183" fontId="19" fillId="0" borderId="5" xfId="36" applyFont="true" applyBorder="true" applyAlignment="true" applyProtection="true">
      <alignment horizontal="general" vertical="center" textRotation="0" wrapText="false" indent="0" shrinkToFit="false"/>
      <protection locked="true" hidden="false"/>
    </xf>
    <xf numFmtId="164" fontId="16" fillId="0" borderId="5" xfId="35" applyFont="true" applyBorder="true" applyAlignment="true" applyProtection="true">
      <alignment horizontal="center" vertical="center" textRotation="0" wrapText="false" indent="0" shrinkToFit="false"/>
      <protection locked="true" hidden="false"/>
    </xf>
    <xf numFmtId="172" fontId="25" fillId="0" borderId="0" xfId="35" applyFont="true" applyBorder="true" applyAlignment="true" applyProtection="true">
      <alignment horizontal="general" vertical="center" textRotation="0" wrapText="false" indent="0" shrinkToFit="false"/>
      <protection locked="true" hidden="false"/>
    </xf>
    <xf numFmtId="179" fontId="16" fillId="0" borderId="0" xfId="35" applyFont="true" applyBorder="true" applyAlignment="true" applyProtection="true">
      <alignment horizontal="general" vertical="center" textRotation="0" wrapText="false" indent="0" shrinkToFit="false"/>
      <protection locked="true" hidden="false"/>
    </xf>
    <xf numFmtId="164" fontId="25" fillId="0" borderId="5" xfId="35" applyFont="true" applyBorder="true" applyAlignment="true" applyProtection="true">
      <alignment horizontal="center" vertical="center" textRotation="0" wrapText="true" indent="0" shrinkToFit="false"/>
      <protection locked="true" hidden="false"/>
    </xf>
    <xf numFmtId="172" fontId="19" fillId="0" borderId="5" xfId="35" applyFont="true" applyBorder="true" applyAlignment="true" applyProtection="true">
      <alignment horizontal="general" vertical="center" textRotation="0" wrapText="false" indent="0" shrinkToFit="false"/>
      <protection locked="true" hidden="false"/>
    </xf>
    <xf numFmtId="174" fontId="19" fillId="0" borderId="5" xfId="35" applyFont="true" applyBorder="true" applyAlignment="true" applyProtection="true">
      <alignment horizontal="center" vertical="center" textRotation="0" wrapText="false" indent="0" shrinkToFit="false"/>
      <protection locked="true" hidden="false"/>
    </xf>
    <xf numFmtId="178" fontId="16" fillId="0" borderId="0" xfId="35" applyFont="true" applyBorder="true" applyAlignment="true" applyProtection="true">
      <alignment horizontal="general" vertical="center" textRotation="0" wrapText="false" indent="0" shrinkToFit="false"/>
      <protection locked="true" hidden="false"/>
    </xf>
    <xf numFmtId="164" fontId="25" fillId="9" borderId="5" xfId="35" applyFont="true" applyBorder="true" applyAlignment="true" applyProtection="true">
      <alignment horizontal="center" vertical="center" textRotation="0" wrapText="true" indent="0" shrinkToFit="false"/>
      <protection locked="true" hidden="false"/>
    </xf>
    <xf numFmtId="172" fontId="19" fillId="0" borderId="5" xfId="36" applyFont="true" applyBorder="true" applyAlignment="true" applyProtection="true">
      <alignment horizontal="center" vertical="center" textRotation="0" wrapText="false" indent="0" shrinkToFit="false"/>
      <protection locked="true" hidden="false"/>
    </xf>
    <xf numFmtId="172" fontId="19" fillId="0" borderId="5" xfId="36" applyFont="true" applyBorder="true" applyAlignment="true" applyProtection="true">
      <alignment horizontal="center" vertical="center" textRotation="0" wrapText="true" indent="0" shrinkToFit="false"/>
      <protection locked="true" hidden="false"/>
    </xf>
    <xf numFmtId="164" fontId="19" fillId="0" borderId="0" xfId="35" applyFont="true" applyBorder="true" applyAlignment="true" applyProtection="true">
      <alignment horizontal="general" vertical="center" textRotation="0" wrapText="false" indent="0" shrinkToFit="false"/>
      <protection locked="true" hidden="false"/>
    </xf>
    <xf numFmtId="172" fontId="19" fillId="0" borderId="0" xfId="35" applyFont="true" applyBorder="true" applyAlignment="true" applyProtection="true">
      <alignment horizontal="general" vertical="center" textRotation="0" wrapText="false" indent="0" shrinkToFit="false"/>
      <protection locked="true" hidden="false"/>
    </xf>
    <xf numFmtId="172" fontId="17" fillId="0" borderId="5" xfId="36" applyFont="true" applyBorder="true" applyAlignment="true" applyProtection="true">
      <alignment horizontal="general" vertical="center" textRotation="0" wrapText="false" indent="0" shrinkToFit="false"/>
      <protection locked="true" hidden="false"/>
    </xf>
    <xf numFmtId="183" fontId="17" fillId="0" borderId="5" xfId="36" applyFont="true" applyBorder="true" applyAlignment="true" applyProtection="true">
      <alignment horizontal="general" vertical="center" textRotation="0" wrapText="false" indent="0" shrinkToFit="false"/>
      <protection locked="true" hidden="false"/>
    </xf>
    <xf numFmtId="172" fontId="17" fillId="0" borderId="5" xfId="36" applyFont="true" applyBorder="true" applyAlignment="true" applyProtection="true">
      <alignment horizontal="center" vertical="center" textRotation="0" wrapText="false" indent="0" shrinkToFit="false"/>
      <protection locked="true" hidden="false"/>
    </xf>
    <xf numFmtId="174" fontId="30" fillId="0" borderId="0" xfId="36" applyFont="true" applyBorder="true" applyAlignment="true" applyProtection="true">
      <alignment horizontal="general" vertical="center" textRotation="0" wrapText="false" indent="0" shrinkToFit="false"/>
      <protection locked="true" hidden="false"/>
    </xf>
    <xf numFmtId="174" fontId="30" fillId="0" borderId="0" xfId="36" applyFont="true" applyBorder="true" applyAlignment="true" applyProtection="true">
      <alignment horizontal="center" vertical="center" textRotation="0" wrapText="false" indent="0" shrinkToFit="false"/>
      <protection locked="true" hidden="false"/>
    </xf>
    <xf numFmtId="183" fontId="16" fillId="0" borderId="0" xfId="35" applyFont="true" applyBorder="true" applyAlignment="true" applyProtection="true">
      <alignment horizontal="general" vertical="center" textRotation="0" wrapText="false" indent="0" shrinkToFit="false"/>
      <protection locked="true" hidden="false"/>
    </xf>
    <xf numFmtId="164" fontId="31" fillId="0" borderId="0" xfId="35" applyFont="true" applyBorder="true" applyAlignment="true" applyProtection="true">
      <alignment horizontal="general" vertical="center" textRotation="0" wrapText="false" indent="0" shrinkToFit="false"/>
      <protection locked="true" hidden="false"/>
    </xf>
    <xf numFmtId="172" fontId="27" fillId="0" borderId="0" xfId="36" applyFont="true" applyBorder="true" applyAlignment="true" applyProtection="true">
      <alignment horizontal="general" vertical="center" textRotation="0" wrapText="false" indent="0" shrinkToFit="false"/>
      <protection locked="true" hidden="false"/>
    </xf>
    <xf numFmtId="174" fontId="27" fillId="0" borderId="0" xfId="35" applyFont="true" applyBorder="true" applyAlignment="true" applyProtection="true">
      <alignment horizontal="general" vertical="center" textRotation="0" wrapText="false" indent="0" shrinkToFit="false"/>
      <protection locked="true" hidden="false"/>
    </xf>
    <xf numFmtId="174" fontId="27" fillId="0" borderId="0" xfId="36" applyFont="true" applyBorder="true" applyAlignment="true" applyProtection="true">
      <alignment horizontal="general" vertical="center" textRotation="0" wrapText="false" indent="0" shrinkToFit="false"/>
      <protection locked="true" hidden="false"/>
    </xf>
    <xf numFmtId="184" fontId="30" fillId="0" borderId="0" xfId="19" applyFont="true" applyBorder="true" applyAlignment="true" applyProtection="true">
      <alignment horizontal="general" vertical="center" textRotation="0" wrapText="false" indent="0" shrinkToFit="false"/>
      <protection locked="true" hidden="false"/>
    </xf>
    <xf numFmtId="164" fontId="32" fillId="0" borderId="0" xfId="35" applyFont="true" applyBorder="true" applyAlignment="true" applyProtection="true">
      <alignment horizontal="general" vertical="center" textRotation="0" wrapText="false" indent="0" shrinkToFit="false"/>
      <protection locked="true" hidden="false"/>
    </xf>
    <xf numFmtId="164" fontId="25" fillId="0" borderId="0" xfId="35" applyFont="true" applyBorder="true" applyAlignment="true" applyProtection="true">
      <alignment horizontal="general" vertical="center" textRotation="0" wrapText="true" indent="0" shrinkToFit="false"/>
      <protection locked="true" hidden="false"/>
    </xf>
    <xf numFmtId="164" fontId="35" fillId="0" borderId="0" xfId="0" applyFont="true" applyBorder="false" applyAlignment="true" applyProtection="false">
      <alignment horizontal="general" vertical="center" textRotation="0" wrapText="true" indent="0" shrinkToFit="false"/>
      <protection locked="true" hidden="false"/>
    </xf>
    <xf numFmtId="174" fontId="19" fillId="0" borderId="0" xfId="36" applyFont="true" applyBorder="true" applyAlignment="true" applyProtection="true">
      <alignment horizontal="general" vertical="center" textRotation="0" wrapText="false" indent="0" shrinkToFit="false"/>
      <protection locked="true" hidden="false"/>
    </xf>
    <xf numFmtId="172" fontId="35" fillId="0" borderId="0" xfId="36" applyFont="true" applyBorder="true" applyAlignment="true" applyProtection="tru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32" fillId="0" borderId="0" xfId="35" applyFont="true" applyBorder="true" applyAlignment="true" applyProtection="true">
      <alignment horizontal="general" vertical="center" textRotation="0" wrapText="true" indent="0" shrinkToFit="false"/>
      <protection locked="true" hidden="false"/>
    </xf>
    <xf numFmtId="164" fontId="37" fillId="0" borderId="0" xfId="0" applyFont="true" applyBorder="false" applyAlignment="true" applyProtection="false">
      <alignment horizontal="general" vertical="center" textRotation="0" wrapText="true" indent="0" shrinkToFit="false"/>
      <protection locked="true" hidden="false"/>
    </xf>
    <xf numFmtId="181" fontId="19" fillId="0" borderId="0" xfId="35" applyFont="true" applyBorder="true" applyAlignment="true" applyProtection="true">
      <alignment horizontal="general" vertical="center" textRotation="0" wrapText="false" indent="0" shrinkToFit="false"/>
      <protection locked="true" hidden="false"/>
    </xf>
    <xf numFmtId="172" fontId="38" fillId="0" borderId="0" xfId="36" applyFont="true" applyBorder="true" applyAlignment="true" applyProtection="true">
      <alignment horizontal="general" vertical="center" textRotation="0" wrapText="false" indent="0" shrinkToFit="false"/>
      <protection locked="true" hidden="false"/>
    </xf>
    <xf numFmtId="172" fontId="27" fillId="0" borderId="0" xfId="35" applyFont="true" applyBorder="true" applyAlignment="true" applyProtection="true">
      <alignment horizontal="center" vertical="center" textRotation="0" wrapText="false" indent="0" shrinkToFit="false"/>
      <protection locked="true" hidden="false"/>
    </xf>
    <xf numFmtId="164" fontId="27" fillId="0" borderId="0" xfId="35" applyFont="true" applyBorder="true" applyAlignment="true" applyProtection="true">
      <alignment horizontal="general" vertical="center" textRotation="0" wrapText="false" indent="0" shrinkToFit="false"/>
      <protection locked="true" hidden="false"/>
    </xf>
    <xf numFmtId="164" fontId="27" fillId="0" borderId="0" xfId="35" applyFont="true" applyBorder="true" applyAlignment="true" applyProtection="true">
      <alignment horizontal="center" vertical="center" textRotation="0" wrapText="false" indent="0" shrinkToFit="false"/>
      <protection locked="true" hidden="false"/>
    </xf>
    <xf numFmtId="164" fontId="25" fillId="8" borderId="5" xfId="35" applyFont="true" applyBorder="true" applyAlignment="true" applyProtection="true">
      <alignment horizontal="general" vertical="center" textRotation="0" wrapText="false" indent="0" shrinkToFit="false"/>
      <protection locked="true" hidden="false"/>
    </xf>
    <xf numFmtId="172" fontId="27" fillId="8" borderId="5" xfId="36" applyFont="true" applyBorder="true" applyAlignment="true" applyProtection="true">
      <alignment horizontal="center" vertical="center" textRotation="0" wrapText="false" indent="0" shrinkToFit="false"/>
      <protection locked="true" hidden="false"/>
    </xf>
    <xf numFmtId="164" fontId="25" fillId="0" borderId="5" xfId="35" applyFont="true" applyBorder="true" applyAlignment="true" applyProtection="true">
      <alignment horizontal="general" vertical="center" textRotation="0" wrapText="false" indent="0" shrinkToFit="false"/>
      <protection locked="true" hidden="false"/>
    </xf>
    <xf numFmtId="172" fontId="27" fillId="0" borderId="5" xfId="35" applyFont="true" applyBorder="true" applyAlignment="true" applyProtection="true">
      <alignment horizontal="general" vertical="center" textRotation="0" wrapText="false" indent="0" shrinkToFit="false"/>
      <protection locked="true" hidden="false"/>
    </xf>
    <xf numFmtId="183" fontId="27" fillId="0" borderId="5" xfId="36" applyFont="true" applyBorder="true" applyAlignment="true" applyProtection="true">
      <alignment horizontal="general" vertical="center" textRotation="0" wrapText="false" indent="0" shrinkToFit="false"/>
      <protection locked="true" hidden="false"/>
    </xf>
    <xf numFmtId="172" fontId="27" fillId="0" borderId="5" xfId="36" applyFont="true" applyBorder="true" applyAlignment="true" applyProtection="true">
      <alignment horizontal="general" vertical="center" textRotation="0" wrapText="false" indent="0" shrinkToFit="false"/>
      <protection locked="true" hidden="false"/>
    </xf>
    <xf numFmtId="172" fontId="29" fillId="0" borderId="5" xfId="35" applyFont="true" applyBorder="true" applyAlignment="true" applyProtection="true">
      <alignment horizontal="general" vertical="center" textRotation="0" wrapText="false" indent="0" shrinkToFit="false"/>
      <protection locked="true" hidden="false"/>
    </xf>
    <xf numFmtId="183" fontId="29" fillId="0" borderId="5" xfId="36" applyFont="true" applyBorder="true" applyAlignment="true" applyProtection="true">
      <alignment horizontal="general" vertical="center" textRotation="0" wrapText="false" indent="0" shrinkToFit="false"/>
      <protection locked="true" hidden="false"/>
    </xf>
    <xf numFmtId="172" fontId="27" fillId="0" borderId="0" xfId="35" applyFont="true" applyBorder="true" applyAlignment="true" applyProtection="true">
      <alignment horizontal="general" vertical="center" textRotation="0" wrapText="false" indent="0" shrinkToFit="false"/>
      <protection locked="true" hidden="false"/>
    </xf>
    <xf numFmtId="172" fontId="19" fillId="8" borderId="5" xfId="36" applyFont="true" applyBorder="true" applyAlignment="true" applyProtection="true">
      <alignment horizontal="center" vertical="center" textRotation="0" wrapText="false" indent="0" shrinkToFit="false"/>
      <protection locked="true" hidden="false"/>
    </xf>
    <xf numFmtId="164" fontId="38" fillId="0" borderId="0" xfId="35" applyFont="true" applyBorder="true" applyAlignment="true" applyProtection="true">
      <alignment horizontal="general" vertical="center" textRotation="0" wrapText="false" indent="0" shrinkToFit="false"/>
      <protection locked="true" hidden="false"/>
    </xf>
    <xf numFmtId="164" fontId="39" fillId="0" borderId="0" xfId="35" applyFont="true" applyBorder="true" applyAlignment="true" applyProtection="true">
      <alignment horizontal="general" vertical="center" textRotation="0" wrapText="false" indent="0" shrinkToFit="false"/>
      <protection locked="true" hidden="false"/>
    </xf>
    <xf numFmtId="164" fontId="19" fillId="0" borderId="2" xfId="35" applyFont="true" applyBorder="true" applyAlignment="true" applyProtection="true">
      <alignment horizontal="center" vertical="center" textRotation="0" wrapText="true" indent="0" shrinkToFit="false"/>
      <protection locked="true" hidden="false"/>
    </xf>
    <xf numFmtId="164" fontId="16" fillId="0" borderId="15" xfId="35" applyFont="true" applyBorder="true" applyAlignment="true" applyProtection="true">
      <alignment horizontal="center" vertical="center" textRotation="0" wrapText="false" indent="0" shrinkToFit="false"/>
      <protection locked="true" hidden="false"/>
    </xf>
    <xf numFmtId="170" fontId="19" fillId="0" borderId="16" xfId="35" applyFont="true" applyBorder="true" applyAlignment="true" applyProtection="true">
      <alignment horizontal="center" vertical="center" textRotation="0" wrapText="false" indent="0" shrinkToFit="false"/>
      <protection locked="true" hidden="false"/>
    </xf>
    <xf numFmtId="179" fontId="16" fillId="0" borderId="16" xfId="35" applyFont="true" applyBorder="true" applyAlignment="true" applyProtection="true">
      <alignment horizontal="general" vertical="center" textRotation="0" wrapText="false" indent="0" shrinkToFit="false"/>
      <protection locked="true" hidden="false"/>
    </xf>
    <xf numFmtId="172" fontId="16" fillId="0" borderId="14" xfId="35" applyFont="true" applyBorder="true" applyAlignment="true" applyProtection="true">
      <alignment horizontal="general" vertical="center" textRotation="0" wrapText="false" indent="0" shrinkToFit="false"/>
      <protection locked="true" hidden="false"/>
    </xf>
    <xf numFmtId="172" fontId="16" fillId="0" borderId="18" xfId="35" applyFont="true" applyBorder="true" applyAlignment="true" applyProtection="true">
      <alignment horizontal="general" vertical="center" textRotation="0" wrapText="false" indent="0" shrinkToFit="false"/>
      <protection locked="true" hidden="false"/>
    </xf>
    <xf numFmtId="175" fontId="16" fillId="0" borderId="18" xfId="35" applyFont="true" applyBorder="true" applyAlignment="true" applyProtection="true">
      <alignment horizontal="center" vertical="center" textRotation="0" wrapText="false" indent="0" shrinkToFit="false"/>
      <protection locked="true" hidden="false"/>
    </xf>
    <xf numFmtId="179" fontId="16" fillId="0" borderId="18" xfId="35" applyFont="true" applyBorder="true" applyAlignment="true" applyProtection="true">
      <alignment horizontal="general" vertical="center" textRotation="0" wrapText="false" indent="0" shrinkToFit="false"/>
      <protection locked="true" hidden="false"/>
    </xf>
    <xf numFmtId="164" fontId="16" fillId="0" borderId="18" xfId="35" applyFont="true" applyBorder="true" applyAlignment="true" applyProtection="true">
      <alignment horizontal="general" vertical="center" textRotation="0" wrapText="false" indent="0" shrinkToFit="false"/>
      <protection locked="true" hidden="false"/>
    </xf>
    <xf numFmtId="164" fontId="16" fillId="0" borderId="18" xfId="35" applyFont="true" applyBorder="true" applyAlignment="true" applyProtection="true">
      <alignment horizontal="center" vertical="center" textRotation="0" wrapText="false" indent="0" shrinkToFit="false"/>
      <protection locked="true" hidden="false"/>
    </xf>
    <xf numFmtId="164" fontId="16" fillId="0" borderId="14" xfId="35" applyFont="true" applyBorder="true" applyAlignment="true" applyProtection="true">
      <alignment horizontal="center" vertical="center" textRotation="0" wrapText="false" indent="0" shrinkToFit="false"/>
      <protection locked="true" hidden="false"/>
    </xf>
    <xf numFmtId="174" fontId="19" fillId="0" borderId="33" xfId="35" applyFont="true" applyBorder="true" applyAlignment="true" applyProtection="true">
      <alignment horizontal="center" vertical="center" textRotation="0" wrapText="false" indent="0" shrinkToFit="false"/>
      <protection locked="true" hidden="false"/>
    </xf>
    <xf numFmtId="179" fontId="16" fillId="0" borderId="14" xfId="35" applyFont="true" applyBorder="true" applyAlignment="true" applyProtection="true">
      <alignment horizontal="general" vertical="center" textRotation="0" wrapText="false" indent="0" shrinkToFit="false"/>
      <protection locked="true" hidden="false"/>
    </xf>
    <xf numFmtId="177" fontId="19" fillId="0" borderId="18" xfId="27" applyFont="true" applyBorder="true" applyAlignment="true" applyProtection="true">
      <alignment horizontal="general" vertical="center" textRotation="0" wrapText="false" indent="0" shrinkToFit="false"/>
      <protection locked="true" hidden="false"/>
    </xf>
    <xf numFmtId="179" fontId="20" fillId="0" borderId="16" xfId="35" applyFont="true" applyBorder="true" applyAlignment="true" applyProtection="true">
      <alignment horizontal="general" vertical="center" textRotation="0" wrapText="false" indent="0" shrinkToFit="false"/>
      <protection locked="true" hidden="false"/>
    </xf>
    <xf numFmtId="178" fontId="19" fillId="0" borderId="30" xfId="35" applyFont="true" applyBorder="true" applyAlignment="true" applyProtection="true">
      <alignment horizontal="center" vertical="center" textRotation="0" wrapText="false" indent="0" shrinkToFit="false"/>
      <protection locked="true" hidden="false"/>
    </xf>
    <xf numFmtId="174" fontId="17" fillId="0" borderId="6" xfId="35" applyFont="true" applyBorder="true" applyAlignment="true" applyProtection="true">
      <alignment horizontal="center" vertical="center" textRotation="0" wrapText="false" indent="0" shrinkToFit="false"/>
      <protection locked="true" hidden="false"/>
    </xf>
    <xf numFmtId="178" fontId="17" fillId="0" borderId="5" xfId="35" applyFont="true" applyBorder="true" applyAlignment="true" applyProtection="true">
      <alignment horizontal="center" vertical="center" textRotation="0" wrapText="false" indent="0" shrinkToFit="false"/>
      <protection locked="true" hidden="false"/>
    </xf>
    <xf numFmtId="178" fontId="17" fillId="0" borderId="5" xfId="35" applyFont="true" applyBorder="true" applyAlignment="true" applyProtection="true">
      <alignment horizontal="general" vertical="center" textRotation="0" wrapText="false" indent="0" shrinkToFit="false"/>
      <protection locked="true" hidden="false"/>
    </xf>
    <xf numFmtId="172" fontId="17" fillId="0" borderId="5" xfId="35" applyFont="true" applyBorder="true" applyAlignment="true" applyProtection="true">
      <alignment horizontal="general" vertical="center" textRotation="0" wrapText="false" indent="0" shrinkToFit="false"/>
      <protection locked="true" hidden="false"/>
    </xf>
    <xf numFmtId="172" fontId="17" fillId="8" borderId="7" xfId="35" applyFont="true" applyBorder="true" applyAlignment="true" applyProtection="true">
      <alignment horizontal="general" vertical="center" textRotation="0" wrapText="false" indent="0" shrinkToFit="false"/>
      <protection locked="true" hidden="false"/>
    </xf>
    <xf numFmtId="164" fontId="20" fillId="8" borderId="7" xfId="35" applyFont="true" applyBorder="true" applyAlignment="true" applyProtection="true">
      <alignment horizontal="center" vertical="center" textRotation="0" wrapText="false" indent="0" shrinkToFit="false"/>
      <protection locked="true" hidden="false"/>
    </xf>
    <xf numFmtId="164" fontId="15" fillId="0" borderId="0" xfId="35" applyFont="true" applyBorder="true" applyAlignment="true" applyProtection="true">
      <alignment horizontal="general" vertical="bottom" textRotation="0" wrapText="false" indent="0" shrinkToFit="false"/>
      <protection locked="true" hidden="false"/>
    </xf>
    <xf numFmtId="164" fontId="15" fillId="0" borderId="0" xfId="35" applyFont="true" applyBorder="true" applyAlignment="true" applyProtection="true">
      <alignment horizontal="left" vertical="bottom" textRotation="0" wrapText="false" indent="2" shrinkToFit="false"/>
      <protection locked="true" hidden="false"/>
    </xf>
    <xf numFmtId="164" fontId="40" fillId="0" borderId="0" xfId="35" applyFont="true" applyBorder="true" applyAlignment="true" applyProtection="true">
      <alignment horizontal="general" vertical="bottom" textRotation="0" wrapText="false" indent="0" shrinkToFit="false"/>
      <protection locked="true" hidden="false"/>
    </xf>
    <xf numFmtId="164" fontId="0" fillId="0" borderId="0" xfId="35" applyFont="true" applyBorder="true" applyAlignment="true" applyProtection="true">
      <alignment horizontal="general" vertical="bottom" textRotation="0" wrapText="false" indent="0" shrinkToFit="false"/>
      <protection locked="true" hidden="false"/>
    </xf>
    <xf numFmtId="164" fontId="0" fillId="0" borderId="0" xfId="35" applyFont="true" applyBorder="true" applyAlignment="true" applyProtection="true">
      <alignment horizontal="left" vertical="bottom" textRotation="0" wrapText="false" indent="2" shrinkToFit="false"/>
      <protection locked="true" hidden="false"/>
    </xf>
    <xf numFmtId="164" fontId="41" fillId="0" borderId="0" xfId="35" applyFont="true" applyBorder="true" applyAlignment="true" applyProtection="true">
      <alignment horizontal="left" vertical="center" textRotation="0" wrapText="false" indent="0" shrinkToFit="false"/>
      <protection locked="true" hidden="false"/>
    </xf>
    <xf numFmtId="164" fontId="41" fillId="0" borderId="0" xfId="35" applyFont="true" applyBorder="true" applyAlignment="true" applyProtection="true">
      <alignment horizontal="left" vertical="center" textRotation="0" wrapText="true" indent="2" shrinkToFit="false"/>
      <protection locked="true" hidden="false"/>
    </xf>
    <xf numFmtId="164" fontId="41" fillId="0" borderId="0" xfId="35" applyFont="true" applyBorder="true" applyAlignment="true" applyProtection="true">
      <alignment horizontal="center" vertical="center" textRotation="0" wrapText="true" indent="0" shrinkToFit="false"/>
      <protection locked="true" hidden="false"/>
    </xf>
    <xf numFmtId="164" fontId="42" fillId="10" borderId="0" xfId="35" applyFont="true" applyBorder="true" applyAlignment="true" applyProtection="true">
      <alignment horizontal="center" vertical="center" textRotation="0" wrapText="false" indent="0" shrinkToFit="false"/>
      <protection locked="true" hidden="false"/>
    </xf>
    <xf numFmtId="164" fontId="42" fillId="11" borderId="0" xfId="35" applyFont="true" applyBorder="true" applyAlignment="true" applyProtection="true">
      <alignment horizontal="left" vertical="center" textRotation="0" wrapText="false" indent="0" shrinkToFit="false"/>
      <protection locked="true" hidden="false"/>
    </xf>
    <xf numFmtId="164" fontId="43" fillId="11" borderId="0" xfId="35" applyFont="true" applyBorder="true" applyAlignment="true" applyProtection="true">
      <alignment horizontal="left" vertical="center" textRotation="0" wrapText="false" indent="2" shrinkToFit="false"/>
      <protection locked="true" hidden="false"/>
    </xf>
    <xf numFmtId="164" fontId="43" fillId="11" borderId="0" xfId="35" applyFont="true" applyBorder="true" applyAlignment="true" applyProtection="true">
      <alignment horizontal="center" vertical="center" textRotation="0" wrapText="false" indent="0" shrinkToFit="false"/>
      <protection locked="true" hidden="false"/>
    </xf>
    <xf numFmtId="164" fontId="44" fillId="0" borderId="0" xfId="35" applyFont="true" applyBorder="true" applyAlignment="true" applyProtection="true">
      <alignment horizontal="center" vertical="center" textRotation="0" wrapText="true" indent="0" shrinkToFit="false"/>
      <protection locked="true" hidden="false"/>
    </xf>
    <xf numFmtId="164" fontId="45" fillId="0" borderId="0" xfId="35" applyFont="true" applyBorder="true" applyAlignment="true" applyProtection="true">
      <alignment horizontal="center" vertical="center" textRotation="0" wrapText="true" indent="0" shrinkToFit="false"/>
      <protection locked="true" hidden="false"/>
    </xf>
    <xf numFmtId="164" fontId="46" fillId="0" borderId="0" xfId="35" applyFont="true" applyBorder="true" applyAlignment="true" applyProtection="true">
      <alignment horizontal="right" vertical="center" textRotation="0" wrapText="true" indent="0" shrinkToFit="false"/>
      <protection locked="true" hidden="false"/>
    </xf>
    <xf numFmtId="164" fontId="40" fillId="0" borderId="0" xfId="35" applyFont="true" applyBorder="true" applyAlignment="true" applyProtection="true">
      <alignment horizontal="left" vertical="center" textRotation="0" wrapText="false" indent="0" shrinkToFit="false"/>
      <protection locked="true" hidden="false"/>
    </xf>
    <xf numFmtId="164" fontId="47" fillId="0" borderId="0" xfId="35" applyFont="true" applyBorder="true" applyAlignment="true" applyProtection="true">
      <alignment horizontal="left" vertical="center" textRotation="0" wrapText="true" indent="2" shrinkToFit="false"/>
      <protection locked="true" hidden="false"/>
    </xf>
    <xf numFmtId="164" fontId="48" fillId="0" borderId="0" xfId="35" applyFont="true" applyBorder="true" applyAlignment="true" applyProtection="true">
      <alignment horizontal="center" vertical="center" textRotation="0" wrapText="true" indent="0" shrinkToFit="false"/>
      <protection locked="true" hidden="false"/>
    </xf>
    <xf numFmtId="181" fontId="49" fillId="12" borderId="54" xfId="35" applyFont="true" applyBorder="true" applyAlignment="true" applyProtection="true">
      <alignment horizontal="center" vertical="center" textRotation="0" wrapText="true" indent="0" shrinkToFit="false"/>
      <protection locked="true" hidden="false"/>
    </xf>
    <xf numFmtId="164" fontId="50" fillId="0" borderId="0" xfId="35" applyFont="true" applyBorder="true" applyAlignment="true" applyProtection="true">
      <alignment horizontal="left" vertical="center" textRotation="0" wrapText="true" indent="2" shrinkToFit="false"/>
      <protection locked="true" hidden="false"/>
    </xf>
    <xf numFmtId="164" fontId="15" fillId="0" borderId="0" xfId="35" applyFont="true" applyBorder="true" applyAlignment="true" applyProtection="true">
      <alignment horizontal="center" vertical="center" textRotation="0" wrapText="true" indent="0" shrinkToFit="false"/>
      <protection locked="true" hidden="false"/>
    </xf>
    <xf numFmtId="184" fontId="51" fillId="12" borderId="54" xfId="35" applyFont="true" applyBorder="true" applyAlignment="true" applyProtection="true">
      <alignment horizontal="center" vertical="center" textRotation="0" wrapText="true" indent="0" shrinkToFit="false"/>
      <protection locked="true" hidden="false"/>
    </xf>
    <xf numFmtId="184" fontId="49" fillId="12" borderId="54" xfId="35" applyFont="true" applyBorder="true" applyAlignment="true" applyProtection="true">
      <alignment horizontal="center" vertical="center" textRotation="0" wrapText="true" indent="0" shrinkToFit="false"/>
      <protection locked="true" hidden="false"/>
    </xf>
    <xf numFmtId="181" fontId="50" fillId="12" borderId="54" xfId="35" applyFont="true" applyBorder="true" applyAlignment="true" applyProtection="true">
      <alignment horizontal="center" vertical="center" textRotation="0" wrapText="true" indent="0" shrinkToFit="false"/>
      <protection locked="true" hidden="false"/>
    </xf>
    <xf numFmtId="164" fontId="52" fillId="0" borderId="0" xfId="35" applyFont="true" applyBorder="true" applyAlignment="true" applyProtection="true">
      <alignment horizontal="center" vertical="center" textRotation="0" wrapText="true" indent="0" shrinkToFit="false"/>
      <protection locked="true" hidden="false"/>
    </xf>
    <xf numFmtId="185" fontId="49" fillId="12" borderId="54" xfId="35" applyFont="true" applyBorder="true" applyAlignment="true" applyProtection="true">
      <alignment horizontal="center" vertical="center" textRotation="0" wrapText="true" indent="0" shrinkToFit="false"/>
      <protection locked="true" hidden="false"/>
    </xf>
    <xf numFmtId="164" fontId="47" fillId="0" borderId="0" xfId="35" applyFont="true" applyBorder="true" applyAlignment="true" applyProtection="true">
      <alignment horizontal="center" vertical="center" textRotation="0" wrapText="true" indent="0" shrinkToFit="false"/>
      <protection locked="true" hidden="false"/>
    </xf>
    <xf numFmtId="180" fontId="49" fillId="12" borderId="54" xfId="35" applyFont="true" applyBorder="true" applyAlignment="true" applyProtection="true">
      <alignment horizontal="center" vertical="center" textRotation="0" wrapText="true" indent="0" shrinkToFit="false"/>
      <protection locked="true" hidden="false"/>
    </xf>
    <xf numFmtId="186" fontId="49" fillId="12" borderId="54" xfId="35" applyFont="true" applyBorder="true" applyAlignment="true" applyProtection="true">
      <alignment horizontal="center" vertical="center" textRotation="0" wrapText="true" indent="0" shrinkToFit="false"/>
      <protection locked="true" hidden="false"/>
    </xf>
    <xf numFmtId="186" fontId="15" fillId="0" borderId="0" xfId="35" applyFont="true" applyBorder="true" applyAlignment="true" applyProtection="true">
      <alignment horizontal="general" vertical="bottom" textRotation="0" wrapText="false" indent="0" shrinkToFit="false"/>
      <protection locked="true" hidden="false"/>
    </xf>
    <xf numFmtId="187" fontId="51" fillId="12" borderId="54" xfId="35" applyFont="true" applyBorder="true" applyAlignment="true" applyProtection="true">
      <alignment horizontal="center" vertical="center" textRotation="0" wrapText="true" indent="0" shrinkToFit="false"/>
      <protection locked="true" hidden="false"/>
    </xf>
    <xf numFmtId="188" fontId="49" fillId="12" borderId="54" xfId="35" applyFont="true" applyBorder="true" applyAlignment="true" applyProtection="true">
      <alignment horizontal="center" vertical="center" textRotation="0" wrapText="true" indent="0" shrinkToFit="false"/>
      <protection locked="true" hidden="false"/>
    </xf>
    <xf numFmtId="186" fontId="44" fillId="0" borderId="0" xfId="27" applyFont="true" applyBorder="true" applyAlignment="true" applyProtection="true">
      <alignment horizontal="center" vertical="center" textRotation="0" wrapText="true" indent="0" shrinkToFit="false"/>
      <protection locked="true" hidden="false"/>
    </xf>
    <xf numFmtId="189" fontId="44" fillId="0" borderId="0" xfId="35" applyFont="true" applyBorder="true" applyAlignment="true" applyProtection="true">
      <alignment horizontal="center" vertical="center" textRotation="0" wrapText="true" indent="0" shrinkToFit="false"/>
      <protection locked="true" hidden="false"/>
    </xf>
    <xf numFmtId="164" fontId="40" fillId="0" borderId="1" xfId="35" applyFont="true" applyBorder="true" applyAlignment="true" applyProtection="true">
      <alignment horizontal="left" vertical="center" textRotation="0" wrapText="false" indent="0" shrinkToFit="false"/>
      <protection locked="true" hidden="false"/>
    </xf>
    <xf numFmtId="164" fontId="15" fillId="0" borderId="1" xfId="35" applyFont="true" applyBorder="true" applyAlignment="true" applyProtection="true">
      <alignment horizontal="left" vertical="center" textRotation="0" wrapText="true" indent="2" shrinkToFit="false"/>
      <protection locked="true" hidden="false"/>
    </xf>
    <xf numFmtId="164" fontId="15" fillId="0" borderId="1" xfId="35" applyFont="true" applyBorder="true" applyAlignment="true" applyProtection="true">
      <alignment horizontal="center" vertical="center" textRotation="0" wrapText="true" indent="0" shrinkToFit="false"/>
      <protection locked="true" hidden="false"/>
    </xf>
    <xf numFmtId="164" fontId="52" fillId="0" borderId="1" xfId="35" applyFont="true" applyBorder="true" applyAlignment="true" applyProtection="true">
      <alignment horizontal="center" vertical="center" textRotation="0" wrapText="true" indent="0" shrinkToFit="false"/>
      <protection locked="true" hidden="false"/>
    </xf>
    <xf numFmtId="164" fontId="50" fillId="0" borderId="0" xfId="35" applyFont="true" applyBorder="true" applyAlignment="true" applyProtection="true">
      <alignment horizontal="left" vertical="center" textRotation="0" wrapText="false" indent="1" shrinkToFit="false"/>
      <protection locked="true" hidden="false"/>
    </xf>
    <xf numFmtId="165" fontId="53" fillId="12" borderId="54" xfId="22" applyFont="true" applyBorder="true" applyAlignment="true" applyProtection="true">
      <alignment horizontal="center" vertical="center" textRotation="0" wrapText="true" indent="0" shrinkToFit="false"/>
      <protection locked="true" hidden="false"/>
    </xf>
    <xf numFmtId="164" fontId="15" fillId="0" borderId="0" xfId="35" applyFont="true" applyBorder="true" applyAlignment="true" applyProtection="true">
      <alignment horizontal="left" vertical="center" textRotation="0" wrapText="false" indent="0" shrinkToFit="false"/>
      <protection locked="true" hidden="false"/>
    </xf>
    <xf numFmtId="164" fontId="50" fillId="0" borderId="0" xfId="35" applyFont="true" applyBorder="true" applyAlignment="true" applyProtection="true">
      <alignment horizontal="left" vertical="center" textRotation="0" wrapText="false" indent="0" shrinkToFit="false"/>
      <protection locked="true" hidden="false"/>
    </xf>
    <xf numFmtId="190" fontId="49" fillId="12" borderId="54" xfId="35" applyFont="true" applyBorder="true" applyAlignment="true" applyProtection="true">
      <alignment horizontal="center" vertical="center" textRotation="0" wrapText="true" indent="0" shrinkToFit="false"/>
      <protection locked="true" hidden="false"/>
    </xf>
    <xf numFmtId="164" fontId="27" fillId="0" borderId="1" xfId="35" applyFont="true" applyBorder="true" applyAlignment="true" applyProtection="true">
      <alignment horizontal="center" vertical="center" textRotation="0" wrapText="true" indent="0" shrinkToFit="false"/>
      <protection locked="true" hidden="false"/>
    </xf>
    <xf numFmtId="164" fontId="40" fillId="0" borderId="0" xfId="35" applyFont="true" applyBorder="true" applyAlignment="true" applyProtection="true">
      <alignment horizontal="left" vertical="center" textRotation="0" wrapText="true" indent="0" shrinkToFit="false"/>
      <protection locked="true" hidden="false"/>
    </xf>
    <xf numFmtId="164" fontId="27" fillId="0" borderId="0" xfId="35" applyFont="true" applyBorder="true" applyAlignment="true" applyProtection="true">
      <alignment horizontal="center" vertical="center" textRotation="0" wrapText="true" indent="0" shrinkToFit="false"/>
      <protection locked="true" hidden="false"/>
    </xf>
    <xf numFmtId="165" fontId="51" fillId="12" borderId="54" xfId="22" applyFont="true" applyBorder="true" applyAlignment="true" applyProtection="true">
      <alignment horizontal="center" vertical="center" textRotation="0" wrapText="true" indent="0" shrinkToFit="false"/>
      <protection locked="true" hidden="false"/>
    </xf>
    <xf numFmtId="184" fontId="49" fillId="12" borderId="54" xfId="22" applyFont="true" applyBorder="true" applyAlignment="true" applyProtection="true">
      <alignment horizontal="center" vertical="center" textRotation="0" wrapText="true" indent="0" shrinkToFit="false"/>
      <protection locked="true" hidden="false"/>
    </xf>
    <xf numFmtId="165" fontId="27" fillId="0" borderId="0" xfId="22" applyFont="true" applyBorder="true" applyAlignment="true" applyProtection="true">
      <alignment horizontal="center" vertical="center" textRotation="0" wrapText="true" indent="0" shrinkToFit="false"/>
      <protection locked="true" hidden="false"/>
    </xf>
    <xf numFmtId="176" fontId="49" fillId="12" borderId="54" xfId="22" applyFont="true" applyBorder="true" applyAlignment="true" applyProtection="true">
      <alignment horizontal="center" vertical="center" textRotation="0" wrapText="true" indent="0" shrinkToFit="false"/>
      <protection locked="true" hidden="false"/>
    </xf>
    <xf numFmtId="164" fontId="42" fillId="11" borderId="0" xfId="35" applyFont="true" applyBorder="true" applyAlignment="true" applyProtection="true">
      <alignment horizontal="left" vertical="center" textRotation="0" wrapText="false" indent="2" shrinkToFit="false"/>
      <protection locked="true" hidden="false"/>
    </xf>
    <xf numFmtId="164" fontId="42" fillId="11" borderId="0" xfId="35" applyFont="true" applyBorder="true" applyAlignment="true" applyProtection="true">
      <alignment horizontal="center" vertical="center" textRotation="0" wrapText="false" indent="0" shrinkToFit="false"/>
      <protection locked="true" hidden="false"/>
    </xf>
    <xf numFmtId="172" fontId="15" fillId="0" borderId="0" xfId="35" applyFont="true" applyBorder="true" applyAlignment="true" applyProtection="true">
      <alignment horizontal="general" vertical="bottom" textRotation="0" wrapText="false" indent="0" shrinkToFit="false"/>
      <protection locked="true" hidden="false"/>
    </xf>
    <xf numFmtId="179" fontId="15" fillId="0" borderId="0" xfId="35" applyFont="true" applyBorder="true" applyAlignment="true" applyProtection="true">
      <alignment horizontal="general" vertical="bottom" textRotation="0" wrapText="false" indent="0" shrinkToFit="false"/>
      <protection locked="true" hidden="false"/>
    </xf>
    <xf numFmtId="179" fontId="32" fillId="0" borderId="0" xfId="35" applyFont="true" applyBorder="true" applyAlignment="true" applyProtection="true">
      <alignment horizontal="general" vertical="bottom" textRotation="0" wrapText="false" indent="0" shrinkToFit="false"/>
      <protection locked="true" hidden="false"/>
    </xf>
    <xf numFmtId="164" fontId="15" fillId="0" borderId="1" xfId="35" applyFont="true" applyBorder="true" applyAlignment="true" applyProtection="true">
      <alignment horizontal="left" vertical="bottom" textRotation="0" wrapText="false" indent="2" shrinkToFit="false"/>
      <protection locked="true" hidden="false"/>
    </xf>
    <xf numFmtId="191" fontId="15" fillId="0" borderId="1" xfId="35" applyFont="true" applyBorder="true" applyAlignment="true" applyProtection="true">
      <alignment horizontal="general" vertical="bottom" textRotation="0" wrapText="false" indent="0" shrinkToFit="false"/>
      <protection locked="true" hidden="false"/>
    </xf>
    <xf numFmtId="179" fontId="54" fillId="0" borderId="1" xfId="35" applyFont="true" applyBorder="true" applyAlignment="true" applyProtection="true">
      <alignment horizontal="general" vertical="bottom" textRotation="0" wrapText="false" indent="0" shrinkToFit="false"/>
      <protection locked="true" hidden="false"/>
    </xf>
    <xf numFmtId="180" fontId="50" fillId="12" borderId="54" xfId="35" applyFont="true" applyBorder="true" applyAlignment="true" applyProtection="true">
      <alignment horizontal="left" vertical="center" textRotation="0" wrapText="true" indent="2" shrinkToFit="false"/>
      <protection locked="true" hidden="false"/>
    </xf>
    <xf numFmtId="192" fontId="55" fillId="12" borderId="55" xfId="35" applyFont="true" applyBorder="true" applyAlignment="true" applyProtection="true">
      <alignment horizontal="center" vertical="center" textRotation="0" wrapText="true" indent="0" shrinkToFit="false"/>
      <protection locked="true" hidden="false"/>
    </xf>
    <xf numFmtId="192" fontId="15" fillId="0" borderId="0" xfId="35" applyFont="true" applyBorder="true" applyAlignment="true" applyProtection="true">
      <alignment horizontal="general" vertical="bottom" textRotation="0" wrapText="false" indent="0" shrinkToFit="false"/>
      <protection locked="true" hidden="false"/>
    </xf>
    <xf numFmtId="164" fontId="50" fillId="6" borderId="0" xfId="35" applyFont="true" applyBorder="true" applyAlignment="true" applyProtection="true">
      <alignment horizontal="left" vertical="center" textRotation="0" wrapText="false" indent="0" shrinkToFit="false"/>
      <protection locked="true" hidden="false"/>
    </xf>
    <xf numFmtId="193" fontId="50" fillId="12" borderId="54" xfId="22" applyFont="true" applyBorder="true" applyAlignment="true" applyProtection="true">
      <alignment horizontal="center" vertical="center" textRotation="0" wrapText="true" indent="0" shrinkToFit="false"/>
      <protection locked="true" hidden="false"/>
    </xf>
    <xf numFmtId="166" fontId="15" fillId="0" borderId="0" xfId="35" applyFont="true" applyBorder="true" applyAlignment="true" applyProtection="true">
      <alignment horizontal="general" vertical="bottom" textRotation="0" wrapText="false" indent="0" shrinkToFit="false"/>
      <protection locked="true" hidden="false"/>
    </xf>
    <xf numFmtId="164" fontId="12" fillId="4" borderId="0" xfId="35" applyFont="true" applyBorder="true" applyAlignment="true" applyProtection="true">
      <alignment horizontal="left" vertical="center" textRotation="0" wrapText="true" indent="0" shrinkToFit="false"/>
      <protection locked="true" hidden="false"/>
    </xf>
    <xf numFmtId="164" fontId="15" fillId="0" borderId="1" xfId="35" applyFont="true" applyBorder="true" applyAlignment="true" applyProtection="true">
      <alignment horizontal="general" vertical="bottom" textRotation="0" wrapText="false" indent="0" shrinkToFit="false"/>
      <protection locked="true" hidden="false"/>
    </xf>
    <xf numFmtId="164" fontId="27" fillId="0" borderId="1" xfId="35" applyFont="true" applyBorder="true" applyAlignment="true" applyProtection="true">
      <alignment horizontal="general" vertical="bottom" textRotation="0" wrapText="false" indent="0" shrinkToFit="false"/>
      <protection locked="true" hidden="false"/>
    </xf>
    <xf numFmtId="164" fontId="15" fillId="4" borderId="56" xfId="35" applyFont="true" applyBorder="true" applyAlignment="true" applyProtection="true">
      <alignment horizontal="left" vertical="bottom" textRotation="0" wrapText="false" indent="0" shrinkToFit="false"/>
      <protection locked="true" hidden="false"/>
    </xf>
    <xf numFmtId="164" fontId="23" fillId="0" borderId="0" xfId="35" applyFont="true" applyBorder="true" applyAlignment="true" applyProtection="true">
      <alignment horizontal="left" vertical="bottom" textRotation="0" wrapText="false" indent="2" shrinkToFit="false"/>
      <protection locked="true" hidden="false"/>
    </xf>
    <xf numFmtId="181" fontId="50" fillId="8" borderId="54" xfId="35" applyFont="true" applyBorder="true" applyAlignment="true" applyProtection="true">
      <alignment horizontal="center" vertical="center" textRotation="0" wrapText="true" indent="0" shrinkToFit="false"/>
      <protection locked="true" hidden="false"/>
    </xf>
    <xf numFmtId="180" fontId="50" fillId="8" borderId="54" xfId="35" applyFont="true" applyBorder="true" applyAlignment="true" applyProtection="true">
      <alignment horizontal="left" vertical="center" textRotation="0" wrapText="true" indent="2" shrinkToFit="false"/>
      <protection locked="true" hidden="false"/>
    </xf>
    <xf numFmtId="185" fontId="51" fillId="8" borderId="55" xfId="35" applyFont="true" applyBorder="true" applyAlignment="true" applyProtection="true">
      <alignment horizontal="center" vertical="center" textRotation="0" wrapText="true" indent="0" shrinkToFit="false"/>
      <protection locked="true" hidden="false"/>
    </xf>
    <xf numFmtId="193" fontId="50" fillId="8" borderId="54" xfId="22" applyFont="true" applyBorder="true" applyAlignment="true" applyProtection="true">
      <alignment horizontal="center" vertical="center" textRotation="0" wrapText="true" indent="0" shrinkToFit="false"/>
      <protection locked="true" hidden="false"/>
    </xf>
    <xf numFmtId="181" fontId="49" fillId="8" borderId="54" xfId="35" applyFont="true" applyBorder="true" applyAlignment="true" applyProtection="true">
      <alignment horizontal="center" vertical="center" textRotation="0" wrapText="true" indent="0" shrinkToFit="false"/>
      <protection locked="true" hidden="false"/>
    </xf>
    <xf numFmtId="164" fontId="50" fillId="4" borderId="56" xfId="35" applyFont="true" applyBorder="true" applyAlignment="true" applyProtection="true">
      <alignment horizontal="left" vertical="bottom" textRotation="0" wrapText="false" indent="0" shrinkToFit="false"/>
      <protection locked="true" hidden="false"/>
    </xf>
    <xf numFmtId="180" fontId="51" fillId="8" borderId="54" xfId="35" applyFont="true" applyBorder="true" applyAlignment="true" applyProtection="true">
      <alignment horizontal="center" vertical="center" textRotation="0" wrapText="true" indent="0" shrinkToFit="false"/>
      <protection locked="true" hidden="false"/>
    </xf>
    <xf numFmtId="176" fontId="49" fillId="8" borderId="55" xfId="22" applyFont="true" applyBorder="true" applyAlignment="true" applyProtection="true">
      <alignment horizontal="center" vertical="center" textRotation="0" wrapText="true" indent="0" shrinkToFit="false"/>
      <protection locked="true" hidden="false"/>
    </xf>
    <xf numFmtId="192" fontId="49" fillId="12" borderId="55" xfId="22" applyFont="true" applyBorder="true" applyAlignment="true" applyProtection="true">
      <alignment horizontal="center" vertical="center" textRotation="0" wrapText="true" indent="0" shrinkToFit="false"/>
      <protection locked="true" hidden="false"/>
    </xf>
    <xf numFmtId="166" fontId="15" fillId="0" borderId="0" xfId="27" applyFont="true" applyBorder="true" applyAlignment="true" applyProtection="true">
      <alignment horizontal="general" vertical="bottom" textRotation="0" wrapText="false" indent="0" shrinkToFit="false"/>
      <protection locked="true" hidden="false"/>
    </xf>
    <xf numFmtId="184" fontId="51" fillId="12" borderId="55" xfId="22" applyFont="true" applyBorder="true" applyAlignment="true" applyProtection="true">
      <alignment horizontal="center" vertical="center" textRotation="0" wrapText="true" indent="0" shrinkToFit="false"/>
      <protection locked="true" hidden="false"/>
    </xf>
    <xf numFmtId="189" fontId="15" fillId="0" borderId="0" xfId="35" applyFont="true" applyBorder="true" applyAlignment="true" applyProtection="true">
      <alignment horizontal="general" vertical="bottom" textRotation="0" wrapText="false" indent="0" shrinkToFit="false"/>
      <protection locked="true" hidden="false"/>
    </xf>
    <xf numFmtId="166" fontId="56" fillId="0" borderId="1" xfId="27" applyFont="true" applyBorder="true" applyAlignment="true" applyProtection="true">
      <alignment horizontal="general" vertical="bottom" textRotation="0" wrapText="false" indent="0" shrinkToFit="false"/>
      <protection locked="true" hidden="false"/>
    </xf>
    <xf numFmtId="194" fontId="49" fillId="12" borderId="55" xfId="27" applyFont="true" applyBorder="true" applyAlignment="true" applyProtection="true">
      <alignment horizontal="general" vertical="center" textRotation="0" wrapText="true" indent="0" shrinkToFit="false"/>
      <protection locked="true" hidden="false"/>
    </xf>
    <xf numFmtId="192" fontId="53" fillId="12" borderId="54" xfId="22" applyFont="true" applyBorder="true" applyAlignment="true" applyProtection="true">
      <alignment horizontal="center" vertical="center" textRotation="0" wrapText="true" indent="0" shrinkToFit="false"/>
      <protection locked="true" hidden="false"/>
    </xf>
    <xf numFmtId="164" fontId="15" fillId="6" borderId="56" xfId="35" applyFont="true" applyBorder="true" applyAlignment="true" applyProtection="true">
      <alignment horizontal="left" vertical="bottom" textRotation="0" wrapText="false" indent="0" shrinkToFit="false"/>
      <protection locked="true" hidden="false"/>
    </xf>
    <xf numFmtId="185" fontId="15" fillId="0" borderId="0" xfId="35" applyFont="true" applyBorder="true" applyAlignment="true" applyProtection="true">
      <alignment horizontal="general" vertical="bottom" textRotation="0" wrapText="false" indent="0" shrinkToFit="false"/>
      <protection locked="true" hidden="false"/>
    </xf>
    <xf numFmtId="185" fontId="51" fillId="12" borderId="55" xfId="35" applyFont="true" applyBorder="true" applyAlignment="true" applyProtection="true">
      <alignment horizontal="center" vertical="center" textRotation="0" wrapText="true" indent="0" shrinkToFit="false"/>
      <protection locked="true" hidden="false"/>
    </xf>
    <xf numFmtId="164" fontId="50" fillId="0" borderId="0" xfId="35" applyFont="true" applyBorder="true" applyAlignment="true" applyProtection="true">
      <alignment horizontal="left" vertical="bottom" textRotation="0" wrapText="false" indent="2" shrinkToFit="false"/>
      <protection locked="true" hidden="false"/>
    </xf>
    <xf numFmtId="192" fontId="51" fillId="12" borderId="57" xfId="35" applyFont="true" applyBorder="true" applyAlignment="true" applyProtection="true">
      <alignment horizontal="center" vertical="center" textRotation="0" wrapText="true" indent="0" shrinkToFit="false"/>
      <protection locked="true" hidden="false"/>
    </xf>
    <xf numFmtId="192" fontId="0" fillId="0" borderId="0" xfId="35" applyFont="true" applyBorder="true" applyAlignment="true" applyProtection="true">
      <alignment horizontal="general" vertical="bottom" textRotation="0" wrapText="false" indent="0" shrinkToFit="false"/>
      <protection locked="true" hidden="false"/>
    </xf>
    <xf numFmtId="192" fontId="57" fillId="0" borderId="0" xfId="35" applyFont="true" applyBorder="true" applyAlignment="true" applyProtection="true">
      <alignment horizontal="right" vertical="bottom" textRotation="0" wrapText="false" indent="0" shrinkToFit="false"/>
      <protection locked="true" hidden="false"/>
    </xf>
    <xf numFmtId="192" fontId="0" fillId="0" borderId="0" xfId="27" applyFont="true" applyBorder="true" applyAlignment="true" applyProtection="true">
      <alignment horizontal="general" vertical="bottom" textRotation="0" wrapText="false" indent="0" shrinkToFit="false"/>
      <protection locked="true" hidden="false"/>
    </xf>
    <xf numFmtId="164" fontId="0" fillId="0" borderId="0" xfId="27" applyFont="true" applyBorder="true" applyAlignment="true" applyProtection="true">
      <alignment horizontal="general" vertical="bottom" textRotation="0" wrapText="false" indent="0" shrinkToFit="false"/>
      <protection locked="true" hidden="false"/>
    </xf>
    <xf numFmtId="164" fontId="16" fillId="0" borderId="0" xfId="35" applyFont="true" applyBorder="true" applyAlignment="true" applyProtection="true">
      <alignment horizontal="general" vertical="bottom" textRotation="0" wrapText="false" indent="0" shrinkToFit="false"/>
      <protection locked="true" hidden="false"/>
    </xf>
    <xf numFmtId="172" fontId="16" fillId="0" borderId="0" xfId="35" applyFont="true" applyBorder="true" applyAlignment="true" applyProtection="true">
      <alignment horizontal="general" vertical="bottom" textRotation="0" wrapText="false" indent="0" shrinkToFit="false"/>
      <protection locked="true" hidden="false"/>
    </xf>
    <xf numFmtId="195" fontId="58" fillId="0" borderId="0" xfId="35" applyFont="true" applyBorder="true" applyAlignment="true" applyProtection="true">
      <alignment horizontal="general" vertical="bottom" textRotation="0" wrapText="false" indent="0" shrinkToFit="false"/>
      <protection locked="true" hidden="false"/>
    </xf>
    <xf numFmtId="195" fontId="59" fillId="0" borderId="0" xfId="35" applyFont="true" applyBorder="true" applyAlignment="true" applyProtection="true">
      <alignment horizontal="general" vertical="bottom" textRotation="0" wrapText="false" indent="0" shrinkToFit="false"/>
      <protection locked="true" hidden="false"/>
    </xf>
    <xf numFmtId="195" fontId="60" fillId="0" borderId="0" xfId="35" applyFont="true" applyBorder="true" applyAlignment="true" applyProtection="true">
      <alignment horizontal="general" vertical="bottom" textRotation="0" wrapText="false" indent="0" shrinkToFit="false"/>
      <protection locked="true" hidden="false"/>
    </xf>
    <xf numFmtId="192" fontId="16" fillId="0" borderId="0" xfId="35" applyFont="true" applyBorder="true" applyAlignment="true" applyProtection="true">
      <alignment horizontal="general" vertical="bottom" textRotation="0" wrapText="false" indent="0" shrinkToFit="false"/>
      <protection locked="true" hidden="false"/>
    </xf>
    <xf numFmtId="164" fontId="20" fillId="0" borderId="0" xfId="35" applyFont="true" applyBorder="true" applyAlignment="true" applyProtection="true">
      <alignment horizontal="general" vertical="bottom" textRotation="0" wrapText="false" indent="0" shrinkToFit="false"/>
      <protection locked="true" hidden="false"/>
    </xf>
    <xf numFmtId="179" fontId="61" fillId="0" borderId="0" xfId="27" applyFont="true" applyBorder="true" applyAlignment="true" applyProtection="true">
      <alignment horizontal="general" vertical="bottom" textRotation="0" wrapText="false" indent="0" shrinkToFit="false"/>
      <protection locked="true" hidden="false"/>
    </xf>
    <xf numFmtId="179" fontId="62" fillId="0" borderId="0" xfId="27" applyFont="true" applyBorder="true" applyAlignment="true" applyProtection="true">
      <alignment horizontal="general" vertical="bottom" textRotation="0" wrapText="false" indent="0" shrinkToFit="false"/>
      <protection locked="true" hidden="false"/>
    </xf>
    <xf numFmtId="179" fontId="62" fillId="4" borderId="0" xfId="27" applyFont="true" applyBorder="true" applyAlignment="true" applyProtection="true">
      <alignment horizontal="general" vertical="bottom" textRotation="0" wrapText="false" indent="0" shrinkToFit="false"/>
      <protection locked="true" hidden="false"/>
    </xf>
    <xf numFmtId="193" fontId="49" fillId="12" borderId="58" xfId="22" applyFont="true" applyBorder="true" applyAlignment="true" applyProtection="true">
      <alignment horizontal="center" vertical="center" textRotation="0" wrapText="true" indent="0" shrinkToFit="false"/>
      <protection locked="true" hidden="false"/>
    </xf>
    <xf numFmtId="181" fontId="49" fillId="12" borderId="58" xfId="35" applyFont="true" applyBorder="true" applyAlignment="true" applyProtection="true">
      <alignment horizontal="center" vertical="center" textRotation="0" wrapText="true" indent="0" shrinkToFit="false"/>
      <protection locked="true" hidden="false"/>
    </xf>
    <xf numFmtId="165" fontId="51" fillId="12" borderId="58" xfId="22" applyFont="true" applyBorder="true" applyAlignment="true" applyProtection="true">
      <alignment horizontal="center" vertical="center" textRotation="0" wrapText="true" indent="0" shrinkToFit="false"/>
      <protection locked="true" hidden="false"/>
    </xf>
    <xf numFmtId="184" fontId="49" fillId="12" borderId="58" xfId="22" applyFont="true" applyBorder="true" applyAlignment="true" applyProtection="true">
      <alignment horizontal="center" vertical="center" textRotation="0" wrapText="true" indent="0" shrinkToFit="false"/>
      <protection locked="true" hidden="false"/>
    </xf>
    <xf numFmtId="180" fontId="51" fillId="12" borderId="58" xfId="35" applyFont="true" applyBorder="true" applyAlignment="true" applyProtection="true">
      <alignment horizontal="center" vertical="center" textRotation="0" wrapText="true" indent="0" shrinkToFit="false"/>
      <protection locked="true" hidden="false"/>
    </xf>
    <xf numFmtId="164" fontId="15" fillId="0" borderId="59" xfId="35" applyFont="true" applyBorder="true" applyAlignment="true" applyProtection="true">
      <alignment horizontal="left" vertical="bottom" textRotation="0" wrapText="false" indent="2" shrinkToFit="false"/>
      <protection locked="true" hidden="false"/>
    </xf>
    <xf numFmtId="164" fontId="15" fillId="0" borderId="60" xfId="35" applyFont="true" applyBorder="true" applyAlignment="true" applyProtection="true">
      <alignment horizontal="general" vertical="bottom" textRotation="0" wrapText="false" indent="0" shrinkToFit="false"/>
      <protection locked="true" hidden="false"/>
    </xf>
    <xf numFmtId="176" fontId="15" fillId="0" borderId="0" xfId="22" applyFont="true" applyBorder="true" applyAlignment="true" applyProtection="true">
      <alignment horizontal="general" vertical="bottom" textRotation="0" wrapText="false" indent="0" shrinkToFit="false"/>
      <protection locked="true" hidden="false"/>
    </xf>
    <xf numFmtId="164" fontId="15" fillId="4" borderId="0" xfId="35" applyFont="true" applyBorder="true" applyAlignment="true" applyProtection="true">
      <alignment horizontal="left" vertical="bottom" textRotation="0" wrapText="false" indent="2" shrinkToFit="false"/>
      <protection locked="true" hidden="false"/>
    </xf>
    <xf numFmtId="193" fontId="63" fillId="12" borderId="58" xfId="22" applyFont="true" applyBorder="true" applyAlignment="true" applyProtection="true">
      <alignment horizontal="center" vertical="center" textRotation="0" wrapText="true" indent="0" shrinkToFit="false"/>
      <protection locked="true" hidden="false"/>
    </xf>
    <xf numFmtId="193" fontId="64" fillId="12" borderId="58" xfId="22" applyFont="true" applyBorder="true" applyAlignment="true" applyProtection="true">
      <alignment horizontal="center" vertical="center" textRotation="0" wrapText="true" indent="0" shrinkToFit="false"/>
      <protection locked="true" hidden="false"/>
    </xf>
    <xf numFmtId="189" fontId="56" fillId="0" borderId="0" xfId="35" applyFont="true" applyBorder="true" applyAlignment="true" applyProtection="true">
      <alignment horizontal="general" vertical="bottom" textRotation="0" wrapText="false" indent="0" shrinkToFit="false"/>
      <protection locked="true" hidden="false"/>
    </xf>
    <xf numFmtId="192" fontId="15" fillId="0" borderId="0" xfId="35" applyFont="true" applyBorder="true" applyAlignment="true" applyProtection="true">
      <alignment horizontal="left" vertical="bottom" textRotation="0" wrapText="false" indent="2" shrinkToFit="false"/>
      <protection locked="true" hidden="false"/>
    </xf>
    <xf numFmtId="164" fontId="15" fillId="0" borderId="56" xfId="35" applyFont="true" applyBorder="true" applyAlignment="true" applyProtection="true">
      <alignment horizontal="left" vertical="center" textRotation="0" wrapText="true" indent="0" shrinkToFit="false"/>
      <protection locked="true" hidden="false"/>
    </xf>
    <xf numFmtId="164" fontId="15" fillId="0" borderId="56" xfId="35" applyFont="true" applyBorder="true" applyAlignment="true" applyProtection="true">
      <alignment horizontal="left" vertical="bottom" textRotation="0" wrapText="false" indent="0" shrinkToFit="false"/>
      <protection locked="true" hidden="false"/>
    </xf>
    <xf numFmtId="164" fontId="15" fillId="12" borderId="0" xfId="35" applyFont="true" applyBorder="true" applyAlignment="true" applyProtection="true">
      <alignment horizontal="general" vertical="bottom" textRotation="0" wrapText="false" indent="0" shrinkToFit="false"/>
      <protection locked="true" hidden="false"/>
    </xf>
    <xf numFmtId="185" fontId="49" fillId="12" borderId="57" xfId="35" applyFont="true" applyBorder="true" applyAlignment="true" applyProtection="true">
      <alignment horizontal="center" vertical="center" textRotation="0" wrapText="true" indent="0" shrinkToFit="false"/>
      <protection locked="true" hidden="false"/>
    </xf>
    <xf numFmtId="180" fontId="51" fillId="12" borderId="0" xfId="35" applyFont="true" applyBorder="true" applyAlignment="true" applyProtection="true">
      <alignment horizontal="center" vertical="center" textRotation="0" wrapText="true" indent="0" shrinkToFit="false"/>
      <protection locked="true" hidden="false"/>
    </xf>
    <xf numFmtId="164" fontId="50" fillId="0" borderId="0" xfId="35" applyFont="true" applyBorder="true" applyAlignment="true" applyProtection="true">
      <alignment horizontal="general" vertical="bottom" textRotation="0" wrapText="false" indent="0" shrinkToFit="false"/>
      <protection locked="true" hidden="false"/>
    </xf>
    <xf numFmtId="164" fontId="28" fillId="0" borderId="0" xfId="35" applyFont="true" applyBorder="true" applyAlignment="true" applyProtection="true">
      <alignment horizontal="right" vertical="center" textRotation="0" wrapText="false" indent="0" shrinkToFit="false"/>
      <protection locked="true" hidden="false"/>
    </xf>
    <xf numFmtId="178" fontId="17" fillId="0" borderId="15" xfId="35" applyFont="true" applyBorder="true" applyAlignment="true" applyProtection="true">
      <alignment horizontal="general" vertical="center" textRotation="0" wrapText="false" indent="0" shrinkToFit="false"/>
      <protection locked="true" hidden="false"/>
    </xf>
    <xf numFmtId="178" fontId="20" fillId="0" borderId="44" xfId="35" applyFont="true" applyBorder="true" applyAlignment="true" applyProtection="true">
      <alignment horizontal="general" vertical="center" textRotation="0" wrapText="false" indent="0" shrinkToFit="false"/>
      <protection locked="true" hidden="false"/>
    </xf>
    <xf numFmtId="178" fontId="28" fillId="0" borderId="45" xfId="35" applyFont="true" applyBorder="true" applyAlignment="true" applyProtection="true">
      <alignment horizontal="general" vertical="center" textRotation="0" wrapText="false" indent="0" shrinkToFit="false"/>
      <protection locked="true" hidden="false"/>
    </xf>
    <xf numFmtId="178" fontId="20" fillId="0" borderId="20" xfId="35" applyFont="true" applyBorder="true" applyAlignment="true" applyProtection="true">
      <alignment horizontal="general" vertical="center" textRotation="0" wrapText="false" indent="0" shrinkToFit="false"/>
      <protection locked="true" hidden="false"/>
    </xf>
    <xf numFmtId="178" fontId="28" fillId="0" borderId="15" xfId="35" applyFont="true" applyBorder="true" applyAlignment="true" applyProtection="true">
      <alignment horizontal="general" vertical="center" textRotation="0" wrapText="false" indent="0" shrinkToFit="false"/>
      <protection locked="true" hidden="false"/>
    </xf>
    <xf numFmtId="164" fontId="20" fillId="0" borderId="15" xfId="35" applyFont="true" applyBorder="true" applyAlignment="true" applyProtection="true">
      <alignment horizontal="center" vertical="center" textRotation="0" wrapText="false" indent="0" shrinkToFit="false"/>
      <protection locked="true" hidden="false"/>
    </xf>
    <xf numFmtId="172" fontId="16" fillId="0" borderId="0" xfId="27" applyFont="true" applyBorder="true" applyAlignment="true" applyProtection="true">
      <alignment horizontal="general" vertical="center" textRotation="0" wrapText="false" indent="0" shrinkToFit="false"/>
      <protection locked="true" hidden="false"/>
    </xf>
    <xf numFmtId="181" fontId="16" fillId="0" borderId="0" xfId="35" applyFont="true" applyBorder="true" applyAlignment="true" applyProtection="true">
      <alignment horizontal="center" vertical="center" textRotation="0" wrapText="false" indent="0" shrinkToFit="false"/>
      <protection locked="true" hidden="false"/>
    </xf>
    <xf numFmtId="172" fontId="19" fillId="3" borderId="5" xfId="27" applyFont="true" applyBorder="true" applyAlignment="true" applyProtection="true">
      <alignment horizontal="center" vertical="center" textRotation="0" wrapText="true" indent="0" shrinkToFit="false"/>
      <protection locked="true" hidden="false"/>
    </xf>
    <xf numFmtId="172" fontId="19" fillId="3" borderId="5" xfId="35" applyFont="true" applyBorder="true" applyAlignment="true" applyProtection="true">
      <alignment horizontal="center" vertical="center" textRotation="0" wrapText="false" indent="0" shrinkToFit="false"/>
      <protection locked="true" hidden="false"/>
    </xf>
    <xf numFmtId="172" fontId="25" fillId="3" borderId="5" xfId="35" applyFont="true" applyBorder="true" applyAlignment="true" applyProtection="true">
      <alignment horizontal="center" vertical="center" textRotation="0" wrapText="false" indent="0" shrinkToFit="false"/>
      <protection locked="true" hidden="false"/>
    </xf>
    <xf numFmtId="172" fontId="65" fillId="3" borderId="5" xfId="35" applyFont="true" applyBorder="true" applyAlignment="true" applyProtection="true">
      <alignment horizontal="center" vertical="center" textRotation="0" wrapText="false" indent="0" shrinkToFit="false"/>
      <protection locked="true" hidden="false"/>
    </xf>
    <xf numFmtId="172" fontId="65" fillId="3" borderId="7" xfId="35" applyFont="true" applyBorder="true" applyAlignment="true" applyProtection="true">
      <alignment horizontal="center" vertical="center" textRotation="0" wrapText="false" indent="0" shrinkToFit="false"/>
      <protection locked="true" hidden="false"/>
    </xf>
    <xf numFmtId="181" fontId="65" fillId="3" borderId="7" xfId="35" applyFont="true" applyBorder="true" applyAlignment="true" applyProtection="true">
      <alignment horizontal="center" vertical="center" textRotation="0" wrapText="false" indent="0" shrinkToFit="false"/>
      <protection locked="true" hidden="false"/>
    </xf>
    <xf numFmtId="165" fontId="19" fillId="3" borderId="5" xfId="22" applyFont="true" applyBorder="true" applyAlignment="true" applyProtection="true">
      <alignment horizontal="center" vertical="center" textRotation="0" wrapText="false" indent="0" shrinkToFit="false"/>
      <protection locked="true" hidden="false"/>
    </xf>
    <xf numFmtId="165" fontId="25" fillId="3" borderId="5" xfId="22" applyFont="true" applyBorder="true" applyAlignment="true" applyProtection="true">
      <alignment horizontal="center" vertical="center" textRotation="0" wrapText="false" indent="0" shrinkToFit="false"/>
      <protection locked="true" hidden="false"/>
    </xf>
    <xf numFmtId="164" fontId="19" fillId="0" borderId="5" xfId="35" applyFont="true" applyBorder="true" applyAlignment="true" applyProtection="true">
      <alignment horizontal="center" vertical="center" textRotation="0" wrapText="false" indent="0" shrinkToFit="false"/>
      <protection locked="true" hidden="false"/>
    </xf>
    <xf numFmtId="164" fontId="16" fillId="0" borderId="5" xfId="35" applyFont="true" applyBorder="true" applyAlignment="true" applyProtection="true">
      <alignment horizontal="general" vertical="center" textRotation="0" wrapText="false" indent="0" shrinkToFit="false"/>
      <protection locked="true" hidden="false"/>
    </xf>
    <xf numFmtId="174" fontId="19" fillId="0" borderId="5" xfId="35" applyFont="true" applyBorder="true" applyAlignment="true" applyProtection="true">
      <alignment horizontal="general" vertical="center" textRotation="0" wrapText="false" indent="0" shrinkToFit="false"/>
      <protection locked="true" hidden="false"/>
    </xf>
    <xf numFmtId="172" fontId="19" fillId="0" borderId="5" xfId="27" applyFont="true" applyBorder="true" applyAlignment="true" applyProtection="true">
      <alignment horizontal="general" vertical="center" textRotation="0" wrapText="false" indent="0" shrinkToFit="false"/>
      <protection locked="true" hidden="false"/>
    </xf>
    <xf numFmtId="196" fontId="16" fillId="0" borderId="5" xfId="35" applyFont="true" applyBorder="true" applyAlignment="true" applyProtection="true">
      <alignment horizontal="center" vertical="center" textRotation="0" wrapText="false" indent="0" shrinkToFit="false"/>
      <protection locked="true" hidden="false"/>
    </xf>
    <xf numFmtId="181" fontId="16" fillId="0" borderId="5" xfId="35" applyFont="true" applyBorder="true" applyAlignment="true" applyProtection="true">
      <alignment horizontal="center" vertical="center" textRotation="0" wrapText="false" indent="0" shrinkToFit="false"/>
      <protection locked="true" hidden="false"/>
    </xf>
    <xf numFmtId="197" fontId="16" fillId="0" borderId="0" xfId="35" applyFont="true" applyBorder="true" applyAlignment="true" applyProtection="true">
      <alignment horizontal="general" vertical="center" textRotation="0" wrapText="false" indent="0" shrinkToFit="false"/>
      <protection locked="true" hidden="false"/>
    </xf>
    <xf numFmtId="164" fontId="16" fillId="3" borderId="5" xfId="35" applyFont="true" applyBorder="true" applyAlignment="true" applyProtection="true">
      <alignment horizontal="center" vertical="center" textRotation="0" wrapText="true" indent="0" shrinkToFit="false"/>
      <protection locked="true" hidden="false"/>
    </xf>
    <xf numFmtId="172" fontId="25" fillId="3" borderId="7" xfId="35" applyFont="true" applyBorder="true" applyAlignment="true" applyProtection="true">
      <alignment horizontal="center" vertical="center" textRotation="0" wrapText="false" indent="0" shrinkToFit="false"/>
      <protection locked="true" hidden="false"/>
    </xf>
    <xf numFmtId="181" fontId="25" fillId="3" borderId="7" xfId="35" applyFont="true" applyBorder="true" applyAlignment="true" applyProtection="true">
      <alignment horizontal="center" vertical="center" textRotation="0" wrapText="false" indent="0" shrinkToFit="false"/>
      <protection locked="true" hidden="false"/>
    </xf>
    <xf numFmtId="164" fontId="16" fillId="4" borderId="0" xfId="35" applyFont="true" applyBorder="true" applyAlignment="true" applyProtection="true">
      <alignment horizontal="general" vertical="center" textRotation="0" wrapText="false" indent="0" shrinkToFit="false"/>
      <protection locked="true" hidden="false"/>
    </xf>
    <xf numFmtId="174" fontId="19" fillId="4" borderId="5" xfId="35" applyFont="true" applyBorder="true" applyAlignment="true" applyProtection="true">
      <alignment horizontal="general" vertical="center" textRotation="0" wrapText="false" indent="0" shrinkToFit="false"/>
      <protection locked="true" hidden="false"/>
    </xf>
    <xf numFmtId="172" fontId="19" fillId="4" borderId="5" xfId="27" applyFont="true" applyBorder="true" applyAlignment="true" applyProtection="true">
      <alignment horizontal="general" vertical="center" textRotation="0" wrapText="false" indent="0" shrinkToFit="false"/>
      <protection locked="true" hidden="false"/>
    </xf>
    <xf numFmtId="172" fontId="19" fillId="4" borderId="5" xfId="35" applyFont="true" applyBorder="true" applyAlignment="true" applyProtection="true">
      <alignment horizontal="general" vertical="center" textRotation="0" wrapText="false" indent="0" shrinkToFit="false"/>
      <protection locked="true" hidden="false"/>
    </xf>
    <xf numFmtId="181" fontId="16" fillId="4" borderId="5" xfId="35" applyFont="true" applyBorder="true" applyAlignment="true" applyProtection="true">
      <alignment horizontal="center" vertical="center" textRotation="0" wrapText="false" indent="0" shrinkToFit="false"/>
      <protection locked="true" hidden="false"/>
    </xf>
    <xf numFmtId="196" fontId="16" fillId="4" borderId="5" xfId="35" applyFont="true" applyBorder="true" applyAlignment="true" applyProtection="true">
      <alignment horizontal="center" vertical="center" textRotation="0" wrapText="false" indent="0" shrinkToFit="false"/>
      <protection locked="true" hidden="false"/>
    </xf>
    <xf numFmtId="172" fontId="16" fillId="4" borderId="0" xfId="35" applyFont="true" applyBorder="true" applyAlignment="true" applyProtection="true">
      <alignment horizontal="general" vertical="center" textRotation="0" wrapText="false" indent="0" shrinkToFit="false"/>
      <protection locked="true" hidden="false"/>
    </xf>
    <xf numFmtId="172" fontId="66" fillId="3" borderId="5" xfId="35" applyFont="true" applyBorder="true" applyAlignment="true" applyProtection="true">
      <alignment horizontal="center" vertical="center" textRotation="0" wrapText="false" indent="0" shrinkToFit="false"/>
      <protection locked="true" hidden="false"/>
    </xf>
    <xf numFmtId="196" fontId="20" fillId="0" borderId="5" xfId="35" applyFont="true" applyBorder="true" applyAlignment="true" applyProtection="true">
      <alignment horizontal="center" vertical="center" textRotation="0" wrapText="false" indent="0" shrinkToFit="false"/>
      <protection locked="true" hidden="false"/>
    </xf>
    <xf numFmtId="172" fontId="20" fillId="0" borderId="0" xfId="35" applyFont="true" applyBorder="true" applyAlignment="true" applyProtection="true">
      <alignment horizontal="general" vertical="center" textRotation="0" wrapText="false" indent="0" shrinkToFit="false"/>
      <protection locked="true" hidden="false"/>
    </xf>
    <xf numFmtId="196" fontId="16" fillId="0" borderId="0" xfId="35" applyFont="true" applyBorder="true" applyAlignment="true" applyProtection="true">
      <alignment horizontal="center" vertical="center" textRotation="0" wrapText="false" indent="0" shrinkToFit="false"/>
      <protection locked="true" hidden="false"/>
    </xf>
    <xf numFmtId="196" fontId="67" fillId="0" borderId="5" xfId="35" applyFont="true" applyBorder="true" applyAlignment="true" applyProtection="true">
      <alignment horizontal="left" vertical="center" textRotation="0" wrapText="false" indent="0" shrinkToFit="false"/>
      <protection locked="true" hidden="false"/>
    </xf>
    <xf numFmtId="172" fontId="0" fillId="0" borderId="0" xfId="0" applyFont="false" applyBorder="false" applyAlignment="true" applyProtection="false">
      <alignment horizontal="general" vertical="center" textRotation="0" wrapText="false" indent="0" shrinkToFit="false"/>
      <protection locked="true" hidden="false"/>
    </xf>
    <xf numFmtId="164" fontId="11" fillId="6" borderId="0" xfId="32" applyFont="true" applyBorder="false" applyAlignment="true" applyProtection="false">
      <alignment horizontal="general" vertical="center" textRotation="0" wrapText="false" indent="0" shrinkToFit="false"/>
      <protection locked="true" hidden="false"/>
    </xf>
    <xf numFmtId="172" fontId="15" fillId="6" borderId="0" xfId="36" applyFont="true" applyBorder="true" applyAlignment="true" applyProtection="true">
      <alignment horizontal="general" vertical="center" textRotation="0" wrapText="false" indent="0" shrinkToFit="false"/>
      <protection locked="true" hidden="false"/>
    </xf>
    <xf numFmtId="172" fontId="11" fillId="6" borderId="0" xfId="32" applyFont="true" applyBorder="false" applyAlignment="true" applyProtection="false">
      <alignment horizontal="general" vertical="center" textRotation="0" wrapText="false" indent="0" shrinkToFit="false"/>
      <protection locked="true" hidden="false"/>
    </xf>
    <xf numFmtId="179" fontId="11" fillId="6" borderId="0" xfId="32" applyFont="true" applyBorder="false" applyAlignment="true" applyProtection="false">
      <alignment horizontal="general" vertical="center" textRotation="0" wrapText="false" indent="0" shrinkToFit="false"/>
      <protection locked="true" hidden="false"/>
    </xf>
    <xf numFmtId="164" fontId="68" fillId="6" borderId="0" xfId="32" applyFont="true" applyBorder="false" applyAlignment="true" applyProtection="false">
      <alignment horizontal="general" vertical="center" textRotation="0" wrapText="false" indent="0" shrinkToFit="false"/>
      <protection locked="true" hidden="false"/>
    </xf>
    <xf numFmtId="164" fontId="69" fillId="6" borderId="0" xfId="32" applyFont="true" applyBorder="true" applyAlignment="true" applyProtection="false">
      <alignment horizontal="center" vertical="center" textRotation="0" wrapText="false" indent="0" shrinkToFit="false"/>
      <protection locked="true" hidden="false"/>
    </xf>
    <xf numFmtId="164" fontId="68" fillId="6" borderId="0" xfId="32" applyFont="true" applyBorder="false" applyAlignment="true" applyProtection="false">
      <alignment horizontal="center" vertical="center" textRotation="0" wrapText="false" indent="0" shrinkToFit="false"/>
      <protection locked="true" hidden="false"/>
    </xf>
    <xf numFmtId="164" fontId="70" fillId="6" borderId="0" xfId="32" applyFont="true" applyBorder="false" applyAlignment="true" applyProtection="false">
      <alignment horizontal="right" vertical="bottom" textRotation="0" wrapText="false" indent="0" shrinkToFit="false"/>
      <protection locked="true" hidden="false"/>
    </xf>
    <xf numFmtId="164" fontId="68" fillId="0" borderId="0" xfId="32" applyFont="true" applyBorder="false" applyAlignment="true" applyProtection="false">
      <alignment horizontal="general" vertical="center" textRotation="0" wrapText="false" indent="0" shrinkToFit="false"/>
      <protection locked="true" hidden="false"/>
    </xf>
    <xf numFmtId="164" fontId="71" fillId="0" borderId="0" xfId="32" applyFont="true" applyBorder="false" applyAlignment="true" applyProtection="false">
      <alignment horizontal="center" vertical="center" textRotation="0" wrapText="true" indent="0" shrinkToFit="false" readingOrder="1"/>
      <protection locked="true" hidden="false"/>
    </xf>
    <xf numFmtId="164" fontId="71" fillId="0" borderId="13" xfId="32" applyFont="true" applyBorder="true" applyAlignment="true" applyProtection="false">
      <alignment horizontal="center" vertical="center" textRotation="0" wrapText="true" indent="0" shrinkToFit="false" readingOrder="1"/>
      <protection locked="true" hidden="false"/>
    </xf>
    <xf numFmtId="164" fontId="69" fillId="6" borderId="0" xfId="32" applyFont="true" applyBorder="false" applyAlignment="true" applyProtection="false">
      <alignment horizontal="general" vertical="center" textRotation="0" wrapText="false" indent="0" shrinkToFit="false"/>
      <protection locked="true" hidden="false"/>
    </xf>
    <xf numFmtId="164" fontId="22" fillId="0" borderId="5" xfId="32" applyFont="true" applyBorder="true" applyAlignment="true" applyProtection="false">
      <alignment horizontal="center" vertical="center" textRotation="0" wrapText="false" indent="0" shrinkToFit="false" readingOrder="1"/>
      <protection locked="true" hidden="false"/>
    </xf>
    <xf numFmtId="174" fontId="72" fillId="0" borderId="5" xfId="36" applyFont="true" applyBorder="true" applyAlignment="true" applyProtection="true">
      <alignment horizontal="center" vertical="center" textRotation="0" wrapText="true" indent="0" shrinkToFit="false" readingOrder="1"/>
      <protection locked="true" hidden="false"/>
    </xf>
    <xf numFmtId="174" fontId="72" fillId="0" borderId="5" xfId="36" applyFont="true" applyBorder="true" applyAlignment="true" applyProtection="true">
      <alignment horizontal="center" vertical="center" textRotation="0" wrapText="false" indent="0" shrinkToFit="false" readingOrder="1"/>
      <protection locked="true" hidden="false"/>
    </xf>
    <xf numFmtId="184" fontId="72" fillId="0" borderId="61" xfId="32" applyFont="true" applyBorder="true" applyAlignment="true" applyProtection="false">
      <alignment horizontal="center" vertical="center" textRotation="0" wrapText="false" indent="0" shrinkToFit="false"/>
      <protection locked="true" hidden="false"/>
    </xf>
    <xf numFmtId="179" fontId="26" fillId="0" borderId="61" xfId="32" applyFont="true" applyBorder="true" applyAlignment="true" applyProtection="false">
      <alignment horizontal="center" vertical="center" textRotation="0" wrapText="false" indent="0" shrinkToFit="false"/>
      <protection locked="true" hidden="false"/>
    </xf>
    <xf numFmtId="184" fontId="72" fillId="0" borderId="62" xfId="32" applyFont="true" applyBorder="true" applyAlignment="true" applyProtection="false">
      <alignment horizontal="center" vertical="center" textRotation="0" wrapText="false" indent="0" shrinkToFit="false"/>
      <protection locked="true" hidden="false"/>
    </xf>
    <xf numFmtId="172" fontId="72" fillId="0" borderId="61" xfId="36" applyFont="true" applyBorder="true" applyAlignment="true" applyProtection="true">
      <alignment horizontal="center" vertical="center" textRotation="0" wrapText="false" indent="0" shrinkToFit="false"/>
      <protection locked="true" hidden="false"/>
    </xf>
    <xf numFmtId="181" fontId="73" fillId="0" borderId="61" xfId="32" applyFont="true" applyBorder="true" applyAlignment="true" applyProtection="false">
      <alignment horizontal="center" vertical="center" textRotation="0" wrapText="false" indent="0" shrinkToFit="false"/>
      <protection locked="true" hidden="false"/>
    </xf>
    <xf numFmtId="181" fontId="73" fillId="0" borderId="62" xfId="32" applyFont="true" applyBorder="true" applyAlignment="true" applyProtection="false">
      <alignment horizontal="center" vertical="center" textRotation="0" wrapText="false" indent="0" shrinkToFit="false"/>
      <protection locked="true" hidden="false"/>
    </xf>
    <xf numFmtId="176" fontId="73" fillId="0" borderId="62" xfId="32" applyFont="true" applyBorder="true" applyAlignment="true" applyProtection="false">
      <alignment horizontal="center" vertical="center" textRotation="0" wrapText="false" indent="0" shrinkToFit="false"/>
      <protection locked="true" hidden="false"/>
    </xf>
    <xf numFmtId="172" fontId="72" fillId="0" borderId="63" xfId="36" applyFont="true" applyBorder="true" applyAlignment="true" applyProtection="true">
      <alignment horizontal="center" vertical="center" textRotation="0" wrapText="false" indent="0" shrinkToFit="false"/>
      <protection locked="true" hidden="false"/>
    </xf>
    <xf numFmtId="172" fontId="74" fillId="0" borderId="62" xfId="36" applyFont="true" applyBorder="true" applyAlignment="true" applyProtection="true">
      <alignment horizontal="center" vertical="center" textRotation="0" wrapText="false" indent="0" shrinkToFit="false"/>
      <protection locked="true" hidden="false"/>
    </xf>
    <xf numFmtId="166" fontId="74" fillId="0" borderId="62" xfId="26" applyFont="true" applyBorder="true" applyAlignment="true" applyProtection="true">
      <alignment horizontal="center" vertical="center" textRotation="0" wrapText="false" indent="0" shrinkToFit="false"/>
      <protection locked="true" hidden="false"/>
    </xf>
    <xf numFmtId="181" fontId="72" fillId="0" borderId="63" xfId="32" applyFont="true" applyBorder="true" applyAlignment="true" applyProtection="false">
      <alignment horizontal="center" vertical="center" textRotation="0" wrapText="false" indent="0" shrinkToFit="false"/>
      <protection locked="true" hidden="false"/>
    </xf>
    <xf numFmtId="166" fontId="73" fillId="0" borderId="62" xfId="26" applyFont="true" applyBorder="true" applyAlignment="true" applyProtection="true">
      <alignment horizontal="center" vertical="center" textRotation="0" wrapText="false" indent="0" shrinkToFit="false"/>
      <protection locked="true" hidden="false"/>
    </xf>
    <xf numFmtId="166" fontId="74" fillId="0" borderId="9" xfId="26" applyFont="true" applyBorder="true" applyAlignment="true" applyProtection="true">
      <alignment horizontal="center" vertical="center" textRotation="0" wrapText="false" indent="0" shrinkToFit="false"/>
      <protection locked="true" hidden="false"/>
    </xf>
    <xf numFmtId="166" fontId="72" fillId="0" borderId="64" xfId="26" applyFont="true" applyBorder="true" applyAlignment="true" applyProtection="true">
      <alignment horizontal="center" vertical="center" textRotation="0" wrapText="false" indent="0" shrinkToFit="false"/>
      <protection locked="true" hidden="false"/>
    </xf>
    <xf numFmtId="172" fontId="75" fillId="6" borderId="0" xfId="36" applyFont="true" applyBorder="true" applyAlignment="true" applyProtection="true">
      <alignment horizontal="general" vertical="center" textRotation="0" wrapText="false" indent="0" shrinkToFit="false"/>
      <protection locked="true" hidden="false"/>
    </xf>
    <xf numFmtId="184" fontId="72" fillId="13" borderId="63" xfId="32" applyFont="true" applyBorder="true" applyAlignment="true" applyProtection="false">
      <alignment horizontal="center" vertical="center" textRotation="0" wrapText="false" indent="0" shrinkToFit="false"/>
      <protection locked="true" hidden="false"/>
    </xf>
    <xf numFmtId="179" fontId="26" fillId="13" borderId="63" xfId="32" applyFont="true" applyBorder="true" applyAlignment="true" applyProtection="false">
      <alignment horizontal="center" vertical="center" textRotation="0" wrapText="false" indent="0" shrinkToFit="false"/>
      <protection locked="true" hidden="false"/>
    </xf>
    <xf numFmtId="172" fontId="72" fillId="13" borderId="63" xfId="36" applyFont="true" applyBorder="true" applyAlignment="true" applyProtection="true">
      <alignment horizontal="center" vertical="center" textRotation="0" wrapText="false" indent="0" shrinkToFit="false"/>
      <protection locked="true" hidden="false"/>
    </xf>
    <xf numFmtId="181" fontId="26" fillId="13" borderId="63" xfId="32" applyFont="true" applyBorder="true" applyAlignment="true" applyProtection="false">
      <alignment horizontal="center" vertical="center" textRotation="0" wrapText="false" indent="0" shrinkToFit="false"/>
      <protection locked="true" hidden="false"/>
    </xf>
    <xf numFmtId="176" fontId="72" fillId="13" borderId="63" xfId="32" applyFont="true" applyBorder="true" applyAlignment="true" applyProtection="false">
      <alignment horizontal="center" vertical="center" textRotation="0" wrapText="false" indent="0" shrinkToFit="false"/>
      <protection locked="true" hidden="false"/>
    </xf>
    <xf numFmtId="166" fontId="74" fillId="13" borderId="63" xfId="26" applyFont="true" applyBorder="true" applyAlignment="true" applyProtection="true">
      <alignment horizontal="center" vertical="center" textRotation="0" wrapText="false" indent="0" shrinkToFit="false"/>
      <protection locked="true" hidden="false"/>
    </xf>
    <xf numFmtId="172" fontId="72" fillId="13" borderId="62" xfId="36" applyFont="true" applyBorder="true" applyAlignment="true" applyProtection="true">
      <alignment horizontal="center" vertical="center" textRotation="0" wrapText="false" indent="0" shrinkToFit="false"/>
      <protection locked="true" hidden="false"/>
    </xf>
    <xf numFmtId="166" fontId="73" fillId="13" borderId="63" xfId="26" applyFont="true" applyBorder="true" applyAlignment="true" applyProtection="true">
      <alignment horizontal="center" vertical="center" textRotation="0" wrapText="false" indent="0" shrinkToFit="false"/>
      <protection locked="true" hidden="false"/>
    </xf>
    <xf numFmtId="170" fontId="75" fillId="6" borderId="0" xfId="32" applyFont="true" applyBorder="false" applyAlignment="true" applyProtection="false">
      <alignment horizontal="general" vertical="center" textRotation="0" wrapText="false" indent="0" shrinkToFit="false"/>
      <protection locked="true" hidden="false"/>
    </xf>
    <xf numFmtId="184" fontId="72" fillId="0" borderId="63" xfId="32" applyFont="true" applyBorder="true" applyAlignment="true" applyProtection="false">
      <alignment horizontal="center" vertical="center" textRotation="0" wrapText="false" indent="0" shrinkToFit="false"/>
      <protection locked="true" hidden="false"/>
    </xf>
    <xf numFmtId="179" fontId="26" fillId="0" borderId="63" xfId="32" applyFont="true" applyBorder="true" applyAlignment="true" applyProtection="false">
      <alignment horizontal="center" vertical="center" textRotation="0" wrapText="false" indent="0" shrinkToFit="false"/>
      <protection locked="true" hidden="false"/>
    </xf>
    <xf numFmtId="181" fontId="34" fillId="0" borderId="63" xfId="32" applyFont="true" applyBorder="true" applyAlignment="true" applyProtection="false">
      <alignment horizontal="center" vertical="center" textRotation="0" wrapText="false" indent="0" shrinkToFit="false"/>
      <protection locked="true" hidden="false"/>
    </xf>
    <xf numFmtId="176" fontId="72" fillId="0" borderId="63" xfId="32" applyFont="true" applyBorder="true" applyAlignment="true" applyProtection="false">
      <alignment horizontal="center" vertical="center" textRotation="0" wrapText="false" indent="0" shrinkToFit="false"/>
      <protection locked="true" hidden="false"/>
    </xf>
    <xf numFmtId="166" fontId="74" fillId="0" borderId="63" xfId="26" applyFont="true" applyBorder="true" applyAlignment="true" applyProtection="true">
      <alignment horizontal="center" vertical="center" textRotation="0" wrapText="false" indent="0" shrinkToFit="false"/>
      <protection locked="true" hidden="false"/>
    </xf>
    <xf numFmtId="179" fontId="26" fillId="0" borderId="65" xfId="32" applyFont="true" applyBorder="true" applyAlignment="true" applyProtection="false">
      <alignment horizontal="center" vertical="center" textRotation="0" wrapText="false" indent="0" shrinkToFit="false"/>
      <protection locked="true" hidden="false"/>
    </xf>
    <xf numFmtId="184" fontId="72" fillId="0" borderId="65" xfId="32" applyFont="true" applyBorder="true" applyAlignment="true" applyProtection="false">
      <alignment horizontal="center" vertical="center" textRotation="0" wrapText="false" indent="0" shrinkToFit="false"/>
      <protection locked="true" hidden="false"/>
    </xf>
    <xf numFmtId="172" fontId="72" fillId="0" borderId="65" xfId="36" applyFont="true" applyBorder="true" applyAlignment="true" applyProtection="true">
      <alignment horizontal="center" vertical="center" textRotation="0" wrapText="false" indent="0" shrinkToFit="false"/>
      <protection locked="true" hidden="false"/>
    </xf>
    <xf numFmtId="181" fontId="73" fillId="0" borderId="65" xfId="32" applyFont="true" applyBorder="true" applyAlignment="true" applyProtection="false">
      <alignment horizontal="center" vertical="center" textRotation="0" wrapText="false" indent="0" shrinkToFit="false"/>
      <protection locked="true" hidden="false"/>
    </xf>
    <xf numFmtId="176" fontId="73" fillId="0" borderId="65" xfId="32" applyFont="true" applyBorder="true" applyAlignment="true" applyProtection="false">
      <alignment horizontal="center" vertical="center" textRotation="0" wrapText="false" indent="0" shrinkToFit="false"/>
      <protection locked="true" hidden="false"/>
    </xf>
    <xf numFmtId="184" fontId="73" fillId="0" borderId="9" xfId="32" applyFont="true" applyBorder="true" applyAlignment="true" applyProtection="false">
      <alignment horizontal="center" vertical="center" textRotation="0" wrapText="false" indent="0" shrinkToFit="false"/>
      <protection locked="true" hidden="false"/>
    </xf>
    <xf numFmtId="166" fontId="72" fillId="0" borderId="66" xfId="26" applyFont="true" applyBorder="true" applyAlignment="true" applyProtection="true">
      <alignment horizontal="center" vertical="center" textRotation="0" wrapText="false" indent="0" shrinkToFit="false"/>
      <protection locked="true" hidden="false"/>
    </xf>
    <xf numFmtId="166" fontId="72" fillId="0" borderId="67" xfId="26" applyFont="true" applyBorder="true" applyAlignment="true" applyProtection="true">
      <alignment horizontal="center" vertical="center" textRotation="0" wrapText="false" indent="0" shrinkToFit="false"/>
      <protection locked="true" hidden="false"/>
    </xf>
    <xf numFmtId="184" fontId="72" fillId="0" borderId="5" xfId="32" applyFont="true" applyBorder="true" applyAlignment="true" applyProtection="false">
      <alignment horizontal="center" vertical="center" textRotation="0" wrapText="false" indent="0" shrinkToFit="false"/>
      <protection locked="true" hidden="false"/>
    </xf>
    <xf numFmtId="179" fontId="26" fillId="0" borderId="5" xfId="32" applyFont="true" applyBorder="true" applyAlignment="true" applyProtection="false">
      <alignment horizontal="center" vertical="center" textRotation="0" wrapText="false" indent="0" shrinkToFit="false"/>
      <protection locked="true" hidden="false"/>
    </xf>
    <xf numFmtId="181" fontId="73" fillId="0" borderId="5" xfId="32" applyFont="true" applyBorder="true" applyAlignment="true" applyProtection="false">
      <alignment horizontal="center" vertical="center" textRotation="0" wrapText="false" indent="0" shrinkToFit="false"/>
      <protection locked="true" hidden="false"/>
    </xf>
    <xf numFmtId="176" fontId="72" fillId="0" borderId="5" xfId="32" applyFont="true" applyBorder="true" applyAlignment="true" applyProtection="false">
      <alignment horizontal="center" vertical="center" textRotation="0" wrapText="false" indent="0" shrinkToFit="false"/>
      <protection locked="true" hidden="false"/>
    </xf>
    <xf numFmtId="172" fontId="72" fillId="0" borderId="5" xfId="36" applyFont="true" applyBorder="true" applyAlignment="true" applyProtection="true">
      <alignment horizontal="center" vertical="center" textRotation="0" wrapText="false" indent="0" shrinkToFit="false"/>
      <protection locked="true" hidden="false"/>
    </xf>
    <xf numFmtId="166" fontId="74" fillId="0" borderId="5" xfId="26" applyFont="true" applyBorder="true" applyAlignment="true" applyProtection="true">
      <alignment horizontal="center" vertical="center" textRotation="0" wrapText="false" indent="0" shrinkToFit="false"/>
      <protection locked="true" hidden="false"/>
    </xf>
    <xf numFmtId="166" fontId="74" fillId="0" borderId="68" xfId="26" applyFont="true" applyBorder="true" applyAlignment="true" applyProtection="true">
      <alignment horizontal="center" vertical="center" textRotation="0" wrapText="false" indent="0" shrinkToFit="false"/>
      <protection locked="true" hidden="false"/>
    </xf>
    <xf numFmtId="179" fontId="26" fillId="0" borderId="62" xfId="32" applyFont="true" applyBorder="true" applyAlignment="true" applyProtection="false">
      <alignment horizontal="center" vertical="center" textRotation="0" wrapText="false" indent="0" shrinkToFit="false"/>
      <protection locked="true" hidden="false"/>
    </xf>
    <xf numFmtId="181" fontId="34" fillId="13" borderId="66" xfId="32" applyFont="true" applyBorder="true" applyAlignment="true" applyProtection="false">
      <alignment horizontal="center" vertical="center" textRotation="0" wrapText="false" indent="0" shrinkToFit="false"/>
      <protection locked="true" hidden="false"/>
    </xf>
    <xf numFmtId="181" fontId="34" fillId="0" borderId="62" xfId="32" applyFont="true" applyBorder="true" applyAlignment="true" applyProtection="false">
      <alignment horizontal="center" vertical="center" textRotation="0" wrapText="false" indent="0" shrinkToFit="false"/>
      <protection locked="true" hidden="false"/>
    </xf>
    <xf numFmtId="184" fontId="72" fillId="0" borderId="66" xfId="32" applyFont="true" applyBorder="true" applyAlignment="true" applyProtection="false">
      <alignment horizontal="center" vertical="center" textRotation="0" wrapText="false" indent="0" shrinkToFit="false"/>
      <protection locked="true" hidden="false"/>
    </xf>
    <xf numFmtId="179" fontId="26" fillId="0" borderId="66" xfId="32" applyFont="true" applyBorder="true" applyAlignment="true" applyProtection="false">
      <alignment horizontal="center" vertical="center" textRotation="0" wrapText="false" indent="0" shrinkToFit="false"/>
      <protection locked="true" hidden="false"/>
    </xf>
    <xf numFmtId="172" fontId="72" fillId="0" borderId="66" xfId="36" applyFont="true" applyBorder="true" applyAlignment="true" applyProtection="true">
      <alignment horizontal="center" vertical="center" textRotation="0" wrapText="false" indent="0" shrinkToFit="false"/>
      <protection locked="true" hidden="false"/>
    </xf>
    <xf numFmtId="181" fontId="73" fillId="0" borderId="66" xfId="32" applyFont="true" applyBorder="true" applyAlignment="true" applyProtection="false">
      <alignment horizontal="center" vertical="center" textRotation="0" wrapText="false" indent="0" shrinkToFit="false"/>
      <protection locked="true" hidden="false"/>
    </xf>
    <xf numFmtId="164" fontId="69" fillId="0" borderId="0" xfId="32" applyFont="true" applyBorder="false" applyAlignment="true" applyProtection="false">
      <alignment horizontal="general" vertical="center" textRotation="0" wrapText="false" indent="0" shrinkToFit="false"/>
      <protection locked="true" hidden="false"/>
    </xf>
    <xf numFmtId="180" fontId="72" fillId="0" borderId="5" xfId="32" applyFont="true" applyBorder="true" applyAlignment="true" applyProtection="false">
      <alignment horizontal="center" vertical="center" textRotation="0" wrapText="false" indent="0" shrinkToFit="false" readingOrder="1"/>
      <protection locked="true" hidden="false"/>
    </xf>
    <xf numFmtId="174" fontId="72" fillId="3" borderId="5" xfId="36" applyFont="true" applyBorder="true" applyAlignment="true" applyProtection="true">
      <alignment horizontal="center" vertical="center" textRotation="0" wrapText="true" indent="0" shrinkToFit="false" readingOrder="1"/>
      <protection locked="true" hidden="false"/>
    </xf>
    <xf numFmtId="180" fontId="72" fillId="3" borderId="5" xfId="32" applyFont="true" applyBorder="true" applyAlignment="true" applyProtection="false">
      <alignment horizontal="center" vertical="center" textRotation="0" wrapText="true" indent="0" shrinkToFit="false" readingOrder="1"/>
      <protection locked="true" hidden="false"/>
    </xf>
    <xf numFmtId="174" fontId="74" fillId="3" borderId="5" xfId="36" applyFont="true" applyBorder="true" applyAlignment="true" applyProtection="true">
      <alignment horizontal="center" vertical="center" textRotation="0" wrapText="true" indent="0" shrinkToFit="false" readingOrder="1"/>
      <protection locked="true" hidden="false"/>
    </xf>
    <xf numFmtId="184" fontId="72" fillId="3" borderId="62" xfId="32" applyFont="true" applyBorder="true" applyAlignment="true" applyProtection="false">
      <alignment horizontal="center" vertical="center" textRotation="0" wrapText="false" indent="0" shrinkToFit="false"/>
      <protection locked="true" hidden="false"/>
    </xf>
    <xf numFmtId="179" fontId="26" fillId="3" borderId="62" xfId="32" applyFont="true" applyBorder="true" applyAlignment="true" applyProtection="false">
      <alignment horizontal="center" vertical="center" textRotation="0" wrapText="false" indent="0" shrinkToFit="false"/>
      <protection locked="true" hidden="false"/>
    </xf>
    <xf numFmtId="181" fontId="73" fillId="3" borderId="62" xfId="32" applyFont="true" applyBorder="true" applyAlignment="true" applyProtection="false">
      <alignment horizontal="center" vertical="center" textRotation="0" wrapText="false" indent="0" shrinkToFit="false"/>
      <protection locked="true" hidden="false"/>
    </xf>
    <xf numFmtId="176" fontId="72" fillId="3" borderId="62" xfId="32" applyFont="true" applyBorder="true" applyAlignment="true" applyProtection="false">
      <alignment horizontal="center" vertical="center" textRotation="0" wrapText="false" indent="0" shrinkToFit="false"/>
      <protection locked="true" hidden="false"/>
    </xf>
    <xf numFmtId="166" fontId="74" fillId="3" borderId="62" xfId="26" applyFont="true" applyBorder="true" applyAlignment="true" applyProtection="true">
      <alignment horizontal="center" vertical="center" textRotation="0" wrapText="false" indent="0" shrinkToFit="false"/>
      <protection locked="true" hidden="false"/>
    </xf>
    <xf numFmtId="166" fontId="72" fillId="3" borderId="64" xfId="26" applyFont="true" applyBorder="true" applyAlignment="true" applyProtection="true">
      <alignment horizontal="center" vertical="center" textRotation="0" wrapText="false" indent="0" shrinkToFit="false"/>
      <protection locked="true" hidden="false"/>
    </xf>
    <xf numFmtId="181" fontId="73" fillId="13" borderId="63" xfId="32" applyFont="true" applyBorder="true" applyAlignment="true" applyProtection="false">
      <alignment horizontal="center" vertical="center" textRotation="0" wrapText="false" indent="0" shrinkToFit="false"/>
      <protection locked="true" hidden="false"/>
    </xf>
    <xf numFmtId="184" fontId="72" fillId="3" borderId="63" xfId="32" applyFont="true" applyBorder="true" applyAlignment="true" applyProtection="false">
      <alignment horizontal="center" vertical="center" textRotation="0" wrapText="false" indent="0" shrinkToFit="false"/>
      <protection locked="true" hidden="false"/>
    </xf>
    <xf numFmtId="179" fontId="26" fillId="3" borderId="63" xfId="32" applyFont="true" applyBorder="true" applyAlignment="true" applyProtection="false">
      <alignment horizontal="center" vertical="center" textRotation="0" wrapText="false" indent="0" shrinkToFit="false"/>
      <protection locked="true" hidden="false"/>
    </xf>
    <xf numFmtId="181" fontId="73" fillId="3" borderId="63" xfId="32" applyFont="true" applyBorder="true" applyAlignment="true" applyProtection="false">
      <alignment horizontal="center" vertical="center" textRotation="0" wrapText="false" indent="0" shrinkToFit="false"/>
      <protection locked="true" hidden="false"/>
    </xf>
    <xf numFmtId="176" fontId="72" fillId="3" borderId="63" xfId="32" applyFont="true" applyBorder="true" applyAlignment="true" applyProtection="false">
      <alignment horizontal="center" vertical="center" textRotation="0" wrapText="false" indent="0" shrinkToFit="false"/>
      <protection locked="true" hidden="false"/>
    </xf>
    <xf numFmtId="166" fontId="74" fillId="3" borderId="63" xfId="26" applyFont="true" applyBorder="true" applyAlignment="true" applyProtection="true">
      <alignment horizontal="center" vertical="center" textRotation="0" wrapText="false" indent="0" shrinkToFit="false"/>
      <protection locked="true" hidden="false"/>
    </xf>
    <xf numFmtId="184" fontId="72" fillId="3" borderId="66" xfId="32" applyFont="true" applyBorder="true" applyAlignment="true" applyProtection="false">
      <alignment horizontal="center" vertical="center" textRotation="0" wrapText="false" indent="0" shrinkToFit="false"/>
      <protection locked="true" hidden="false"/>
    </xf>
    <xf numFmtId="179" fontId="26" fillId="3" borderId="66" xfId="32" applyFont="true" applyBorder="true" applyAlignment="true" applyProtection="false">
      <alignment horizontal="center" vertical="center" textRotation="0" wrapText="false" indent="0" shrinkToFit="false"/>
      <protection locked="true" hidden="false"/>
    </xf>
    <xf numFmtId="176" fontId="72" fillId="3" borderId="66" xfId="32" applyFont="true" applyBorder="true" applyAlignment="true" applyProtection="false">
      <alignment horizontal="center" vertical="center" textRotation="0" wrapText="false" indent="0" shrinkToFit="false"/>
      <protection locked="true" hidden="false"/>
    </xf>
    <xf numFmtId="166" fontId="72" fillId="3" borderId="66" xfId="26" applyFont="true" applyBorder="true" applyAlignment="true" applyProtection="true">
      <alignment horizontal="center" vertical="center" textRotation="0" wrapText="false" indent="0" shrinkToFit="false"/>
      <protection locked="true" hidden="false"/>
    </xf>
    <xf numFmtId="166" fontId="72" fillId="3" borderId="67" xfId="26" applyFont="true" applyBorder="true" applyAlignment="true" applyProtection="true">
      <alignment horizontal="center" vertical="center" textRotation="0" wrapText="false" indent="0" shrinkToFit="false"/>
      <protection locked="true" hidden="false"/>
    </xf>
    <xf numFmtId="184" fontId="72" fillId="3" borderId="5" xfId="32" applyFont="true" applyBorder="true" applyAlignment="true" applyProtection="false">
      <alignment horizontal="center" vertical="center" textRotation="0" wrapText="false" indent="0" shrinkToFit="false"/>
      <protection locked="true" hidden="false"/>
    </xf>
    <xf numFmtId="179" fontId="26" fillId="3" borderId="5" xfId="32" applyFont="true" applyBorder="true" applyAlignment="true" applyProtection="false">
      <alignment horizontal="center" vertical="center" textRotation="0" wrapText="false" indent="0" shrinkToFit="false"/>
      <protection locked="true" hidden="false"/>
    </xf>
    <xf numFmtId="181" fontId="73" fillId="3" borderId="5" xfId="32" applyFont="true" applyBorder="true" applyAlignment="true" applyProtection="false">
      <alignment horizontal="center" vertical="center" textRotation="0" wrapText="false" indent="0" shrinkToFit="false"/>
      <protection locked="true" hidden="false"/>
    </xf>
    <xf numFmtId="176" fontId="72" fillId="3" borderId="5" xfId="32" applyFont="true" applyBorder="true" applyAlignment="true" applyProtection="false">
      <alignment horizontal="center" vertical="center" textRotation="0" wrapText="false" indent="0" shrinkToFit="false"/>
      <protection locked="true" hidden="false"/>
    </xf>
    <xf numFmtId="172" fontId="72" fillId="3" borderId="5" xfId="36" applyFont="true" applyBorder="true" applyAlignment="true" applyProtection="true">
      <alignment horizontal="center" vertical="center" textRotation="0" wrapText="false" indent="0" shrinkToFit="false"/>
      <protection locked="true" hidden="false"/>
    </xf>
    <xf numFmtId="166" fontId="74" fillId="3" borderId="5" xfId="26" applyFont="true" applyBorder="true" applyAlignment="true" applyProtection="true">
      <alignment horizontal="center" vertical="center" textRotation="0" wrapText="false" indent="0" shrinkToFit="false"/>
      <protection locked="true" hidden="false"/>
    </xf>
    <xf numFmtId="166" fontId="74" fillId="3" borderId="68" xfId="26" applyFont="true" applyBorder="true" applyAlignment="true" applyProtection="true">
      <alignment horizontal="center" vertical="center" textRotation="0" wrapText="false" indent="0" shrinkToFit="false"/>
      <protection locked="true" hidden="false"/>
    </xf>
    <xf numFmtId="179" fontId="11" fillId="0" borderId="0" xfId="32" applyFont="true" applyBorder="false" applyAlignment="true" applyProtection="false">
      <alignment horizontal="general" vertical="center" textRotation="0" wrapText="false" indent="0" shrinkToFit="false"/>
      <protection locked="true" hidden="false"/>
    </xf>
    <xf numFmtId="198" fontId="18" fillId="0" borderId="0" xfId="32" applyFont="true" applyBorder="false" applyAlignment="true" applyProtection="false">
      <alignment horizontal="general" vertical="center" textRotation="0" wrapText="false" indent="0" shrinkToFit="false"/>
      <protection locked="true" hidden="false"/>
    </xf>
    <xf numFmtId="172" fontId="18" fillId="0" borderId="0" xfId="32" applyFont="true" applyBorder="false" applyAlignment="true" applyProtection="false">
      <alignment horizontal="general" vertical="center" textRotation="0" wrapText="false" indent="0" shrinkToFit="false"/>
      <protection locked="true" hidden="false"/>
    </xf>
    <xf numFmtId="180" fontId="11" fillId="0" borderId="0" xfId="32" applyFont="true" applyBorder="false" applyAlignment="true" applyProtection="false">
      <alignment horizontal="general" vertical="center" textRotation="0" wrapText="false" indent="0" shrinkToFit="false"/>
      <protection locked="true" hidden="false"/>
    </xf>
    <xf numFmtId="172" fontId="15" fillId="0" borderId="0" xfId="36" applyFont="true" applyBorder="true" applyAlignment="true" applyProtection="true">
      <alignment horizontal="general" vertical="center" textRotation="0" wrapText="false" indent="0" shrinkToFit="false"/>
      <protection locked="true" hidden="false"/>
    </xf>
    <xf numFmtId="190" fontId="11" fillId="0" borderId="0" xfId="32" applyFont="true" applyBorder="false" applyAlignment="true" applyProtection="false">
      <alignment horizontal="general" vertical="center" textRotation="0" wrapText="false" indent="0" shrinkToFit="false"/>
      <protection locked="true" hidden="false"/>
    </xf>
    <xf numFmtId="174" fontId="18" fillId="0" borderId="0" xfId="36" applyFont="true" applyBorder="true" applyAlignment="true" applyProtection="true">
      <alignment horizontal="general" vertical="center" textRotation="0" wrapText="false" indent="0" shrinkToFit="false"/>
      <protection locked="true" hidden="false"/>
    </xf>
    <xf numFmtId="164" fontId="18" fillId="6" borderId="0" xfId="32" applyFont="true" applyBorder="false" applyAlignment="true" applyProtection="false">
      <alignment horizontal="general" vertical="center" textRotation="0" wrapText="false" indent="0" shrinkToFit="false"/>
      <protection locked="true" hidden="false"/>
    </xf>
    <xf numFmtId="164" fontId="18" fillId="6" borderId="0" xfId="32" applyFont="true" applyBorder="false" applyAlignment="true" applyProtection="false">
      <alignment horizontal="general" vertical="center" textRotation="0" wrapText="true" indent="0" shrinkToFit="false"/>
      <protection locked="true" hidden="false"/>
    </xf>
    <xf numFmtId="166" fontId="73" fillId="0" borderId="63" xfId="26" applyFont="true" applyBorder="true" applyAlignment="true" applyProtection="true">
      <alignment horizontal="center" vertical="center" textRotation="0" wrapText="false" indent="0" shrinkToFit="false"/>
      <protection locked="true" hidden="false"/>
    </xf>
    <xf numFmtId="184" fontId="76" fillId="6" borderId="0" xfId="19" applyFont="true" applyBorder="true" applyAlignment="true" applyProtection="true">
      <alignment horizontal="general" vertical="center" textRotation="0" wrapText="false" indent="0" shrinkToFit="false"/>
      <protection locked="true" hidden="false"/>
    </xf>
    <xf numFmtId="172" fontId="68" fillId="6" borderId="0" xfId="32" applyFont="true" applyBorder="false" applyAlignment="true" applyProtection="false">
      <alignment horizontal="general" vertical="center" textRotation="0" wrapText="false" indent="0" shrinkToFit="false"/>
      <protection locked="true" hidden="false"/>
    </xf>
    <xf numFmtId="165" fontId="72" fillId="0" borderId="63" xfId="19" applyFont="true" applyBorder="true" applyAlignment="true" applyProtection="true">
      <alignment horizontal="center" vertical="center" textRotation="0" wrapText="false" indent="0" shrinkToFit="false"/>
      <protection locked="true" hidden="false"/>
    </xf>
    <xf numFmtId="164" fontId="22" fillId="0" borderId="4" xfId="32" applyFont="true" applyBorder="true" applyAlignment="true" applyProtection="false">
      <alignment horizontal="center" vertical="center" textRotation="0" wrapText="false" indent="0" shrinkToFit="false" readingOrder="1"/>
      <protection locked="true" hidden="false"/>
    </xf>
    <xf numFmtId="174" fontId="72" fillId="3" borderId="2" xfId="36" applyFont="true" applyBorder="true" applyAlignment="true" applyProtection="true">
      <alignment horizontal="center" vertical="center" textRotation="0" wrapText="true" indent="0" shrinkToFit="false" readingOrder="1"/>
      <protection locked="true" hidden="false"/>
    </xf>
    <xf numFmtId="180" fontId="72" fillId="3" borderId="2" xfId="32" applyFont="true" applyBorder="true" applyAlignment="true" applyProtection="false">
      <alignment horizontal="center" vertical="center" textRotation="0" wrapText="true" indent="0" shrinkToFit="false" readingOrder="1"/>
      <protection locked="true" hidden="false"/>
    </xf>
    <xf numFmtId="174" fontId="74" fillId="3" borderId="2" xfId="36" applyFont="true" applyBorder="true" applyAlignment="true" applyProtection="true">
      <alignment horizontal="center" vertical="center" textRotation="0" wrapText="true" indent="0" shrinkToFit="false" readingOrder="1"/>
      <protection locked="true" hidden="false"/>
    </xf>
    <xf numFmtId="164" fontId="11" fillId="0" borderId="49" xfId="32" applyFont="true" applyBorder="true" applyAlignment="true" applyProtection="false">
      <alignment horizontal="general" vertical="center" textRotation="0" wrapText="false" indent="0" shrinkToFit="false"/>
      <protection locked="true" hidden="false"/>
    </xf>
    <xf numFmtId="179" fontId="26" fillId="0" borderId="69" xfId="32" applyFont="true" applyBorder="true" applyAlignment="true" applyProtection="false">
      <alignment horizontal="center" vertical="center" textRotation="0" wrapText="false" indent="0" shrinkToFit="false"/>
      <protection locked="true" hidden="false"/>
    </xf>
    <xf numFmtId="184" fontId="72" fillId="0" borderId="69" xfId="32" applyFont="true" applyBorder="true" applyAlignment="true" applyProtection="false">
      <alignment horizontal="center" vertical="center" textRotation="0" wrapText="false" indent="0" shrinkToFit="false"/>
      <protection locked="true" hidden="false"/>
    </xf>
    <xf numFmtId="181" fontId="26" fillId="0" borderId="69" xfId="32" applyFont="true" applyBorder="true" applyAlignment="true" applyProtection="false">
      <alignment horizontal="center" vertical="center" textRotation="0" wrapText="false" indent="0" shrinkToFit="false"/>
      <protection locked="true" hidden="false"/>
    </xf>
    <xf numFmtId="176" fontId="72" fillId="0" borderId="69" xfId="32" applyFont="true" applyBorder="true" applyAlignment="true" applyProtection="false">
      <alignment horizontal="center" vertical="center" textRotation="0" wrapText="false" indent="0" shrinkToFit="false"/>
      <protection locked="true" hidden="false"/>
    </xf>
    <xf numFmtId="164" fontId="69" fillId="6" borderId="0" xfId="32" applyFont="true" applyBorder="false" applyAlignment="true" applyProtection="false">
      <alignment horizontal="center" vertical="center" textRotation="0" wrapText="false" indent="0" shrinkToFit="false"/>
      <protection locked="true" hidden="false"/>
    </xf>
    <xf numFmtId="179" fontId="26" fillId="0" borderId="16" xfId="32" applyFont="true" applyBorder="true" applyAlignment="true" applyProtection="false">
      <alignment horizontal="center" vertical="center" textRotation="0" wrapText="false" indent="0" shrinkToFit="false"/>
      <protection locked="true" hidden="false"/>
    </xf>
    <xf numFmtId="181" fontId="34" fillId="0" borderId="16" xfId="32" applyFont="true" applyBorder="true" applyAlignment="true" applyProtection="false">
      <alignment horizontal="center" vertical="center" textRotation="0" wrapText="false" indent="0" shrinkToFit="false"/>
      <protection locked="true" hidden="false"/>
    </xf>
    <xf numFmtId="176" fontId="73" fillId="0" borderId="16" xfId="32" applyFont="true" applyBorder="true" applyAlignment="true" applyProtection="false">
      <alignment horizontal="center" vertical="center" textRotation="0" wrapText="false" indent="0" shrinkToFit="false"/>
      <protection locked="true" hidden="false"/>
    </xf>
    <xf numFmtId="164" fontId="68" fillId="0" borderId="0" xfId="32" applyFont="true" applyBorder="false" applyAlignment="true" applyProtection="false">
      <alignment horizontal="center" vertical="center" textRotation="0" wrapText="false" indent="0" shrinkToFit="false"/>
      <protection locked="true" hidden="false"/>
    </xf>
    <xf numFmtId="179" fontId="34" fillId="0" borderId="17" xfId="32" applyFont="true" applyBorder="true" applyAlignment="true" applyProtection="false">
      <alignment horizontal="center" vertical="center" textRotation="0" wrapText="false" indent="0" shrinkToFit="false"/>
      <protection locked="true" hidden="false"/>
    </xf>
    <xf numFmtId="181" fontId="34" fillId="0" borderId="17" xfId="32" applyFont="true" applyBorder="true" applyAlignment="true" applyProtection="false">
      <alignment horizontal="center" vertical="center" textRotation="0" wrapText="false" indent="0" shrinkToFit="false"/>
      <protection locked="true" hidden="false"/>
    </xf>
    <xf numFmtId="176" fontId="73" fillId="0" borderId="17" xfId="32" applyFont="true" applyBorder="true" applyAlignment="true" applyProtection="false">
      <alignment horizontal="center" vertical="center" textRotation="0" wrapText="false" indent="0" shrinkToFit="false"/>
      <protection locked="true" hidden="false"/>
    </xf>
    <xf numFmtId="179" fontId="34" fillId="0" borderId="7" xfId="32" applyFont="true" applyBorder="true" applyAlignment="true" applyProtection="false">
      <alignment horizontal="general" vertical="center" textRotation="0" wrapText="false" indent="0" shrinkToFit="false"/>
      <protection locked="true" hidden="false"/>
    </xf>
    <xf numFmtId="179" fontId="26" fillId="3" borderId="61" xfId="32" applyFont="true" applyBorder="true" applyAlignment="true" applyProtection="false">
      <alignment horizontal="center" vertical="center" textRotation="0" wrapText="false" indent="0" shrinkToFit="false"/>
      <protection locked="true" hidden="false"/>
    </xf>
    <xf numFmtId="172" fontId="72" fillId="3" borderId="61" xfId="36" applyFont="true" applyBorder="true" applyAlignment="true" applyProtection="true">
      <alignment horizontal="center" vertical="center" textRotation="0" wrapText="false" indent="0" shrinkToFit="false"/>
      <protection locked="true" hidden="false"/>
    </xf>
    <xf numFmtId="172" fontId="72" fillId="3" borderId="62" xfId="36" applyFont="true" applyBorder="true" applyAlignment="true" applyProtection="true">
      <alignment horizontal="center" vertical="center" textRotation="0" wrapText="false" indent="0" shrinkToFit="false"/>
      <protection locked="true" hidden="false"/>
    </xf>
    <xf numFmtId="179" fontId="26" fillId="3" borderId="65" xfId="32" applyFont="true" applyBorder="true" applyAlignment="true" applyProtection="false">
      <alignment horizontal="center" vertical="center" textRotation="0" wrapText="false" indent="0" shrinkToFit="false"/>
      <protection locked="true" hidden="false"/>
    </xf>
    <xf numFmtId="184" fontId="72" fillId="3" borderId="69" xfId="32" applyFont="true" applyBorder="true" applyAlignment="true" applyProtection="false">
      <alignment horizontal="center" vertical="center" textRotation="0" wrapText="false" indent="0" shrinkToFit="false"/>
      <protection locked="true" hidden="false"/>
    </xf>
    <xf numFmtId="179" fontId="26" fillId="3" borderId="69" xfId="32" applyFont="true" applyBorder="true" applyAlignment="true" applyProtection="false">
      <alignment horizontal="center" vertical="center" textRotation="0" wrapText="false" indent="0" shrinkToFit="false"/>
      <protection locked="true" hidden="false"/>
    </xf>
    <xf numFmtId="176" fontId="72" fillId="3" borderId="69" xfId="32" applyFont="true" applyBorder="true" applyAlignment="true" applyProtection="false">
      <alignment horizontal="center" vertical="center" textRotation="0" wrapText="false" indent="0" shrinkToFit="false"/>
      <protection locked="true" hidden="false"/>
    </xf>
    <xf numFmtId="179" fontId="26" fillId="3" borderId="16" xfId="32" applyFont="true" applyBorder="true" applyAlignment="true" applyProtection="false">
      <alignment horizontal="center" vertical="center" textRotation="0" wrapText="false" indent="0" shrinkToFit="false"/>
      <protection locked="true" hidden="false"/>
    </xf>
    <xf numFmtId="184" fontId="73" fillId="3" borderId="69" xfId="32" applyFont="true" applyBorder="true" applyAlignment="true" applyProtection="false">
      <alignment horizontal="center" vertical="center" textRotation="0" wrapText="false" indent="0" shrinkToFit="false"/>
      <protection locked="true" hidden="false"/>
    </xf>
    <xf numFmtId="179" fontId="26" fillId="3" borderId="7" xfId="32" applyFont="true" applyBorder="true" applyAlignment="true" applyProtection="false">
      <alignment horizontal="center" vertical="center" textRotation="0" wrapText="false" indent="0" shrinkToFit="false"/>
      <protection locked="true" hidden="false"/>
    </xf>
    <xf numFmtId="179" fontId="26" fillId="3" borderId="17" xfId="32" applyFont="true" applyBorder="true" applyAlignment="true" applyProtection="false">
      <alignment horizontal="center" vertical="center" textRotation="0" wrapText="false" indent="0" shrinkToFit="false"/>
      <protection locked="true" hidden="false"/>
    </xf>
    <xf numFmtId="176" fontId="72" fillId="3" borderId="16" xfId="32" applyFont="true" applyBorder="true" applyAlignment="true" applyProtection="false">
      <alignment horizontal="center" vertical="center" textRotation="0" wrapText="false" indent="0" shrinkToFit="false"/>
      <protection locked="true" hidden="false"/>
    </xf>
    <xf numFmtId="164" fontId="31" fillId="6" borderId="0" xfId="32" applyFont="true" applyBorder="false" applyAlignment="true" applyProtection="false">
      <alignment horizontal="general" vertical="center" textRotation="0" wrapText="false" indent="0" shrinkToFit="false"/>
      <protection locked="true" hidden="false"/>
    </xf>
    <xf numFmtId="164" fontId="31" fillId="0" borderId="0" xfId="32" applyFont="true" applyBorder="false" applyAlignment="true" applyProtection="false">
      <alignment horizontal="general" vertical="center" textRotation="0" wrapText="false" indent="0" shrinkToFit="false"/>
      <protection locked="true" hidden="false"/>
    </xf>
    <xf numFmtId="174" fontId="30" fillId="0" borderId="0" xfId="32" applyFont="true" applyBorder="false" applyAlignment="true" applyProtection="false">
      <alignment horizontal="general" vertical="center" textRotation="0" wrapText="false" indent="0" shrinkToFit="false"/>
      <protection locked="true" hidden="false"/>
    </xf>
    <xf numFmtId="172" fontId="30" fillId="6" borderId="0" xfId="36" applyFont="true" applyBorder="true" applyAlignment="true" applyProtection="true">
      <alignment horizontal="general" vertical="center" textRotation="0" wrapText="false" indent="0" shrinkToFit="false"/>
      <protection locked="true" hidden="false"/>
    </xf>
    <xf numFmtId="172" fontId="30" fillId="6" borderId="0" xfId="32" applyFont="true" applyBorder="false" applyAlignment="true" applyProtection="false">
      <alignment horizontal="general" vertical="center" textRotation="0" wrapText="false" indent="0" shrinkToFit="false"/>
      <protection locked="true" hidden="false"/>
    </xf>
    <xf numFmtId="164" fontId="30" fillId="6" borderId="0" xfId="32" applyFont="true" applyBorder="false" applyAlignment="true" applyProtection="false">
      <alignment horizontal="general" vertical="center" textRotation="0" wrapText="false" indent="0" shrinkToFit="false"/>
      <protection locked="true" hidden="false"/>
    </xf>
    <xf numFmtId="172" fontId="77" fillId="6" borderId="0" xfId="32" applyFont="true" applyBorder="false" applyAlignment="true" applyProtection="false">
      <alignment horizontal="general" vertical="center" textRotation="0" wrapText="false" indent="0" shrinkToFit="false"/>
      <protection locked="true" hidden="false"/>
    </xf>
    <xf numFmtId="172" fontId="30" fillId="0" borderId="0" xfId="32" applyFont="true" applyBorder="false" applyAlignment="true" applyProtection="false">
      <alignment horizontal="general" vertical="center" textRotation="0" wrapText="false" indent="0" shrinkToFit="false"/>
      <protection locked="true" hidden="false"/>
    </xf>
    <xf numFmtId="196" fontId="26" fillId="0" borderId="63" xfId="36" applyFont="true" applyBorder="true" applyAlignment="true" applyProtection="true">
      <alignment horizontal="center" vertical="center" textRotation="0" wrapText="false" indent="0" shrinkToFit="false"/>
      <protection locked="true" hidden="false"/>
    </xf>
    <xf numFmtId="181" fontId="72" fillId="3" borderId="66" xfId="32" applyFont="true" applyBorder="true" applyAlignment="true" applyProtection="false">
      <alignment horizontal="center" vertical="center" textRotation="0" wrapText="false" indent="0" shrinkToFit="false"/>
      <protection locked="true" hidden="false"/>
    </xf>
    <xf numFmtId="172" fontId="11" fillId="0" borderId="0" xfId="36" applyFont="true" applyBorder="true" applyAlignment="true" applyProtection="true">
      <alignment horizontal="general" vertical="center" textRotation="0" wrapText="false" indent="0" shrinkToFit="false"/>
      <protection locked="true" hidden="false"/>
    </xf>
    <xf numFmtId="172" fontId="18" fillId="0" borderId="0" xfId="36" applyFont="true" applyBorder="true" applyAlignment="true" applyProtection="true">
      <alignment horizontal="general" vertical="center" textRotation="0" wrapText="false" indent="0" shrinkToFit="false"/>
      <protection locked="true" hidden="false"/>
    </xf>
    <xf numFmtId="164" fontId="18" fillId="0" borderId="0" xfId="32" applyFont="true" applyBorder="false" applyAlignment="true" applyProtection="false">
      <alignment horizontal="general" vertical="center" textRotation="0" wrapText="false" indent="0" shrinkToFit="false"/>
      <protection locked="true" hidden="false"/>
    </xf>
    <xf numFmtId="174" fontId="18" fillId="0" borderId="0" xfId="32" applyFont="true" applyBorder="false" applyAlignment="true" applyProtection="false">
      <alignment horizontal="general" vertical="center" textRotation="0" wrapText="false" indent="0" shrinkToFit="false"/>
      <protection locked="true" hidden="false"/>
    </xf>
    <xf numFmtId="164" fontId="78" fillId="0" borderId="0" xfId="32" applyFont="true" applyBorder="false" applyAlignment="true" applyProtection="false">
      <alignment horizontal="general" vertical="center" textRotation="0" wrapText="false" indent="0" shrinkToFit="false"/>
      <protection locked="true" hidden="false"/>
    </xf>
    <xf numFmtId="165" fontId="18" fillId="0" borderId="0" xfId="0" applyFont="true" applyBorder="false" applyAlignment="true" applyProtection="false">
      <alignment horizontal="general" vertical="center" textRotation="0" wrapText="false" indent="0" shrinkToFit="false"/>
      <protection locked="true" hidden="false"/>
    </xf>
    <xf numFmtId="174" fontId="3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70" xfId="32" applyFont="true" applyBorder="true" applyAlignment="true" applyProtection="false">
      <alignment horizontal="center" vertical="center" textRotation="0" wrapText="false" indent="0" shrinkToFit="false"/>
      <protection locked="true" hidden="false"/>
    </xf>
    <xf numFmtId="164" fontId="11" fillId="0" borderId="71" xfId="32" applyFont="true" applyBorder="true" applyAlignment="true" applyProtection="false">
      <alignment horizontal="center" vertical="center" textRotation="0" wrapText="false" indent="0" shrinkToFit="false"/>
      <protection locked="true" hidden="false"/>
    </xf>
    <xf numFmtId="164" fontId="18" fillId="0" borderId="71" xfId="32" applyFont="true" applyBorder="true" applyAlignment="true" applyProtection="false">
      <alignment horizontal="center" vertical="center" textRotation="0" wrapText="false" indent="0" shrinkToFit="false"/>
      <protection locked="true" hidden="false"/>
    </xf>
    <xf numFmtId="164" fontId="11" fillId="0" borderId="72" xfId="32" applyFont="true" applyBorder="true" applyAlignment="true" applyProtection="false">
      <alignment horizontal="center" vertical="center" textRotation="0" wrapText="false" indent="0" shrinkToFit="false"/>
      <protection locked="true" hidden="false"/>
    </xf>
    <xf numFmtId="164" fontId="18" fillId="0" borderId="72" xfId="32" applyFont="true" applyBorder="true" applyAlignment="true" applyProtection="false">
      <alignment horizontal="center" vertical="center" textRotation="0" wrapText="false" indent="0" shrinkToFit="false"/>
      <protection locked="true" hidden="false"/>
    </xf>
    <xf numFmtId="164" fontId="11" fillId="0" borderId="73" xfId="32" applyFont="true" applyBorder="true" applyAlignment="true" applyProtection="false">
      <alignment horizontal="center" vertical="center" textRotation="0" wrapText="false" indent="0" shrinkToFit="false"/>
      <protection locked="true" hidden="false"/>
    </xf>
    <xf numFmtId="164" fontId="15" fillId="0" borderId="74" xfId="0" applyFont="true" applyBorder="true" applyAlignment="true" applyProtection="false">
      <alignment horizontal="center" vertical="center" textRotation="0" wrapText="false" indent="0" shrinkToFit="false"/>
      <protection locked="true" hidden="false"/>
    </xf>
    <xf numFmtId="164" fontId="18" fillId="0" borderId="75" xfId="0" applyFont="true" applyBorder="true" applyAlignment="true" applyProtection="false">
      <alignment horizontal="center" vertical="center" textRotation="0" wrapText="false" indent="0" shrinkToFit="false"/>
      <protection locked="true" hidden="false"/>
    </xf>
    <xf numFmtId="165" fontId="15" fillId="0" borderId="5" xfId="19" applyFont="true" applyBorder="true" applyAlignment="true" applyProtection="true">
      <alignment horizontal="center" vertical="center" textRotation="0" wrapText="false" indent="0" shrinkToFit="false"/>
      <protection locked="true" hidden="false"/>
    </xf>
    <xf numFmtId="165" fontId="11" fillId="0" borderId="4" xfId="32" applyFont="true" applyBorder="true" applyAlignment="true" applyProtection="false">
      <alignment horizontal="center" vertical="center" textRotation="0" wrapText="false" indent="0" shrinkToFit="false"/>
      <protection locked="true" hidden="false"/>
    </xf>
    <xf numFmtId="165" fontId="18" fillId="0" borderId="76" xfId="32" applyFont="true" applyBorder="true" applyAlignment="true" applyProtection="false">
      <alignment horizontal="center" vertical="center" textRotation="0" wrapText="false" indent="0" shrinkToFit="false"/>
      <protection locked="true" hidden="false"/>
    </xf>
    <xf numFmtId="165" fontId="11" fillId="0" borderId="5" xfId="32" applyFont="true" applyBorder="true" applyAlignment="true" applyProtection="false">
      <alignment horizontal="center" vertical="center" textRotation="0" wrapText="false" indent="0" shrinkToFit="false"/>
      <protection locked="true" hidden="false"/>
    </xf>
    <xf numFmtId="164" fontId="11" fillId="0" borderId="4" xfId="32" applyFont="true" applyBorder="true" applyAlignment="true" applyProtection="false">
      <alignment horizontal="center" vertical="center" textRotation="0" wrapText="false" indent="0" shrinkToFit="false"/>
      <protection locked="true" hidden="false"/>
    </xf>
    <xf numFmtId="184" fontId="73" fillId="0" borderId="5" xfId="32" applyFont="true" applyBorder="true" applyAlignment="true" applyProtection="false">
      <alignment horizontal="center" vertical="center" textRotation="0" wrapText="false" indent="0" shrinkToFit="false"/>
      <protection locked="true" hidden="false"/>
    </xf>
    <xf numFmtId="165" fontId="15" fillId="0" borderId="4" xfId="19" applyFont="true" applyBorder="true" applyAlignment="true" applyProtection="true">
      <alignment horizontal="center" vertical="center" textRotation="0" wrapText="false" indent="0" shrinkToFit="false"/>
      <protection locked="true" hidden="false"/>
    </xf>
    <xf numFmtId="181" fontId="18" fillId="0" borderId="0" xfId="32" applyFont="true" applyBorder="false" applyAlignment="true" applyProtection="false">
      <alignment horizontal="general" vertical="center" textRotation="0" wrapText="false" indent="0" shrinkToFit="false"/>
      <protection locked="true" hidden="false"/>
    </xf>
    <xf numFmtId="184" fontId="73" fillId="0" borderId="75" xfId="32" applyFont="true" applyBorder="true" applyAlignment="true" applyProtection="false">
      <alignment horizontal="center" vertical="center" textRotation="0" wrapText="false" indent="0" shrinkToFit="false"/>
      <protection locked="true" hidden="false"/>
    </xf>
    <xf numFmtId="172" fontId="74" fillId="0" borderId="75" xfId="36" applyFont="true" applyBorder="true" applyAlignment="true" applyProtection="true">
      <alignment horizontal="center" vertical="center" textRotation="0" wrapText="false" indent="0" shrinkToFit="false"/>
      <protection locked="true" hidden="false"/>
    </xf>
    <xf numFmtId="165" fontId="38" fillId="0" borderId="75" xfId="32" applyFont="true" applyBorder="true" applyAlignment="true" applyProtection="false">
      <alignment horizontal="center" vertical="center" textRotation="0" wrapText="false" indent="0" shrinkToFit="false"/>
      <protection locked="true" hidden="false"/>
    </xf>
    <xf numFmtId="165" fontId="11" fillId="0" borderId="75" xfId="32" applyFont="true" applyBorder="true" applyAlignment="true" applyProtection="false">
      <alignment horizontal="center" vertical="center" textRotation="0" wrapText="false" indent="0" shrinkToFit="false"/>
      <protection locked="true" hidden="false"/>
    </xf>
    <xf numFmtId="165" fontId="11" fillId="0" borderId="77" xfId="32" applyFont="true" applyBorder="true" applyAlignment="true" applyProtection="false">
      <alignment horizontal="center" vertical="center" textRotation="0" wrapText="false" indent="0" shrinkToFit="false"/>
      <protection locked="true" hidden="false"/>
    </xf>
    <xf numFmtId="165" fontId="18" fillId="0" borderId="78" xfId="32" applyFont="true" applyBorder="true" applyAlignment="true" applyProtection="false">
      <alignment horizontal="center" vertical="center" textRotation="0" wrapText="false" indent="0" shrinkToFit="false"/>
      <protection locked="true" hidden="false"/>
    </xf>
    <xf numFmtId="164" fontId="15" fillId="0" borderId="79" xfId="0" applyFont="true" applyBorder="true" applyAlignment="true" applyProtection="false">
      <alignment horizontal="center" vertical="center" textRotation="0" wrapText="false" indent="0" shrinkToFit="false"/>
      <protection locked="true" hidden="false"/>
    </xf>
    <xf numFmtId="164" fontId="18" fillId="0" borderId="80" xfId="0" applyFont="true" applyBorder="true" applyAlignment="true" applyProtection="false">
      <alignment horizontal="center" vertical="center" textRotation="0" wrapText="false" indent="0" shrinkToFit="false"/>
      <protection locked="true" hidden="false"/>
    </xf>
    <xf numFmtId="164" fontId="18" fillId="0" borderId="81" xfId="0" applyFont="true" applyBorder="true" applyAlignment="true" applyProtection="false">
      <alignment horizontal="center" vertical="center" textRotation="0" wrapText="false" indent="0" shrinkToFit="false"/>
      <protection locked="true" hidden="false"/>
    </xf>
    <xf numFmtId="184" fontId="72" fillId="0" borderId="7" xfId="32" applyFont="true" applyBorder="true" applyAlignment="true" applyProtection="false">
      <alignment horizontal="center" vertical="center" textRotation="0" wrapText="false" indent="0" shrinkToFit="false"/>
      <protection locked="true" hidden="false"/>
    </xf>
    <xf numFmtId="172" fontId="72" fillId="0" borderId="7" xfId="36" applyFont="true" applyBorder="true" applyAlignment="true" applyProtection="true">
      <alignment horizontal="center" vertical="center" textRotation="0" wrapText="false" indent="0" shrinkToFit="false"/>
      <protection locked="true" hidden="false"/>
    </xf>
    <xf numFmtId="165" fontId="15" fillId="0" borderId="7" xfId="19" applyFont="true" applyBorder="true" applyAlignment="true" applyProtection="true">
      <alignment horizontal="center" vertical="center" textRotation="0" wrapText="false" indent="0" shrinkToFit="false"/>
      <protection locked="true" hidden="false"/>
    </xf>
    <xf numFmtId="165" fontId="11" fillId="0" borderId="11" xfId="32" applyFont="true" applyBorder="true" applyAlignment="true" applyProtection="false">
      <alignment horizontal="center" vertical="center" textRotation="0" wrapText="false" indent="0" shrinkToFit="false"/>
      <protection locked="true" hidden="false"/>
    </xf>
    <xf numFmtId="165" fontId="18" fillId="0" borderId="82" xfId="32" applyFont="true" applyBorder="true" applyAlignment="true" applyProtection="false">
      <alignment horizontal="center" vertical="center" textRotation="0" wrapText="false" indent="0" shrinkToFit="false"/>
      <protection locked="true" hidden="false"/>
    </xf>
    <xf numFmtId="184" fontId="72" fillId="0" borderId="75" xfId="32" applyFont="true" applyBorder="true" applyAlignment="true" applyProtection="false">
      <alignment horizontal="center" vertical="center" textRotation="0" wrapText="false" indent="0" shrinkToFit="false"/>
      <protection locked="true" hidden="false"/>
    </xf>
    <xf numFmtId="164" fontId="15" fillId="0" borderId="80" xfId="0" applyFont="true" applyBorder="true" applyAlignment="true" applyProtection="false">
      <alignment horizontal="center" vertical="center" textRotation="0" wrapText="false" indent="0" shrinkToFit="false"/>
      <protection locked="true" hidden="false"/>
    </xf>
    <xf numFmtId="165" fontId="27" fillId="0" borderId="75" xfId="19" applyFont="true" applyBorder="true" applyAlignment="true" applyProtection="true">
      <alignment horizontal="center" vertical="center" textRotation="0" wrapText="false" indent="0" shrinkToFit="false"/>
      <protection locked="true" hidden="false"/>
    </xf>
    <xf numFmtId="165" fontId="15" fillId="0" borderId="75" xfId="19" applyFont="true" applyBorder="true" applyAlignment="true" applyProtection="true">
      <alignment horizontal="center" vertical="center" textRotation="0" wrapText="false" indent="0" shrinkToFit="false"/>
      <protection locked="true" hidden="false"/>
    </xf>
    <xf numFmtId="165" fontId="15" fillId="0" borderId="77" xfId="19" applyFont="true" applyBorder="true" applyAlignment="true" applyProtection="true">
      <alignment horizontal="center" vertical="center" textRotation="0" wrapText="false" indent="0" shrinkToFit="false"/>
      <protection locked="true" hidden="false"/>
    </xf>
    <xf numFmtId="164" fontId="15" fillId="0" borderId="75" xfId="0" applyFont="true" applyBorder="true" applyAlignment="true" applyProtection="false">
      <alignment horizontal="center" vertical="center" textRotation="0" wrapText="false" indent="0" shrinkToFit="false"/>
      <protection locked="true" hidden="false"/>
    </xf>
    <xf numFmtId="164" fontId="15" fillId="0" borderId="3" xfId="0" applyFont="true" applyBorder="true" applyAlignment="true" applyProtection="false">
      <alignment horizontal="center" vertical="center" textRotation="0" wrapText="false" indent="0" shrinkToFit="false"/>
      <protection locked="true" hidden="false"/>
    </xf>
    <xf numFmtId="164" fontId="15" fillId="0" borderId="9" xfId="0" applyFont="true" applyBorder="true" applyAlignment="true" applyProtection="false">
      <alignment horizontal="center" vertical="center" textRotation="0" wrapText="false" indent="0" shrinkToFit="false"/>
      <protection locked="true" hidden="false"/>
    </xf>
    <xf numFmtId="164" fontId="15" fillId="0" borderId="83" xfId="0" applyFont="true" applyBorder="true" applyAlignment="true" applyProtection="false">
      <alignment horizontal="center" vertical="center" textRotation="0" wrapText="false" indent="0" shrinkToFit="false"/>
      <protection locked="true" hidden="false"/>
    </xf>
    <xf numFmtId="164" fontId="11" fillId="3" borderId="5" xfId="0" applyFont="true" applyBorder="true" applyAlignment="true" applyProtection="false">
      <alignment horizontal="center" vertical="center" textRotation="0" wrapText="false" indent="0" shrinkToFit="false"/>
      <protection locked="true" hidden="false"/>
    </xf>
    <xf numFmtId="164" fontId="18" fillId="3" borderId="5" xfId="0" applyFont="true" applyBorder="true" applyAlignment="true" applyProtection="false">
      <alignment horizontal="center" vertical="center" textRotation="0" wrapText="false" indent="0" shrinkToFit="false"/>
      <protection locked="true" hidden="false"/>
    </xf>
    <xf numFmtId="172" fontId="18" fillId="3" borderId="5" xfId="36" applyFont="true" applyBorder="true" applyAlignment="true" applyProtection="true">
      <alignment horizontal="general" vertical="center" textRotation="0" wrapText="false" indent="0" shrinkToFit="false"/>
      <protection locked="true" hidden="false"/>
    </xf>
    <xf numFmtId="164" fontId="18" fillId="0" borderId="74" xfId="0" applyFont="true" applyBorder="true" applyAlignment="true" applyProtection="false">
      <alignment horizontal="center" vertical="center" textRotation="0" wrapText="false" indent="0" shrinkToFit="false"/>
      <protection locked="true" hidden="false"/>
    </xf>
    <xf numFmtId="164" fontId="11" fillId="0" borderId="75" xfId="0" applyFont="true" applyBorder="true" applyAlignment="true" applyProtection="false">
      <alignment horizontal="center" vertical="center" textRotation="0" wrapText="false" indent="0" shrinkToFit="false"/>
      <protection locked="true" hidden="false"/>
    </xf>
    <xf numFmtId="164" fontId="22" fillId="5" borderId="12" xfId="32" applyFont="true" applyBorder="true" applyAlignment="true" applyProtection="false">
      <alignment horizontal="center" vertical="center" textRotation="0" wrapText="true" indent="0" shrinkToFit="false" readingOrder="1"/>
      <protection locked="true" hidden="false"/>
    </xf>
    <xf numFmtId="165" fontId="22" fillId="5" borderId="12" xfId="32" applyFont="true" applyBorder="true" applyAlignment="true" applyProtection="false">
      <alignment horizontal="center" vertical="center" textRotation="0" wrapText="true" indent="0" shrinkToFit="false" readingOrder="1"/>
      <protection locked="true" hidden="false"/>
    </xf>
    <xf numFmtId="165" fontId="22" fillId="5" borderId="13" xfId="32" applyFont="true" applyBorder="true" applyAlignment="true" applyProtection="false">
      <alignment horizontal="center" vertical="center" textRotation="0" wrapText="true" indent="0" shrinkToFit="false" readingOrder="1"/>
      <protection locked="true" hidden="false"/>
    </xf>
    <xf numFmtId="164" fontId="22" fillId="0" borderId="15" xfId="32" applyFont="true" applyBorder="true" applyAlignment="true" applyProtection="false">
      <alignment horizontal="general" vertical="center" textRotation="0" wrapText="false" indent="0" shrinkToFit="false" readingOrder="1"/>
      <protection locked="true" hidden="false"/>
    </xf>
    <xf numFmtId="174" fontId="72" fillId="0" borderId="15" xfId="36" applyFont="true" applyBorder="true" applyAlignment="true" applyProtection="true">
      <alignment horizontal="general" vertical="center" textRotation="0" wrapText="true" indent="0" shrinkToFit="false" readingOrder="1"/>
      <protection locked="true" hidden="false"/>
    </xf>
    <xf numFmtId="174" fontId="72" fillId="0" borderId="15" xfId="36" applyFont="true" applyBorder="true" applyAlignment="true" applyProtection="true">
      <alignment horizontal="center" vertical="center" textRotation="0" wrapText="false" indent="0" shrinkToFit="false" readingOrder="1"/>
      <protection locked="true" hidden="false"/>
    </xf>
    <xf numFmtId="179" fontId="26" fillId="0" borderId="15" xfId="32" applyFont="true" applyBorder="true" applyAlignment="true" applyProtection="false">
      <alignment horizontal="center" vertical="center" textRotation="0" wrapText="false" indent="0" shrinkToFit="false"/>
      <protection locked="true" hidden="false"/>
    </xf>
    <xf numFmtId="179" fontId="26" fillId="0" borderId="15" xfId="32" applyFont="true" applyBorder="true" applyAlignment="true" applyProtection="false">
      <alignment horizontal="center" vertical="center" textRotation="0" wrapText="true" indent="0" shrinkToFit="false"/>
      <protection locked="true" hidden="false"/>
    </xf>
    <xf numFmtId="181" fontId="26" fillId="0" borderId="62" xfId="32" applyFont="true" applyBorder="true" applyAlignment="true" applyProtection="false">
      <alignment horizontal="center" vertical="center" textRotation="0" wrapText="false" indent="0" shrinkToFit="false"/>
      <protection locked="true" hidden="false"/>
    </xf>
    <xf numFmtId="181" fontId="72" fillId="0" borderId="62" xfId="32" applyFont="true" applyBorder="true" applyAlignment="true" applyProtection="false">
      <alignment horizontal="center" vertical="center" textRotation="0" wrapText="false" indent="0" shrinkToFit="false"/>
      <protection locked="true" hidden="false"/>
    </xf>
    <xf numFmtId="164" fontId="22" fillId="0" borderId="16" xfId="32" applyFont="true" applyBorder="true" applyAlignment="true" applyProtection="false">
      <alignment horizontal="general" vertical="center" textRotation="0" wrapText="false" indent="0" shrinkToFit="false" readingOrder="1"/>
      <protection locked="true" hidden="false"/>
    </xf>
    <xf numFmtId="174" fontId="72" fillId="0" borderId="16" xfId="36" applyFont="true" applyBorder="true" applyAlignment="true" applyProtection="true">
      <alignment horizontal="general" vertical="center" textRotation="0" wrapText="false" indent="0" shrinkToFit="false" readingOrder="1"/>
      <protection locked="true" hidden="false"/>
    </xf>
    <xf numFmtId="174" fontId="72" fillId="0" borderId="16" xfId="36" applyFont="true" applyBorder="true" applyAlignment="true" applyProtection="true">
      <alignment horizontal="center" vertical="center" textRotation="0" wrapText="false" indent="0" shrinkToFit="false" readingOrder="1"/>
      <protection locked="true" hidden="false"/>
    </xf>
    <xf numFmtId="181" fontId="26" fillId="0" borderId="63" xfId="32" applyFont="true" applyBorder="true" applyAlignment="true" applyProtection="false">
      <alignment horizontal="center" vertical="center" textRotation="0" wrapText="false" indent="0" shrinkToFit="false"/>
      <protection locked="true" hidden="false"/>
    </xf>
    <xf numFmtId="180" fontId="72" fillId="0" borderId="16" xfId="32" applyFont="true" applyBorder="true" applyAlignment="true" applyProtection="false">
      <alignment horizontal="center" vertical="center" textRotation="0" wrapText="false" indent="0" shrinkToFit="false" readingOrder="1"/>
      <protection locked="true" hidden="false"/>
    </xf>
    <xf numFmtId="174" fontId="72" fillId="0" borderId="16" xfId="36" applyFont="true" applyBorder="true" applyAlignment="true" applyProtection="true">
      <alignment horizontal="general" vertical="center" textRotation="0" wrapText="true" indent="0" shrinkToFit="false" readingOrder="1"/>
      <protection locked="true" hidden="false"/>
    </xf>
    <xf numFmtId="174" fontId="72" fillId="3" borderId="17" xfId="36" applyFont="true" applyBorder="true" applyAlignment="true" applyProtection="true">
      <alignment horizontal="center" vertical="center" textRotation="0" wrapText="true" indent="0" shrinkToFit="false" readingOrder="1"/>
      <protection locked="true" hidden="false"/>
    </xf>
    <xf numFmtId="180" fontId="72" fillId="3" borderId="17" xfId="32" applyFont="true" applyBorder="true" applyAlignment="true" applyProtection="false">
      <alignment horizontal="center" vertical="center" textRotation="0" wrapText="true" indent="0" shrinkToFit="false" readingOrder="1"/>
      <protection locked="true" hidden="false"/>
    </xf>
    <xf numFmtId="174" fontId="74" fillId="3" borderId="17" xfId="36" applyFont="true" applyBorder="true" applyAlignment="true" applyProtection="true">
      <alignment horizontal="center" vertical="center" textRotation="0" wrapText="true" indent="0" shrinkToFit="false" readingOrder="1"/>
      <protection locked="true" hidden="false"/>
    </xf>
    <xf numFmtId="164" fontId="71" fillId="5" borderId="59" xfId="32" applyFont="true" applyBorder="true" applyAlignment="true" applyProtection="false">
      <alignment horizontal="center" vertical="center" textRotation="0" wrapText="true" indent="0" shrinkToFit="false" readingOrder="1"/>
      <protection locked="true" hidden="false"/>
    </xf>
    <xf numFmtId="164" fontId="22" fillId="5" borderId="10" xfId="32" applyFont="true" applyBorder="true" applyAlignment="true" applyProtection="false">
      <alignment horizontal="center" vertical="center" textRotation="0" wrapText="true" indent="0" shrinkToFit="false" readingOrder="1"/>
      <protection locked="true" hidden="false"/>
    </xf>
    <xf numFmtId="164" fontId="22" fillId="5" borderId="2" xfId="32" applyFont="true" applyBorder="true" applyAlignment="true" applyProtection="false">
      <alignment horizontal="center" vertical="center" textRotation="0" wrapText="true" indent="0" shrinkToFit="false" readingOrder="1"/>
      <protection locked="true" hidden="false"/>
    </xf>
    <xf numFmtId="165" fontId="22" fillId="5" borderId="11" xfId="32" applyFont="true" applyBorder="true" applyAlignment="true" applyProtection="false">
      <alignment horizontal="center" vertical="center" textRotation="0" wrapText="true" indent="0" shrinkToFit="false" readingOrder="1"/>
      <protection locked="true" hidden="false"/>
    </xf>
    <xf numFmtId="165" fontId="22" fillId="5" borderId="7" xfId="32" applyFont="true" applyBorder="true" applyAlignment="true" applyProtection="false">
      <alignment horizontal="center" vertical="center" textRotation="0" wrapText="true" indent="0" shrinkToFit="false" readingOrder="1"/>
      <protection locked="true" hidden="false"/>
    </xf>
    <xf numFmtId="179" fontId="26" fillId="0" borderId="18" xfId="32" applyFont="true" applyBorder="true" applyAlignment="true" applyProtection="false">
      <alignment horizontal="center" vertical="center" textRotation="0" wrapText="true" indent="0" shrinkToFit="false"/>
      <protection locked="true" hidden="false"/>
    </xf>
    <xf numFmtId="179" fontId="26" fillId="0" borderId="18" xfId="32" applyFont="true" applyBorder="true" applyAlignment="true" applyProtection="false">
      <alignment horizontal="center" vertical="center" textRotation="0" wrapText="false" indent="0" shrinkToFit="false"/>
      <protection locked="true" hidden="false"/>
    </xf>
    <xf numFmtId="185" fontId="72" fillId="3" borderId="17" xfId="32" applyFont="true" applyBorder="true" applyAlignment="true" applyProtection="false">
      <alignment horizontal="center" vertical="center" textRotation="0" wrapText="true" indent="0" shrinkToFit="false" readingOrder="1"/>
      <protection locked="true" hidden="false"/>
    </xf>
    <xf numFmtId="172" fontId="72" fillId="3" borderId="17" xfId="36" applyFont="true" applyBorder="true" applyAlignment="true" applyProtection="true">
      <alignment horizontal="center" vertical="center" textRotation="0" wrapText="true" indent="0" shrinkToFit="false" readingOrder="1"/>
      <protection locked="true" hidden="false"/>
    </xf>
    <xf numFmtId="164" fontId="18" fillId="0" borderId="0" xfId="32" applyFont="true" applyBorder="false" applyAlignment="true" applyProtection="false">
      <alignment horizontal="right" vertical="center" textRotation="0" wrapText="fals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79" fillId="6"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9" fillId="6" borderId="0" xfId="0" applyFont="true" applyBorder="false" applyAlignment="true" applyProtection="false">
      <alignment horizontal="general" vertical="center" textRotation="0" wrapText="false" indent="0" shrinkToFit="false"/>
      <protection locked="true" hidden="false"/>
    </xf>
    <xf numFmtId="164" fontId="79" fillId="6" borderId="0" xfId="0" applyFont="true" applyBorder="false" applyAlignment="true" applyProtection="false">
      <alignment horizontal="center" vertical="center" textRotation="0" wrapText="false" indent="0" shrinkToFit="false"/>
      <protection locked="true" hidden="false"/>
    </xf>
    <xf numFmtId="164" fontId="80" fillId="6" borderId="0" xfId="0" applyFont="true" applyBorder="false" applyAlignment="true" applyProtection="false">
      <alignment horizontal="general" vertical="center" textRotation="0" wrapText="false" indent="0" shrinkToFit="false"/>
      <protection locked="true" hidden="false"/>
    </xf>
    <xf numFmtId="164" fontId="81" fillId="6" borderId="0" xfId="0" applyFont="true" applyBorder="false" applyAlignment="true" applyProtection="false">
      <alignment horizontal="general" vertical="center" textRotation="0" wrapText="false" indent="0" shrinkToFit="false"/>
      <protection locked="true" hidden="false"/>
    </xf>
    <xf numFmtId="164" fontId="81" fillId="6" borderId="0" xfId="0" applyFont="true" applyBorder="false" applyAlignment="true" applyProtection="false">
      <alignment horizontal="center" vertical="center" textRotation="0" wrapText="false" indent="0" shrinkToFit="false"/>
      <protection locked="true" hidden="false"/>
    </xf>
    <xf numFmtId="164" fontId="82" fillId="6" borderId="0" xfId="0" applyFont="true" applyBorder="false" applyAlignment="true" applyProtection="false">
      <alignment horizontal="general" vertical="center" textRotation="0" wrapText="false" indent="0" shrinkToFit="false"/>
      <protection locked="true" hidden="false"/>
    </xf>
    <xf numFmtId="166" fontId="82" fillId="6" borderId="0" xfId="0" applyFont="true" applyBorder="false" applyAlignment="true" applyProtection="false">
      <alignment horizontal="general" vertical="center" textRotation="0" wrapText="false" indent="0" shrinkToFit="false"/>
      <protection locked="true" hidden="false"/>
    </xf>
    <xf numFmtId="172" fontId="82" fillId="6" borderId="0" xfId="36" applyFont="true" applyBorder="true" applyAlignment="true" applyProtection="true">
      <alignment horizontal="general" vertical="center" textRotation="0" wrapText="false" indent="0" shrinkToFit="false"/>
      <protection locked="true" hidden="false"/>
    </xf>
    <xf numFmtId="164" fontId="82" fillId="13" borderId="5" xfId="0" applyFont="true" applyBorder="true" applyAlignment="true" applyProtection="false">
      <alignment horizontal="general" vertical="center" textRotation="0" wrapText="false" indent="0" shrinkToFit="false"/>
      <protection locked="true" hidden="false"/>
    </xf>
    <xf numFmtId="164" fontId="82" fillId="13" borderId="2" xfId="0" applyFont="true" applyBorder="true" applyAlignment="true" applyProtection="false">
      <alignment horizontal="general" vertical="center" textRotation="0" wrapText="false" indent="0" shrinkToFit="false"/>
      <protection locked="true" hidden="false"/>
    </xf>
    <xf numFmtId="164" fontId="82" fillId="13" borderId="5" xfId="0" applyFont="true" applyBorder="true" applyAlignment="true" applyProtection="false">
      <alignment horizontal="center" vertical="center" textRotation="0" wrapText="false" indent="0" shrinkToFit="false"/>
      <protection locked="true" hidden="false"/>
    </xf>
    <xf numFmtId="164" fontId="83" fillId="13" borderId="13" xfId="0" applyFont="true" applyBorder="true" applyAlignment="true" applyProtection="false">
      <alignment horizontal="general" vertical="center" textRotation="0" wrapText="false" indent="0" shrinkToFit="false"/>
      <protection locked="true" hidden="false"/>
    </xf>
    <xf numFmtId="164" fontId="83" fillId="13" borderId="6" xfId="0" applyFont="true" applyBorder="true" applyAlignment="true" applyProtection="false">
      <alignment horizontal="general" vertical="center" textRotation="0" wrapText="false" indent="0" shrinkToFit="false"/>
      <protection locked="true" hidden="false"/>
    </xf>
    <xf numFmtId="164" fontId="83" fillId="13" borderId="7" xfId="0" applyFont="true" applyBorder="true" applyAlignment="true" applyProtection="false">
      <alignment horizontal="general" vertical="center" textRotation="0" wrapText="false" indent="0" shrinkToFit="false"/>
      <protection locked="true" hidden="false"/>
    </xf>
    <xf numFmtId="165" fontId="83" fillId="13" borderId="8" xfId="0" applyFont="true" applyBorder="true" applyAlignment="true" applyProtection="false">
      <alignment horizontal="general" vertical="center" textRotation="0" wrapText="false" indent="0" shrinkToFit="false"/>
      <protection locked="true" hidden="false"/>
    </xf>
    <xf numFmtId="164" fontId="6" fillId="14" borderId="7" xfId="0" applyFont="true" applyBorder="true" applyAlignment="true" applyProtection="false">
      <alignment horizontal="general" vertical="center" textRotation="0" wrapText="false" indent="0" shrinkToFit="false"/>
      <protection locked="true" hidden="false"/>
    </xf>
    <xf numFmtId="164" fontId="6" fillId="14" borderId="8" xfId="0" applyFont="true" applyBorder="true" applyAlignment="true" applyProtection="false">
      <alignment horizontal="general" vertical="center" textRotation="0" wrapText="false" indent="0" shrinkToFit="false"/>
      <protection locked="true" hidden="false"/>
    </xf>
    <xf numFmtId="164" fontId="83" fillId="14" borderId="8" xfId="0" applyFont="true" applyBorder="true" applyAlignment="true" applyProtection="false">
      <alignment horizontal="general" vertical="center" textRotation="0" wrapText="false" indent="0" shrinkToFit="false"/>
      <protection locked="true" hidden="false"/>
    </xf>
    <xf numFmtId="164" fontId="6" fillId="14" borderId="8" xfId="0" applyFont="true" applyBorder="true" applyAlignment="true" applyProtection="false">
      <alignment horizontal="center" vertical="center" textRotation="0" wrapText="false" indent="0" shrinkToFit="false"/>
      <protection locked="true" hidden="false"/>
    </xf>
    <xf numFmtId="164" fontId="6" fillId="14" borderId="8" xfId="0" applyFont="true" applyBorder="true" applyAlignment="true" applyProtection="false">
      <alignment horizontal="right" vertical="center" textRotation="0" wrapText="false" indent="0" shrinkToFit="false"/>
      <protection locked="true" hidden="false"/>
    </xf>
    <xf numFmtId="164" fontId="84" fillId="0" borderId="7" xfId="0" applyFont="true" applyBorder="true" applyAlignment="true" applyProtection="false">
      <alignment horizontal="general" vertical="center" textRotation="0" wrapText="true" indent="0" shrinkToFit="false"/>
      <protection locked="true" hidden="false"/>
    </xf>
    <xf numFmtId="164" fontId="6" fillId="13" borderId="5" xfId="0" applyFont="true" applyBorder="true" applyAlignment="true" applyProtection="false">
      <alignment horizontal="general" vertical="center" textRotation="0" wrapText="false" indent="0" shrinkToFit="false"/>
      <protection locked="true" hidden="false"/>
    </xf>
    <xf numFmtId="199" fontId="82" fillId="13" borderId="8" xfId="0" applyFont="true" applyBorder="true" applyAlignment="true" applyProtection="false">
      <alignment horizontal="center" vertical="center" textRotation="0" wrapText="false" indent="0" shrinkToFit="false"/>
      <protection locked="true" hidden="false"/>
    </xf>
    <xf numFmtId="164" fontId="6" fillId="13" borderId="8" xfId="0" applyFont="true" applyBorder="true" applyAlignment="true" applyProtection="false">
      <alignment horizontal="right" vertical="center" textRotation="0" wrapText="false" indent="0" shrinkToFit="false"/>
      <protection locked="true" hidden="false"/>
    </xf>
    <xf numFmtId="164" fontId="6" fillId="6" borderId="1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general" vertical="center" textRotation="0" wrapText="false" indent="0" shrinkToFit="false"/>
      <protection locked="true" hidden="false"/>
    </xf>
    <xf numFmtId="199" fontId="82" fillId="6" borderId="1" xfId="0" applyFont="true" applyBorder="true" applyAlignment="true" applyProtection="false">
      <alignment horizontal="center" vertical="center" textRotation="0" wrapText="false" indent="0" shrinkToFit="false"/>
      <protection locked="true" hidden="false"/>
    </xf>
    <xf numFmtId="164" fontId="84" fillId="6" borderId="8" xfId="0" applyFont="true" applyBorder="true" applyAlignment="true" applyProtection="false">
      <alignment horizontal="general" vertical="center" textRotation="0" wrapText="true" indent="0" shrinkToFit="false"/>
      <protection locked="true" hidden="false"/>
    </xf>
    <xf numFmtId="164" fontId="84" fillId="6" borderId="0" xfId="0" applyFont="true" applyBorder="false" applyAlignment="true" applyProtection="false">
      <alignment horizontal="general" vertical="center" textRotation="0" wrapText="tru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82" fillId="13" borderId="7" xfId="0" applyFont="true" applyBorder="true" applyAlignment="true" applyProtection="false">
      <alignment horizontal="general" vertical="center" textRotation="0" wrapText="false" indent="0" shrinkToFit="false"/>
      <protection locked="true" hidden="false"/>
    </xf>
    <xf numFmtId="164" fontId="82" fillId="13" borderId="13" xfId="0" applyFont="true" applyBorder="true" applyAlignment="true" applyProtection="false">
      <alignment horizontal="general" vertical="center" textRotation="0" wrapText="false" indent="0" shrinkToFit="false"/>
      <protection locked="true" hidden="false"/>
    </xf>
    <xf numFmtId="164" fontId="82" fillId="13" borderId="7" xfId="0" applyFont="true" applyBorder="true" applyAlignment="true" applyProtection="false">
      <alignment horizontal="center" vertical="center" textRotation="0" wrapText="false" indent="0" shrinkToFit="false"/>
      <protection locked="true" hidden="false"/>
    </xf>
    <xf numFmtId="164" fontId="82" fillId="13" borderId="0" xfId="0" applyFont="true" applyBorder="false" applyAlignment="true" applyProtection="false">
      <alignment horizontal="general" vertical="center" textRotation="0" wrapText="false" indent="0" shrinkToFit="false"/>
      <protection locked="true" hidden="false"/>
    </xf>
    <xf numFmtId="164" fontId="82" fillId="13" borderId="6" xfId="0" applyFont="true" applyBorder="true" applyAlignment="true" applyProtection="false">
      <alignment horizontal="general" vertical="center" textRotation="0" wrapText="false" indent="0" shrinkToFit="false"/>
      <protection locked="true" hidden="false"/>
    </xf>
    <xf numFmtId="165" fontId="82" fillId="13" borderId="8" xfId="0" applyFont="true" applyBorder="true" applyAlignment="true" applyProtection="false">
      <alignment horizontal="general" vertical="center" textRotation="0" wrapText="false" indent="0" shrinkToFit="false"/>
      <protection locked="true" hidden="false"/>
    </xf>
    <xf numFmtId="164" fontId="87" fillId="14" borderId="7" xfId="0" applyFont="true" applyBorder="true" applyAlignment="true" applyProtection="false">
      <alignment horizontal="general" vertical="center" textRotation="0" wrapText="false" indent="0" shrinkToFit="false"/>
      <protection locked="true" hidden="false"/>
    </xf>
    <xf numFmtId="164" fontId="87" fillId="14" borderId="8" xfId="0" applyFont="true" applyBorder="true" applyAlignment="true" applyProtection="false">
      <alignment horizontal="general" vertical="center" textRotation="0" wrapText="false" indent="0" shrinkToFit="false"/>
      <protection locked="true" hidden="false"/>
    </xf>
    <xf numFmtId="164" fontId="87" fillId="14" borderId="8" xfId="0" applyFont="true" applyBorder="true" applyAlignment="true" applyProtection="false">
      <alignment horizontal="center" vertical="center" textRotation="0" wrapText="false" indent="0" shrinkToFit="false"/>
      <protection locked="true" hidden="false"/>
    </xf>
    <xf numFmtId="164" fontId="84" fillId="0" borderId="5" xfId="0" applyFont="true" applyBorder="true" applyAlignment="true" applyProtection="false">
      <alignment horizontal="left" vertical="center" textRotation="0" wrapText="true" indent="0" shrinkToFit="false"/>
      <protection locked="true" hidden="false"/>
    </xf>
    <xf numFmtId="164" fontId="84" fillId="0" borderId="0" xfId="0" applyFont="true" applyBorder="false" applyAlignment="true" applyProtection="false">
      <alignment horizontal="left" vertical="center" textRotation="0" wrapText="true" indent="0" shrinkToFit="false"/>
      <protection locked="true" hidden="false"/>
    </xf>
    <xf numFmtId="164" fontId="6" fillId="13" borderId="7" xfId="0" applyFont="true" applyBorder="true" applyAlignment="true" applyProtection="false">
      <alignment horizontal="general" vertical="center" textRotation="0" wrapText="false" indent="0" shrinkToFit="false"/>
      <protection locked="true" hidden="false"/>
    </xf>
    <xf numFmtId="165" fontId="83" fillId="13" borderId="4" xfId="0" applyFont="true" applyBorder="true" applyAlignment="true" applyProtection="false">
      <alignment horizontal="general" vertical="center" textRotation="0" wrapText="false" indent="0" shrinkToFit="false"/>
      <protection locked="true" hidden="false"/>
    </xf>
    <xf numFmtId="165" fontId="83" fillId="13" borderId="84" xfId="0" applyFont="true" applyBorder="true" applyAlignment="true" applyProtection="false">
      <alignment horizontal="general" vertical="center" textRotation="0" wrapText="false" indent="0" shrinkToFit="false"/>
      <protection locked="true" hidden="false"/>
    </xf>
    <xf numFmtId="164" fontId="83" fillId="13" borderId="84" xfId="0" applyFont="true" applyBorder="true" applyAlignment="true" applyProtection="false">
      <alignment horizontal="general" vertical="center" textRotation="0" wrapText="false" indent="0" shrinkToFit="false"/>
      <protection locked="true" hidden="false"/>
    </xf>
    <xf numFmtId="165" fontId="83" fillId="13" borderId="6" xfId="0" applyFont="true" applyBorder="true" applyAlignment="true" applyProtection="false">
      <alignment horizontal="general" vertical="center" textRotation="0" wrapText="false" indent="0" shrinkToFit="false"/>
      <protection locked="true" hidden="false"/>
    </xf>
    <xf numFmtId="165" fontId="82" fillId="13" borderId="7" xfId="0" applyFont="true" applyBorder="true" applyAlignment="true" applyProtection="false">
      <alignment horizontal="general" vertical="center" textRotation="0" wrapText="false" indent="0" shrinkToFit="false"/>
      <protection locked="true" hidden="false"/>
    </xf>
    <xf numFmtId="164" fontId="6" fillId="15" borderId="7" xfId="0" applyFont="true" applyBorder="true" applyAlignment="true" applyProtection="false">
      <alignment horizontal="general" vertical="center" textRotation="0" wrapText="false" indent="0" shrinkToFit="false"/>
      <protection locked="true" hidden="false"/>
    </xf>
    <xf numFmtId="164" fontId="6" fillId="15" borderId="8" xfId="0" applyFont="true" applyBorder="true" applyAlignment="true" applyProtection="false">
      <alignment horizontal="general" vertical="center" textRotation="0" wrapText="false" indent="0" shrinkToFit="false"/>
      <protection locked="true" hidden="false"/>
    </xf>
    <xf numFmtId="164" fontId="6" fillId="15" borderId="8" xfId="0" applyFont="true" applyBorder="true" applyAlignment="true" applyProtection="false">
      <alignment horizontal="center" vertical="center" textRotation="0" wrapText="false" indent="0" shrinkToFit="false"/>
      <protection locked="true" hidden="false"/>
    </xf>
    <xf numFmtId="164" fontId="6" fillId="15" borderId="5" xfId="0" applyFont="true" applyBorder="true" applyAlignment="true" applyProtection="false">
      <alignment horizontal="general" vertical="center" textRotation="0" wrapText="false" indent="0" shrinkToFit="false"/>
      <protection locked="true" hidden="false"/>
    </xf>
    <xf numFmtId="164" fontId="82" fillId="0" borderId="7" xfId="0" applyFont="true" applyBorder="true" applyAlignment="true" applyProtection="false">
      <alignment horizontal="general" vertical="center" textRotation="0" wrapText="true" indent="0" shrinkToFit="false"/>
      <protection locked="true" hidden="false"/>
    </xf>
    <xf numFmtId="164" fontId="6" fillId="0" borderId="7" xfId="0" applyFont="true" applyBorder="true" applyAlignment="true" applyProtection="false">
      <alignment horizontal="general" vertical="center" textRotation="0" wrapText="true" indent="0" shrinkToFit="false"/>
      <protection locked="true" hidden="false"/>
    </xf>
    <xf numFmtId="164" fontId="87" fillId="15" borderId="7" xfId="0" applyFont="true" applyBorder="true" applyAlignment="true" applyProtection="false">
      <alignment horizontal="general" vertical="center" textRotation="0" wrapText="false" indent="0" shrinkToFit="false"/>
      <protection locked="true" hidden="false"/>
    </xf>
    <xf numFmtId="164" fontId="87" fillId="15" borderId="8" xfId="0" applyFont="true" applyBorder="true" applyAlignment="true" applyProtection="false">
      <alignment horizontal="general" vertical="center" textRotation="0" wrapText="false" indent="0" shrinkToFit="false"/>
      <protection locked="true" hidden="false"/>
    </xf>
    <xf numFmtId="164" fontId="87" fillId="15" borderId="8" xfId="0" applyFont="true" applyBorder="true" applyAlignment="true" applyProtection="false">
      <alignment horizontal="center" vertical="center" textRotation="0" wrapText="false" indent="0" shrinkToFit="false"/>
      <protection locked="true" hidden="false"/>
    </xf>
    <xf numFmtId="164" fontId="84" fillId="0" borderId="0" xfId="0" applyFont="true" applyBorder="false" applyAlignment="true" applyProtection="false">
      <alignment horizontal="general" vertical="center" textRotation="0" wrapText="true" indent="0" shrinkToFit="false"/>
      <protection locked="true" hidden="false"/>
    </xf>
    <xf numFmtId="164" fontId="6" fillId="13" borderId="8" xfId="0" applyFont="true" applyBorder="true" applyAlignment="true" applyProtection="false">
      <alignment horizontal="general" vertical="center" textRotation="0" wrapText="false" indent="0" shrinkToFit="false"/>
      <protection locked="true" hidden="false"/>
    </xf>
    <xf numFmtId="164" fontId="6" fillId="14" borderId="5" xfId="0" applyFont="true" applyBorder="true" applyAlignment="true" applyProtection="false">
      <alignment horizontal="general" vertical="center" textRotation="0" wrapText="false" indent="0" shrinkToFit="false"/>
      <protection locked="true" hidden="false"/>
    </xf>
    <xf numFmtId="164" fontId="6" fillId="14" borderId="5" xfId="0" applyFont="true" applyBorder="true" applyAlignment="true" applyProtection="false">
      <alignment horizontal="center" vertical="center" textRotation="0" wrapText="false" indent="0" shrinkToFit="false"/>
      <protection locked="true" hidden="false"/>
    </xf>
    <xf numFmtId="172" fontId="0" fillId="0" borderId="5" xfId="36" applyFont="true" applyBorder="true" applyAlignment="true" applyProtection="true">
      <alignment horizontal="general" vertical="center" textRotation="0" wrapText="false" indent="0" shrinkToFit="false"/>
      <protection locked="true" hidden="false"/>
    </xf>
    <xf numFmtId="164" fontId="6" fillId="15" borderId="5" xfId="0" applyFont="true" applyBorder="true" applyAlignment="true" applyProtection="false">
      <alignment horizontal="center" vertical="center" textRotation="0" wrapText="false" indent="0" shrinkToFit="false"/>
      <protection locked="true" hidden="false"/>
    </xf>
    <xf numFmtId="166" fontId="62" fillId="0" borderId="5" xfId="0" applyFont="true" applyBorder="tru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center" vertical="center" textRotation="0" wrapText="false" indent="0" shrinkToFit="false"/>
      <protection locked="true" hidden="false"/>
    </xf>
    <xf numFmtId="164" fontId="58" fillId="0" borderId="0" xfId="0" applyFont="true" applyBorder="false" applyAlignment="true" applyProtection="true">
      <alignment horizontal="center" vertical="center" textRotation="0" wrapText="false" indent="0" shrinkToFit="false"/>
      <protection locked="fals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true" indent="0" shrinkToFit="false"/>
      <protection locked="true" hidden="false"/>
    </xf>
    <xf numFmtId="168" fontId="58" fillId="0" borderId="0" xfId="0" applyFont="true" applyBorder="false" applyAlignment="true" applyProtection="false">
      <alignment horizontal="right" vertical="center" textRotation="0" wrapText="false" indent="0" shrinkToFit="false"/>
      <protection locked="true" hidden="false"/>
    </xf>
    <xf numFmtId="172" fontId="0" fillId="0" borderId="0" xfId="36" applyFont="true" applyBorder="true" applyAlignment="true" applyProtection="true">
      <alignment horizontal="center" vertical="center" textRotation="0" wrapText="false" indent="0" shrinkToFit="false"/>
      <protection locked="true" hidden="false"/>
    </xf>
    <xf numFmtId="191" fontId="0" fillId="0" borderId="0" xfId="0" applyFont="true" applyBorder="false" applyAlignment="true" applyProtection="false">
      <alignment horizontal="center" vertical="center" textRotation="0" wrapText="false" indent="0" shrinkToFit="false"/>
      <protection locked="true" hidden="false"/>
    </xf>
    <xf numFmtId="200" fontId="58" fillId="0" borderId="0" xfId="36" applyFont="true" applyBorder="true" applyAlignment="true" applyProtection="true">
      <alignment horizontal="right" vertical="center" textRotation="0" wrapText="false" indent="0" shrinkToFit="false"/>
      <protection locked="true" hidden="false"/>
    </xf>
    <xf numFmtId="181" fontId="58" fillId="0" borderId="0" xfId="0" applyFont="true" applyBorder="false" applyAlignment="true" applyProtection="false">
      <alignment horizontal="center" vertical="center" textRotation="0" wrapText="false" indent="0" shrinkToFit="false"/>
      <protection locked="true" hidden="false"/>
    </xf>
    <xf numFmtId="164" fontId="58" fillId="0" borderId="0" xfId="0" applyFont="true" applyBorder="false" applyAlignment="true" applyProtection="false">
      <alignment horizontal="right" vertical="center" textRotation="0" wrapText="false" indent="1" shrinkToFit="false"/>
      <protection locked="true" hidden="false"/>
    </xf>
    <xf numFmtId="172" fontId="58" fillId="0" borderId="0" xfId="15" applyFont="true" applyBorder="true" applyAlignment="true" applyProtection="true">
      <alignment horizontal="left" vertical="center" textRotation="0" wrapText="false" indent="0" shrinkToFit="false"/>
      <protection locked="true" hidden="false"/>
    </xf>
    <xf numFmtId="172" fontId="88" fillId="0" borderId="0" xfId="0" applyFont="true" applyBorder="false" applyAlignment="true" applyProtection="false">
      <alignment horizontal="general" vertical="center" textRotation="0" wrapText="false" indent="0" shrinkToFit="false"/>
      <protection locked="true" hidden="false"/>
    </xf>
    <xf numFmtId="172" fontId="58" fillId="0" borderId="0" xfId="36" applyFont="true" applyBorder="true" applyAlignment="true" applyProtection="true">
      <alignment horizontal="right" vertical="center" textRotation="0" wrapText="false" indent="0" shrinkToFit="false"/>
      <protection locked="true" hidden="false"/>
    </xf>
    <xf numFmtId="172" fontId="58" fillId="0" borderId="0" xfId="36" applyFont="true" applyBorder="true" applyAlignment="true" applyProtection="true">
      <alignment horizontal="center" vertical="center" textRotation="0" wrapText="false" indent="0" shrinkToFit="false"/>
      <protection locked="true" hidden="false"/>
    </xf>
    <xf numFmtId="164" fontId="89" fillId="0" borderId="9" xfId="0" applyFont="true" applyBorder="true" applyAlignment="true" applyProtection="false">
      <alignment horizontal="center" vertical="center" textRotation="0" wrapText="false" indent="0" shrinkToFit="false"/>
      <protection locked="true" hidden="false"/>
    </xf>
    <xf numFmtId="164" fontId="89" fillId="0" borderId="0" xfId="0" applyFont="true" applyBorder="false" applyAlignment="true" applyProtection="false">
      <alignment horizontal="center" vertical="center" textRotation="0" wrapText="false" indent="0" shrinkToFit="false"/>
      <protection locked="true" hidden="false"/>
    </xf>
    <xf numFmtId="172" fontId="58" fillId="0" borderId="0" xfId="36" applyFont="true" applyBorder="true" applyAlignment="true" applyProtection="true">
      <alignment horizontal="left" vertical="center" textRotation="0" wrapText="false" indent="0" shrinkToFit="false"/>
      <protection locked="true" hidden="false"/>
    </xf>
    <xf numFmtId="191" fontId="58" fillId="0" borderId="0" xfId="0" applyFont="true" applyBorder="false" applyAlignment="true" applyProtection="false">
      <alignment horizontal="general" vertical="center" textRotation="0" wrapText="false" indent="0" shrinkToFit="false"/>
      <protection locked="true" hidden="false"/>
    </xf>
    <xf numFmtId="164" fontId="9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91" fontId="0" fillId="6" borderId="0" xfId="0" applyFont="true" applyBorder="false" applyAlignment="true" applyProtection="false">
      <alignment horizontal="center" vertical="center" textRotation="0" wrapText="false" indent="0" shrinkToFit="false"/>
      <protection locked="true" hidden="false"/>
    </xf>
    <xf numFmtId="200" fontId="0" fillId="0" borderId="0" xfId="36" applyFont="true" applyBorder="true" applyAlignment="true" applyProtection="true">
      <alignment horizontal="right" vertical="center" textRotation="0" wrapText="false" indent="0" shrinkToFit="false"/>
      <protection locked="true" hidden="false"/>
    </xf>
    <xf numFmtId="168" fontId="0" fillId="0" borderId="0" xfId="0" applyFont="true" applyBorder="false" applyAlignment="true" applyProtection="false">
      <alignment horizontal="center" vertical="center" textRotation="0" wrapText="false" indent="0" shrinkToFit="false"/>
      <protection locked="true" hidden="false"/>
    </xf>
    <xf numFmtId="181" fontId="0" fillId="0" borderId="0" xfId="0" applyFont="true" applyBorder="false" applyAlignment="true" applyProtection="false">
      <alignment horizontal="center" vertical="center" textRotation="0" wrapText="false" indent="0" shrinkToFit="false"/>
      <protection locked="true" hidden="false"/>
    </xf>
    <xf numFmtId="164" fontId="37" fillId="6" borderId="85" xfId="0" applyFont="true" applyBorder="true" applyAlignment="true" applyProtection="false">
      <alignment horizontal="general" vertical="center" textRotation="0" wrapText="false" indent="0" shrinkToFit="false"/>
      <protection locked="true" hidden="false"/>
    </xf>
    <xf numFmtId="164" fontId="91" fillId="16" borderId="85" xfId="0" applyFont="true" applyBorder="true" applyAlignment="true" applyProtection="false">
      <alignment horizontal="right" vertical="center" textRotation="0" wrapText="false" indent="1" shrinkToFit="false"/>
      <protection locked="true" hidden="false"/>
    </xf>
    <xf numFmtId="164" fontId="37" fillId="16" borderId="85" xfId="0" applyFont="true" applyBorder="true" applyAlignment="true" applyProtection="false">
      <alignment horizontal="general" vertical="center" textRotation="0" wrapText="false" indent="0" shrinkToFit="false"/>
      <protection locked="true" hidden="false"/>
    </xf>
    <xf numFmtId="164" fontId="37" fillId="16" borderId="85" xfId="0" applyFont="true" applyBorder="true" applyAlignment="true" applyProtection="false">
      <alignment horizontal="left" vertical="center" textRotation="0" wrapText="false" indent="0" shrinkToFit="false"/>
      <protection locked="true" hidden="false"/>
    </xf>
    <xf numFmtId="164" fontId="91" fillId="16" borderId="86" xfId="0" applyFont="true" applyBorder="true" applyAlignment="true" applyProtection="false">
      <alignment horizontal="general" vertical="center" textRotation="0" wrapText="false" indent="0" shrinkToFit="false"/>
      <protection locked="true" hidden="false"/>
    </xf>
    <xf numFmtId="164" fontId="92" fillId="16" borderId="87" xfId="0" applyFont="true" applyBorder="true" applyAlignment="true" applyProtection="false">
      <alignment horizontal="center" vertical="center" textRotation="0" wrapText="true" indent="0" shrinkToFit="false"/>
      <protection locked="true" hidden="false"/>
    </xf>
    <xf numFmtId="164" fontId="92" fillId="16" borderId="88" xfId="0" applyFont="true" applyBorder="true" applyAlignment="true" applyProtection="false">
      <alignment horizontal="general" vertical="center" textRotation="0" wrapText="false" indent="0" shrinkToFit="false"/>
      <protection locked="true" hidden="false"/>
    </xf>
    <xf numFmtId="164" fontId="37" fillId="16" borderId="89" xfId="0" applyFont="true" applyBorder="true" applyAlignment="true" applyProtection="false">
      <alignment horizontal="general" vertical="center" textRotation="0" wrapText="false" indent="0" shrinkToFit="false"/>
      <protection locked="true" hidden="false"/>
    </xf>
    <xf numFmtId="164" fontId="37" fillId="16" borderId="89" xfId="0" applyFont="true" applyBorder="true" applyAlignment="true" applyProtection="false">
      <alignment horizontal="right" vertical="center" textRotation="0" wrapText="false" indent="0" shrinkToFit="false"/>
      <protection locked="true" hidden="false"/>
    </xf>
    <xf numFmtId="164" fontId="37" fillId="16" borderId="90" xfId="0" applyFont="true" applyBorder="true" applyAlignment="true" applyProtection="false">
      <alignment horizontal="center" vertical="center" textRotation="0" wrapText="false" indent="0" shrinkToFit="false"/>
      <protection locked="true" hidden="false"/>
    </xf>
    <xf numFmtId="164" fontId="37" fillId="16" borderId="91" xfId="0" applyFont="true" applyBorder="true" applyAlignment="true" applyProtection="false">
      <alignment horizontal="general" vertical="center" textRotation="0" wrapText="false" indent="0" shrinkToFit="false"/>
      <protection locked="true" hidden="false"/>
    </xf>
    <xf numFmtId="164" fontId="91" fillId="16" borderId="92" xfId="0" applyFont="true" applyBorder="true" applyAlignment="true" applyProtection="false">
      <alignment horizontal="left" vertical="center" textRotation="0" wrapText="false" indent="0" shrinkToFit="false"/>
      <protection locked="true" hidden="false"/>
    </xf>
    <xf numFmtId="164" fontId="37" fillId="16" borderId="0" xfId="0" applyFont="true" applyBorder="false" applyAlignment="true" applyProtection="false">
      <alignment horizontal="left" vertical="center" textRotation="0" wrapText="false" indent="0" shrinkToFit="false"/>
      <protection locked="true" hidden="false"/>
    </xf>
    <xf numFmtId="164" fontId="77" fillId="17" borderId="93" xfId="0" applyFont="true" applyBorder="true" applyAlignment="true" applyProtection="false">
      <alignment horizontal="center" vertical="center" textRotation="0" wrapText="true" indent="0" shrinkToFit="false"/>
      <protection locked="true" hidden="false"/>
    </xf>
    <xf numFmtId="164" fontId="77" fillId="17" borderId="94" xfId="0" applyFont="true" applyBorder="true" applyAlignment="true" applyProtection="false">
      <alignment horizontal="center" vertical="center" textRotation="0" wrapText="true" indent="0" shrinkToFit="false"/>
      <protection locked="true" hidden="false"/>
    </xf>
    <xf numFmtId="181" fontId="77" fillId="17" borderId="95" xfId="0" applyFont="true" applyBorder="true" applyAlignment="true" applyProtection="false">
      <alignment horizontal="center" vertical="center" textRotation="0" wrapText="true" indent="0" shrinkToFit="false"/>
      <protection locked="true" hidden="false"/>
    </xf>
    <xf numFmtId="200" fontId="77" fillId="17" borderId="94" xfId="36" applyFont="true" applyBorder="true" applyAlignment="true" applyProtection="true">
      <alignment horizontal="center" vertical="center" textRotation="0" wrapText="true" indent="0" shrinkToFit="false"/>
      <protection locked="true" hidden="false"/>
    </xf>
    <xf numFmtId="164" fontId="28" fillId="17" borderId="95" xfId="0" applyFont="true" applyBorder="true" applyAlignment="true" applyProtection="false">
      <alignment horizontal="center" vertical="center" textRotation="0" wrapText="true" indent="0" shrinkToFit="false"/>
      <protection locked="true" hidden="false"/>
    </xf>
    <xf numFmtId="172" fontId="77" fillId="17" borderId="96" xfId="36" applyFont="true" applyBorder="true" applyAlignment="true" applyProtection="true">
      <alignment horizontal="right" vertical="center" textRotation="0" wrapText="true" indent="1" shrinkToFit="false"/>
      <protection locked="true" hidden="false"/>
    </xf>
    <xf numFmtId="164" fontId="93" fillId="17" borderId="94" xfId="0" applyFont="true" applyBorder="true" applyAlignment="true" applyProtection="false">
      <alignment horizontal="center" vertical="center" textRotation="0" wrapText="true" indent="0" shrinkToFit="false"/>
      <protection locked="true" hidden="false"/>
    </xf>
    <xf numFmtId="164" fontId="77" fillId="17" borderId="0" xfId="0" applyFont="true" applyBorder="false" applyAlignment="true" applyProtection="false">
      <alignment horizontal="center" vertical="center" textRotation="0" wrapText="true" indent="0" shrinkToFit="false"/>
      <protection locked="true" hidden="false"/>
    </xf>
    <xf numFmtId="164" fontId="96" fillId="0" borderId="0" xfId="0" applyFont="true" applyBorder="false" applyAlignment="true" applyProtection="false">
      <alignment horizontal="center" vertical="center" textRotation="0" wrapText="false" indent="0" shrinkToFit="false"/>
      <protection locked="true" hidden="false"/>
    </xf>
    <xf numFmtId="191" fontId="23" fillId="18" borderId="97" xfId="0" applyFont="true" applyBorder="true" applyAlignment="true" applyProtection="false">
      <alignment horizontal="general" vertical="center" textRotation="0" wrapText="true" indent="0" shrinkToFit="false"/>
      <protection locked="true" hidden="false"/>
    </xf>
    <xf numFmtId="164" fontId="97" fillId="0" borderId="98" xfId="0" applyFont="true" applyBorder="true" applyAlignment="true" applyProtection="true">
      <alignment horizontal="left" vertical="center" textRotation="0" wrapText="false" indent="0" shrinkToFit="false"/>
      <protection locked="false" hidden="false"/>
    </xf>
    <xf numFmtId="164" fontId="97" fillId="0" borderId="0" xfId="0" applyFont="true" applyBorder="false" applyAlignment="true" applyProtection="false">
      <alignment horizontal="general" vertical="center" textRotation="0" wrapText="false" indent="0" shrinkToFit="false"/>
      <protection locked="true" hidden="false"/>
    </xf>
    <xf numFmtId="164" fontId="98" fillId="0" borderId="0" xfId="0" applyFont="true" applyBorder="false" applyAlignment="true" applyProtection="false">
      <alignment horizontal="general" vertical="center" textRotation="0" wrapText="false" indent="0" shrinkToFit="false"/>
      <protection locked="true" hidden="false"/>
    </xf>
    <xf numFmtId="164" fontId="97" fillId="6" borderId="0" xfId="0" applyFont="true" applyBorder="false" applyAlignment="true" applyProtection="false">
      <alignment horizontal="general" vertical="center" textRotation="0" wrapText="false" indent="0" shrinkToFit="false"/>
      <protection locked="true" hidden="false"/>
    </xf>
    <xf numFmtId="164" fontId="97" fillId="6" borderId="99" xfId="0" applyFont="true" applyBorder="true" applyAlignment="true" applyProtection="false">
      <alignment horizontal="left" vertical="center" textRotation="0" wrapText="false" indent="0" shrinkToFit="false"/>
      <protection locked="true" hidden="false"/>
    </xf>
    <xf numFmtId="201" fontId="97" fillId="6" borderId="0" xfId="0" applyFont="true" applyBorder="false" applyAlignment="true" applyProtection="false">
      <alignment horizontal="center" vertical="center" textRotation="0" wrapText="false" indent="0" shrinkToFit="false"/>
      <protection locked="true" hidden="false"/>
    </xf>
    <xf numFmtId="184" fontId="97" fillId="6" borderId="100" xfId="19" applyFont="true" applyBorder="true" applyAlignment="true" applyProtection="true">
      <alignment horizontal="center" vertical="center" textRotation="0" wrapText="false" indent="0" shrinkToFit="false"/>
      <protection locked="false" hidden="false"/>
    </xf>
    <xf numFmtId="180" fontId="100" fillId="0" borderId="101" xfId="0" applyFont="true" applyBorder="true" applyAlignment="true" applyProtection="false">
      <alignment horizontal="right" vertical="center" textRotation="0" wrapText="false" indent="0" shrinkToFit="false"/>
      <protection locked="true" hidden="false"/>
    </xf>
    <xf numFmtId="168" fontId="97" fillId="6" borderId="102" xfId="0" applyFont="true" applyBorder="true" applyAlignment="true" applyProtection="true">
      <alignment horizontal="center" vertical="center" textRotation="0" wrapText="false" indent="0" shrinkToFit="false"/>
      <protection locked="false" hidden="false"/>
    </xf>
    <xf numFmtId="191" fontId="97" fillId="6" borderId="101" xfId="0" applyFont="true" applyBorder="true" applyAlignment="true" applyProtection="false">
      <alignment horizontal="center" vertical="center" textRotation="0" wrapText="false" indent="0" shrinkToFit="false"/>
      <protection locked="true" hidden="false"/>
    </xf>
    <xf numFmtId="181" fontId="97" fillId="6" borderId="0" xfId="0" applyFont="true" applyBorder="false" applyAlignment="true" applyProtection="false">
      <alignment horizontal="center" vertical="center" textRotation="0" wrapText="false" indent="0" shrinkToFit="false"/>
      <protection locked="true" hidden="false"/>
    </xf>
    <xf numFmtId="200" fontId="100" fillId="0" borderId="99" xfId="36" applyFont="true" applyBorder="true" applyAlignment="true" applyProtection="true">
      <alignment horizontal="right" vertical="center" textRotation="0" wrapText="false" indent="0" shrinkToFit="false"/>
      <protection locked="true" hidden="false"/>
    </xf>
    <xf numFmtId="181" fontId="101" fillId="6" borderId="99" xfId="0" applyFont="true" applyBorder="true" applyAlignment="true" applyProtection="false">
      <alignment horizontal="center" vertical="center" textRotation="0" wrapText="false" indent="0" shrinkToFit="false"/>
      <protection locked="true" hidden="false"/>
    </xf>
    <xf numFmtId="202" fontId="97" fillId="6" borderId="99" xfId="0" applyFont="true" applyBorder="true" applyAlignment="true" applyProtection="false">
      <alignment horizontal="center" vertical="center" textRotation="0" wrapText="false" indent="0" shrinkToFit="false"/>
      <protection locked="true" hidden="false"/>
    </xf>
    <xf numFmtId="164" fontId="101" fillId="6" borderId="99" xfId="0" applyFont="true" applyBorder="true" applyAlignment="true" applyProtection="false">
      <alignment horizontal="general" vertical="center" textRotation="0" wrapText="false" indent="0" shrinkToFit="false"/>
      <protection locked="true" hidden="false"/>
    </xf>
    <xf numFmtId="164" fontId="97" fillId="6" borderId="99" xfId="0" applyFont="true" applyBorder="true" applyAlignment="true" applyProtection="false">
      <alignment horizontal="center" vertical="center" textRotation="0" wrapText="false" indent="0" shrinkToFit="false"/>
      <protection locked="true" hidden="false"/>
    </xf>
    <xf numFmtId="172" fontId="97" fillId="6" borderId="99" xfId="36" applyFont="true" applyBorder="true" applyAlignment="true" applyProtection="true">
      <alignment horizontal="right" vertical="center" textRotation="0" wrapText="false" indent="1" shrinkToFit="false"/>
      <protection locked="true" hidden="false"/>
    </xf>
    <xf numFmtId="172" fontId="97" fillId="6" borderId="99" xfId="15" applyFont="true" applyBorder="true" applyAlignment="true" applyProtection="true">
      <alignment horizontal="center" vertical="center" textRotation="0" wrapText="false" indent="0" shrinkToFit="false"/>
      <protection locked="true" hidden="false"/>
    </xf>
    <xf numFmtId="164" fontId="102" fillId="4" borderId="99" xfId="0" applyFont="true" applyBorder="true" applyAlignment="true" applyProtection="false">
      <alignment horizontal="center" vertical="center" textRotation="0" wrapText="false" indent="0" shrinkToFit="false"/>
      <protection locked="true" hidden="false"/>
    </xf>
    <xf numFmtId="181" fontId="102" fillId="6" borderId="99" xfId="0" applyFont="true" applyBorder="true" applyAlignment="true" applyProtection="false">
      <alignment horizontal="center" vertical="center" textRotation="0" wrapText="false" indent="0" shrinkToFit="false"/>
      <protection locked="true" hidden="false"/>
    </xf>
    <xf numFmtId="164" fontId="97" fillId="0" borderId="99" xfId="0" applyFont="true" applyBorder="true" applyAlignment="true" applyProtection="false">
      <alignment horizontal="right" vertical="center" textRotation="0" wrapText="false" indent="1" shrinkToFit="false"/>
      <protection locked="true" hidden="false"/>
    </xf>
    <xf numFmtId="164" fontId="97" fillId="0" borderId="99" xfId="0" applyFont="true" applyBorder="true" applyAlignment="true" applyProtection="false">
      <alignment horizontal="center" vertical="center" textRotation="0" wrapText="false" indent="0" shrinkToFit="false"/>
      <protection locked="true" hidden="false"/>
    </xf>
    <xf numFmtId="199" fontId="97" fillId="6" borderId="99" xfId="0" applyFont="true" applyBorder="true" applyAlignment="true" applyProtection="false">
      <alignment horizontal="center" vertical="center" textRotation="0" wrapText="false" indent="0" shrinkToFit="false"/>
      <protection locked="true" hidden="false"/>
    </xf>
    <xf numFmtId="203" fontId="97" fillId="6" borderId="100" xfId="0" applyFont="true" applyBorder="true" applyAlignment="true" applyProtection="false">
      <alignment horizontal="center" vertical="center" textRotation="0" wrapText="false" indent="0" shrinkToFit="false"/>
      <protection locked="true" hidden="false"/>
    </xf>
    <xf numFmtId="179" fontId="100" fillId="6" borderId="99" xfId="0" applyFont="true" applyBorder="true" applyAlignment="true" applyProtection="false">
      <alignment horizontal="center" vertical="center" textRotation="0" wrapText="false" indent="0" shrinkToFit="false"/>
      <protection locked="true" hidden="false"/>
    </xf>
    <xf numFmtId="204" fontId="103" fillId="6" borderId="99" xfId="0" applyFont="true" applyBorder="true" applyAlignment="true" applyProtection="false">
      <alignment horizontal="center" vertical="center" textRotation="0" wrapText="false" indent="0" shrinkToFit="false"/>
      <protection locked="true" hidden="false"/>
    </xf>
    <xf numFmtId="172" fontId="97" fillId="6" borderId="99" xfId="0" applyFont="true" applyBorder="true" applyAlignment="true" applyProtection="false">
      <alignment horizontal="center" vertical="center" textRotation="0" wrapText="false" indent="0" shrinkToFit="false"/>
      <protection locked="true" hidden="false"/>
    </xf>
    <xf numFmtId="179" fontId="100" fillId="6" borderId="99" xfId="0" applyFont="true" applyBorder="true" applyAlignment="true" applyProtection="false">
      <alignment horizontal="left" vertical="center" textRotation="0" wrapText="false" indent="0" shrinkToFit="false"/>
      <protection locked="true" hidden="false"/>
    </xf>
    <xf numFmtId="191" fontId="23" fillId="18" borderId="13" xfId="0" applyFont="true" applyBorder="true" applyAlignment="true" applyProtection="false">
      <alignment horizontal="general" vertical="center" textRotation="0" wrapText="true" indent="0" shrinkToFit="false"/>
      <protection locked="true" hidden="false"/>
    </xf>
    <xf numFmtId="164" fontId="97" fillId="0" borderId="101" xfId="0" applyFont="true" applyBorder="true" applyAlignment="true" applyProtection="true">
      <alignment horizontal="left" vertical="center" textRotation="0" wrapText="false" indent="0" shrinkToFit="false"/>
      <protection locked="false" hidden="false"/>
    </xf>
    <xf numFmtId="164" fontId="97" fillId="6" borderId="0" xfId="0" applyFont="true" applyBorder="false" applyAlignment="true" applyProtection="false">
      <alignment horizontal="center" vertical="center" textRotation="0" wrapText="false" indent="0" shrinkToFit="false"/>
      <protection locked="true" hidden="false"/>
    </xf>
    <xf numFmtId="174" fontId="100" fillId="0" borderId="101" xfId="36" applyFont="true" applyBorder="true" applyAlignment="true" applyProtection="true">
      <alignment horizontal="right" vertical="center" textRotation="0" wrapText="false" indent="0" shrinkToFit="false"/>
      <protection locked="true" hidden="false"/>
    </xf>
    <xf numFmtId="200" fontId="97" fillId="0" borderId="99" xfId="36" applyFont="true" applyBorder="true" applyAlignment="true" applyProtection="true">
      <alignment horizontal="right" vertical="center" textRotation="0" wrapText="false" indent="0" shrinkToFit="false"/>
      <protection locked="true" hidden="false"/>
    </xf>
    <xf numFmtId="204" fontId="97" fillId="6" borderId="99" xfId="0" applyFont="true" applyBorder="true" applyAlignment="true" applyProtection="false">
      <alignment horizontal="center" vertical="center" textRotation="0" wrapText="false" indent="0" shrinkToFit="false"/>
      <protection locked="true" hidden="false"/>
    </xf>
    <xf numFmtId="164" fontId="99" fillId="0" borderId="0" xfId="0" applyFont="true" applyBorder="false" applyAlignment="true" applyProtection="false">
      <alignment horizontal="general" vertical="center" textRotation="0" wrapText="false" indent="0" shrinkToFit="false"/>
      <protection locked="true" hidden="false"/>
    </xf>
    <xf numFmtId="164" fontId="97" fillId="4" borderId="99" xfId="0" applyFont="true" applyBorder="true" applyAlignment="true" applyProtection="false">
      <alignment horizontal="center" vertical="center" textRotation="0" wrapText="false" indent="0" shrinkToFit="false"/>
      <protection locked="true" hidden="false"/>
    </xf>
    <xf numFmtId="164" fontId="104" fillId="0" borderId="0" xfId="0" applyFont="true" applyBorder="false" applyAlignment="true" applyProtection="false">
      <alignment horizontal="general" vertical="center" textRotation="0" wrapText="false" indent="0" shrinkToFit="false"/>
      <protection locked="true" hidden="false"/>
    </xf>
    <xf numFmtId="181" fontId="97" fillId="6" borderId="99" xfId="0" applyFont="true" applyBorder="true" applyAlignment="true" applyProtection="false">
      <alignment horizontal="center" vertical="center" textRotation="0" wrapText="false" indent="0" shrinkToFit="false"/>
      <protection locked="true" hidden="false"/>
    </xf>
    <xf numFmtId="179" fontId="100" fillId="6" borderId="99" xfId="0" applyFont="true" applyBorder="true" applyAlignment="true" applyProtection="false">
      <alignment horizontal="left" vertical="center" textRotation="0" wrapText="true" indent="0" shrinkToFit="false"/>
      <protection locked="true" hidden="false"/>
    </xf>
    <xf numFmtId="164" fontId="105" fillId="0" borderId="0" xfId="0" applyFont="true" applyBorder="false" applyAlignment="true" applyProtection="false">
      <alignment horizontal="general" vertical="center" textRotation="0" wrapText="false" indent="0" shrinkToFit="false"/>
      <protection locked="true" hidden="false"/>
    </xf>
    <xf numFmtId="191" fontId="24" fillId="18" borderId="13" xfId="0" applyFont="true" applyBorder="true" applyAlignment="true" applyProtection="false">
      <alignment horizontal="center" vertical="center" textRotation="0" wrapText="true" indent="0" shrinkToFit="false"/>
      <protection locked="true" hidden="false"/>
    </xf>
    <xf numFmtId="164" fontId="97" fillId="0" borderId="101" xfId="0" applyFont="true" applyBorder="true" applyAlignment="true" applyProtection="true">
      <alignment horizontal="left" vertical="center" textRotation="0" wrapText="true" indent="0" shrinkToFit="false"/>
      <protection locked="false" hidden="false"/>
    </xf>
    <xf numFmtId="164" fontId="97" fillId="6" borderId="103" xfId="0" applyFont="true" applyBorder="true" applyAlignment="true" applyProtection="false">
      <alignment horizontal="center" vertical="center" textRotation="0" wrapText="false" indent="0" shrinkToFit="false"/>
      <protection locked="true" hidden="false"/>
    </xf>
    <xf numFmtId="191" fontId="97" fillId="6" borderId="98" xfId="0" applyFont="true" applyBorder="true" applyAlignment="true" applyProtection="false">
      <alignment horizontal="center" vertical="center" textRotation="0" wrapText="false" indent="0" shrinkToFit="false"/>
      <protection locked="true" hidden="false"/>
    </xf>
    <xf numFmtId="200" fontId="100" fillId="0" borderId="104" xfId="36" applyFont="true" applyBorder="true" applyAlignment="true" applyProtection="true">
      <alignment horizontal="right" vertical="center" textRotation="0" wrapText="false" indent="0" shrinkToFit="false"/>
      <protection locked="true" hidden="false"/>
    </xf>
    <xf numFmtId="181" fontId="101" fillId="6" borderId="105" xfId="0" applyFont="true" applyBorder="true" applyAlignment="true" applyProtection="false">
      <alignment horizontal="center" vertical="center" textRotation="0" wrapText="false" indent="0" shrinkToFit="false"/>
      <protection locked="true" hidden="false"/>
    </xf>
    <xf numFmtId="172" fontId="97" fillId="6" borderId="106" xfId="15" applyFont="true" applyBorder="true" applyAlignment="true" applyProtection="true">
      <alignment horizontal="left" vertical="center" textRotation="0" wrapText="false" indent="0" shrinkToFit="false"/>
      <protection locked="true" hidden="false"/>
    </xf>
    <xf numFmtId="203" fontId="97" fillId="6" borderId="99" xfId="0" applyFont="true" applyBorder="true" applyAlignment="true" applyProtection="false">
      <alignment horizontal="center" vertical="center" textRotation="0" wrapText="false" indent="0" shrinkToFit="false"/>
      <protection locked="true" hidden="false"/>
    </xf>
    <xf numFmtId="179" fontId="102" fillId="6" borderId="99" xfId="0" applyFont="true" applyBorder="true" applyAlignment="true" applyProtection="false">
      <alignment horizontal="left" vertical="center" textRotation="0" wrapText="false" indent="0" shrinkToFit="false"/>
      <protection locked="true" hidden="false"/>
    </xf>
    <xf numFmtId="205" fontId="24" fillId="18" borderId="13" xfId="0" applyFont="true" applyBorder="true" applyAlignment="true" applyProtection="false">
      <alignment horizontal="center" vertical="center" textRotation="0" wrapText="true" indent="0" shrinkToFit="false"/>
      <protection locked="true" hidden="false"/>
    </xf>
    <xf numFmtId="172" fontId="97" fillId="6" borderId="99" xfId="15" applyFont="true" applyBorder="true" applyAlignment="true" applyProtection="true">
      <alignment horizontal="left" vertical="center" textRotation="0" wrapText="false" indent="0" shrinkToFit="false"/>
      <protection locked="true" hidden="false"/>
    </xf>
    <xf numFmtId="199" fontId="97" fillId="0" borderId="99" xfId="0" applyFont="true" applyBorder="true" applyAlignment="true" applyProtection="false">
      <alignment horizontal="center" vertical="center" textRotation="0" wrapText="false" indent="0" shrinkToFit="false"/>
      <protection locked="true" hidden="false"/>
    </xf>
    <xf numFmtId="164" fontId="58" fillId="0" borderId="1" xfId="0" applyFont="true" applyBorder="true" applyAlignment="true" applyProtection="false">
      <alignment horizontal="general" vertical="center" textRotation="0" wrapText="false" indent="0" shrinkToFit="false"/>
      <protection locked="true" hidden="false"/>
    </xf>
    <xf numFmtId="164" fontId="106" fillId="13" borderId="101" xfId="0" applyFont="true" applyBorder="true" applyAlignment="true" applyProtection="true">
      <alignment horizontal="left" vertical="center" textRotation="0" wrapText="false" indent="0" shrinkToFit="false"/>
      <protection locked="false" hidden="false"/>
    </xf>
    <xf numFmtId="164" fontId="106" fillId="13" borderId="0" xfId="0" applyFont="true" applyBorder="false" applyAlignment="true" applyProtection="false">
      <alignment horizontal="general" vertical="center" textRotation="0" wrapText="false" indent="0" shrinkToFit="false"/>
      <protection locked="true" hidden="false"/>
    </xf>
    <xf numFmtId="164" fontId="107" fillId="13" borderId="0" xfId="0" applyFont="true" applyBorder="false" applyAlignment="true" applyProtection="false">
      <alignment horizontal="general" vertical="center" textRotation="0" wrapText="false" indent="0" shrinkToFit="false"/>
      <protection locked="true" hidden="false"/>
    </xf>
    <xf numFmtId="164" fontId="106" fillId="13" borderId="0" xfId="0" applyFont="true" applyBorder="false" applyAlignment="true" applyProtection="false">
      <alignment horizontal="general" vertical="center" textRotation="0" wrapText="true" indent="0" shrinkToFit="false"/>
      <protection locked="true" hidden="false"/>
    </xf>
    <xf numFmtId="164" fontId="106" fillId="13" borderId="99" xfId="0" applyFont="true" applyBorder="true" applyAlignment="true" applyProtection="false">
      <alignment horizontal="left" vertical="center" textRotation="0" wrapText="false" indent="0" shrinkToFit="false"/>
      <protection locked="true" hidden="false"/>
    </xf>
    <xf numFmtId="164" fontId="106" fillId="13" borderId="0" xfId="0" applyFont="true" applyBorder="false" applyAlignment="true" applyProtection="false">
      <alignment horizontal="center" vertical="center" textRotation="0" wrapText="false" indent="0" shrinkToFit="false"/>
      <protection locked="true" hidden="false"/>
    </xf>
    <xf numFmtId="184" fontId="106" fillId="13" borderId="100" xfId="19" applyFont="true" applyBorder="true" applyAlignment="true" applyProtection="true">
      <alignment horizontal="center" vertical="center" textRotation="0" wrapText="false" indent="0" shrinkToFit="false"/>
      <protection locked="false" hidden="false"/>
    </xf>
    <xf numFmtId="174" fontId="106" fillId="13" borderId="101" xfId="36" applyFont="true" applyBorder="true" applyAlignment="true" applyProtection="true">
      <alignment horizontal="right" vertical="center" textRotation="0" wrapText="false" indent="0" shrinkToFit="false"/>
      <protection locked="true" hidden="false"/>
    </xf>
    <xf numFmtId="168" fontId="106" fillId="13" borderId="102" xfId="0" applyFont="true" applyBorder="true" applyAlignment="true" applyProtection="true">
      <alignment horizontal="center" vertical="center" textRotation="0" wrapText="false" indent="0" shrinkToFit="false"/>
      <protection locked="false" hidden="false"/>
    </xf>
    <xf numFmtId="191" fontId="106" fillId="13" borderId="101" xfId="0" applyFont="true" applyBorder="true" applyAlignment="true" applyProtection="false">
      <alignment horizontal="center" vertical="center" textRotation="0" wrapText="false" indent="0" shrinkToFit="false"/>
      <protection locked="true" hidden="false"/>
    </xf>
    <xf numFmtId="181" fontId="106" fillId="13" borderId="0" xfId="0" applyFont="true" applyBorder="false" applyAlignment="true" applyProtection="false">
      <alignment horizontal="center" vertical="center" textRotation="0" wrapText="false" indent="0" shrinkToFit="false"/>
      <protection locked="true" hidden="false"/>
    </xf>
    <xf numFmtId="200" fontId="106" fillId="13" borderId="99" xfId="36" applyFont="true" applyBorder="true" applyAlignment="true" applyProtection="true">
      <alignment horizontal="right" vertical="center" textRotation="0" wrapText="false" indent="0" shrinkToFit="false"/>
      <protection locked="true" hidden="false"/>
    </xf>
    <xf numFmtId="181" fontId="107" fillId="13" borderId="99" xfId="0" applyFont="true" applyBorder="true" applyAlignment="true" applyProtection="false">
      <alignment horizontal="center" vertical="center" textRotation="0" wrapText="false" indent="0" shrinkToFit="false"/>
      <protection locked="true" hidden="false"/>
    </xf>
    <xf numFmtId="202" fontId="106" fillId="13" borderId="99" xfId="0" applyFont="true" applyBorder="true" applyAlignment="true" applyProtection="false">
      <alignment horizontal="center" vertical="center" textRotation="0" wrapText="false" indent="0" shrinkToFit="false"/>
      <protection locked="true" hidden="false"/>
    </xf>
    <xf numFmtId="164" fontId="107" fillId="13" borderId="99" xfId="0" applyFont="true" applyBorder="true" applyAlignment="true" applyProtection="false">
      <alignment horizontal="general" vertical="center" textRotation="0" wrapText="false" indent="0" shrinkToFit="false"/>
      <protection locked="true" hidden="false"/>
    </xf>
    <xf numFmtId="164" fontId="106" fillId="13" borderId="99" xfId="0" applyFont="true" applyBorder="true" applyAlignment="true" applyProtection="false">
      <alignment horizontal="center" vertical="center" textRotation="0" wrapText="false" indent="0" shrinkToFit="false"/>
      <protection locked="true" hidden="false"/>
    </xf>
    <xf numFmtId="172" fontId="106" fillId="13" borderId="99" xfId="36" applyFont="true" applyBorder="true" applyAlignment="true" applyProtection="true">
      <alignment horizontal="right" vertical="center" textRotation="0" wrapText="false" indent="1" shrinkToFit="false"/>
      <protection locked="true" hidden="false"/>
    </xf>
    <xf numFmtId="172" fontId="106" fillId="13" borderId="99" xfId="15" applyFont="true" applyBorder="true" applyAlignment="true" applyProtection="true">
      <alignment horizontal="center" vertical="center" textRotation="0" wrapText="false" indent="0" shrinkToFit="false"/>
      <protection locked="true" hidden="false"/>
    </xf>
    <xf numFmtId="164" fontId="107" fillId="13" borderId="99" xfId="0" applyFont="true" applyBorder="true" applyAlignment="true" applyProtection="false">
      <alignment horizontal="center" vertical="center" textRotation="0" wrapText="false" indent="0" shrinkToFit="false"/>
      <protection locked="true" hidden="false"/>
    </xf>
    <xf numFmtId="164" fontId="106" fillId="13" borderId="99" xfId="0" applyFont="true" applyBorder="true" applyAlignment="true" applyProtection="false">
      <alignment horizontal="right" vertical="center" textRotation="0" wrapText="false" indent="1" shrinkToFit="false"/>
      <protection locked="true" hidden="false"/>
    </xf>
    <xf numFmtId="199" fontId="106" fillId="13" borderId="99" xfId="0" applyFont="true" applyBorder="true" applyAlignment="true" applyProtection="false">
      <alignment horizontal="center" vertical="center" textRotation="0" wrapText="false" indent="0" shrinkToFit="false"/>
      <protection locked="true" hidden="false"/>
    </xf>
    <xf numFmtId="203" fontId="106" fillId="13" borderId="100" xfId="0" applyFont="true" applyBorder="true" applyAlignment="true" applyProtection="false">
      <alignment horizontal="center" vertical="center" textRotation="0" wrapText="false" indent="0" shrinkToFit="false"/>
      <protection locked="true" hidden="false"/>
    </xf>
    <xf numFmtId="179" fontId="106" fillId="13" borderId="99" xfId="0" applyFont="true" applyBorder="true" applyAlignment="true" applyProtection="false">
      <alignment horizontal="center" vertical="center" textRotation="0" wrapText="false" indent="0" shrinkToFit="false"/>
      <protection locked="true" hidden="false"/>
    </xf>
    <xf numFmtId="204" fontId="106" fillId="13" borderId="99" xfId="0" applyFont="true" applyBorder="true" applyAlignment="true" applyProtection="false">
      <alignment horizontal="center" vertical="center" textRotation="0" wrapText="false" indent="0" shrinkToFit="false"/>
      <protection locked="true" hidden="false"/>
    </xf>
    <xf numFmtId="172" fontId="106" fillId="13" borderId="99" xfId="0" applyFont="true" applyBorder="true" applyAlignment="true" applyProtection="false">
      <alignment horizontal="center" vertical="center" textRotation="0" wrapText="false" indent="0" shrinkToFit="false"/>
      <protection locked="true" hidden="false"/>
    </xf>
    <xf numFmtId="179" fontId="108" fillId="13" borderId="99" xfId="0" applyFont="true" applyBorder="true" applyAlignment="true" applyProtection="false">
      <alignment horizontal="left" vertical="center" textRotation="0" wrapText="false" indent="0" shrinkToFit="false"/>
      <protection locked="true" hidden="false"/>
    </xf>
    <xf numFmtId="164" fontId="109" fillId="0" borderId="0" xfId="0" applyFont="true" applyBorder="false" applyAlignment="true" applyProtection="false">
      <alignment horizontal="general" vertical="center" textRotation="0" wrapText="false" indent="0" shrinkToFit="false"/>
      <protection locked="true" hidden="false"/>
    </xf>
    <xf numFmtId="191" fontId="109" fillId="0" borderId="0" xfId="0" applyFont="true" applyBorder="false" applyAlignment="true" applyProtection="false">
      <alignment horizontal="general" vertical="center" textRotation="0" wrapText="false" indent="0" shrinkToFit="false"/>
      <protection locked="true" hidden="false"/>
    </xf>
    <xf numFmtId="164" fontId="110" fillId="13" borderId="0" xfId="0" applyFont="true" applyBorder="false" applyAlignment="true" applyProtection="false">
      <alignment horizontal="general" vertical="center" textRotation="0" wrapText="false" indent="0" shrinkToFit="false"/>
      <protection locked="true" hidden="false"/>
    </xf>
    <xf numFmtId="191" fontId="23" fillId="18" borderId="107" xfId="0" applyFont="true" applyBorder="true" applyAlignment="true" applyProtection="false">
      <alignment horizontal="center" vertical="center" textRotation="0" wrapText="true" indent="0" shrinkToFit="false"/>
      <protection locked="true" hidden="false"/>
    </xf>
    <xf numFmtId="164" fontId="97" fillId="0" borderId="108" xfId="0" applyFont="true" applyBorder="true" applyAlignment="true" applyProtection="true">
      <alignment horizontal="left" vertical="center" textRotation="0" wrapText="false" indent="0" shrinkToFit="false"/>
      <protection locked="false" hidden="false"/>
    </xf>
    <xf numFmtId="164" fontId="97" fillId="0" borderId="109" xfId="0" applyFont="true" applyBorder="true" applyAlignment="true" applyProtection="false">
      <alignment horizontal="general" vertical="center" textRotation="0" wrapText="false" indent="0" shrinkToFit="false"/>
      <protection locked="true" hidden="false"/>
    </xf>
    <xf numFmtId="164" fontId="105" fillId="0" borderId="109" xfId="0" applyFont="true" applyBorder="true" applyAlignment="true" applyProtection="false">
      <alignment horizontal="general" vertical="center" textRotation="0" wrapText="false" indent="0" shrinkToFit="false"/>
      <protection locked="true" hidden="false"/>
    </xf>
    <xf numFmtId="164" fontId="97" fillId="0" borderId="109" xfId="0" applyFont="true" applyBorder="true" applyAlignment="true" applyProtection="false">
      <alignment horizontal="general" vertical="center" textRotation="0" wrapText="true" indent="0" shrinkToFit="false"/>
      <protection locked="true" hidden="false"/>
    </xf>
    <xf numFmtId="164" fontId="97" fillId="6" borderId="110" xfId="0" applyFont="true" applyBorder="true" applyAlignment="true" applyProtection="false">
      <alignment horizontal="left" vertical="center" textRotation="0" wrapText="false" indent="0" shrinkToFit="false"/>
      <protection locked="true" hidden="false"/>
    </xf>
    <xf numFmtId="164" fontId="97" fillId="6" borderId="111" xfId="0" applyFont="true" applyBorder="true" applyAlignment="true" applyProtection="false">
      <alignment horizontal="center" vertical="center" textRotation="0" wrapText="false" indent="0" shrinkToFit="false"/>
      <protection locked="true" hidden="false"/>
    </xf>
    <xf numFmtId="184" fontId="97" fillId="6" borderId="112" xfId="19" applyFont="true" applyBorder="true" applyAlignment="true" applyProtection="true">
      <alignment horizontal="center" vertical="center" textRotation="0" wrapText="false" indent="0" shrinkToFit="false"/>
      <protection locked="false" hidden="false"/>
    </xf>
    <xf numFmtId="184" fontId="97" fillId="6" borderId="113" xfId="19" applyFont="true" applyBorder="true" applyAlignment="true" applyProtection="true">
      <alignment horizontal="center" vertical="center" textRotation="0" wrapText="false" indent="0" shrinkToFit="false"/>
      <protection locked="false" hidden="false"/>
    </xf>
    <xf numFmtId="200" fontId="100" fillId="0" borderId="114" xfId="36" applyFont="true" applyBorder="true" applyAlignment="true" applyProtection="true">
      <alignment horizontal="right" vertical="center" textRotation="0" wrapText="false" indent="0" shrinkToFit="false"/>
      <protection locked="true" hidden="false"/>
    </xf>
    <xf numFmtId="168" fontId="97" fillId="6" borderId="115" xfId="0" applyFont="true" applyBorder="true" applyAlignment="true" applyProtection="true">
      <alignment horizontal="center" vertical="center" textRotation="0" wrapText="false" indent="0" shrinkToFit="false"/>
      <protection locked="false" hidden="false"/>
    </xf>
    <xf numFmtId="191" fontId="97" fillId="6" borderId="114" xfId="0" applyFont="true" applyBorder="true" applyAlignment="true" applyProtection="false">
      <alignment horizontal="center" vertical="center" textRotation="0" wrapText="false" indent="0" shrinkToFit="false"/>
      <protection locked="true" hidden="false"/>
    </xf>
    <xf numFmtId="181" fontId="97" fillId="6" borderId="111" xfId="0" applyFont="true" applyBorder="true" applyAlignment="true" applyProtection="false">
      <alignment horizontal="center" vertical="center" textRotation="0" wrapText="false" indent="0" shrinkToFit="false"/>
      <protection locked="true" hidden="false"/>
    </xf>
    <xf numFmtId="200" fontId="100" fillId="0" borderId="110" xfId="36" applyFont="true" applyBorder="true" applyAlignment="true" applyProtection="true">
      <alignment horizontal="right" vertical="center" textRotation="0" wrapText="false" indent="0" shrinkToFit="false"/>
      <protection locked="true" hidden="false"/>
    </xf>
    <xf numFmtId="181" fontId="101" fillId="6" borderId="110" xfId="0" applyFont="true" applyBorder="true" applyAlignment="true" applyProtection="false">
      <alignment horizontal="center" vertical="center" textRotation="0" wrapText="false" indent="0" shrinkToFit="false"/>
      <protection locked="true" hidden="false"/>
    </xf>
    <xf numFmtId="202" fontId="97" fillId="6" borderId="110" xfId="0" applyFont="true" applyBorder="true" applyAlignment="true" applyProtection="false">
      <alignment horizontal="center" vertical="center" textRotation="0" wrapText="false" indent="0" shrinkToFit="false"/>
      <protection locked="true" hidden="false"/>
    </xf>
    <xf numFmtId="164" fontId="101" fillId="6" borderId="110" xfId="0" applyFont="true" applyBorder="true" applyAlignment="true" applyProtection="false">
      <alignment horizontal="general" vertical="center" textRotation="0" wrapText="false" indent="0" shrinkToFit="false"/>
      <protection locked="true" hidden="false"/>
    </xf>
    <xf numFmtId="164" fontId="97" fillId="6" borderId="110" xfId="0" applyFont="true" applyBorder="true" applyAlignment="true" applyProtection="false">
      <alignment horizontal="center" vertical="center" textRotation="0" wrapText="false" indent="0" shrinkToFit="false"/>
      <protection locked="true" hidden="false"/>
    </xf>
    <xf numFmtId="172" fontId="97" fillId="6" borderId="110" xfId="36" applyFont="true" applyBorder="true" applyAlignment="true" applyProtection="true">
      <alignment horizontal="right" vertical="center" textRotation="0" wrapText="false" indent="1" shrinkToFit="false"/>
      <protection locked="true" hidden="false"/>
    </xf>
    <xf numFmtId="172" fontId="97" fillId="6" borderId="116" xfId="15" applyFont="true" applyBorder="true" applyAlignment="true" applyProtection="true">
      <alignment horizontal="center" vertical="center" textRotation="0" wrapText="false" indent="0" shrinkToFit="false"/>
      <protection locked="true" hidden="false"/>
    </xf>
    <xf numFmtId="164" fontId="97" fillId="6" borderId="116" xfId="0" applyFont="true" applyBorder="true" applyAlignment="true" applyProtection="false">
      <alignment horizontal="left" vertical="center" textRotation="0" wrapText="false" indent="0" shrinkToFit="false"/>
      <protection locked="true" hidden="false"/>
    </xf>
    <xf numFmtId="164" fontId="97" fillId="4" borderId="116" xfId="0" applyFont="true" applyBorder="true" applyAlignment="true" applyProtection="false">
      <alignment horizontal="center" vertical="center" textRotation="0" wrapText="false" indent="0" shrinkToFit="false"/>
      <protection locked="true" hidden="false"/>
    </xf>
    <xf numFmtId="164" fontId="97" fillId="6" borderId="116" xfId="0" applyFont="true" applyBorder="true" applyAlignment="true" applyProtection="false">
      <alignment horizontal="center" vertical="center" textRotation="0" wrapText="false" indent="0" shrinkToFit="false"/>
      <protection locked="true" hidden="false"/>
    </xf>
    <xf numFmtId="164" fontId="97" fillId="0" borderId="116" xfId="0" applyFont="true" applyBorder="true" applyAlignment="true" applyProtection="false">
      <alignment horizontal="right" vertical="center" textRotation="0" wrapText="false" indent="1" shrinkToFit="false"/>
      <protection locked="true" hidden="false"/>
    </xf>
    <xf numFmtId="164" fontId="97" fillId="0" borderId="116" xfId="0" applyFont="true" applyBorder="true" applyAlignment="true" applyProtection="false">
      <alignment horizontal="center" vertical="center" textRotation="0" wrapText="false" indent="0" shrinkToFit="false"/>
      <protection locked="true" hidden="false"/>
    </xf>
    <xf numFmtId="199" fontId="97" fillId="6" borderId="116" xfId="0" applyFont="true" applyBorder="true" applyAlignment="true" applyProtection="false">
      <alignment horizontal="center" vertical="center" textRotation="0" wrapText="false" indent="0" shrinkToFit="false"/>
      <protection locked="true" hidden="false"/>
    </xf>
    <xf numFmtId="179" fontId="100" fillId="0" borderId="110" xfId="0" applyFont="true" applyBorder="true" applyAlignment="true" applyProtection="false">
      <alignment horizontal="center" vertical="center" textRotation="0" wrapText="false" indent="0" shrinkToFit="false"/>
      <protection locked="true" hidden="false"/>
    </xf>
    <xf numFmtId="179" fontId="100" fillId="0" borderId="116" xfId="0" applyFont="true" applyBorder="true" applyAlignment="true" applyProtection="false">
      <alignment horizontal="center" vertical="center" textRotation="0" wrapText="false" indent="0" shrinkToFit="false"/>
      <protection locked="true" hidden="false"/>
    </xf>
    <xf numFmtId="204" fontId="97" fillId="0" borderId="116" xfId="0" applyFont="true" applyBorder="true" applyAlignment="true" applyProtection="false">
      <alignment horizontal="center" vertical="center" textRotation="0" wrapText="false" indent="0" shrinkToFit="false"/>
      <protection locked="true" hidden="false"/>
    </xf>
    <xf numFmtId="172" fontId="97" fillId="0" borderId="116" xfId="0" applyFont="true" applyBorder="true" applyAlignment="true" applyProtection="false">
      <alignment horizontal="center" vertical="center" textRotation="0" wrapText="false" indent="0" shrinkToFit="false"/>
      <protection locked="true" hidden="false"/>
    </xf>
    <xf numFmtId="179" fontId="100" fillId="6" borderId="116" xfId="0" applyFont="true" applyBorder="true" applyAlignment="true" applyProtection="false">
      <alignment horizontal="left" vertical="center" textRotation="0" wrapText="false" indent="0" shrinkToFit="false"/>
      <protection locked="true" hidden="false"/>
    </xf>
    <xf numFmtId="191" fontId="23" fillId="18" borderId="117" xfId="0" applyFont="true" applyBorder="true" applyAlignment="true" applyProtection="false">
      <alignment horizontal="general" vertical="center" textRotation="0" wrapText="true" indent="0" shrinkToFit="false"/>
      <protection locked="true" hidden="false"/>
    </xf>
    <xf numFmtId="206" fontId="97" fillId="0" borderId="99" xfId="0" applyFont="true" applyBorder="true" applyAlignment="true" applyProtection="false">
      <alignment horizontal="right" vertical="center" textRotation="0" wrapText="false" indent="1" shrinkToFit="false"/>
      <protection locked="true" hidden="false"/>
    </xf>
    <xf numFmtId="206" fontId="97" fillId="0" borderId="99" xfId="0" applyFont="true" applyBorder="true" applyAlignment="true" applyProtection="false">
      <alignment horizontal="center" vertical="center" textRotation="0" wrapText="false" indent="0" shrinkToFit="false"/>
      <protection locked="true" hidden="false"/>
    </xf>
    <xf numFmtId="203" fontId="97" fillId="0" borderId="100" xfId="0" applyFont="true" applyBorder="true" applyAlignment="true" applyProtection="false">
      <alignment horizontal="center" vertical="center" textRotation="0" wrapText="false" indent="0" shrinkToFit="false"/>
      <protection locked="true" hidden="false"/>
    </xf>
    <xf numFmtId="179" fontId="100" fillId="0" borderId="99" xfId="0" applyFont="true" applyBorder="true" applyAlignment="true" applyProtection="false">
      <alignment horizontal="center" vertical="center" textRotation="0" wrapText="false" indent="0" shrinkToFit="false"/>
      <protection locked="true" hidden="false"/>
    </xf>
    <xf numFmtId="204" fontId="97" fillId="0" borderId="99" xfId="0" applyFont="true" applyBorder="true" applyAlignment="true" applyProtection="false">
      <alignment horizontal="center" vertical="center" textRotation="0" wrapText="false" indent="0" shrinkToFit="false"/>
      <protection locked="true" hidden="false"/>
    </xf>
    <xf numFmtId="172" fontId="97" fillId="0" borderId="99" xfId="0" applyFont="true" applyBorder="true" applyAlignment="true" applyProtection="false">
      <alignment horizontal="center" vertical="center" textRotation="0" wrapText="false" indent="0" shrinkToFit="false"/>
      <protection locked="true" hidden="false"/>
    </xf>
    <xf numFmtId="191" fontId="97" fillId="0" borderId="101" xfId="0" applyFont="true" applyBorder="true" applyAlignment="true" applyProtection="false">
      <alignment horizontal="center" vertical="center" textRotation="0" wrapText="false" indent="0" shrinkToFit="false"/>
      <protection locked="true" hidden="false"/>
    </xf>
    <xf numFmtId="172" fontId="97" fillId="6" borderId="99" xfId="36" applyFont="true" applyBorder="true" applyAlignment="true" applyProtection="true">
      <alignment horizontal="center" vertical="center" textRotation="0" wrapText="false" indent="0" shrinkToFit="false"/>
      <protection locked="true" hidden="false"/>
    </xf>
    <xf numFmtId="200" fontId="100" fillId="0" borderId="101" xfId="36" applyFont="true" applyBorder="true" applyAlignment="true" applyProtection="true">
      <alignment horizontal="right" vertical="center" textRotation="0" wrapText="false" indent="0" shrinkToFit="false"/>
      <protection locked="true" hidden="false"/>
    </xf>
    <xf numFmtId="203" fontId="97" fillId="6" borderId="0" xfId="0" applyFont="true" applyBorder="false" applyAlignment="true" applyProtection="false">
      <alignment horizontal="center" vertical="center" textRotation="0" wrapText="false" indent="0" shrinkToFit="false"/>
      <protection locked="true" hidden="false"/>
    </xf>
    <xf numFmtId="184" fontId="97" fillId="6" borderId="118" xfId="19" applyFont="true" applyBorder="true" applyAlignment="true" applyProtection="true">
      <alignment horizontal="center" vertical="center" textRotation="0" wrapText="false" indent="0" shrinkToFit="false"/>
      <protection locked="false" hidden="false"/>
    </xf>
    <xf numFmtId="179" fontId="100" fillId="0" borderId="0" xfId="0" applyFont="true" applyBorder="false" applyAlignment="true" applyProtection="false">
      <alignment horizontal="center" vertical="center" textRotation="0" wrapText="false" indent="0" shrinkToFit="false"/>
      <protection locked="true" hidden="false"/>
    </xf>
    <xf numFmtId="164" fontId="101" fillId="0" borderId="0" xfId="0" applyFont="true" applyBorder="false" applyAlignment="true" applyProtection="false">
      <alignment horizontal="general" vertical="center" textRotation="0" wrapText="true" indent="0" shrinkToFit="false"/>
      <protection locked="true" hidden="false"/>
    </xf>
    <xf numFmtId="200" fontId="108" fillId="0" borderId="99" xfId="36" applyFont="true" applyBorder="true" applyAlignment="true" applyProtection="true">
      <alignment horizontal="right" vertical="center" textRotation="0" wrapText="false" indent="0" shrinkToFit="false"/>
      <protection locked="true" hidden="false"/>
    </xf>
    <xf numFmtId="164" fontId="106" fillId="13" borderId="101" xfId="0" applyFont="true" applyBorder="true" applyAlignment="true" applyProtection="true">
      <alignment horizontal="left" vertical="center" textRotation="0" wrapText="true" indent="0" shrinkToFit="false"/>
      <protection locked="false" hidden="false"/>
    </xf>
    <xf numFmtId="184" fontId="106" fillId="13" borderId="118" xfId="19" applyFont="true" applyBorder="true" applyAlignment="true" applyProtection="true">
      <alignment horizontal="center" vertical="center" textRotation="0" wrapText="false" indent="0" shrinkToFit="false"/>
      <protection locked="false" hidden="false"/>
    </xf>
    <xf numFmtId="200" fontId="106" fillId="13" borderId="101" xfId="36" applyFont="true" applyBorder="true" applyAlignment="true" applyProtection="true">
      <alignment horizontal="right" vertical="center" textRotation="0" wrapText="false" indent="0" shrinkToFit="false"/>
      <protection locked="true" hidden="false"/>
    </xf>
    <xf numFmtId="172" fontId="106" fillId="13" borderId="99" xfId="15" applyFont="true" applyBorder="true" applyAlignment="true" applyProtection="true">
      <alignment horizontal="left" vertical="center" textRotation="0" wrapText="false" indent="0" shrinkToFit="false"/>
      <protection locked="true" hidden="false"/>
    </xf>
    <xf numFmtId="179" fontId="106" fillId="13" borderId="0" xfId="0" applyFont="true" applyBorder="false" applyAlignment="true" applyProtection="false">
      <alignment horizontal="center" vertical="center" textRotation="0" wrapText="false" indent="0" shrinkToFit="false"/>
      <protection locked="true" hidden="false"/>
    </xf>
    <xf numFmtId="164" fontId="98" fillId="0" borderId="0" xfId="0" applyFont="true" applyBorder="false" applyAlignment="true" applyProtection="false">
      <alignment horizontal="general" vertical="center" textRotation="0" wrapText="true" indent="0" shrinkToFit="false"/>
      <protection locked="true" hidden="false"/>
    </xf>
    <xf numFmtId="164" fontId="97" fillId="0" borderId="0" xfId="0" applyFont="true" applyBorder="false" applyAlignment="true" applyProtection="false">
      <alignment horizontal="general" vertical="center" textRotation="0" wrapText="true" indent="0" shrinkToFit="false"/>
      <protection locked="true" hidden="false"/>
    </xf>
    <xf numFmtId="191" fontId="23" fillId="18" borderId="119" xfId="0" applyFont="true" applyBorder="true" applyAlignment="true" applyProtection="false">
      <alignment horizontal="center" vertical="center" textRotation="0" wrapText="true" indent="0" shrinkToFit="false"/>
      <protection locked="true" hidden="false"/>
    </xf>
    <xf numFmtId="164" fontId="97" fillId="0" borderId="114" xfId="0" applyFont="true" applyBorder="true" applyAlignment="true" applyProtection="true">
      <alignment horizontal="left" vertical="center" textRotation="0" wrapText="true" indent="0" shrinkToFit="false"/>
      <protection locked="false" hidden="false"/>
    </xf>
    <xf numFmtId="164" fontId="97" fillId="0" borderId="111" xfId="0" applyFont="true" applyBorder="true" applyAlignment="true" applyProtection="false">
      <alignment horizontal="general" vertical="center" textRotation="0" wrapText="false" indent="0" shrinkToFit="false"/>
      <protection locked="true" hidden="false"/>
    </xf>
    <xf numFmtId="164" fontId="98" fillId="0" borderId="111" xfId="0" applyFont="true" applyBorder="true" applyAlignment="true" applyProtection="false">
      <alignment horizontal="general" vertical="center" textRotation="0" wrapText="false" indent="0" shrinkToFit="false"/>
      <protection locked="true" hidden="false"/>
    </xf>
    <xf numFmtId="164" fontId="97" fillId="0" borderId="111" xfId="0" applyFont="true" applyBorder="true" applyAlignment="true" applyProtection="false">
      <alignment horizontal="general" vertical="center" textRotation="0" wrapText="true" indent="0" shrinkToFit="false"/>
      <protection locked="true" hidden="false"/>
    </xf>
    <xf numFmtId="184" fontId="97" fillId="6" borderId="120" xfId="19" applyFont="true" applyBorder="true" applyAlignment="true" applyProtection="true">
      <alignment horizontal="center" vertical="center" textRotation="0" wrapText="false" indent="0" shrinkToFit="false"/>
      <protection locked="false" hidden="false"/>
    </xf>
    <xf numFmtId="184" fontId="97" fillId="6" borderId="121" xfId="19" applyFont="true" applyBorder="true" applyAlignment="true" applyProtection="true">
      <alignment horizontal="center" vertical="center" textRotation="0" wrapText="false" indent="0" shrinkToFit="false"/>
      <protection locked="false" hidden="false"/>
    </xf>
    <xf numFmtId="172" fontId="97" fillId="6" borderId="110" xfId="15" applyFont="true" applyBorder="true" applyAlignment="true" applyProtection="true">
      <alignment horizontal="center" vertical="center" textRotation="0" wrapText="false" indent="0" shrinkToFit="false"/>
      <protection locked="true" hidden="false"/>
    </xf>
    <xf numFmtId="164" fontId="97" fillId="4" borderId="110" xfId="0" applyFont="true" applyBorder="true" applyAlignment="true" applyProtection="false">
      <alignment horizontal="center" vertical="center" textRotation="0" wrapText="false" indent="0" shrinkToFit="false"/>
      <protection locked="true" hidden="false"/>
    </xf>
    <xf numFmtId="164" fontId="97" fillId="0" borderId="110" xfId="0" applyFont="true" applyBorder="true" applyAlignment="true" applyProtection="false">
      <alignment horizontal="right" vertical="center" textRotation="0" wrapText="false" indent="1" shrinkToFit="false"/>
      <protection locked="true" hidden="false"/>
    </xf>
    <xf numFmtId="164" fontId="97" fillId="0" borderId="110" xfId="0" applyFont="true" applyBorder="true" applyAlignment="true" applyProtection="false">
      <alignment horizontal="center" vertical="center" textRotation="0" wrapText="false" indent="0" shrinkToFit="false"/>
      <protection locked="true" hidden="false"/>
    </xf>
    <xf numFmtId="199" fontId="101" fillId="6" borderId="110" xfId="0" applyFont="true" applyBorder="true" applyAlignment="true" applyProtection="false">
      <alignment horizontal="center" vertical="center" textRotation="0" wrapText="false" indent="0" shrinkToFit="false"/>
      <protection locked="true" hidden="false"/>
    </xf>
    <xf numFmtId="179" fontId="100" fillId="0" borderId="111" xfId="0" applyFont="true" applyBorder="true" applyAlignment="true" applyProtection="false">
      <alignment horizontal="center" vertical="center" textRotation="0" wrapText="false" indent="0" shrinkToFit="false"/>
      <protection locked="true" hidden="false"/>
    </xf>
    <xf numFmtId="179" fontId="100" fillId="6" borderId="110" xfId="0" applyFont="true" applyBorder="true" applyAlignment="true" applyProtection="false">
      <alignment horizontal="center" vertical="center" textRotation="0" wrapText="false" indent="0" shrinkToFit="false"/>
      <protection locked="true" hidden="false"/>
    </xf>
    <xf numFmtId="204" fontId="97" fillId="6" borderId="110" xfId="0" applyFont="true" applyBorder="true" applyAlignment="true" applyProtection="false">
      <alignment horizontal="center" vertical="center" textRotation="0" wrapText="false" indent="0" shrinkToFit="false"/>
      <protection locked="true" hidden="false"/>
    </xf>
    <xf numFmtId="172" fontId="97" fillId="6" borderId="110" xfId="0" applyFont="true" applyBorder="true" applyAlignment="true" applyProtection="false">
      <alignment horizontal="center" vertical="center" textRotation="0" wrapText="false" indent="0" shrinkToFit="false"/>
      <protection locked="true" hidden="false"/>
    </xf>
    <xf numFmtId="179" fontId="102" fillId="6" borderId="110" xfId="0" applyFont="true" applyBorder="true" applyAlignment="true" applyProtection="false">
      <alignment horizontal="left" vertical="center" textRotation="0" wrapText="false" indent="0" shrinkToFit="false"/>
      <protection locked="true" hidden="false"/>
    </xf>
    <xf numFmtId="205" fontId="24" fillId="4" borderId="13" xfId="36" applyFont="true" applyBorder="true" applyAlignment="true" applyProtection="true">
      <alignment horizontal="center" vertical="center" textRotation="0" wrapText="true" indent="0" shrinkToFit="false"/>
      <protection locked="true" hidden="false"/>
    </xf>
    <xf numFmtId="164" fontId="101" fillId="0" borderId="122" xfId="0" applyFont="true" applyBorder="true" applyAlignment="true" applyProtection="true">
      <alignment horizontal="left" vertical="center" textRotation="0" wrapText="true" indent="0" shrinkToFit="false"/>
      <protection locked="false" hidden="false"/>
    </xf>
    <xf numFmtId="164" fontId="101" fillId="0" borderId="123" xfId="0" applyFont="true" applyBorder="true" applyAlignment="true" applyProtection="false">
      <alignment horizontal="general" vertical="center" textRotation="0" wrapText="false" indent="0" shrinkToFit="false"/>
      <protection locked="true" hidden="false"/>
    </xf>
    <xf numFmtId="164" fontId="99" fillId="0" borderId="123" xfId="0" applyFont="true" applyBorder="true" applyAlignment="true" applyProtection="false">
      <alignment horizontal="general" vertical="center" textRotation="0" wrapText="false" indent="0" shrinkToFit="false"/>
      <protection locked="true" hidden="false"/>
    </xf>
    <xf numFmtId="164" fontId="101" fillId="0" borderId="123" xfId="0" applyFont="true" applyBorder="true" applyAlignment="true" applyProtection="false">
      <alignment horizontal="general" vertical="center" textRotation="0" wrapText="true" indent="0" shrinkToFit="false"/>
      <protection locked="true" hidden="false"/>
    </xf>
    <xf numFmtId="164" fontId="101" fillId="6" borderId="123" xfId="0" applyFont="true" applyBorder="true" applyAlignment="true" applyProtection="false">
      <alignment horizontal="left" vertical="center" textRotation="0" wrapText="false" indent="0" shrinkToFit="false"/>
      <protection locked="true" hidden="false"/>
    </xf>
    <xf numFmtId="164" fontId="101" fillId="6" borderId="123" xfId="0" applyFont="true" applyBorder="true" applyAlignment="true" applyProtection="false">
      <alignment horizontal="center" vertical="center" textRotation="0" wrapText="false" indent="0" shrinkToFit="false"/>
      <protection locked="true" hidden="false"/>
    </xf>
    <xf numFmtId="184" fontId="101" fillId="6" borderId="123" xfId="19" applyFont="true" applyBorder="true" applyAlignment="true" applyProtection="true">
      <alignment horizontal="center" vertical="center" textRotation="0" wrapText="false" indent="0" shrinkToFit="false"/>
      <protection locked="false" hidden="false"/>
    </xf>
    <xf numFmtId="200" fontId="99" fillId="0" borderId="123" xfId="36" applyFont="true" applyBorder="true" applyAlignment="true" applyProtection="true">
      <alignment horizontal="right" vertical="center" textRotation="0" wrapText="false" indent="0" shrinkToFit="false"/>
      <protection locked="true" hidden="false"/>
    </xf>
    <xf numFmtId="168" fontId="101" fillId="6" borderId="123" xfId="0" applyFont="true" applyBorder="true" applyAlignment="true" applyProtection="true">
      <alignment horizontal="center" vertical="center" textRotation="0" wrapText="false" indent="0" shrinkToFit="false"/>
      <protection locked="false" hidden="false"/>
    </xf>
    <xf numFmtId="191" fontId="101" fillId="6" borderId="123" xfId="0" applyFont="true" applyBorder="true" applyAlignment="true" applyProtection="false">
      <alignment horizontal="center" vertical="center" textRotation="0" wrapText="false" indent="0" shrinkToFit="false"/>
      <protection locked="true" hidden="false"/>
    </xf>
    <xf numFmtId="181" fontId="101" fillId="6" borderId="123" xfId="0" applyFont="true" applyBorder="true" applyAlignment="true" applyProtection="false">
      <alignment horizontal="center" vertical="center" textRotation="0" wrapText="false" indent="0" shrinkToFit="false"/>
      <protection locked="true" hidden="false"/>
    </xf>
    <xf numFmtId="202" fontId="101" fillId="6" borderId="123" xfId="0" applyFont="true" applyBorder="true" applyAlignment="true" applyProtection="false">
      <alignment horizontal="center" vertical="center" textRotation="0" wrapText="false" indent="0" shrinkToFit="false"/>
      <protection locked="true" hidden="false"/>
    </xf>
    <xf numFmtId="164" fontId="101" fillId="6" borderId="123" xfId="0" applyFont="true" applyBorder="true" applyAlignment="true" applyProtection="false">
      <alignment horizontal="general" vertical="center" textRotation="0" wrapText="false" indent="0" shrinkToFit="false"/>
      <protection locked="true" hidden="false"/>
    </xf>
    <xf numFmtId="172" fontId="101" fillId="6" borderId="123" xfId="36" applyFont="true" applyBorder="true" applyAlignment="true" applyProtection="true">
      <alignment horizontal="right" vertical="center" textRotation="0" wrapText="false" indent="1" shrinkToFit="false"/>
      <protection locked="true" hidden="false"/>
    </xf>
    <xf numFmtId="172" fontId="101" fillId="6" borderId="123" xfId="15" applyFont="true" applyBorder="true" applyAlignment="true" applyProtection="true">
      <alignment horizontal="center" vertical="center" textRotation="0" wrapText="false" indent="0" shrinkToFit="false"/>
      <protection locked="true" hidden="false"/>
    </xf>
    <xf numFmtId="164" fontId="101" fillId="0" borderId="123" xfId="0" applyFont="true" applyBorder="true" applyAlignment="true" applyProtection="false">
      <alignment horizontal="right" vertical="center" textRotation="0" wrapText="false" indent="1" shrinkToFit="false"/>
      <protection locked="true" hidden="false"/>
    </xf>
    <xf numFmtId="164" fontId="101" fillId="0" borderId="123" xfId="0" applyFont="true" applyBorder="true" applyAlignment="true" applyProtection="false">
      <alignment horizontal="center" vertical="center" textRotation="0" wrapText="false" indent="0" shrinkToFit="false"/>
      <protection locked="true" hidden="false"/>
    </xf>
    <xf numFmtId="199" fontId="101" fillId="6" borderId="123" xfId="0" applyFont="true" applyBorder="true" applyAlignment="true" applyProtection="false">
      <alignment horizontal="center" vertical="center" textRotation="0" wrapText="false" indent="0" shrinkToFit="false"/>
      <protection locked="true" hidden="false"/>
    </xf>
    <xf numFmtId="179" fontId="99" fillId="0" borderId="123" xfId="0" applyFont="true" applyBorder="true" applyAlignment="true" applyProtection="false">
      <alignment horizontal="center" vertical="center" textRotation="0" wrapText="false" indent="0" shrinkToFit="false"/>
      <protection locked="true" hidden="false"/>
    </xf>
    <xf numFmtId="179" fontId="99" fillId="6" borderId="123" xfId="0" applyFont="true" applyBorder="true" applyAlignment="true" applyProtection="false">
      <alignment horizontal="center" vertical="center" textRotation="0" wrapText="false" indent="0" shrinkToFit="false"/>
      <protection locked="true" hidden="false"/>
    </xf>
    <xf numFmtId="204" fontId="101" fillId="6" borderId="123" xfId="0" applyFont="true" applyBorder="true" applyAlignment="true" applyProtection="false">
      <alignment horizontal="center" vertical="center" textRotation="0" wrapText="false" indent="0" shrinkToFit="false"/>
      <protection locked="true" hidden="false"/>
    </xf>
    <xf numFmtId="172" fontId="101" fillId="6" borderId="123" xfId="0" applyFont="true" applyBorder="true" applyAlignment="true" applyProtection="false">
      <alignment horizontal="center" vertical="center" textRotation="0" wrapText="false" indent="0" shrinkToFit="false"/>
      <protection locked="true" hidden="false"/>
    </xf>
    <xf numFmtId="179" fontId="99" fillId="6" borderId="124" xfId="0" applyFont="true" applyBorder="true" applyAlignment="true" applyProtection="false">
      <alignment horizontal="left" vertical="center" textRotation="0" wrapText="false" indent="0" shrinkToFit="false"/>
      <protection locked="true" hidden="false"/>
    </xf>
    <xf numFmtId="164" fontId="101" fillId="0" borderId="11" xfId="0" applyFont="true" applyBorder="true" applyAlignment="true" applyProtection="true">
      <alignment horizontal="left" vertical="center" textRotation="0" wrapText="true" indent="0" shrinkToFit="false"/>
      <protection locked="false" hidden="false"/>
    </xf>
    <xf numFmtId="164" fontId="101" fillId="0" borderId="1" xfId="0" applyFont="true" applyBorder="true" applyAlignment="true" applyProtection="false">
      <alignment horizontal="general" vertical="center" textRotation="0" wrapText="false" indent="0" shrinkToFit="false"/>
      <protection locked="true" hidden="false"/>
    </xf>
    <xf numFmtId="164" fontId="99" fillId="0" borderId="1" xfId="0" applyFont="true" applyBorder="true" applyAlignment="true" applyProtection="false">
      <alignment horizontal="general" vertical="center" textRotation="0" wrapText="false" indent="0" shrinkToFit="false"/>
      <protection locked="true" hidden="false"/>
    </xf>
    <xf numFmtId="164" fontId="101" fillId="0" borderId="1" xfId="0" applyFont="true" applyBorder="true" applyAlignment="true" applyProtection="false">
      <alignment horizontal="general" vertical="center" textRotation="0" wrapText="true" indent="0" shrinkToFit="false"/>
      <protection locked="true" hidden="false"/>
    </xf>
    <xf numFmtId="164" fontId="101" fillId="6" borderId="1" xfId="0" applyFont="true" applyBorder="true" applyAlignment="true" applyProtection="false">
      <alignment horizontal="left" vertical="center" textRotation="0" wrapText="false" indent="0" shrinkToFit="false"/>
      <protection locked="true" hidden="false"/>
    </xf>
    <xf numFmtId="164" fontId="101" fillId="6" borderId="1" xfId="0" applyFont="true" applyBorder="true" applyAlignment="true" applyProtection="false">
      <alignment horizontal="center" vertical="center" textRotation="0" wrapText="false" indent="0" shrinkToFit="false"/>
      <protection locked="true" hidden="false"/>
    </xf>
    <xf numFmtId="184" fontId="101" fillId="6" borderId="1" xfId="19" applyFont="true" applyBorder="true" applyAlignment="true" applyProtection="true">
      <alignment horizontal="center" vertical="center" textRotation="0" wrapText="false" indent="0" shrinkToFit="false"/>
      <protection locked="false" hidden="false"/>
    </xf>
    <xf numFmtId="200" fontId="99" fillId="0" borderId="1" xfId="36" applyFont="true" applyBorder="true" applyAlignment="true" applyProtection="true">
      <alignment horizontal="right" vertical="center" textRotation="0" wrapText="false" indent="0" shrinkToFit="false"/>
      <protection locked="true" hidden="false"/>
    </xf>
    <xf numFmtId="168" fontId="101" fillId="6" borderId="1" xfId="0" applyFont="true" applyBorder="true" applyAlignment="true" applyProtection="true">
      <alignment horizontal="center" vertical="center" textRotation="0" wrapText="false" indent="0" shrinkToFit="false"/>
      <protection locked="false" hidden="false"/>
    </xf>
    <xf numFmtId="191" fontId="101" fillId="6" borderId="1" xfId="0" applyFont="true" applyBorder="true" applyAlignment="true" applyProtection="false">
      <alignment horizontal="center" vertical="center" textRotation="0" wrapText="false" indent="0" shrinkToFit="false"/>
      <protection locked="true" hidden="false"/>
    </xf>
    <xf numFmtId="181" fontId="101" fillId="6" borderId="1" xfId="0" applyFont="true" applyBorder="true" applyAlignment="true" applyProtection="false">
      <alignment horizontal="center" vertical="center" textRotation="0" wrapText="false" indent="0" shrinkToFit="false"/>
      <protection locked="true" hidden="false"/>
    </xf>
    <xf numFmtId="202" fontId="101" fillId="6" borderId="1" xfId="0" applyFont="true" applyBorder="true" applyAlignment="true" applyProtection="false">
      <alignment horizontal="center" vertical="center" textRotation="0" wrapText="false" indent="0" shrinkToFit="false"/>
      <protection locked="true" hidden="false"/>
    </xf>
    <xf numFmtId="164" fontId="101" fillId="6" borderId="1" xfId="0" applyFont="true" applyBorder="true" applyAlignment="true" applyProtection="false">
      <alignment horizontal="general" vertical="center" textRotation="0" wrapText="false" indent="0" shrinkToFit="false"/>
      <protection locked="true" hidden="false"/>
    </xf>
    <xf numFmtId="172" fontId="101" fillId="6" borderId="1" xfId="36" applyFont="true" applyBorder="true" applyAlignment="true" applyProtection="true">
      <alignment horizontal="right" vertical="center" textRotation="0" wrapText="false" indent="1" shrinkToFit="false"/>
      <protection locked="true" hidden="false"/>
    </xf>
    <xf numFmtId="172" fontId="101" fillId="6" borderId="1" xfId="15" applyFont="true" applyBorder="true" applyAlignment="true" applyProtection="true">
      <alignment horizontal="center" vertical="center" textRotation="0" wrapText="false" indent="0" shrinkToFit="false"/>
      <protection locked="true" hidden="false"/>
    </xf>
    <xf numFmtId="164" fontId="101" fillId="0" borderId="1" xfId="0" applyFont="true" applyBorder="true" applyAlignment="true" applyProtection="false">
      <alignment horizontal="right" vertical="center" textRotation="0" wrapText="false" indent="1" shrinkToFit="false"/>
      <protection locked="true" hidden="false"/>
    </xf>
    <xf numFmtId="164" fontId="101" fillId="0" borderId="1" xfId="0" applyFont="true" applyBorder="true" applyAlignment="true" applyProtection="false">
      <alignment horizontal="center" vertical="center" textRotation="0" wrapText="false" indent="0" shrinkToFit="false"/>
      <protection locked="true" hidden="false"/>
    </xf>
    <xf numFmtId="199" fontId="101" fillId="6" borderId="1" xfId="0" applyFont="true" applyBorder="true" applyAlignment="true" applyProtection="false">
      <alignment horizontal="center" vertical="center" textRotation="0" wrapText="false" indent="0" shrinkToFit="false"/>
      <protection locked="true" hidden="false"/>
    </xf>
    <xf numFmtId="179" fontId="99" fillId="0" borderId="1" xfId="0" applyFont="true" applyBorder="true" applyAlignment="true" applyProtection="false">
      <alignment horizontal="center" vertical="center" textRotation="0" wrapText="false" indent="0" shrinkToFit="false"/>
      <protection locked="true" hidden="false"/>
    </xf>
    <xf numFmtId="179" fontId="99" fillId="6" borderId="1" xfId="0" applyFont="true" applyBorder="true" applyAlignment="true" applyProtection="false">
      <alignment horizontal="center" vertical="center" textRotation="0" wrapText="false" indent="0" shrinkToFit="false"/>
      <protection locked="true" hidden="false"/>
    </xf>
    <xf numFmtId="204" fontId="101" fillId="6" borderId="1" xfId="0" applyFont="true" applyBorder="true" applyAlignment="true" applyProtection="false">
      <alignment horizontal="center" vertical="center" textRotation="0" wrapText="false" indent="0" shrinkToFit="false"/>
      <protection locked="true" hidden="false"/>
    </xf>
    <xf numFmtId="172" fontId="101" fillId="6" borderId="1" xfId="0" applyFont="true" applyBorder="true" applyAlignment="true" applyProtection="false">
      <alignment horizontal="center" vertical="center" textRotation="0" wrapText="false" indent="0" shrinkToFit="false"/>
      <protection locked="true" hidden="false"/>
    </xf>
    <xf numFmtId="179" fontId="99" fillId="6" borderId="125" xfId="0" applyFont="true" applyBorder="true" applyAlignment="true" applyProtection="false">
      <alignment horizontal="left" vertical="center" textRotation="0" wrapText="false" indent="0" shrinkToFit="false"/>
      <protection locked="true" hidden="false"/>
    </xf>
    <xf numFmtId="164" fontId="112" fillId="19" borderId="126" xfId="0" applyFont="true" applyBorder="true" applyAlignment="true" applyProtection="true">
      <alignment horizontal="left" vertical="center" textRotation="0" wrapText="false" indent="0" shrinkToFit="false"/>
      <protection locked="false" hidden="false"/>
    </xf>
    <xf numFmtId="184" fontId="97" fillId="19" borderId="100" xfId="19" applyFont="true" applyBorder="true" applyAlignment="true" applyProtection="true">
      <alignment horizontal="center" vertical="center" textRotation="0" wrapText="false" indent="0" shrinkToFit="false"/>
      <protection locked="false" hidden="false"/>
    </xf>
    <xf numFmtId="200" fontId="100" fillId="4" borderId="99" xfId="36" applyFont="true" applyBorder="true" applyAlignment="true" applyProtection="true">
      <alignment horizontal="right" vertical="center" textRotation="0" wrapText="false" indent="0" shrinkToFit="false"/>
      <protection locked="true" hidden="false"/>
    </xf>
    <xf numFmtId="164" fontId="113" fillId="0" borderId="0" xfId="0" applyFont="true" applyBorder="false" applyAlignment="true" applyProtection="false">
      <alignment horizontal="right" vertical="center" textRotation="0" wrapText="false" indent="1" shrinkToFit="false"/>
      <protection locked="true" hidden="false"/>
    </xf>
    <xf numFmtId="164" fontId="114" fillId="19" borderId="126" xfId="0" applyFont="true" applyBorder="true" applyAlignment="true" applyProtection="true">
      <alignment horizontal="left" vertical="center" textRotation="0" wrapText="false" indent="0" shrinkToFit="false"/>
      <protection locked="false" hidden="false"/>
    </xf>
    <xf numFmtId="202" fontId="102" fillId="6" borderId="99" xfId="0" applyFont="true" applyBorder="true" applyAlignment="true" applyProtection="false">
      <alignment horizontal="center" vertical="center" textRotation="0" wrapText="false" indent="0" shrinkToFit="false"/>
      <protection locked="true" hidden="false"/>
    </xf>
    <xf numFmtId="164" fontId="113" fillId="0" borderId="0" xfId="0" applyFont="true" applyBorder="false" applyAlignment="true" applyProtection="false">
      <alignment horizontal="right" vertical="center" textRotation="0" wrapText="true" indent="1" shrinkToFit="false"/>
      <protection locked="true" hidden="false"/>
    </xf>
    <xf numFmtId="164" fontId="113" fillId="0" borderId="99" xfId="0" applyFont="true" applyBorder="true" applyAlignment="true" applyProtection="false">
      <alignment horizontal="right" vertical="center" textRotation="0" wrapText="false" indent="1" shrinkToFit="false"/>
      <protection locked="true" hidden="false"/>
    </xf>
    <xf numFmtId="164" fontId="113" fillId="0" borderId="99" xfId="0" applyFont="true" applyBorder="true" applyAlignment="true" applyProtection="false">
      <alignment horizontal="right" vertical="center" textRotation="0" wrapText="true" indent="1" shrinkToFit="false"/>
      <protection locked="true" hidden="false"/>
    </xf>
    <xf numFmtId="164" fontId="106" fillId="13" borderId="126" xfId="0" applyFont="true" applyBorder="true" applyAlignment="true" applyProtection="true">
      <alignment horizontal="left" vertical="center" textRotation="0" wrapText="false" indent="0" shrinkToFit="false"/>
      <protection locked="false" hidden="false"/>
    </xf>
    <xf numFmtId="164" fontId="105" fillId="13" borderId="0" xfId="0" applyFont="true" applyBorder="false" applyAlignment="true" applyProtection="false">
      <alignment horizontal="general" vertical="center" textRotation="0" wrapText="false" indent="0" shrinkToFit="false"/>
      <protection locked="true" hidden="false"/>
    </xf>
    <xf numFmtId="172" fontId="106" fillId="13" borderId="102" xfId="36" applyFont="true" applyBorder="true" applyAlignment="true" applyProtection="true">
      <alignment horizontal="center" vertical="center" textRotation="0" wrapText="false" indent="0" shrinkToFit="false"/>
      <protection locked="true" hidden="false"/>
    </xf>
    <xf numFmtId="181" fontId="106" fillId="13" borderId="99" xfId="0" applyFont="true" applyBorder="true" applyAlignment="true" applyProtection="false">
      <alignment horizontal="center" vertical="center" textRotation="0" wrapText="false" indent="0" shrinkToFit="false"/>
      <protection locked="true" hidden="false"/>
    </xf>
    <xf numFmtId="207" fontId="106" fillId="13" borderId="99" xfId="0" applyFont="true" applyBorder="true" applyAlignment="true" applyProtection="false">
      <alignment horizontal="center" vertical="center" textRotation="0" wrapText="false" indent="0" shrinkToFit="false"/>
      <protection locked="true" hidden="false"/>
    </xf>
    <xf numFmtId="172" fontId="106" fillId="13" borderId="99" xfId="36" applyFont="true" applyBorder="true" applyAlignment="true" applyProtection="true">
      <alignment horizontal="center" vertical="center" textRotation="0" wrapText="false" indent="0" shrinkToFit="false"/>
      <protection locked="true" hidden="false"/>
    </xf>
    <xf numFmtId="168" fontId="106" fillId="13" borderId="99" xfId="0" applyFont="true" applyBorder="true" applyAlignment="true" applyProtection="false">
      <alignment horizontal="center" vertical="center" textRotation="0" wrapText="false" indent="0" shrinkToFit="false"/>
      <protection locked="true" hidden="false"/>
    </xf>
    <xf numFmtId="164" fontId="97" fillId="6" borderId="126" xfId="0" applyFont="true" applyBorder="true" applyAlignment="true" applyProtection="true">
      <alignment horizontal="left" vertical="center" textRotation="0" wrapText="false" indent="0" shrinkToFit="false"/>
      <protection locked="false" hidden="false"/>
    </xf>
    <xf numFmtId="207" fontId="97" fillId="6" borderId="99" xfId="0" applyFont="true" applyBorder="true" applyAlignment="true" applyProtection="false">
      <alignment horizontal="center" vertical="center" textRotation="0" wrapText="false" indent="0" shrinkToFit="false"/>
      <protection locked="true" hidden="false"/>
    </xf>
    <xf numFmtId="172" fontId="97" fillId="0" borderId="102" xfId="36" applyFont="true" applyBorder="true" applyAlignment="true" applyProtection="true">
      <alignment horizontal="center" vertical="center" textRotation="0" wrapText="false" indent="0" shrinkToFit="false"/>
      <protection locked="true" hidden="false"/>
    </xf>
    <xf numFmtId="164" fontId="99" fillId="0" borderId="0" xfId="0" applyFont="true" applyBorder="false" applyAlignment="true" applyProtection="false">
      <alignment horizontal="general" vertical="center" textRotation="0" wrapText="true" indent="0" shrinkToFit="false"/>
      <protection locked="true" hidden="false"/>
    </xf>
    <xf numFmtId="164" fontId="97" fillId="6" borderId="0" xfId="0" applyFont="true" applyBorder="false" applyAlignment="true" applyProtection="false">
      <alignment horizontal="left" vertical="center" textRotation="0" wrapText="false" indent="0" shrinkToFit="false"/>
      <protection locked="true" hidden="false"/>
    </xf>
    <xf numFmtId="164" fontId="117" fillId="6" borderId="0" xfId="0" applyFont="true" applyBorder="false" applyAlignment="true" applyProtection="false">
      <alignment horizontal="center" vertical="center" textRotation="0" wrapText="false" indent="0" shrinkToFit="false"/>
      <protection locked="true" hidden="false"/>
    </xf>
    <xf numFmtId="164" fontId="117" fillId="6"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91" fontId="0" fillId="0" borderId="0" xfId="0" applyFont="false" applyBorder="false" applyAlignment="true" applyProtection="false">
      <alignment horizontal="general" vertical="center" textRotation="0" wrapText="false" indent="0" shrinkToFit="false"/>
      <protection locked="true" hidden="false"/>
    </xf>
    <xf numFmtId="204" fontId="118" fillId="6" borderId="99" xfId="0" applyFont="true" applyBorder="true" applyAlignment="true" applyProtection="false">
      <alignment horizontal="center" vertical="center" textRotation="0" wrapText="false" indent="0" shrinkToFit="false"/>
      <protection locked="true" hidden="false"/>
    </xf>
    <xf numFmtId="164" fontId="97" fillId="6" borderId="127" xfId="0" applyFont="true" applyBorder="true" applyAlignment="true" applyProtection="true">
      <alignment horizontal="left" vertical="center" textRotation="0" wrapText="false" indent="0" shrinkToFit="false"/>
      <protection locked="false" hidden="false"/>
    </xf>
    <xf numFmtId="164" fontId="97" fillId="0" borderId="1" xfId="0" applyFont="true" applyBorder="true" applyAlignment="true" applyProtection="false">
      <alignment horizontal="general" vertical="center" textRotation="0" wrapText="false" indent="0" shrinkToFit="false"/>
      <protection locked="true" hidden="false"/>
    </xf>
    <xf numFmtId="164" fontId="105" fillId="0" borderId="1" xfId="0" applyFont="true" applyBorder="true" applyAlignment="true" applyProtection="false">
      <alignment horizontal="general" vertical="center" textRotation="0" wrapText="false" indent="0" shrinkToFit="false"/>
      <protection locked="true" hidden="false"/>
    </xf>
    <xf numFmtId="164" fontId="97" fillId="6" borderId="1" xfId="0" applyFont="true" applyBorder="true" applyAlignment="true" applyProtection="false">
      <alignment horizontal="general" vertical="center" textRotation="0" wrapText="false" indent="0" shrinkToFit="false"/>
      <protection locked="true" hidden="false"/>
    </xf>
    <xf numFmtId="164" fontId="97" fillId="6" borderId="105" xfId="0" applyFont="true" applyBorder="true" applyAlignment="true" applyProtection="false">
      <alignment horizontal="center" vertical="center" textRotation="0" wrapText="false" indent="0" shrinkToFit="false"/>
      <protection locked="true" hidden="false"/>
    </xf>
    <xf numFmtId="164" fontId="97" fillId="6" borderId="1" xfId="0" applyFont="true" applyBorder="true" applyAlignment="true" applyProtection="false">
      <alignment horizontal="center" vertical="center" textRotation="0" wrapText="false" indent="0" shrinkToFit="false"/>
      <protection locked="true" hidden="false"/>
    </xf>
    <xf numFmtId="184" fontId="101" fillId="19" borderId="113" xfId="19" applyFont="true" applyBorder="true" applyAlignment="true" applyProtection="true">
      <alignment horizontal="center" vertical="center" textRotation="0" wrapText="false" indent="0" shrinkToFit="false"/>
      <protection locked="false" hidden="false"/>
    </xf>
    <xf numFmtId="174" fontId="100" fillId="0" borderId="125" xfId="36" applyFont="true" applyBorder="true" applyAlignment="true" applyProtection="true">
      <alignment horizontal="right" vertical="center" textRotation="0" wrapText="false" indent="0" shrinkToFit="false"/>
      <protection locked="true" hidden="false"/>
    </xf>
    <xf numFmtId="168" fontId="97" fillId="6" borderId="128" xfId="0" applyFont="true" applyBorder="true" applyAlignment="true" applyProtection="true">
      <alignment horizontal="center" vertical="center" textRotation="0" wrapText="false" indent="0" shrinkToFit="false"/>
      <protection locked="false" hidden="false"/>
    </xf>
    <xf numFmtId="191" fontId="97" fillId="6" borderId="125" xfId="0" applyFont="true" applyBorder="true" applyAlignment="true" applyProtection="false">
      <alignment horizontal="center" vertical="center" textRotation="0" wrapText="false" indent="0" shrinkToFit="false"/>
      <protection locked="true" hidden="false"/>
    </xf>
    <xf numFmtId="200" fontId="100" fillId="0" borderId="105" xfId="36" applyFont="true" applyBorder="true" applyAlignment="true" applyProtection="true">
      <alignment horizontal="right" vertical="center" textRotation="0" wrapText="false" indent="0" shrinkToFit="false"/>
      <protection locked="true" hidden="false"/>
    </xf>
    <xf numFmtId="207" fontId="97" fillId="6" borderId="105" xfId="0" applyFont="true" applyBorder="true" applyAlignment="true" applyProtection="false">
      <alignment horizontal="center" vertical="center" textRotation="0" wrapText="false" indent="0" shrinkToFit="false"/>
      <protection locked="true" hidden="false"/>
    </xf>
    <xf numFmtId="164" fontId="101" fillId="6" borderId="105" xfId="0" applyFont="true" applyBorder="true" applyAlignment="true" applyProtection="false">
      <alignment horizontal="general" vertical="center" textRotation="0" wrapText="false" indent="0" shrinkToFit="false"/>
      <protection locked="true" hidden="false"/>
    </xf>
    <xf numFmtId="172" fontId="97" fillId="6" borderId="105" xfId="36" applyFont="true" applyBorder="true" applyAlignment="true" applyProtection="true">
      <alignment horizontal="right" vertical="center" textRotation="0" wrapText="false" indent="1" shrinkToFit="false"/>
      <protection locked="true" hidden="false"/>
    </xf>
    <xf numFmtId="172" fontId="97" fillId="6" borderId="105" xfId="15" applyFont="true" applyBorder="true" applyAlignment="true" applyProtection="true">
      <alignment horizontal="center" vertical="center" textRotation="0" wrapText="false" indent="0" shrinkToFit="false"/>
      <protection locked="true" hidden="false"/>
    </xf>
    <xf numFmtId="164" fontId="97" fillId="6" borderId="105" xfId="0" applyFont="true" applyBorder="true" applyAlignment="true" applyProtection="false">
      <alignment horizontal="left" vertical="center" textRotation="0" wrapText="false" indent="0" shrinkToFit="false"/>
      <protection locked="true" hidden="false"/>
    </xf>
    <xf numFmtId="164" fontId="97" fillId="4" borderId="105" xfId="0" applyFont="true" applyBorder="true" applyAlignment="true" applyProtection="false">
      <alignment horizontal="center" vertical="center" textRotation="0" wrapText="false" indent="0" shrinkToFit="false"/>
      <protection locked="true" hidden="false"/>
    </xf>
    <xf numFmtId="206" fontId="97" fillId="0" borderId="105" xfId="0" applyFont="true" applyBorder="true" applyAlignment="true" applyProtection="false">
      <alignment horizontal="right" vertical="center" textRotation="0" wrapText="false" indent="1" shrinkToFit="false"/>
      <protection locked="true" hidden="false"/>
    </xf>
    <xf numFmtId="206" fontId="97" fillId="0" borderId="105" xfId="0" applyFont="true" applyBorder="true" applyAlignment="true" applyProtection="false">
      <alignment horizontal="center" vertical="center" textRotation="0" wrapText="false" indent="0" shrinkToFit="false"/>
      <protection locked="true" hidden="false"/>
    </xf>
    <xf numFmtId="199" fontId="101" fillId="6" borderId="105" xfId="0" applyFont="true" applyBorder="true" applyAlignment="true" applyProtection="false">
      <alignment horizontal="center" vertical="center" textRotation="0" wrapText="false" indent="0" shrinkToFit="false"/>
      <protection locked="true" hidden="false"/>
    </xf>
    <xf numFmtId="203" fontId="97" fillId="6" borderId="113" xfId="0" applyFont="true" applyBorder="true" applyAlignment="true" applyProtection="false">
      <alignment horizontal="center" vertical="center" textRotation="0" wrapText="false" indent="0" shrinkToFit="false"/>
      <protection locked="true" hidden="false"/>
    </xf>
    <xf numFmtId="179" fontId="100" fillId="6" borderId="105" xfId="0" applyFont="true" applyBorder="true" applyAlignment="true" applyProtection="false">
      <alignment horizontal="center" vertical="center" textRotation="0" wrapText="false" indent="0" shrinkToFit="false"/>
      <protection locked="true" hidden="false"/>
    </xf>
    <xf numFmtId="204" fontId="97" fillId="6" borderId="105" xfId="0" applyFont="true" applyBorder="true" applyAlignment="true" applyProtection="false">
      <alignment horizontal="center" vertical="center" textRotation="0" wrapText="false" indent="0" shrinkToFit="false"/>
      <protection locked="true" hidden="false"/>
    </xf>
    <xf numFmtId="172" fontId="97" fillId="6" borderId="105" xfId="0" applyFont="true" applyBorder="true" applyAlignment="true" applyProtection="false">
      <alignment horizontal="center" vertical="center" textRotation="0" wrapText="false" indent="0" shrinkToFit="false"/>
      <protection locked="true" hidden="false"/>
    </xf>
    <xf numFmtId="179" fontId="99" fillId="6" borderId="105" xfId="0" applyFont="true" applyBorder="true" applyAlignment="true" applyProtection="false">
      <alignment horizontal="left" vertical="center" textRotation="0" wrapText="false" indent="0" shrinkToFit="false"/>
      <protection locked="true" hidden="false"/>
    </xf>
    <xf numFmtId="191" fontId="23" fillId="18" borderId="7" xfId="0" applyFont="true" applyBorder="true" applyAlignment="true" applyProtection="false">
      <alignment horizontal="center" vertical="center" textRotation="0" wrapText="true" indent="0" shrinkToFit="false"/>
      <protection locked="true" hidden="false"/>
    </xf>
    <xf numFmtId="164" fontId="101" fillId="6" borderId="129" xfId="0" applyFont="true" applyBorder="true" applyAlignment="true" applyProtection="true">
      <alignment horizontal="left" vertical="center" textRotation="0" wrapText="false" indent="0" shrinkToFit="false"/>
      <protection locked="false" hidden="false"/>
    </xf>
    <xf numFmtId="184" fontId="101" fillId="6" borderId="130" xfId="19" applyFont="true" applyBorder="true" applyAlignment="true" applyProtection="true">
      <alignment horizontal="center" vertical="center" textRotation="0" wrapText="false" indent="0" shrinkToFit="false"/>
      <protection locked="false" hidden="false"/>
    </xf>
    <xf numFmtId="184" fontId="101" fillId="6" borderId="110" xfId="19" applyFont="true" applyBorder="true" applyAlignment="true" applyProtection="true">
      <alignment horizontal="center" vertical="center" textRotation="0" wrapText="false" indent="0" shrinkToFit="false"/>
      <protection locked="true" hidden="false"/>
    </xf>
    <xf numFmtId="174" fontId="99" fillId="0" borderId="1" xfId="36" applyFont="true" applyBorder="true" applyAlignment="true" applyProtection="true">
      <alignment horizontal="right" vertical="center" textRotation="0" wrapText="false" indent="0" shrinkToFit="false"/>
      <protection locked="true" hidden="false"/>
    </xf>
    <xf numFmtId="164" fontId="101" fillId="0" borderId="105" xfId="0" applyFont="true" applyBorder="true" applyAlignment="true" applyProtection="false">
      <alignment horizontal="center" vertical="center" textRotation="0" wrapText="false" indent="0" shrinkToFit="false"/>
      <protection locked="true" hidden="false"/>
    </xf>
    <xf numFmtId="164" fontId="101" fillId="0" borderId="105" xfId="0" applyFont="true" applyBorder="true" applyAlignment="true" applyProtection="false">
      <alignment horizontal="right" vertical="center" textRotation="0" wrapText="false" indent="1" shrinkToFit="false"/>
      <protection locked="true" hidden="false"/>
    </xf>
    <xf numFmtId="172" fontId="101" fillId="6" borderId="105" xfId="36" applyFont="true" applyBorder="true" applyAlignment="true" applyProtection="true">
      <alignment horizontal="center" vertical="center" textRotation="0" wrapText="false" indent="0" shrinkToFit="false"/>
      <protection locked="true" hidden="false"/>
    </xf>
    <xf numFmtId="168" fontId="99" fillId="6" borderId="105" xfId="0" applyFont="true" applyBorder="true" applyAlignment="true" applyProtection="false">
      <alignment horizontal="center" vertical="center" textRotation="0" wrapText="false" indent="0" shrinkToFit="false"/>
      <protection locked="true" hidden="false"/>
    </xf>
    <xf numFmtId="191" fontId="24" fillId="18" borderId="2" xfId="0" applyFont="true" applyBorder="true" applyAlignment="true" applyProtection="false">
      <alignment horizontal="center" vertical="center" textRotation="0" wrapText="true" indent="0" shrinkToFit="false"/>
      <protection locked="true" hidden="false"/>
    </xf>
    <xf numFmtId="168" fontId="100" fillId="6" borderId="99" xfId="0" applyFont="true" applyBorder="true" applyAlignment="true" applyProtection="false">
      <alignment horizontal="center" vertical="center" textRotation="0" wrapText="false" indent="0" shrinkToFit="false"/>
      <protection locked="true" hidden="false"/>
    </xf>
    <xf numFmtId="164" fontId="112" fillId="19" borderId="129" xfId="0" applyFont="true" applyBorder="true" applyAlignment="true" applyProtection="true">
      <alignment horizontal="left" vertical="center" textRotation="0" wrapText="false" indent="0" shrinkToFit="false"/>
      <protection locked="false" hidden="false"/>
    </xf>
    <xf numFmtId="164" fontId="100" fillId="0" borderId="1" xfId="0" applyFont="true" applyBorder="true" applyAlignment="true" applyProtection="false">
      <alignment horizontal="general" vertical="center" textRotation="0" wrapText="false" indent="0" shrinkToFit="false"/>
      <protection locked="true" hidden="false"/>
    </xf>
    <xf numFmtId="164" fontId="104" fillId="0" borderId="1" xfId="0" applyFont="true" applyBorder="true" applyAlignment="true" applyProtection="false">
      <alignment horizontal="general" vertical="center" textRotation="0" wrapText="false" indent="0" shrinkToFit="false"/>
      <protection locked="true" hidden="false"/>
    </xf>
    <xf numFmtId="191" fontId="97" fillId="0" borderId="125" xfId="0" applyFont="true" applyBorder="true" applyAlignment="true" applyProtection="false">
      <alignment horizontal="center" vertical="center" textRotation="0" wrapText="false" indent="0" shrinkToFit="false"/>
      <protection locked="true" hidden="false"/>
    </xf>
    <xf numFmtId="181" fontId="97" fillId="6" borderId="105" xfId="0" applyFont="true" applyBorder="true" applyAlignment="true" applyProtection="false">
      <alignment horizontal="center" vertical="center" textRotation="0" wrapText="false" indent="0" shrinkToFit="false"/>
      <protection locked="true" hidden="false"/>
    </xf>
    <xf numFmtId="172" fontId="97" fillId="6" borderId="105" xfId="15" applyFont="true" applyBorder="true" applyAlignment="true" applyProtection="true">
      <alignment horizontal="left" vertical="center" textRotation="0" wrapText="false" indent="0" shrinkToFit="false"/>
      <protection locked="true" hidden="false"/>
    </xf>
    <xf numFmtId="164" fontId="97" fillId="0" borderId="105" xfId="0" applyFont="true" applyBorder="true" applyAlignment="true" applyProtection="false">
      <alignment horizontal="center" vertical="center" textRotation="0" wrapText="false" indent="0" shrinkToFit="false"/>
      <protection locked="true" hidden="false"/>
    </xf>
    <xf numFmtId="203" fontId="97" fillId="6" borderId="131" xfId="0" applyFont="true" applyBorder="true" applyAlignment="true" applyProtection="false">
      <alignment horizontal="center" vertical="center" textRotation="0" wrapText="false" indent="0" shrinkToFit="false"/>
      <protection locked="true" hidden="false"/>
    </xf>
    <xf numFmtId="204" fontId="97" fillId="6" borderId="128" xfId="0" applyFont="true" applyBorder="true" applyAlignment="true" applyProtection="false">
      <alignment horizontal="center" vertical="center" textRotation="0" wrapText="false" indent="0" shrinkToFit="false"/>
      <protection locked="true" hidden="false"/>
    </xf>
    <xf numFmtId="164" fontId="97" fillId="0" borderId="129" xfId="0" applyFont="true" applyBorder="true" applyAlignment="true" applyProtection="true">
      <alignment horizontal="left" vertical="center" textRotation="0" wrapText="false" indent="0" shrinkToFit="false"/>
      <protection locked="false" hidden="false"/>
    </xf>
    <xf numFmtId="164" fontId="117" fillId="6" borderId="1" xfId="0" applyFont="true" applyBorder="true" applyAlignment="true" applyProtection="false">
      <alignment horizontal="center" vertical="center" textRotation="0" wrapText="false" indent="0" shrinkToFit="false"/>
      <protection locked="true" hidden="false"/>
    </xf>
    <xf numFmtId="172" fontId="97" fillId="0" borderId="128" xfId="36" applyFont="true" applyBorder="true" applyAlignment="true" applyProtection="true">
      <alignment horizontal="center" vertical="center" textRotation="0" wrapText="false" indent="0" shrinkToFit="false"/>
      <protection locked="true" hidden="false"/>
    </xf>
    <xf numFmtId="164" fontId="97" fillId="0" borderId="105" xfId="0" applyFont="true" applyBorder="true" applyAlignment="true" applyProtection="false">
      <alignment horizontal="right" vertical="center" textRotation="0" wrapText="false" indent="1" shrinkToFit="false"/>
      <protection locked="true" hidden="false"/>
    </xf>
    <xf numFmtId="174" fontId="102" fillId="0" borderId="101" xfId="36" applyFont="true" applyBorder="true" applyAlignment="true" applyProtection="true">
      <alignment horizontal="right" vertical="center" textRotation="0" wrapText="false" indent="0" shrinkToFit="false"/>
      <protection locked="true" hidden="false"/>
    </xf>
    <xf numFmtId="172" fontId="102" fillId="0" borderId="102" xfId="36" applyFont="true" applyBorder="true" applyAlignment="true" applyProtection="true">
      <alignment horizontal="center" vertical="center" textRotation="0" wrapText="false" indent="0" shrinkToFit="false"/>
      <protection locked="true" hidden="false"/>
    </xf>
    <xf numFmtId="164" fontId="97" fillId="6" borderId="129" xfId="0" applyFont="true" applyBorder="true" applyAlignment="true" applyProtection="true">
      <alignment horizontal="left" vertical="center" textRotation="0" wrapText="false" indent="0" shrinkToFit="false"/>
      <protection locked="false" hidden="false"/>
    </xf>
    <xf numFmtId="164" fontId="97" fillId="6" borderId="0" xfId="0" applyFont="true" applyBorder="false" applyAlignment="true" applyProtection="false">
      <alignment horizontal="center" vertical="center" textRotation="0" wrapText="true" indent="0" shrinkToFit="false"/>
      <protection locked="true" hidden="false"/>
    </xf>
    <xf numFmtId="164" fontId="106" fillId="13" borderId="126" xfId="0" applyFont="true" applyBorder="true" applyAlignment="true" applyProtection="true">
      <alignment horizontal="left" vertical="center" textRotation="0" wrapText="true" indent="0" shrinkToFit="false"/>
      <protection locked="false" hidden="false"/>
    </xf>
    <xf numFmtId="202" fontId="106" fillId="13" borderId="99" xfId="0" applyFont="true" applyBorder="true" applyAlignment="true" applyProtection="false">
      <alignment horizontal="right" vertical="center" textRotation="0" wrapText="false" indent="1" shrinkToFit="false"/>
      <protection locked="true" hidden="false"/>
    </xf>
    <xf numFmtId="164" fontId="117" fillId="6" borderId="0" xfId="0" applyFont="true" applyBorder="false" applyAlignment="true" applyProtection="false">
      <alignment horizontal="general" vertical="center" textRotation="0" wrapText="false" indent="0" shrinkToFit="false"/>
      <protection locked="true" hidden="false"/>
    </xf>
    <xf numFmtId="164" fontId="120" fillId="13" borderId="0" xfId="0" applyFont="true" applyBorder="false" applyAlignment="true" applyProtection="false">
      <alignment horizontal="general" vertical="center" textRotation="0" wrapText="false" indent="0" shrinkToFit="false"/>
      <protection locked="true" hidden="false"/>
    </xf>
    <xf numFmtId="164" fontId="104" fillId="0" borderId="0" xfId="0" applyFont="true" applyBorder="false" applyAlignment="true" applyProtection="false">
      <alignment horizontal="general" vertical="center" textRotation="0" wrapText="true" indent="0" shrinkToFit="false"/>
      <protection locked="true" hidden="false"/>
    </xf>
    <xf numFmtId="174" fontId="99" fillId="0" borderId="114" xfId="36" applyFont="true" applyBorder="true" applyAlignment="true" applyProtection="true">
      <alignment horizontal="right" vertical="center" textRotation="0" wrapText="false" indent="0" shrinkToFit="false"/>
      <protection locked="true" hidden="false"/>
    </xf>
    <xf numFmtId="172" fontId="101" fillId="0" borderId="115" xfId="36" applyFont="true" applyBorder="true" applyAlignment="true" applyProtection="true">
      <alignment horizontal="center" vertical="center" textRotation="0" wrapText="false" indent="0" shrinkToFit="false"/>
      <protection locked="true" hidden="false"/>
    </xf>
    <xf numFmtId="191" fontId="101" fillId="0" borderId="114" xfId="0" applyFont="true" applyBorder="true" applyAlignment="true" applyProtection="false">
      <alignment horizontal="center" vertical="center" textRotation="0" wrapText="false" indent="0" shrinkToFit="false"/>
      <protection locked="true" hidden="false"/>
    </xf>
    <xf numFmtId="207" fontId="101" fillId="6" borderId="110" xfId="0" applyFont="true" applyBorder="true" applyAlignment="true" applyProtection="false">
      <alignment horizontal="center" vertical="center" textRotation="0" wrapText="false" indent="0" shrinkToFit="false"/>
      <protection locked="true" hidden="false"/>
    </xf>
    <xf numFmtId="172" fontId="101" fillId="6" borderId="110" xfId="15" applyFont="true" applyBorder="true" applyAlignment="true" applyProtection="true">
      <alignment horizontal="left" vertical="center" textRotation="0" wrapText="false" indent="0" shrinkToFit="false"/>
      <protection locked="true" hidden="false"/>
    </xf>
    <xf numFmtId="164" fontId="101" fillId="0" borderId="110" xfId="0" applyFont="true" applyBorder="true" applyAlignment="true" applyProtection="false">
      <alignment horizontal="center" vertical="center" textRotation="0" wrapText="false" indent="0" shrinkToFit="false"/>
      <protection locked="true" hidden="false"/>
    </xf>
    <xf numFmtId="172" fontId="101" fillId="6" borderId="110" xfId="36" applyFont="true" applyBorder="true" applyAlignment="true" applyProtection="true">
      <alignment horizontal="center" vertical="center" textRotation="0" wrapText="false" indent="0" shrinkToFit="false"/>
      <protection locked="true" hidden="false"/>
    </xf>
    <xf numFmtId="168" fontId="99" fillId="6" borderId="110" xfId="0" applyFont="true" applyBorder="true" applyAlignment="true" applyProtection="false">
      <alignment horizontal="center" vertical="center" textRotation="0" wrapText="false" indent="0" shrinkToFit="false"/>
      <protection locked="true" hidden="false"/>
    </xf>
    <xf numFmtId="179" fontId="99" fillId="6" borderId="110" xfId="0" applyFont="true" applyBorder="true" applyAlignment="true" applyProtection="false">
      <alignment horizontal="left" vertical="center" textRotation="0" wrapText="false" indent="0" shrinkToFit="false"/>
      <protection locked="true" hidden="false"/>
    </xf>
    <xf numFmtId="164" fontId="121" fillId="0" borderId="0" xfId="0" applyFont="true" applyBorder="false" applyAlignment="true" applyProtection="false">
      <alignment horizontal="center" vertical="center" textRotation="0" wrapText="false" indent="0" shrinkToFit="false"/>
      <protection locked="true" hidden="false"/>
    </xf>
    <xf numFmtId="199" fontId="121" fillId="4" borderId="0" xfId="0" applyFont="true" applyBorder="false" applyAlignment="true" applyProtection="true">
      <alignment horizontal="center" vertical="center" textRotation="0" wrapText="false" indent="0" shrinkToFit="false"/>
      <protection locked="false" hidden="false"/>
    </xf>
    <xf numFmtId="184" fontId="0" fillId="0" borderId="0" xfId="0" applyFont="true" applyBorder="false" applyAlignment="true" applyProtection="false">
      <alignment horizontal="center" vertical="center" textRotation="0" wrapText="false" indent="0" shrinkToFit="false"/>
      <protection locked="true" hidden="false"/>
    </xf>
    <xf numFmtId="168" fontId="0" fillId="0" borderId="0" xfId="0" applyFont="true" applyBorder="false" applyAlignment="true" applyProtection="false">
      <alignment horizontal="right" vertical="center" textRotation="0" wrapText="false" indent="0" shrinkToFit="false"/>
      <protection locked="true" hidden="false"/>
    </xf>
    <xf numFmtId="172" fontId="101" fillId="0" borderId="0" xfId="36" applyFont="true" applyBorder="true" applyAlignment="true" applyProtection="true">
      <alignment horizontal="center" vertical="center" textRotation="0" wrapText="false" indent="0" shrinkToFit="false"/>
      <protection locked="true" hidden="false"/>
    </xf>
    <xf numFmtId="191" fontId="101" fillId="0"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1"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72" fontId="0" fillId="0" borderId="0" xfId="36" applyFont="true" applyBorder="true" applyAlignment="true" applyProtection="true">
      <alignment horizontal="right" vertical="center" textRotation="0" wrapText="false" indent="0" shrinkToFit="false"/>
      <protection locked="true" hidden="false"/>
    </xf>
    <xf numFmtId="164" fontId="101" fillId="0" borderId="9" xfId="0" applyFont="true" applyBorder="true" applyAlignment="true" applyProtection="false">
      <alignment horizontal="center" vertical="center" textRotation="0" wrapText="false" indent="0" shrinkToFit="false"/>
      <protection locked="true" hidden="false"/>
    </xf>
    <xf numFmtId="164" fontId="101" fillId="0" borderId="0" xfId="0" applyFont="true" applyBorder="false" applyAlignment="true" applyProtection="false">
      <alignment horizontal="center" vertical="center" textRotation="0" wrapText="false" indent="0" shrinkToFit="false"/>
      <protection locked="true" hidden="false"/>
    </xf>
    <xf numFmtId="172" fontId="0" fillId="0" borderId="0" xfId="36" applyFont="true" applyBorder="true" applyAlignment="true" applyProtection="true">
      <alignment horizontal="left" vertical="center" textRotation="0" wrapText="false" indent="0" shrinkToFit="false"/>
      <protection locked="true" hidden="false"/>
    </xf>
    <xf numFmtId="164" fontId="105" fillId="0" borderId="0" xfId="0" applyFont="true" applyBorder="false" applyAlignment="true" applyProtection="false">
      <alignment horizontal="general" vertical="center" textRotation="0" wrapText="true" indent="0" shrinkToFit="false"/>
      <protection locked="true" hidden="false"/>
    </xf>
    <xf numFmtId="184" fontId="58" fillId="0" borderId="0" xfId="0" applyFont="true" applyBorder="false" applyAlignment="true" applyProtection="false">
      <alignment horizontal="center" vertical="center" textRotation="0" wrapText="false" indent="0" shrinkToFit="false"/>
      <protection locked="true" hidden="false"/>
    </xf>
    <xf numFmtId="164" fontId="58" fillId="0" borderId="0" xfId="0" applyFont="true" applyBorder="false" applyAlignment="true" applyProtection="false">
      <alignment horizontal="left" vertical="center" textRotation="0" wrapText="false" indent="0" shrinkToFit="false"/>
      <protection locked="true" hidden="false"/>
    </xf>
    <xf numFmtId="164" fontId="58" fillId="0" borderId="0" xfId="0" applyFont="true" applyBorder="false" applyAlignment="true" applyProtection="false">
      <alignment horizontal="right" vertical="center" textRotation="0" wrapText="false" indent="0" shrinkToFit="false"/>
      <protection locked="true" hidden="false"/>
    </xf>
    <xf numFmtId="191" fontId="58" fillId="0" borderId="0" xfId="0" applyFont="true" applyBorder="false" applyAlignment="true" applyProtection="false">
      <alignment horizontal="center" vertical="center" textRotation="0" wrapText="false" indent="0" shrinkToFit="false"/>
      <protection locked="true" hidden="false"/>
    </xf>
    <xf numFmtId="181" fontId="89" fillId="0" borderId="9" xfId="0" applyFont="true" applyBorder="true" applyAlignment="true" applyProtection="false">
      <alignment horizontal="center" vertical="center" textRotation="0" wrapText="false" indent="0" shrinkToFit="false"/>
      <protection locked="true" hidden="false"/>
    </xf>
    <xf numFmtId="181" fontId="89" fillId="0" borderId="0" xfId="0" applyFont="true" applyBorder="false" applyAlignment="true" applyProtection="false">
      <alignment horizontal="center" vertical="center" textRotation="0" wrapText="false" indent="0" shrinkToFit="false"/>
      <protection locked="true" hidden="false"/>
    </xf>
    <xf numFmtId="164" fontId="89" fillId="0" borderId="0" xfId="0" applyFont="true" applyBorder="false" applyAlignment="true" applyProtection="true">
      <alignment horizontal="center" vertical="center" textRotation="0" wrapText="false" indent="0" shrinkToFit="false"/>
      <protection locked="false" hidden="false"/>
    </xf>
    <xf numFmtId="164" fontId="5" fillId="6" borderId="0" xfId="32" applyFont="true" applyBorder="false" applyAlignment="true" applyProtection="false">
      <alignment horizontal="general" vertical="center" textRotation="0" wrapText="false" indent="0" shrinkToFit="false"/>
      <protection locked="true" hidden="false"/>
    </xf>
    <xf numFmtId="164" fontId="5" fillId="6" borderId="0" xfId="32" applyFont="true" applyBorder="false" applyAlignment="true" applyProtection="false">
      <alignment horizontal="center" vertical="center" textRotation="0" wrapText="false" indent="0" shrinkToFit="false"/>
      <protection locked="true" hidden="false"/>
    </xf>
    <xf numFmtId="164" fontId="123" fillId="6" borderId="0" xfId="32" applyFont="true" applyBorder="false" applyAlignment="true" applyProtection="false">
      <alignment horizontal="general" vertical="center" textRotation="0" wrapText="false" indent="0" shrinkToFit="false"/>
      <protection locked="true" hidden="false"/>
    </xf>
    <xf numFmtId="164" fontId="124" fillId="6" borderId="132" xfId="32" applyFont="true" applyBorder="true" applyAlignment="true" applyProtection="false">
      <alignment horizontal="center" vertical="center" textRotation="0" wrapText="false" indent="0" shrinkToFit="false"/>
      <protection locked="true" hidden="false"/>
    </xf>
    <xf numFmtId="164" fontId="123" fillId="6" borderId="0" xfId="32" applyFont="true" applyBorder="false" applyAlignment="true" applyProtection="false">
      <alignment horizontal="center" vertical="center" textRotation="0" wrapText="false" indent="0" shrinkToFit="false"/>
      <protection locked="true" hidden="false"/>
    </xf>
    <xf numFmtId="164" fontId="125" fillId="6" borderId="0" xfId="32" applyFont="true" applyBorder="false" applyAlignment="true" applyProtection="false">
      <alignment horizontal="right" vertical="bottom" textRotation="0" wrapText="false" indent="0" shrinkToFit="false"/>
      <protection locked="true" hidden="false"/>
    </xf>
    <xf numFmtId="166" fontId="123" fillId="6" borderId="0" xfId="32" applyFont="true" applyBorder="false" applyAlignment="true" applyProtection="false">
      <alignment horizontal="general" vertical="center" textRotation="0" wrapText="false" indent="0" shrinkToFit="false"/>
      <protection locked="true" hidden="false"/>
    </xf>
    <xf numFmtId="165" fontId="123" fillId="6" borderId="0" xfId="32" applyFont="true" applyBorder="false" applyAlignment="true" applyProtection="false">
      <alignment horizontal="general" vertical="center" textRotation="0" wrapText="false" indent="0" shrinkToFit="false"/>
      <protection locked="true" hidden="false"/>
    </xf>
    <xf numFmtId="179" fontId="123" fillId="6" borderId="0" xfId="32" applyFont="true" applyBorder="false" applyAlignment="true" applyProtection="false">
      <alignment horizontal="general" vertical="center" textRotation="0" wrapText="false" indent="0" shrinkToFit="false"/>
      <protection locked="true" hidden="false"/>
    </xf>
    <xf numFmtId="164" fontId="126" fillId="6" borderId="0" xfId="32" applyFont="true" applyBorder="false" applyAlignment="true" applyProtection="false">
      <alignment horizontal="right" vertical="center" textRotation="0" wrapText="false" indent="0" shrinkToFit="false"/>
      <protection locked="true" hidden="false"/>
    </xf>
    <xf numFmtId="164" fontId="123" fillId="6" borderId="0" xfId="32" applyFont="true" applyBorder="true" applyAlignment="true" applyProtection="false">
      <alignment horizontal="general" vertical="center" textRotation="0" wrapText="false" indent="0" shrinkToFit="false"/>
      <protection locked="true" hidden="false"/>
    </xf>
    <xf numFmtId="164" fontId="22" fillId="5" borderId="133" xfId="32" applyFont="true" applyBorder="true" applyAlignment="true" applyProtection="false">
      <alignment horizontal="center" vertical="center" textRotation="0" wrapText="false" indent="0" shrinkToFit="false" readingOrder="1"/>
      <protection locked="true" hidden="false"/>
    </xf>
    <xf numFmtId="164" fontId="22" fillId="5" borderId="134" xfId="32" applyFont="true" applyBorder="true" applyAlignment="true" applyProtection="false">
      <alignment horizontal="center" vertical="center" textRotation="0" wrapText="true" indent="0" shrinkToFit="false" readingOrder="1"/>
      <protection locked="true" hidden="false"/>
    </xf>
    <xf numFmtId="164" fontId="22" fillId="5" borderId="135" xfId="32" applyFont="true" applyBorder="true" applyAlignment="true" applyProtection="false">
      <alignment horizontal="center" vertical="center" textRotation="0" wrapText="true" indent="0" shrinkToFit="false" readingOrder="1"/>
      <protection locked="true" hidden="false"/>
    </xf>
    <xf numFmtId="164" fontId="22" fillId="5" borderId="136" xfId="32" applyFont="true" applyBorder="true" applyAlignment="true" applyProtection="false">
      <alignment horizontal="center" vertical="center" textRotation="0" wrapText="false" indent="0" shrinkToFit="false" readingOrder="1"/>
      <protection locked="true" hidden="false"/>
    </xf>
    <xf numFmtId="164" fontId="22" fillId="5" borderId="137" xfId="32" applyFont="true" applyBorder="true" applyAlignment="true" applyProtection="false">
      <alignment horizontal="center" vertical="center" textRotation="0" wrapText="true" indent="0" shrinkToFit="false" readingOrder="1"/>
      <protection locked="true" hidden="false"/>
    </xf>
    <xf numFmtId="164" fontId="71" fillId="5" borderId="138" xfId="32" applyFont="true" applyBorder="true" applyAlignment="true" applyProtection="false">
      <alignment horizontal="center" vertical="center" textRotation="0" wrapText="true" indent="0" shrinkToFit="false" readingOrder="1"/>
      <protection locked="true" hidden="false"/>
    </xf>
    <xf numFmtId="164" fontId="22" fillId="5" borderId="139" xfId="32" applyFont="true" applyBorder="true" applyAlignment="true" applyProtection="false">
      <alignment horizontal="center" vertical="center" textRotation="0" wrapText="true" indent="0" shrinkToFit="false" readingOrder="1"/>
      <protection locked="true" hidden="false"/>
    </xf>
    <xf numFmtId="164" fontId="22" fillId="5" borderId="140" xfId="32" applyFont="true" applyBorder="true" applyAlignment="true" applyProtection="false">
      <alignment horizontal="center" vertical="center" textRotation="0" wrapText="true" indent="0" shrinkToFit="false" readingOrder="1"/>
      <protection locked="true" hidden="false"/>
    </xf>
    <xf numFmtId="164" fontId="22" fillId="5" borderId="141" xfId="32" applyFont="true" applyBorder="true" applyAlignment="true" applyProtection="false">
      <alignment horizontal="center" vertical="center" textRotation="0" wrapText="true" indent="0" shrinkToFit="false" readingOrder="1"/>
      <protection locked="true" hidden="false"/>
    </xf>
    <xf numFmtId="164" fontId="71" fillId="6" borderId="0" xfId="32" applyFont="true" applyBorder="false" applyAlignment="true" applyProtection="false">
      <alignment horizontal="center" vertical="center" textRotation="0" wrapText="true" indent="0" shrinkToFit="false" readingOrder="1"/>
      <protection locked="true" hidden="false"/>
    </xf>
    <xf numFmtId="164" fontId="22" fillId="5" borderId="142" xfId="32" applyFont="true" applyBorder="true" applyAlignment="true" applyProtection="false">
      <alignment horizontal="center" vertical="center" textRotation="0" wrapText="true" indent="0" shrinkToFit="false" readingOrder="1"/>
      <protection locked="true" hidden="false"/>
    </xf>
    <xf numFmtId="164" fontId="22" fillId="5" borderId="143" xfId="32" applyFont="true" applyBorder="true" applyAlignment="true" applyProtection="false">
      <alignment horizontal="center" vertical="center" textRotation="0" wrapText="true" indent="0" shrinkToFit="false" readingOrder="1"/>
      <protection locked="true" hidden="false"/>
    </xf>
    <xf numFmtId="164" fontId="68" fillId="6" borderId="0" xfId="32" applyFont="true" applyBorder="true" applyAlignment="true" applyProtection="false">
      <alignment horizontal="general" vertical="center" textRotation="0" wrapText="false" indent="0" shrinkToFit="false"/>
      <protection locked="true" hidden="false"/>
    </xf>
    <xf numFmtId="164" fontId="71" fillId="5" borderId="144" xfId="32" applyFont="true" applyBorder="true" applyAlignment="true" applyProtection="false">
      <alignment horizontal="center" vertical="center" textRotation="0" wrapText="true" indent="0" shrinkToFit="false" readingOrder="1"/>
      <protection locked="true" hidden="false"/>
    </xf>
    <xf numFmtId="164" fontId="22" fillId="5" borderId="145" xfId="32" applyFont="true" applyBorder="true" applyAlignment="true" applyProtection="false">
      <alignment horizontal="center" vertical="center" textRotation="0" wrapText="true" indent="0" shrinkToFit="false" readingOrder="1"/>
      <protection locked="true" hidden="false"/>
    </xf>
    <xf numFmtId="164" fontId="22" fillId="5" borderId="146" xfId="32" applyFont="true" applyBorder="true" applyAlignment="true" applyProtection="false">
      <alignment horizontal="center" vertical="center" textRotation="0" wrapText="true" indent="0" shrinkToFit="false" readingOrder="1"/>
      <protection locked="true" hidden="false"/>
    </xf>
    <xf numFmtId="164" fontId="22" fillId="5" borderId="145" xfId="32" applyFont="true" applyBorder="true" applyAlignment="true" applyProtection="false">
      <alignment horizontal="general" vertical="center" textRotation="0" wrapText="true" indent="0" shrinkToFit="false" readingOrder="1"/>
      <protection locked="true" hidden="false"/>
    </xf>
    <xf numFmtId="164" fontId="22" fillId="5" borderId="147" xfId="32" applyFont="true" applyBorder="true" applyAlignment="true" applyProtection="false">
      <alignment horizontal="center" vertical="center" textRotation="0" wrapText="true" indent="0" shrinkToFit="false" readingOrder="1"/>
      <protection locked="true" hidden="false"/>
    </xf>
    <xf numFmtId="181" fontId="22" fillId="5" borderId="148" xfId="32" applyFont="true" applyBorder="true" applyAlignment="true" applyProtection="false">
      <alignment horizontal="center" vertical="center" textRotation="0" wrapText="true" indent="0" shrinkToFit="false" readingOrder="1"/>
      <protection locked="true" hidden="false"/>
    </xf>
    <xf numFmtId="181" fontId="22" fillId="5" borderId="149" xfId="32" applyFont="true" applyBorder="true" applyAlignment="true" applyProtection="false">
      <alignment horizontal="center" vertical="center" textRotation="0" wrapText="true" indent="0" shrinkToFit="false" readingOrder="1"/>
      <protection locked="true" hidden="false"/>
    </xf>
    <xf numFmtId="164" fontId="126" fillId="6" borderId="0" xfId="32" applyFont="true" applyBorder="false" applyAlignment="true" applyProtection="false">
      <alignment horizontal="general" vertical="center" textRotation="0" wrapText="false" indent="0" shrinkToFit="false"/>
      <protection locked="true" hidden="false"/>
    </xf>
    <xf numFmtId="164" fontId="72" fillId="0" borderId="150" xfId="32" applyFont="true" applyBorder="true" applyAlignment="true" applyProtection="false">
      <alignment horizontal="center" vertical="center" textRotation="0" wrapText="false" indent="0" shrinkToFit="false" readingOrder="1"/>
      <protection locked="true" hidden="false"/>
    </xf>
    <xf numFmtId="164" fontId="72" fillId="0" borderId="151" xfId="32" applyFont="true" applyBorder="true" applyAlignment="true" applyProtection="false">
      <alignment horizontal="center" vertical="center" textRotation="0" wrapText="false" indent="0" shrinkToFit="false" readingOrder="1"/>
      <protection locked="true" hidden="false"/>
    </xf>
    <xf numFmtId="164" fontId="127" fillId="0" borderId="5" xfId="32" applyFont="true" applyBorder="true" applyAlignment="true" applyProtection="false">
      <alignment horizontal="center" vertical="center" textRotation="0" wrapText="true" indent="0" shrinkToFit="false" readingOrder="1"/>
      <protection locked="true" hidden="false"/>
    </xf>
    <xf numFmtId="164" fontId="72" fillId="0" borderId="6" xfId="32" applyFont="true" applyBorder="true" applyAlignment="true" applyProtection="false">
      <alignment horizontal="center" vertical="center" textRotation="0" wrapText="false" indent="0" shrinkToFit="false" readingOrder="1"/>
      <protection locked="true" hidden="false"/>
    </xf>
    <xf numFmtId="164" fontId="72" fillId="0" borderId="129" xfId="32" applyFont="true" applyBorder="true" applyAlignment="true" applyProtection="false">
      <alignment horizontal="center" vertical="center" textRotation="0" wrapText="false" indent="0" shrinkToFit="false" readingOrder="1"/>
      <protection locked="true" hidden="false"/>
    </xf>
    <xf numFmtId="184" fontId="72" fillId="0" borderId="152" xfId="32" applyFont="true" applyBorder="true" applyAlignment="true" applyProtection="false">
      <alignment horizontal="center" vertical="center" textRotation="0" wrapText="false" indent="0" shrinkToFit="false"/>
      <protection locked="true" hidden="false"/>
    </xf>
    <xf numFmtId="184" fontId="72" fillId="0" borderId="153" xfId="32" applyFont="true" applyBorder="true" applyAlignment="true" applyProtection="false">
      <alignment horizontal="center" vertical="center" textRotation="0" wrapText="false" indent="0" shrinkToFit="false"/>
      <protection locked="true" hidden="false"/>
    </xf>
    <xf numFmtId="179" fontId="26" fillId="0" borderId="153" xfId="32" applyFont="true" applyBorder="true" applyAlignment="true" applyProtection="false">
      <alignment horizontal="center" vertical="center" textRotation="0" wrapText="false" indent="0" shrinkToFit="false"/>
      <protection locked="true" hidden="false"/>
    </xf>
    <xf numFmtId="179" fontId="26" fillId="0" borderId="64" xfId="32" applyFont="true" applyBorder="true" applyAlignment="true" applyProtection="false">
      <alignment horizontal="center" vertical="center" textRotation="0" wrapText="false" indent="0" shrinkToFit="false"/>
      <protection locked="true" hidden="false"/>
    </xf>
    <xf numFmtId="164" fontId="72" fillId="0" borderId="7" xfId="32" applyFont="true" applyBorder="true" applyAlignment="true" applyProtection="false">
      <alignment horizontal="center" vertical="center" textRotation="0" wrapText="false" indent="0" shrinkToFit="false"/>
      <protection locked="true" hidden="false"/>
    </xf>
    <xf numFmtId="164" fontId="72" fillId="0" borderId="7" xfId="32" applyFont="true" applyBorder="true" applyAlignment="true" applyProtection="false">
      <alignment horizontal="center" vertical="center" textRotation="0" wrapText="true" indent="0" shrinkToFit="false" readingOrder="1"/>
      <protection locked="true" hidden="false"/>
    </xf>
    <xf numFmtId="208" fontId="72" fillId="0" borderId="0" xfId="32" applyFont="true" applyBorder="false" applyAlignment="true" applyProtection="false">
      <alignment horizontal="center" vertical="center" textRotation="0" wrapText="true" indent="0" shrinkToFit="false" readingOrder="1"/>
      <protection locked="true" hidden="false"/>
    </xf>
    <xf numFmtId="184" fontId="72" fillId="0" borderId="154" xfId="32" applyFont="true" applyBorder="true" applyAlignment="true" applyProtection="false">
      <alignment horizontal="center" vertical="center" textRotation="0" wrapText="false" indent="0" shrinkToFit="false"/>
      <protection locked="true" hidden="false"/>
    </xf>
    <xf numFmtId="179" fontId="72" fillId="0" borderId="7" xfId="32" applyFont="true" applyBorder="true" applyAlignment="true" applyProtection="false">
      <alignment horizontal="center" vertical="center" textRotation="0" wrapText="false" indent="0" shrinkToFit="false" readingOrder="1"/>
      <protection locked="true" hidden="false"/>
    </xf>
    <xf numFmtId="179" fontId="72" fillId="0" borderId="155" xfId="32" applyFont="true" applyBorder="true" applyAlignment="true" applyProtection="false">
      <alignment horizontal="center" vertical="center" textRotation="0" wrapText="false" indent="0" shrinkToFit="false" readingOrder="1"/>
      <protection locked="true" hidden="false"/>
    </xf>
    <xf numFmtId="184" fontId="72" fillId="0" borderId="156" xfId="32" applyFont="true" applyBorder="true" applyAlignment="true" applyProtection="false">
      <alignment horizontal="center" vertical="center" textRotation="0" wrapText="false" indent="0" shrinkToFit="false"/>
      <protection locked="true" hidden="false"/>
    </xf>
    <xf numFmtId="184" fontId="72" fillId="0" borderId="157" xfId="32" applyFont="true" applyBorder="true" applyAlignment="true" applyProtection="false">
      <alignment horizontal="center" vertical="center" textRotation="0" wrapText="false" indent="0" shrinkToFit="false"/>
      <protection locked="true" hidden="false"/>
    </xf>
    <xf numFmtId="181" fontId="72" fillId="0" borderId="157" xfId="32" applyFont="true" applyBorder="true" applyAlignment="true" applyProtection="false">
      <alignment horizontal="center" vertical="center" textRotation="0" wrapText="false" indent="0" shrinkToFit="false"/>
      <protection locked="true" hidden="false"/>
    </xf>
    <xf numFmtId="179" fontId="72" fillId="0" borderId="158" xfId="32" applyFont="true" applyBorder="true" applyAlignment="true" applyProtection="false">
      <alignment horizontal="center" vertical="center" textRotation="0" wrapText="false" indent="0" shrinkToFit="false"/>
      <protection locked="true" hidden="false"/>
    </xf>
    <xf numFmtId="181" fontId="72" fillId="0" borderId="159" xfId="32" applyFont="true" applyBorder="true" applyAlignment="true" applyProtection="false">
      <alignment horizontal="center" vertical="center" textRotation="0" wrapText="false" indent="0" shrinkToFit="false"/>
      <protection locked="true" hidden="false"/>
    </xf>
    <xf numFmtId="181" fontId="73" fillId="6" borderId="0" xfId="32" applyFont="true" applyBorder="false" applyAlignment="true" applyProtection="false">
      <alignment horizontal="center" vertical="center" textRotation="0" wrapText="false" indent="0" shrinkToFit="false"/>
      <protection locked="true" hidden="false"/>
    </xf>
    <xf numFmtId="179" fontId="72" fillId="0" borderId="160" xfId="32" applyFont="true" applyBorder="true" applyAlignment="true" applyProtection="false">
      <alignment horizontal="center" vertical="center" textRotation="0" wrapText="false" indent="0" shrinkToFit="false"/>
      <protection locked="true" hidden="false"/>
    </xf>
    <xf numFmtId="179" fontId="73" fillId="0" borderId="161" xfId="32" applyFont="true" applyBorder="true" applyAlignment="true" applyProtection="false">
      <alignment horizontal="center" vertical="center" textRotation="0" wrapText="false" indent="0" shrinkToFit="false"/>
      <protection locked="true" hidden="false"/>
    </xf>
    <xf numFmtId="164" fontId="72" fillId="0" borderId="162" xfId="32" applyFont="true" applyBorder="true" applyAlignment="true" applyProtection="false">
      <alignment horizontal="left" vertical="center" textRotation="0" wrapText="true" indent="0" shrinkToFit="false" readingOrder="1"/>
      <protection locked="true" hidden="false"/>
    </xf>
    <xf numFmtId="170" fontId="128" fillId="6" borderId="0" xfId="32" applyFont="true" applyBorder="false" applyAlignment="true" applyProtection="false">
      <alignment horizontal="general" vertical="center" textRotation="0" wrapText="false" indent="0" shrinkToFit="false"/>
      <protection locked="true" hidden="false"/>
    </xf>
    <xf numFmtId="164" fontId="123" fillId="0" borderId="0" xfId="32" applyFont="true" applyBorder="false" applyAlignment="true" applyProtection="false">
      <alignment horizontal="general" vertical="center" textRotation="0" wrapText="false" indent="0" shrinkToFit="false"/>
      <protection locked="true" hidden="false"/>
    </xf>
    <xf numFmtId="184" fontId="72" fillId="0" borderId="163" xfId="32" applyFont="true" applyBorder="true" applyAlignment="true" applyProtection="false">
      <alignment horizontal="center" vertical="center" textRotation="0" wrapText="false" indent="0" shrinkToFit="false"/>
      <protection locked="true" hidden="false"/>
    </xf>
    <xf numFmtId="179" fontId="26" fillId="0" borderId="163" xfId="32" applyFont="true" applyBorder="true" applyAlignment="true" applyProtection="false">
      <alignment horizontal="center" vertical="center" textRotation="0" wrapText="false" indent="0" shrinkToFit="false"/>
      <protection locked="true" hidden="false"/>
    </xf>
    <xf numFmtId="179" fontId="26" fillId="0" borderId="164" xfId="32" applyFont="true" applyBorder="true" applyAlignment="true" applyProtection="false">
      <alignment horizontal="center" vertical="center" textRotation="0" wrapText="false" indent="0" shrinkToFit="false"/>
      <protection locked="true" hidden="false"/>
    </xf>
    <xf numFmtId="184" fontId="72" fillId="0" borderId="165" xfId="32" applyFont="true" applyBorder="true" applyAlignment="true" applyProtection="false">
      <alignment horizontal="center" vertical="center" textRotation="0" wrapText="false" indent="0" shrinkToFit="false"/>
      <protection locked="true" hidden="false"/>
    </xf>
    <xf numFmtId="166" fontId="72" fillId="0" borderId="164" xfId="26" applyFont="true" applyBorder="true" applyAlignment="true" applyProtection="true">
      <alignment horizontal="center" vertical="center" textRotation="0" wrapText="false" indent="0" shrinkToFit="false"/>
      <protection locked="true" hidden="false"/>
    </xf>
    <xf numFmtId="179" fontId="72" fillId="0" borderId="166" xfId="32" applyFont="true" applyBorder="true" applyAlignment="true" applyProtection="false">
      <alignment horizontal="center" vertical="center" textRotation="0" wrapText="false" indent="0" shrinkToFit="false" readingOrder="1"/>
      <protection locked="true" hidden="false"/>
    </xf>
    <xf numFmtId="184" fontId="72" fillId="13" borderId="165" xfId="32" applyFont="true" applyBorder="true" applyAlignment="true" applyProtection="false">
      <alignment horizontal="center" vertical="center" textRotation="0" wrapText="false" indent="0" shrinkToFit="false"/>
      <protection locked="true" hidden="false"/>
    </xf>
    <xf numFmtId="166" fontId="72" fillId="13" borderId="167" xfId="26" applyFont="true" applyBorder="true" applyAlignment="true" applyProtection="true">
      <alignment horizontal="center" vertical="center" textRotation="0" wrapText="false" indent="0" shrinkToFit="false"/>
      <protection locked="true" hidden="false"/>
    </xf>
    <xf numFmtId="181" fontId="72" fillId="13" borderId="167" xfId="32" applyFont="true" applyBorder="true" applyAlignment="true" applyProtection="false">
      <alignment horizontal="center" vertical="center" textRotation="0" wrapText="false" indent="0" shrinkToFit="false"/>
      <protection locked="true" hidden="false"/>
    </xf>
    <xf numFmtId="184" fontId="72" fillId="13" borderId="167" xfId="32" applyFont="true" applyBorder="true" applyAlignment="true" applyProtection="false">
      <alignment horizontal="center" vertical="center" textRotation="0" wrapText="false" indent="0" shrinkToFit="false"/>
      <protection locked="true" hidden="false"/>
    </xf>
    <xf numFmtId="166" fontId="72" fillId="13" borderId="167" xfId="32" applyFont="true" applyBorder="true" applyAlignment="true" applyProtection="false">
      <alignment horizontal="center" vertical="center" textRotation="0" wrapText="false" indent="0" shrinkToFit="false"/>
      <protection locked="true" hidden="false"/>
    </xf>
    <xf numFmtId="184" fontId="72" fillId="0" borderId="167" xfId="32" applyFont="true" applyBorder="true" applyAlignment="true" applyProtection="false">
      <alignment horizontal="center" vertical="center" textRotation="0" wrapText="false" indent="0" shrinkToFit="false"/>
      <protection locked="true" hidden="false"/>
    </xf>
    <xf numFmtId="181" fontId="72" fillId="0" borderId="167" xfId="32" applyFont="true" applyBorder="true" applyAlignment="true" applyProtection="false">
      <alignment horizontal="center" vertical="center" textRotation="0" wrapText="false" indent="0" shrinkToFit="false"/>
      <protection locked="true" hidden="false"/>
    </xf>
    <xf numFmtId="179" fontId="72" fillId="0" borderId="163" xfId="32" applyFont="true" applyBorder="true" applyAlignment="true" applyProtection="false">
      <alignment horizontal="center" vertical="center" textRotation="0" wrapText="false" indent="0" shrinkToFit="false"/>
      <protection locked="true" hidden="false"/>
    </xf>
    <xf numFmtId="181" fontId="72" fillId="0" borderId="168" xfId="32" applyFont="true" applyBorder="true" applyAlignment="true" applyProtection="false">
      <alignment horizontal="center" vertical="center" textRotation="0" wrapText="false" indent="0" shrinkToFit="false"/>
      <protection locked="true" hidden="false"/>
    </xf>
    <xf numFmtId="179" fontId="72" fillId="0" borderId="169" xfId="32" applyFont="true" applyBorder="true" applyAlignment="true" applyProtection="false">
      <alignment horizontal="center" vertical="center" textRotation="0" wrapText="false" indent="0" shrinkToFit="false"/>
      <protection locked="true" hidden="false"/>
    </xf>
    <xf numFmtId="179" fontId="73" fillId="0" borderId="170" xfId="32" applyFont="true" applyBorder="true" applyAlignment="true" applyProtection="false">
      <alignment horizontal="center" vertical="center" textRotation="0" wrapText="false" indent="0" shrinkToFit="false"/>
      <protection locked="true" hidden="false"/>
    </xf>
    <xf numFmtId="184" fontId="72" fillId="0" borderId="171" xfId="32" applyFont="true" applyBorder="true" applyAlignment="true" applyProtection="false">
      <alignment horizontal="center" vertical="center" textRotation="0" wrapText="false" indent="0" shrinkToFit="false"/>
      <protection locked="true" hidden="false"/>
    </xf>
    <xf numFmtId="179" fontId="34" fillId="0" borderId="171" xfId="32" applyFont="true" applyBorder="true" applyAlignment="true" applyProtection="false">
      <alignment horizontal="center" vertical="center" textRotation="0" wrapText="false" indent="0" shrinkToFit="false"/>
      <protection locked="true" hidden="false"/>
    </xf>
    <xf numFmtId="179" fontId="26" fillId="0" borderId="67" xfId="32" applyFont="true" applyBorder="true" applyAlignment="true" applyProtection="false">
      <alignment horizontal="center" vertical="center" textRotation="0" wrapText="false" indent="0" shrinkToFit="false"/>
      <protection locked="true" hidden="false"/>
    </xf>
    <xf numFmtId="164" fontId="73" fillId="0" borderId="0" xfId="32" applyFont="true" applyBorder="false" applyAlignment="true" applyProtection="false">
      <alignment horizontal="center" vertical="center" textRotation="0" wrapText="true" indent="0" shrinkToFit="false" readingOrder="1"/>
      <protection locked="true" hidden="false"/>
    </xf>
    <xf numFmtId="184" fontId="73" fillId="0" borderId="172" xfId="32" applyFont="true" applyBorder="true" applyAlignment="true" applyProtection="false">
      <alignment horizontal="center" vertical="center" textRotation="0" wrapText="false" indent="0" shrinkToFit="false"/>
      <protection locked="true" hidden="false"/>
    </xf>
    <xf numFmtId="179" fontId="72" fillId="0" borderId="173" xfId="32" applyFont="true" applyBorder="true" applyAlignment="true" applyProtection="false">
      <alignment horizontal="center" vertical="center" textRotation="0" wrapText="false" indent="0" shrinkToFit="false" readingOrder="1"/>
      <protection locked="true" hidden="false"/>
    </xf>
    <xf numFmtId="184" fontId="73" fillId="0" borderId="174" xfId="32" applyFont="true" applyBorder="true" applyAlignment="true" applyProtection="false">
      <alignment horizontal="center" vertical="center" textRotation="0" wrapText="false" indent="0" shrinkToFit="false"/>
      <protection locked="true" hidden="false"/>
    </xf>
    <xf numFmtId="181" fontId="73" fillId="0" borderId="174" xfId="32" applyFont="true" applyBorder="true" applyAlignment="true" applyProtection="false">
      <alignment horizontal="center" vertical="center" textRotation="0" wrapText="false" indent="0" shrinkToFit="false"/>
      <protection locked="true" hidden="false"/>
    </xf>
    <xf numFmtId="179" fontId="72" fillId="0" borderId="171" xfId="32" applyFont="true" applyBorder="true" applyAlignment="true" applyProtection="false">
      <alignment horizontal="center" vertical="center" textRotation="0" wrapText="false" indent="0" shrinkToFit="false"/>
      <protection locked="true" hidden="false"/>
    </xf>
    <xf numFmtId="181" fontId="73" fillId="0" borderId="175" xfId="32" applyFont="true" applyBorder="true" applyAlignment="true" applyProtection="false">
      <alignment horizontal="center" vertical="center" textRotation="0" wrapText="false" indent="0" shrinkToFit="false"/>
      <protection locked="true" hidden="false"/>
    </xf>
    <xf numFmtId="179" fontId="72" fillId="0" borderId="176" xfId="32" applyFont="true" applyBorder="true" applyAlignment="true" applyProtection="false">
      <alignment horizontal="center" vertical="center" textRotation="0" wrapText="false" indent="0" shrinkToFit="false"/>
      <protection locked="true" hidden="false"/>
    </xf>
    <xf numFmtId="179" fontId="73" fillId="0" borderId="177" xfId="32" applyFont="true" applyBorder="true" applyAlignment="true" applyProtection="false">
      <alignment horizontal="center" vertical="center" textRotation="0" wrapText="false" indent="0" shrinkToFit="false"/>
      <protection locked="true" hidden="false"/>
    </xf>
    <xf numFmtId="164" fontId="72" fillId="0" borderId="178" xfId="32" applyFont="true" applyBorder="true" applyAlignment="true" applyProtection="false">
      <alignment horizontal="center" vertical="center" textRotation="0" wrapText="false" indent="0" shrinkToFit="false" readingOrder="1"/>
      <protection locked="true" hidden="false"/>
    </xf>
    <xf numFmtId="184" fontId="72" fillId="0" borderId="150" xfId="32" applyFont="true" applyBorder="true" applyAlignment="true" applyProtection="false">
      <alignment horizontal="center" vertical="center" textRotation="0" wrapText="false" indent="0" shrinkToFit="false"/>
      <protection locked="true" hidden="false"/>
    </xf>
    <xf numFmtId="184" fontId="72" fillId="0" borderId="158" xfId="32" applyFont="true" applyBorder="true" applyAlignment="true" applyProtection="false">
      <alignment horizontal="center" vertical="center" textRotation="0" wrapText="false" indent="0" shrinkToFit="false"/>
      <protection locked="true" hidden="false"/>
    </xf>
    <xf numFmtId="179" fontId="26" fillId="0" borderId="158" xfId="32" applyFont="true" applyBorder="true" applyAlignment="true" applyProtection="false">
      <alignment horizontal="center" vertical="center" textRotation="0" wrapText="false" indent="0" shrinkToFit="false"/>
      <protection locked="true" hidden="false"/>
    </xf>
    <xf numFmtId="179" fontId="26" fillId="0" borderId="179" xfId="32" applyFont="true" applyBorder="true" applyAlignment="true" applyProtection="false">
      <alignment horizontal="center" vertical="center" textRotation="0" wrapText="false" indent="0" shrinkToFit="false"/>
      <protection locked="true" hidden="false"/>
    </xf>
    <xf numFmtId="166" fontId="74" fillId="0" borderId="179" xfId="26" applyFont="true" applyBorder="true" applyAlignment="true" applyProtection="true">
      <alignment horizontal="center" vertical="center" textRotation="0" wrapText="false" indent="0" shrinkToFit="false"/>
      <protection locked="true" hidden="false"/>
    </xf>
    <xf numFmtId="179" fontId="72" fillId="0" borderId="5" xfId="32" applyFont="true" applyBorder="true" applyAlignment="true" applyProtection="false">
      <alignment horizontal="center" vertical="center" textRotation="0" wrapText="false" indent="0" shrinkToFit="false" readingOrder="1"/>
      <protection locked="true" hidden="false"/>
    </xf>
    <xf numFmtId="179" fontId="72" fillId="0" borderId="180" xfId="32" applyFont="true" applyBorder="true" applyAlignment="true" applyProtection="false">
      <alignment horizontal="center" vertical="center" textRotation="0" wrapText="false" indent="0" shrinkToFit="false" readingOrder="1"/>
      <protection locked="true" hidden="false"/>
    </xf>
    <xf numFmtId="184" fontId="72" fillId="0" borderId="181" xfId="32" applyFont="true" applyBorder="true" applyAlignment="true" applyProtection="false">
      <alignment horizontal="center" vertical="center" textRotation="0" wrapText="false" indent="0" shrinkToFit="false"/>
      <protection locked="true" hidden="false"/>
    </xf>
    <xf numFmtId="181" fontId="72" fillId="0" borderId="181" xfId="32" applyFont="true" applyBorder="true" applyAlignment="true" applyProtection="false">
      <alignment horizontal="center" vertical="center" textRotation="0" wrapText="false" indent="0" shrinkToFit="false"/>
      <protection locked="true" hidden="false"/>
    </xf>
    <xf numFmtId="179" fontId="72" fillId="0" borderId="153" xfId="32" applyFont="true" applyBorder="true" applyAlignment="true" applyProtection="false">
      <alignment horizontal="center" vertical="center" textRotation="0" wrapText="false" indent="0" shrinkToFit="false"/>
      <protection locked="true" hidden="false"/>
    </xf>
    <xf numFmtId="181" fontId="72" fillId="0" borderId="182" xfId="32" applyFont="true" applyBorder="true" applyAlignment="true" applyProtection="false">
      <alignment horizontal="center" vertical="center" textRotation="0" wrapText="false" indent="0" shrinkToFit="false"/>
      <protection locked="true" hidden="false"/>
    </xf>
    <xf numFmtId="184" fontId="72" fillId="0" borderId="183" xfId="32" applyFont="true" applyBorder="true" applyAlignment="true" applyProtection="false">
      <alignment horizontal="center" vertical="center" textRotation="0" wrapText="false" indent="0" shrinkToFit="false"/>
      <protection locked="true" hidden="false"/>
    </xf>
    <xf numFmtId="184" fontId="72" fillId="0" borderId="150" xfId="21" applyFont="true" applyBorder="true" applyAlignment="true" applyProtection="true">
      <alignment horizontal="center" vertical="center" textRotation="0" wrapText="false" indent="0" shrinkToFit="false" readingOrder="1"/>
      <protection locked="true" hidden="false"/>
    </xf>
    <xf numFmtId="164" fontId="5" fillId="0" borderId="163" xfId="32" applyFont="true" applyBorder="true" applyAlignment="true" applyProtection="false">
      <alignment horizontal="general" vertical="center" textRotation="0" wrapText="false" indent="0" shrinkToFit="false"/>
      <protection locked="true" hidden="false"/>
    </xf>
    <xf numFmtId="164" fontId="72" fillId="0" borderId="9" xfId="32" applyFont="true" applyBorder="true" applyAlignment="true" applyProtection="false">
      <alignment horizontal="center" vertical="center" textRotation="0" wrapText="false" indent="0" shrinkToFit="false" readingOrder="1"/>
      <protection locked="true" hidden="false"/>
    </xf>
    <xf numFmtId="164" fontId="72" fillId="0" borderId="126" xfId="32" applyFont="true" applyBorder="true" applyAlignment="true" applyProtection="false">
      <alignment horizontal="center" vertical="center" textRotation="0" wrapText="false" indent="0" shrinkToFit="false" readingOrder="1"/>
      <protection locked="true" hidden="false"/>
    </xf>
    <xf numFmtId="184" fontId="72" fillId="0" borderId="184" xfId="21" applyFont="true" applyBorder="true" applyAlignment="true" applyProtection="true">
      <alignment horizontal="center" vertical="center" textRotation="0" wrapText="false" indent="0" shrinkToFit="false" readingOrder="1"/>
      <protection locked="true" hidden="false"/>
    </xf>
    <xf numFmtId="184" fontId="73" fillId="0" borderId="184" xfId="32" applyFont="true" applyBorder="true" applyAlignment="true" applyProtection="false">
      <alignment horizontal="center" vertical="center" textRotation="0" wrapText="false" indent="0" shrinkToFit="false"/>
      <protection locked="true" hidden="false"/>
    </xf>
    <xf numFmtId="184" fontId="72" fillId="0" borderId="184" xfId="32" applyFont="true" applyBorder="true" applyAlignment="true" applyProtection="false">
      <alignment horizontal="center" vertical="center" textRotation="0" wrapText="false" indent="0" shrinkToFit="false"/>
      <protection locked="true" hidden="false"/>
    </xf>
    <xf numFmtId="179" fontId="26" fillId="0" borderId="185" xfId="32" applyFont="true" applyBorder="true" applyAlignment="true" applyProtection="false">
      <alignment horizontal="center" vertical="center" textRotation="0" wrapText="false" indent="0" shrinkToFit="false"/>
      <protection locked="true" hidden="false"/>
    </xf>
    <xf numFmtId="179" fontId="26" fillId="0" borderId="170" xfId="32" applyFont="true" applyBorder="true" applyAlignment="true" applyProtection="false">
      <alignment horizontal="center" vertical="center" textRotation="0" wrapText="false" indent="0" shrinkToFit="false"/>
      <protection locked="true" hidden="false"/>
    </xf>
    <xf numFmtId="184" fontId="72" fillId="0" borderId="186" xfId="32" applyFont="true" applyBorder="true" applyAlignment="true" applyProtection="false">
      <alignment horizontal="center" vertical="center" textRotation="0" wrapText="false" indent="0" shrinkToFit="false"/>
      <protection locked="true" hidden="false"/>
    </xf>
    <xf numFmtId="179" fontId="34" fillId="0" borderId="186" xfId="32" applyFont="true" applyBorder="true" applyAlignment="true" applyProtection="false">
      <alignment horizontal="center" vertical="center" textRotation="0" wrapText="false" indent="0" shrinkToFit="false"/>
      <protection locked="true" hidden="false"/>
    </xf>
    <xf numFmtId="179" fontId="34" fillId="0" borderId="187" xfId="32" applyFont="true" applyBorder="true" applyAlignment="true" applyProtection="false">
      <alignment horizontal="center" vertical="center" textRotation="0" wrapText="false" indent="0" shrinkToFit="false"/>
      <protection locked="true" hidden="false"/>
    </xf>
    <xf numFmtId="208" fontId="72" fillId="0" borderId="188" xfId="32" applyFont="true" applyBorder="true" applyAlignment="true" applyProtection="false">
      <alignment horizontal="center" vertical="center" textRotation="0" wrapText="true" indent="0" shrinkToFit="false" readingOrder="1"/>
      <protection locked="true" hidden="false"/>
    </xf>
    <xf numFmtId="164" fontId="127" fillId="0" borderId="189" xfId="32" applyFont="true" applyBorder="true" applyAlignment="true" applyProtection="false">
      <alignment horizontal="center" vertical="center" textRotation="0" wrapText="true" indent="0" shrinkToFit="false" readingOrder="1"/>
      <protection locked="true" hidden="false"/>
    </xf>
    <xf numFmtId="164" fontId="39" fillId="0" borderId="6" xfId="32" applyFont="true" applyBorder="true" applyAlignment="true" applyProtection="false">
      <alignment horizontal="center" vertical="center" textRotation="0" wrapText="true" indent="0" shrinkToFit="false"/>
      <protection locked="true" hidden="false"/>
    </xf>
    <xf numFmtId="164" fontId="39" fillId="0" borderId="5" xfId="32" applyFont="true" applyBorder="true" applyAlignment="true" applyProtection="false">
      <alignment horizontal="center" vertical="center" textRotation="0" wrapText="true" indent="0" shrinkToFit="false" readingOrder="1"/>
      <protection locked="true" hidden="false"/>
    </xf>
    <xf numFmtId="166" fontId="74" fillId="0" borderId="157" xfId="26" applyFont="true" applyBorder="true" applyAlignment="true" applyProtection="true">
      <alignment horizontal="center" vertical="center" textRotation="0" wrapText="false" indent="0" shrinkToFit="false"/>
      <protection locked="true" hidden="false"/>
    </xf>
    <xf numFmtId="181" fontId="72" fillId="0" borderId="180" xfId="32" applyFont="true" applyBorder="true" applyAlignment="true" applyProtection="false">
      <alignment horizontal="center" vertical="center" textRotation="0" wrapText="false" indent="0" shrinkToFit="false"/>
      <protection locked="true" hidden="false"/>
    </xf>
    <xf numFmtId="164" fontId="72" fillId="0" borderId="190" xfId="32" applyFont="true" applyBorder="true" applyAlignment="true" applyProtection="false">
      <alignment horizontal="left" vertical="center" textRotation="0" wrapText="true" indent="0" shrinkToFit="false" readingOrder="1"/>
      <protection locked="true" hidden="false"/>
    </xf>
    <xf numFmtId="166" fontId="74" fillId="0" borderId="167" xfId="26" applyFont="true" applyBorder="true" applyAlignment="true" applyProtection="true">
      <alignment horizontal="center" vertical="center" textRotation="0" wrapText="false" indent="0" shrinkToFit="false"/>
      <protection locked="true" hidden="false"/>
    </xf>
    <xf numFmtId="181" fontId="72" fillId="0" borderId="166" xfId="32" applyFont="true" applyBorder="true" applyAlignment="true" applyProtection="false">
      <alignment horizontal="center" vertical="center" textRotation="0" wrapText="false" indent="0" shrinkToFit="false"/>
      <protection locked="true" hidden="false"/>
    </xf>
    <xf numFmtId="166" fontId="73" fillId="0" borderId="167" xfId="32" applyFont="true" applyBorder="true" applyAlignment="true" applyProtection="false">
      <alignment horizontal="center" vertical="center" textRotation="0" wrapText="false" indent="0" shrinkToFit="false"/>
      <protection locked="true" hidden="false"/>
    </xf>
    <xf numFmtId="179" fontId="34" fillId="0" borderId="191" xfId="32" applyFont="true" applyBorder="true" applyAlignment="true" applyProtection="false">
      <alignment horizontal="center" vertical="center" textRotation="0" wrapText="false" indent="0" shrinkToFit="false"/>
      <protection locked="true" hidden="false"/>
    </xf>
    <xf numFmtId="179" fontId="72" fillId="0" borderId="192" xfId="32" applyFont="true" applyBorder="true" applyAlignment="true" applyProtection="false">
      <alignment horizontal="center" vertical="center" textRotation="0" wrapText="false" indent="0" shrinkToFit="false"/>
      <protection locked="true" hidden="false"/>
    </xf>
    <xf numFmtId="179" fontId="73" fillId="0" borderId="185" xfId="32" applyFont="true" applyBorder="true" applyAlignment="true" applyProtection="false">
      <alignment horizontal="center" vertical="center" textRotation="0" wrapText="false" indent="0" shrinkToFit="false"/>
      <protection locked="true" hidden="false"/>
    </xf>
    <xf numFmtId="164" fontId="72" fillId="0" borderId="8" xfId="32" applyFont="true" applyBorder="true" applyAlignment="true" applyProtection="false">
      <alignment horizontal="center" vertical="center" textRotation="0" wrapText="false" indent="0" shrinkToFit="false" readingOrder="1"/>
      <protection locked="true" hidden="false"/>
    </xf>
    <xf numFmtId="184" fontId="72" fillId="0" borderId="152" xfId="21" applyFont="true" applyBorder="true" applyAlignment="true" applyProtection="true">
      <alignment horizontal="center" vertical="center" textRotation="0" wrapText="false" indent="0" shrinkToFit="false" readingOrder="1"/>
      <protection locked="true" hidden="false"/>
    </xf>
    <xf numFmtId="179" fontId="72" fillId="0" borderId="193" xfId="32" applyFont="true" applyBorder="true" applyAlignment="true" applyProtection="false">
      <alignment horizontal="center" vertical="center" textRotation="0" wrapText="false" indent="0" shrinkToFit="false" readingOrder="1"/>
      <protection locked="true" hidden="false"/>
    </xf>
    <xf numFmtId="170" fontId="72" fillId="0" borderId="188" xfId="32" applyFont="true" applyBorder="true" applyAlignment="true" applyProtection="false">
      <alignment horizontal="center" vertical="center" textRotation="0" wrapText="true" indent="0" shrinkToFit="false" readingOrder="1"/>
      <protection locked="true" hidden="false"/>
    </xf>
    <xf numFmtId="164" fontId="73" fillId="0" borderId="132" xfId="32" applyFont="true" applyBorder="true" applyAlignment="true" applyProtection="false">
      <alignment horizontal="center" vertical="center" textRotation="0" wrapText="true" indent="0" shrinkToFit="false" readingOrder="1"/>
      <protection locked="true" hidden="false"/>
    </xf>
    <xf numFmtId="184" fontId="73" fillId="0" borderId="194" xfId="32" applyFont="true" applyBorder="true" applyAlignment="true" applyProtection="false">
      <alignment horizontal="center" vertical="center" textRotation="0" wrapText="false" indent="0" shrinkToFit="false"/>
      <protection locked="true" hidden="false"/>
    </xf>
    <xf numFmtId="166" fontId="74" fillId="0" borderId="195" xfId="26" applyFont="true" applyBorder="true" applyAlignment="true" applyProtection="true">
      <alignment horizontal="center" vertical="center" textRotation="0" wrapText="false" indent="0" shrinkToFit="false"/>
      <protection locked="true" hidden="false"/>
    </xf>
    <xf numFmtId="179" fontId="72" fillId="0" borderId="196" xfId="32" applyFont="true" applyBorder="true" applyAlignment="true" applyProtection="false">
      <alignment horizontal="center" vertical="center" textRotation="0" wrapText="false" indent="0" shrinkToFit="false" readingOrder="1"/>
      <protection locked="true" hidden="false"/>
    </xf>
    <xf numFmtId="184" fontId="73" fillId="0" borderId="197" xfId="32" applyFont="true" applyBorder="true" applyAlignment="true" applyProtection="false">
      <alignment horizontal="center" vertical="center" textRotation="0" wrapText="false" indent="0" shrinkToFit="false"/>
      <protection locked="true" hidden="false"/>
    </xf>
    <xf numFmtId="181" fontId="73" fillId="0" borderId="197" xfId="32" applyFont="true" applyBorder="true" applyAlignment="true" applyProtection="false">
      <alignment horizontal="center" vertical="center" textRotation="0" wrapText="false" indent="0" shrinkToFit="false"/>
      <protection locked="true" hidden="false"/>
    </xf>
    <xf numFmtId="179" fontId="72" fillId="0" borderId="198" xfId="32" applyFont="true" applyBorder="true" applyAlignment="true" applyProtection="false">
      <alignment horizontal="center" vertical="center" textRotation="0" wrapText="false" indent="0" shrinkToFit="false"/>
      <protection locked="true" hidden="false"/>
    </xf>
    <xf numFmtId="181" fontId="73" fillId="0" borderId="199" xfId="32" applyFont="true" applyBorder="true" applyAlignment="true" applyProtection="false">
      <alignment horizontal="center" vertical="center" textRotation="0" wrapText="false" indent="0" shrinkToFit="false"/>
      <protection locked="true" hidden="false"/>
    </xf>
    <xf numFmtId="164" fontId="5" fillId="0" borderId="6" xfId="32" applyFont="true" applyBorder="true" applyAlignment="true" applyProtection="false">
      <alignment horizontal="center" vertical="center" textRotation="0" wrapText="false" indent="0" shrinkToFit="false"/>
      <protection locked="true" hidden="false"/>
    </xf>
    <xf numFmtId="180" fontId="72" fillId="0" borderId="129" xfId="32" applyFont="true" applyBorder="true" applyAlignment="true" applyProtection="false">
      <alignment horizontal="center" vertical="center" textRotation="0" wrapText="false" indent="0" shrinkToFit="false" readingOrder="1"/>
      <protection locked="true" hidden="false"/>
    </xf>
    <xf numFmtId="164" fontId="39" fillId="0" borderId="5" xfId="32" applyFont="true" applyBorder="true" applyAlignment="true" applyProtection="false">
      <alignment horizontal="center" vertical="center" textRotation="0" wrapText="true" indent="0" shrinkToFit="false"/>
      <protection locked="true" hidden="false"/>
    </xf>
    <xf numFmtId="172" fontId="5" fillId="6" borderId="0" xfId="36" applyFont="true" applyBorder="true" applyAlignment="true" applyProtection="true">
      <alignment horizontal="general" vertical="center" textRotation="0" wrapText="false" indent="0" shrinkToFit="false"/>
      <protection locked="true" hidden="false"/>
    </xf>
    <xf numFmtId="172" fontId="129" fillId="6" borderId="0" xfId="36" applyFont="true" applyBorder="true" applyAlignment="true" applyProtection="true">
      <alignment horizontal="general" vertical="center" textRotation="0" wrapText="false" indent="0" shrinkToFit="false"/>
      <protection locked="true" hidden="false"/>
    </xf>
    <xf numFmtId="164" fontId="22" fillId="5" borderId="140" xfId="32" applyFont="true" applyBorder="true" applyAlignment="true" applyProtection="false">
      <alignment horizontal="center" vertical="center" textRotation="0" wrapText="false" indent="0" shrinkToFit="false" readingOrder="1"/>
      <protection locked="true" hidden="false"/>
    </xf>
    <xf numFmtId="164" fontId="22" fillId="5" borderId="200" xfId="32" applyFont="true" applyBorder="true" applyAlignment="true" applyProtection="false">
      <alignment horizontal="center" vertical="center" textRotation="0" wrapText="true" indent="0" shrinkToFit="false" readingOrder="1"/>
      <protection locked="true" hidden="false"/>
    </xf>
    <xf numFmtId="164" fontId="22" fillId="5" borderId="201" xfId="32" applyFont="true" applyBorder="true" applyAlignment="true" applyProtection="false">
      <alignment horizontal="center" vertical="center" textRotation="0" wrapText="true" indent="0" shrinkToFit="false" readingOrder="1"/>
      <protection locked="true" hidden="false"/>
    </xf>
    <xf numFmtId="164" fontId="71" fillId="5" borderId="201" xfId="32" applyFont="true" applyBorder="true" applyAlignment="true" applyProtection="false">
      <alignment horizontal="general" vertical="center" textRotation="0" wrapText="true" indent="0" shrinkToFit="false" readingOrder="1"/>
      <protection locked="true" hidden="false"/>
    </xf>
    <xf numFmtId="164" fontId="71" fillId="5" borderId="202" xfId="32" applyFont="true" applyBorder="true" applyAlignment="true" applyProtection="false">
      <alignment horizontal="general" vertical="center" textRotation="0" wrapText="true" indent="0" shrinkToFit="false" readingOrder="1"/>
      <protection locked="true" hidden="false"/>
    </xf>
    <xf numFmtId="164" fontId="71" fillId="5" borderId="138" xfId="32" applyFont="true" applyBorder="true" applyAlignment="true" applyProtection="false">
      <alignment horizontal="general" vertical="center" textRotation="0" wrapText="true" indent="0" shrinkToFit="false" readingOrder="1"/>
      <protection locked="true" hidden="false"/>
    </xf>
    <xf numFmtId="164" fontId="71" fillId="5" borderId="147" xfId="32" applyFont="true" applyBorder="true" applyAlignment="true" applyProtection="false">
      <alignment horizontal="center" vertical="center" textRotation="0" wrapText="true" indent="0" shrinkToFit="false" readingOrder="1"/>
      <protection locked="true" hidden="false"/>
    </xf>
    <xf numFmtId="164" fontId="22" fillId="0" borderId="203" xfId="32" applyFont="true" applyBorder="true" applyAlignment="true" applyProtection="false">
      <alignment horizontal="center" vertical="center" textRotation="0" wrapText="false" indent="0" shrinkToFit="false" readingOrder="1"/>
      <protection locked="true" hidden="false"/>
    </xf>
    <xf numFmtId="164" fontId="22" fillId="0" borderId="150" xfId="32" applyFont="true" applyBorder="true" applyAlignment="true" applyProtection="false">
      <alignment horizontal="center" vertical="center" textRotation="0" wrapText="true" indent="0" shrinkToFit="false" readingOrder="1"/>
      <protection locked="true" hidden="false"/>
    </xf>
    <xf numFmtId="164" fontId="75" fillId="0" borderId="184" xfId="32" applyFont="true" applyBorder="true" applyAlignment="true" applyProtection="false">
      <alignment horizontal="center" vertical="center" textRotation="0" wrapText="false" indent="0" shrinkToFit="false" readingOrder="1"/>
      <protection locked="true" hidden="false"/>
    </xf>
    <xf numFmtId="164" fontId="72" fillId="0" borderId="184" xfId="32" applyFont="true" applyBorder="true" applyAlignment="true" applyProtection="false">
      <alignment horizontal="center" vertical="center" textRotation="0" wrapText="true" indent="0" shrinkToFit="false" readingOrder="1"/>
      <protection locked="true" hidden="false"/>
    </xf>
    <xf numFmtId="170" fontId="72" fillId="0" borderId="184" xfId="32" applyFont="true" applyBorder="true" applyAlignment="true" applyProtection="false">
      <alignment horizontal="center" vertical="center" textRotation="0" wrapText="false" indent="0" shrinkToFit="false" readingOrder="1"/>
      <protection locked="true" hidden="false"/>
    </xf>
    <xf numFmtId="164" fontId="72" fillId="0" borderId="204" xfId="32" applyFont="true" applyBorder="true" applyAlignment="true" applyProtection="false">
      <alignment horizontal="center" vertical="center" textRotation="0" wrapText="false" indent="0" shrinkToFit="false" readingOrder="1"/>
      <protection locked="true" hidden="false"/>
    </xf>
    <xf numFmtId="164" fontId="127" fillId="0" borderId="205" xfId="32" applyFont="true" applyBorder="true" applyAlignment="true" applyProtection="false">
      <alignment horizontal="center" vertical="center" textRotation="0" wrapText="true" indent="0" shrinkToFit="false" readingOrder="1"/>
      <protection locked="true" hidden="false"/>
    </xf>
    <xf numFmtId="164" fontId="72" fillId="0" borderId="206" xfId="32" applyFont="true" applyBorder="true" applyAlignment="true" applyProtection="false">
      <alignment horizontal="center" vertical="center" textRotation="0" wrapText="false" indent="0" shrinkToFit="false" readingOrder="1"/>
      <protection locked="true" hidden="false"/>
    </xf>
    <xf numFmtId="174" fontId="72" fillId="0" borderId="207" xfId="36" applyFont="true" applyBorder="true" applyAlignment="true" applyProtection="true">
      <alignment horizontal="center" vertical="center" textRotation="0" wrapText="false" indent="0" shrinkToFit="false" readingOrder="1"/>
      <protection locked="true" hidden="false"/>
    </xf>
    <xf numFmtId="184" fontId="72" fillId="0" borderId="205" xfId="21" applyFont="true" applyBorder="true" applyAlignment="true" applyProtection="true">
      <alignment horizontal="center" vertical="center" textRotation="0" wrapText="false" indent="0" shrinkToFit="false" readingOrder="1"/>
      <protection locked="true" hidden="false"/>
    </xf>
    <xf numFmtId="184" fontId="72" fillId="0" borderId="205" xfId="32" applyFont="true" applyBorder="true" applyAlignment="true" applyProtection="false">
      <alignment horizontal="center" vertical="center" textRotation="0" wrapText="false" indent="0" shrinkToFit="false"/>
      <protection locked="true" hidden="false"/>
    </xf>
    <xf numFmtId="179" fontId="26" fillId="0" borderId="161" xfId="32" applyFont="true" applyBorder="true" applyAlignment="true" applyProtection="false">
      <alignment horizontal="center" vertical="center" textRotation="0" wrapText="false" indent="0" shrinkToFit="false"/>
      <protection locked="true" hidden="false"/>
    </xf>
    <xf numFmtId="170" fontId="72" fillId="0" borderId="0" xfId="32" applyFont="true" applyBorder="false" applyAlignment="true" applyProtection="false">
      <alignment horizontal="center" vertical="center" textRotation="0" wrapText="true" indent="0" shrinkToFit="false" readingOrder="1"/>
      <protection locked="true" hidden="false"/>
    </xf>
    <xf numFmtId="166" fontId="74" fillId="0" borderId="181" xfId="26" applyFont="true" applyBorder="true" applyAlignment="true" applyProtection="true">
      <alignment horizontal="center" vertical="center" textRotation="0" wrapText="false" indent="0" shrinkToFit="false"/>
      <protection locked="true" hidden="false"/>
    </xf>
    <xf numFmtId="181" fontId="72" fillId="0" borderId="182" xfId="32" applyFont="true" applyBorder="true" applyAlignment="true" applyProtection="false">
      <alignment horizontal="general" vertical="center" textRotation="0" wrapText="false" indent="0" shrinkToFit="false" readingOrder="1"/>
      <protection locked="true" hidden="false"/>
    </xf>
    <xf numFmtId="181" fontId="73" fillId="6" borderId="0" xfId="32" applyFont="true" applyBorder="false" applyAlignment="true" applyProtection="false">
      <alignment horizontal="general" vertical="center" textRotation="0" wrapText="false" indent="0" shrinkToFit="false" readingOrder="1"/>
      <protection locked="true" hidden="false"/>
    </xf>
    <xf numFmtId="164" fontId="130" fillId="0" borderId="190" xfId="32" applyFont="true" applyBorder="true" applyAlignment="true" applyProtection="false">
      <alignment horizontal="left" vertical="center" textRotation="0" wrapText="true" indent="0" shrinkToFit="false" readingOrder="1"/>
      <protection locked="true" hidden="false"/>
    </xf>
    <xf numFmtId="181" fontId="26" fillId="13" borderId="167" xfId="32" applyFont="true" applyBorder="true" applyAlignment="true" applyProtection="false">
      <alignment horizontal="center" vertical="center" textRotation="0" wrapText="false" indent="0" shrinkToFit="false"/>
      <protection locked="true" hidden="false"/>
    </xf>
    <xf numFmtId="181" fontId="73" fillId="0" borderId="168" xfId="32" applyFont="true" applyBorder="true" applyAlignment="true" applyProtection="false">
      <alignment horizontal="general" vertical="center" textRotation="0" wrapText="false" indent="0" shrinkToFit="false" readingOrder="1"/>
      <protection locked="true" hidden="false"/>
    </xf>
    <xf numFmtId="181" fontId="34" fillId="0" borderId="167" xfId="32" applyFont="true" applyBorder="true" applyAlignment="true" applyProtection="false">
      <alignment horizontal="center" vertical="center" textRotation="0" wrapText="false" indent="0" shrinkToFit="false"/>
      <protection locked="true" hidden="false"/>
    </xf>
    <xf numFmtId="184" fontId="73" fillId="0" borderId="208" xfId="32" applyFont="true" applyBorder="true" applyAlignment="true" applyProtection="false">
      <alignment horizontal="center" vertical="center" textRotation="0" wrapText="false" indent="0" shrinkToFit="false"/>
      <protection locked="true" hidden="false"/>
    </xf>
    <xf numFmtId="166" fontId="74" fillId="0" borderId="191" xfId="26" applyFont="true" applyBorder="true" applyAlignment="true" applyProtection="true">
      <alignment horizontal="center" vertical="center" textRotation="0" wrapText="false" indent="0" shrinkToFit="false"/>
      <protection locked="true" hidden="false"/>
    </xf>
    <xf numFmtId="184" fontId="72" fillId="0" borderId="209" xfId="32" applyFont="true" applyBorder="true" applyAlignment="true" applyProtection="false">
      <alignment horizontal="center" vertical="center" textRotation="0" wrapText="false" indent="0" shrinkToFit="false"/>
      <protection locked="true" hidden="false"/>
    </xf>
    <xf numFmtId="181" fontId="73" fillId="0" borderId="209" xfId="32" applyFont="true" applyBorder="true" applyAlignment="true" applyProtection="false">
      <alignment horizontal="center" vertical="center" textRotation="0" wrapText="false" indent="0" shrinkToFit="false"/>
      <protection locked="true" hidden="false"/>
    </xf>
    <xf numFmtId="179" fontId="72" fillId="0" borderId="186" xfId="32" applyFont="true" applyBorder="true" applyAlignment="true" applyProtection="false">
      <alignment horizontal="center" vertical="center" textRotation="0" wrapText="false" indent="0" shrinkToFit="false"/>
      <protection locked="true" hidden="false"/>
    </xf>
    <xf numFmtId="181" fontId="73" fillId="0" borderId="210" xfId="32" applyFont="true" applyBorder="true" applyAlignment="true" applyProtection="false">
      <alignment horizontal="center" vertical="center" textRotation="0" wrapText="false" indent="0" shrinkToFit="false"/>
      <protection locked="true" hidden="false"/>
    </xf>
    <xf numFmtId="164" fontId="127" fillId="0" borderId="211" xfId="32" applyFont="true" applyBorder="true" applyAlignment="true" applyProtection="false">
      <alignment horizontal="center" vertical="center" textRotation="0" wrapText="true" indent="0" shrinkToFit="false" readingOrder="1"/>
      <protection locked="true" hidden="false"/>
    </xf>
    <xf numFmtId="164" fontId="72" fillId="0" borderId="84" xfId="32" applyFont="true" applyBorder="true" applyAlignment="true" applyProtection="false">
      <alignment horizontal="center" vertical="center" textRotation="0" wrapText="false" indent="0" shrinkToFit="false" readingOrder="1"/>
      <protection locked="true" hidden="false"/>
    </xf>
    <xf numFmtId="180" fontId="72" fillId="0" borderId="211" xfId="32" applyFont="true" applyBorder="true" applyAlignment="true" applyProtection="false">
      <alignment horizontal="center" vertical="center" textRotation="0" wrapText="false" indent="0" shrinkToFit="false" readingOrder="1"/>
      <protection locked="true" hidden="false"/>
    </xf>
    <xf numFmtId="170" fontId="72" fillId="0" borderId="212" xfId="32" applyFont="true" applyBorder="true" applyAlignment="true" applyProtection="false">
      <alignment horizontal="center" vertical="center" textRotation="0" wrapText="true" indent="0" shrinkToFit="false" readingOrder="1"/>
      <protection locked="true" hidden="false"/>
    </xf>
    <xf numFmtId="181" fontId="72" fillId="0" borderId="180" xfId="32" applyFont="true" applyBorder="true" applyAlignment="true" applyProtection="false">
      <alignment horizontal="general" vertical="center" textRotation="0" wrapText="false" indent="0" shrinkToFit="false" readingOrder="1"/>
      <protection locked="true" hidden="false"/>
    </xf>
    <xf numFmtId="181" fontId="73" fillId="0" borderId="166" xfId="32" applyFont="true" applyBorder="true" applyAlignment="true" applyProtection="false">
      <alignment horizontal="general" vertical="center" textRotation="0" wrapText="false" indent="0" shrinkToFit="false" readingOrder="1"/>
      <protection locked="true" hidden="false"/>
    </xf>
    <xf numFmtId="179" fontId="26" fillId="0" borderId="177" xfId="32" applyFont="true" applyBorder="true" applyAlignment="true" applyProtection="false">
      <alignment horizontal="center" vertical="center" textRotation="0" wrapText="false" indent="0" shrinkToFit="false"/>
      <protection locked="true" hidden="false"/>
    </xf>
    <xf numFmtId="170" fontId="72" fillId="0" borderId="1" xfId="32" applyFont="true" applyBorder="true" applyAlignment="true" applyProtection="false">
      <alignment horizontal="center" vertical="center" textRotation="0" wrapText="true" indent="0" shrinkToFit="false" readingOrder="1"/>
      <protection locked="true" hidden="false"/>
    </xf>
    <xf numFmtId="181" fontId="73" fillId="0" borderId="173" xfId="32" applyFont="true" applyBorder="true" applyAlignment="true" applyProtection="false">
      <alignment horizontal="center" vertical="center" textRotation="0" wrapText="false" indent="0" shrinkToFit="false"/>
      <protection locked="true" hidden="false"/>
    </xf>
    <xf numFmtId="170" fontId="72" fillId="0" borderId="84" xfId="32" applyFont="true" applyBorder="true" applyAlignment="true" applyProtection="false">
      <alignment horizontal="center" vertical="center" textRotation="0" wrapText="true" indent="0" shrinkToFit="false" readingOrder="1"/>
      <protection locked="true" hidden="false"/>
    </xf>
    <xf numFmtId="164" fontId="127" fillId="0" borderId="211" xfId="32" applyFont="true" applyBorder="true" applyAlignment="true" applyProtection="false">
      <alignment horizontal="center" vertical="center" textRotation="0" wrapText="true" indent="0" shrinkToFit="false"/>
      <protection locked="true" hidden="false"/>
    </xf>
    <xf numFmtId="164" fontId="131" fillId="0" borderId="184" xfId="32" applyFont="true" applyBorder="true" applyAlignment="true" applyProtection="false">
      <alignment horizontal="center" vertical="center" textRotation="0" wrapText="true" indent="0" shrinkToFit="false" readingOrder="1"/>
      <protection locked="true" hidden="false"/>
    </xf>
    <xf numFmtId="164" fontId="73" fillId="0" borderId="0" xfId="32" applyFont="true" applyBorder="true" applyAlignment="true" applyProtection="false">
      <alignment horizontal="center" vertical="center" textRotation="0" wrapText="false" indent="0" shrinkToFit="false" readingOrder="1"/>
      <protection locked="true" hidden="false"/>
    </xf>
    <xf numFmtId="180" fontId="73" fillId="0" borderId="213" xfId="32" applyFont="true" applyBorder="true" applyAlignment="true" applyProtection="false">
      <alignment horizontal="center" vertical="center" textRotation="0" wrapText="false" indent="0" shrinkToFit="false" readingOrder="1"/>
      <protection locked="true" hidden="false"/>
    </xf>
    <xf numFmtId="184" fontId="72" fillId="0" borderId="214" xfId="32" applyFont="true" applyBorder="true" applyAlignment="true" applyProtection="false">
      <alignment horizontal="center" vertical="center" textRotation="0" wrapText="false" indent="0" shrinkToFit="false"/>
      <protection locked="true" hidden="false"/>
    </xf>
    <xf numFmtId="181" fontId="72" fillId="0" borderId="155" xfId="32" applyFont="true" applyBorder="true" applyAlignment="true" applyProtection="false">
      <alignment horizontal="center" vertical="center" textRotation="0" wrapText="false" indent="0" shrinkToFit="false"/>
      <protection locked="true" hidden="false"/>
    </xf>
    <xf numFmtId="184" fontId="72" fillId="0" borderId="215" xfId="32" applyFont="true" applyBorder="true" applyAlignment="true" applyProtection="false">
      <alignment horizontal="center" vertical="center" textRotation="0" wrapText="false" indent="0" shrinkToFit="false"/>
      <protection locked="true" hidden="false"/>
    </xf>
    <xf numFmtId="170" fontId="72" fillId="0" borderId="188" xfId="32" applyFont="true" applyBorder="true" applyAlignment="true" applyProtection="false">
      <alignment horizontal="center" vertical="center" textRotation="0" wrapText="true" indent="0" shrinkToFit="false" readingOrder="1"/>
      <protection locked="true" hidden="false"/>
    </xf>
    <xf numFmtId="184" fontId="73" fillId="0" borderId="216" xfId="32" applyFont="true" applyBorder="true" applyAlignment="true" applyProtection="false">
      <alignment horizontal="center" vertical="center" textRotation="0" wrapText="false" indent="0" shrinkToFit="false"/>
      <protection locked="true" hidden="false"/>
    </xf>
    <xf numFmtId="164" fontId="22" fillId="0" borderId="217" xfId="32" applyFont="true" applyBorder="true" applyAlignment="true" applyProtection="false">
      <alignment horizontal="center" vertical="center" textRotation="0" wrapText="false" indent="0" shrinkToFit="false" readingOrder="1"/>
      <protection locked="true" hidden="false"/>
    </xf>
    <xf numFmtId="164" fontId="22" fillId="0" borderId="206" xfId="32" applyFont="true" applyBorder="true" applyAlignment="true" applyProtection="false">
      <alignment horizontal="center" vertical="center" textRotation="0" wrapText="true" indent="0" shrinkToFit="false" readingOrder="1"/>
      <protection locked="true" hidden="false"/>
    </xf>
    <xf numFmtId="164" fontId="72" fillId="0" borderId="2" xfId="32" applyFont="true" applyBorder="true" applyAlignment="true" applyProtection="false">
      <alignment horizontal="center" vertical="center" textRotation="0" wrapText="false" indent="0" shrinkToFit="false" readingOrder="1"/>
      <protection locked="true" hidden="false"/>
    </xf>
    <xf numFmtId="164" fontId="75" fillId="0" borderId="5" xfId="32" applyFont="true" applyBorder="true" applyAlignment="true" applyProtection="false">
      <alignment horizontal="center" vertical="center" textRotation="0" wrapText="false" indent="0" shrinkToFit="false" readingOrder="1"/>
      <protection locked="true" hidden="false"/>
    </xf>
    <xf numFmtId="164" fontId="72" fillId="0" borderId="5" xfId="32" applyFont="true" applyBorder="true" applyAlignment="true" applyProtection="false">
      <alignment horizontal="center" vertical="center" textRotation="0" wrapText="true" indent="0" shrinkToFit="false" readingOrder="1"/>
      <protection locked="true" hidden="false"/>
    </xf>
    <xf numFmtId="170" fontId="72" fillId="0" borderId="5" xfId="32" applyFont="true" applyBorder="true" applyAlignment="true" applyProtection="false">
      <alignment horizontal="center" vertical="center" textRotation="0" wrapText="false" indent="0" shrinkToFit="false" readingOrder="1"/>
      <protection locked="true" hidden="false"/>
    </xf>
    <xf numFmtId="164" fontId="72" fillId="0" borderId="5" xfId="32" applyFont="true" applyBorder="true" applyAlignment="true" applyProtection="false">
      <alignment horizontal="center" vertical="center" textRotation="0" wrapText="false" indent="0" shrinkToFit="false" readingOrder="1"/>
      <protection locked="true" hidden="false"/>
    </xf>
    <xf numFmtId="174" fontId="72" fillId="0" borderId="211" xfId="36" applyFont="true" applyBorder="true" applyAlignment="true" applyProtection="true">
      <alignment horizontal="center" vertical="center" textRotation="0" wrapText="false" indent="0" shrinkToFit="false" readingOrder="1"/>
      <protection locked="true" hidden="false"/>
    </xf>
    <xf numFmtId="164" fontId="131" fillId="0" borderId="2" xfId="32" applyFont="true" applyBorder="true" applyAlignment="true" applyProtection="false">
      <alignment horizontal="center" vertical="center" textRotation="0" wrapText="true" indent="0" shrinkToFit="false" readingOrder="1"/>
      <protection locked="true" hidden="false"/>
    </xf>
    <xf numFmtId="164" fontId="73" fillId="0" borderId="2" xfId="32" applyFont="true" applyBorder="true" applyAlignment="true" applyProtection="false">
      <alignment horizontal="center" vertical="center" textRotation="0" wrapText="false" indent="0" shrinkToFit="false" readingOrder="1"/>
      <protection locked="true" hidden="false"/>
    </xf>
    <xf numFmtId="164" fontId="22" fillId="0" borderId="2" xfId="32" applyFont="true" applyBorder="true" applyAlignment="true" applyProtection="false">
      <alignment horizontal="center" vertical="center" textRotation="0" wrapText="false" indent="0" shrinkToFit="false" readingOrder="1"/>
      <protection locked="true" hidden="false"/>
    </xf>
    <xf numFmtId="164" fontId="22" fillId="0" borderId="2" xfId="32" applyFont="true" applyBorder="true" applyAlignment="true" applyProtection="false">
      <alignment horizontal="center" vertical="center" textRotation="0" wrapText="true" indent="0" shrinkToFit="false" readingOrder="1"/>
      <protection locked="true" hidden="false"/>
    </xf>
    <xf numFmtId="164" fontId="75" fillId="0" borderId="2" xfId="32" applyFont="true" applyBorder="true" applyAlignment="true" applyProtection="false">
      <alignment horizontal="center" vertical="center" textRotation="0" wrapText="false" indent="0" shrinkToFit="false" readingOrder="1"/>
      <protection locked="true" hidden="false"/>
    </xf>
    <xf numFmtId="164" fontId="72" fillId="0" borderId="2" xfId="32" applyFont="true" applyBorder="true" applyAlignment="true" applyProtection="false">
      <alignment horizontal="center" vertical="center" textRotation="0" wrapText="true" indent="0" shrinkToFit="false" readingOrder="1"/>
      <protection locked="true" hidden="false"/>
    </xf>
    <xf numFmtId="180" fontId="72" fillId="0" borderId="126" xfId="32" applyFont="true" applyBorder="true" applyAlignment="true" applyProtection="false">
      <alignment horizontal="center" vertical="center" textRotation="0" wrapText="false" indent="0" shrinkToFit="false" readingOrder="1"/>
      <protection locked="true" hidden="false"/>
    </xf>
    <xf numFmtId="170" fontId="72" fillId="0" borderId="132" xfId="32" applyFont="true" applyBorder="true" applyAlignment="true" applyProtection="false">
      <alignment horizontal="center" vertical="center" textRotation="0" wrapText="true" indent="0" shrinkToFit="false" readingOrder="1"/>
      <protection locked="true" hidden="false"/>
    </xf>
    <xf numFmtId="164" fontId="71" fillId="0" borderId="0" xfId="32" applyFont="true" applyBorder="false" applyAlignment="true" applyProtection="false">
      <alignment horizontal="general" vertical="center" textRotation="0" wrapText="false" indent="0" shrinkToFit="false" readingOrder="1"/>
      <protection locked="true" hidden="false"/>
    </xf>
    <xf numFmtId="164" fontId="22" fillId="0" borderId="218" xfId="32" applyFont="true" applyBorder="true" applyAlignment="true" applyProtection="false">
      <alignment horizontal="center" vertical="center" textRotation="0" wrapText="false" indent="0" shrinkToFit="false" readingOrder="1"/>
      <protection locked="true" hidden="false"/>
    </xf>
    <xf numFmtId="164" fontId="22" fillId="0" borderId="80" xfId="32" applyFont="true" applyBorder="true" applyAlignment="true" applyProtection="false">
      <alignment horizontal="center" vertical="center" textRotation="0" wrapText="true" indent="0" shrinkToFit="false" readingOrder="1"/>
      <protection locked="true" hidden="false"/>
    </xf>
    <xf numFmtId="164" fontId="72" fillId="0" borderId="80" xfId="32" applyFont="true" applyBorder="true" applyAlignment="true" applyProtection="false">
      <alignment horizontal="center" vertical="center" textRotation="0" wrapText="false" indent="0" shrinkToFit="false" readingOrder="1"/>
      <protection locked="true" hidden="false"/>
    </xf>
    <xf numFmtId="164" fontId="72" fillId="0" borderId="80" xfId="32" applyFont="true" applyBorder="true" applyAlignment="true" applyProtection="false">
      <alignment horizontal="center" vertical="center" textRotation="0" wrapText="true" indent="0" shrinkToFit="false" readingOrder="1"/>
      <protection locked="true" hidden="false"/>
    </xf>
    <xf numFmtId="164" fontId="127" fillId="0" borderId="71" xfId="32" applyFont="true" applyBorder="true" applyAlignment="true" applyProtection="false">
      <alignment horizontal="center" vertical="center" textRotation="0" wrapText="true" indent="0" shrinkToFit="false" readingOrder="1"/>
      <protection locked="true" hidden="false"/>
    </xf>
    <xf numFmtId="164" fontId="72" fillId="0" borderId="71" xfId="32" applyFont="true" applyBorder="true" applyAlignment="true" applyProtection="false">
      <alignment horizontal="center" vertical="center" textRotation="0" wrapText="false" indent="0" shrinkToFit="false" readingOrder="1"/>
      <protection locked="true" hidden="false"/>
    </xf>
    <xf numFmtId="180" fontId="72" fillId="0" borderId="219" xfId="32" applyFont="true" applyBorder="true" applyAlignment="true" applyProtection="false">
      <alignment horizontal="center" vertical="center" textRotation="0" wrapText="false" indent="0" shrinkToFit="false" readingOrder="1"/>
      <protection locked="true" hidden="false"/>
    </xf>
    <xf numFmtId="184" fontId="72" fillId="0" borderId="220" xfId="21" applyFont="true" applyBorder="true" applyAlignment="true" applyProtection="true">
      <alignment horizontal="center" vertical="center" textRotation="0" wrapText="false" indent="0" shrinkToFit="false" readingOrder="1"/>
      <protection locked="true" hidden="false"/>
    </xf>
    <xf numFmtId="184" fontId="72" fillId="0" borderId="220" xfId="32" applyFont="true" applyBorder="true" applyAlignment="true" applyProtection="false">
      <alignment horizontal="center" vertical="center" textRotation="0" wrapText="false" indent="0" shrinkToFit="false"/>
      <protection locked="true" hidden="false"/>
    </xf>
    <xf numFmtId="184" fontId="72" fillId="0" borderId="221" xfId="32" applyFont="true" applyBorder="true" applyAlignment="true" applyProtection="false">
      <alignment horizontal="center" vertical="center" textRotation="0" wrapText="false" indent="0" shrinkToFit="false"/>
      <protection locked="true" hidden="false"/>
    </xf>
    <xf numFmtId="179" fontId="26" fillId="0" borderId="221" xfId="32" applyFont="true" applyBorder="true" applyAlignment="true" applyProtection="false">
      <alignment horizontal="center" vertical="center" textRotation="0" wrapText="false" indent="0" shrinkToFit="false"/>
      <protection locked="true" hidden="false"/>
    </xf>
    <xf numFmtId="179" fontId="26" fillId="0" borderId="222" xfId="32" applyFont="true" applyBorder="true" applyAlignment="true" applyProtection="false">
      <alignment horizontal="center" vertical="center" textRotation="0" wrapText="false" indent="0" shrinkToFit="false"/>
      <protection locked="true" hidden="false"/>
    </xf>
    <xf numFmtId="170" fontId="72" fillId="0" borderId="223" xfId="32" applyFont="true" applyBorder="true" applyAlignment="true" applyProtection="false">
      <alignment horizontal="center" vertical="center" textRotation="0" wrapText="true" indent="0" shrinkToFit="false" readingOrder="1"/>
      <protection locked="true" hidden="false"/>
    </xf>
    <xf numFmtId="184" fontId="72" fillId="0" borderId="224" xfId="32" applyFont="true" applyBorder="true" applyAlignment="true" applyProtection="false">
      <alignment horizontal="center" vertical="center" textRotation="0" wrapText="false" indent="0" shrinkToFit="false"/>
      <protection locked="true" hidden="false"/>
    </xf>
    <xf numFmtId="166" fontId="72" fillId="0" borderId="225" xfId="26" applyFont="true" applyBorder="true" applyAlignment="true" applyProtection="true">
      <alignment horizontal="center" vertical="center" textRotation="0" wrapText="false" indent="0" shrinkToFit="false"/>
      <protection locked="true" hidden="false"/>
    </xf>
    <xf numFmtId="184" fontId="72" fillId="0" borderId="226" xfId="32" applyFont="true" applyBorder="true" applyAlignment="true" applyProtection="false">
      <alignment horizontal="center" vertical="center" textRotation="0" wrapText="false" indent="0" shrinkToFit="false"/>
      <protection locked="true" hidden="false"/>
    </xf>
    <xf numFmtId="181" fontId="26" fillId="0" borderId="226" xfId="32" applyFont="true" applyBorder="true" applyAlignment="true" applyProtection="false">
      <alignment horizontal="center" vertical="center" textRotation="0" wrapText="false" indent="0" shrinkToFit="false"/>
      <protection locked="true" hidden="false"/>
    </xf>
    <xf numFmtId="166" fontId="74" fillId="0" borderId="226" xfId="26" applyFont="true" applyBorder="true" applyAlignment="true" applyProtection="true">
      <alignment horizontal="center" vertical="center" textRotation="0" wrapText="false" indent="0" shrinkToFit="false"/>
      <protection locked="true" hidden="false"/>
    </xf>
    <xf numFmtId="181" fontId="72" fillId="0" borderId="226" xfId="32" applyFont="true" applyBorder="true" applyAlignment="true" applyProtection="false">
      <alignment horizontal="center" vertical="center" textRotation="0" wrapText="false" indent="0" shrinkToFit="false"/>
      <protection locked="true" hidden="false"/>
    </xf>
    <xf numFmtId="179" fontId="72" fillId="0" borderId="221" xfId="32" applyFont="true" applyBorder="true" applyAlignment="true" applyProtection="false">
      <alignment horizontal="center" vertical="center" textRotation="0" wrapText="false" indent="0" shrinkToFit="false"/>
      <protection locked="true" hidden="false"/>
    </xf>
    <xf numFmtId="181" fontId="72" fillId="0" borderId="227" xfId="32" applyFont="true" applyBorder="true" applyAlignment="true" applyProtection="false">
      <alignment horizontal="center" vertical="center" textRotation="0" wrapText="false" indent="0" shrinkToFit="false"/>
      <protection locked="true" hidden="false"/>
    </xf>
    <xf numFmtId="181" fontId="72" fillId="0" borderId="228" xfId="32" applyFont="true" applyBorder="true" applyAlignment="true" applyProtection="false">
      <alignment horizontal="center" vertical="center" textRotation="0" wrapText="false" indent="0" shrinkToFit="false"/>
      <protection locked="true" hidden="false"/>
    </xf>
    <xf numFmtId="181" fontId="73" fillId="0" borderId="229" xfId="32" applyFont="true" applyBorder="true" applyAlignment="true" applyProtection="false">
      <alignment horizontal="center" vertical="center" textRotation="0" wrapText="false" indent="0" shrinkToFit="false"/>
      <protection locked="true" hidden="false"/>
    </xf>
    <xf numFmtId="164" fontId="72" fillId="0" borderId="4" xfId="32" applyFont="true" applyBorder="true" applyAlignment="true" applyProtection="false">
      <alignment horizontal="center" vertical="center" textRotation="0" wrapText="false" indent="0" shrinkToFit="false" readingOrder="1"/>
      <protection locked="true" hidden="false"/>
    </xf>
    <xf numFmtId="179" fontId="26" fillId="0" borderId="183" xfId="32" applyFont="true" applyBorder="true" applyAlignment="true" applyProtection="false">
      <alignment horizontal="center" vertical="center" textRotation="0" wrapText="false" indent="0" shrinkToFit="false"/>
      <protection locked="true" hidden="false"/>
    </xf>
    <xf numFmtId="179" fontId="26" fillId="0" borderId="230" xfId="32" applyFont="true" applyBorder="true" applyAlignment="true" applyProtection="false">
      <alignment horizontal="center" vertical="center" textRotation="0" wrapText="false" indent="0" shrinkToFit="false"/>
      <protection locked="true" hidden="false"/>
    </xf>
    <xf numFmtId="179" fontId="26" fillId="0" borderId="167" xfId="32" applyFont="true" applyBorder="true" applyAlignment="true" applyProtection="false">
      <alignment horizontal="center" vertical="center" textRotation="0" wrapText="false" indent="0" shrinkToFit="false"/>
      <protection locked="true" hidden="false"/>
    </xf>
    <xf numFmtId="179" fontId="26" fillId="0" borderId="231" xfId="32" applyFont="true" applyBorder="true" applyAlignment="true" applyProtection="false">
      <alignment horizontal="center" vertical="center" textRotation="0" wrapText="false" indent="0" shrinkToFit="false"/>
      <protection locked="true" hidden="false"/>
    </xf>
    <xf numFmtId="184" fontId="72" fillId="0" borderId="185" xfId="32" applyFont="true" applyBorder="true" applyAlignment="true" applyProtection="false">
      <alignment horizontal="center" vertical="center" textRotation="0" wrapText="false" indent="0" shrinkToFit="false"/>
      <protection locked="true" hidden="false"/>
    </xf>
    <xf numFmtId="179" fontId="26" fillId="0" borderId="154" xfId="32" applyFont="true" applyBorder="true" applyAlignment="true" applyProtection="false">
      <alignment horizontal="center" vertical="center" textRotation="0" wrapText="false" indent="0" shrinkToFit="false"/>
      <protection locked="true" hidden="false"/>
    </xf>
    <xf numFmtId="184" fontId="72" fillId="0" borderId="170" xfId="32" applyFont="true" applyBorder="true" applyAlignment="true" applyProtection="false">
      <alignment horizontal="center" vertical="center" textRotation="0" wrapText="false" indent="0" shrinkToFit="false"/>
      <protection locked="true" hidden="false"/>
    </xf>
    <xf numFmtId="179" fontId="26" fillId="0" borderId="165" xfId="32" applyFont="true" applyBorder="true" applyAlignment="true" applyProtection="false">
      <alignment horizontal="center" vertical="center" textRotation="0" wrapText="false" indent="0" shrinkToFit="false"/>
      <protection locked="true" hidden="false"/>
    </xf>
    <xf numFmtId="184" fontId="72" fillId="0" borderId="187" xfId="32" applyFont="true" applyBorder="true" applyAlignment="true" applyProtection="false">
      <alignment horizontal="center" vertical="center" textRotation="0" wrapText="false" indent="0" shrinkToFit="false"/>
      <protection locked="true" hidden="false"/>
    </xf>
    <xf numFmtId="179" fontId="26" fillId="0" borderId="208" xfId="32" applyFont="true" applyBorder="true" applyAlignment="true" applyProtection="false">
      <alignment horizontal="center" vertical="center" textRotation="0" wrapText="false" indent="0" shrinkToFit="false"/>
      <protection locked="true" hidden="false"/>
    </xf>
    <xf numFmtId="184" fontId="72" fillId="0" borderId="5" xfId="21" applyFont="true" applyBorder="true" applyAlignment="true" applyProtection="true">
      <alignment horizontal="center" vertical="center" textRotation="0" wrapText="false" indent="0" shrinkToFit="false" readingOrder="1"/>
      <protection locked="true" hidden="false"/>
    </xf>
    <xf numFmtId="184" fontId="72" fillId="0" borderId="4" xfId="32" applyFont="true" applyBorder="true" applyAlignment="true" applyProtection="false">
      <alignment horizontal="center" vertical="center" textRotation="0" wrapText="false" indent="0" shrinkToFit="false"/>
      <protection locked="true" hidden="false"/>
    </xf>
    <xf numFmtId="184" fontId="72" fillId="0" borderId="232" xfId="32" applyFont="true" applyBorder="true" applyAlignment="true" applyProtection="false">
      <alignment horizontal="center" vertical="center" textRotation="0" wrapText="false" indent="0" shrinkToFit="false"/>
      <protection locked="true" hidden="false"/>
    </xf>
    <xf numFmtId="179" fontId="26" fillId="0" borderId="156" xfId="32" applyFont="true" applyBorder="true" applyAlignment="true" applyProtection="false">
      <alignment horizontal="center" vertical="center" textRotation="0" wrapText="false" indent="0" shrinkToFit="false"/>
      <protection locked="true" hidden="false"/>
    </xf>
    <xf numFmtId="184" fontId="72" fillId="0" borderId="233" xfId="32" applyFont="true" applyBorder="true" applyAlignment="true" applyProtection="false">
      <alignment horizontal="center" vertical="center" textRotation="0" wrapText="false" indent="0" shrinkToFit="false"/>
      <protection locked="true" hidden="false"/>
    </xf>
    <xf numFmtId="179" fontId="26" fillId="0" borderId="172" xfId="32" applyFont="true" applyBorder="true" applyAlignment="true" applyProtection="false">
      <alignment horizontal="center" vertical="center" textRotation="0" wrapText="false" indent="0" shrinkToFit="false"/>
      <protection locked="true" hidden="false"/>
    </xf>
    <xf numFmtId="184" fontId="72" fillId="0" borderId="172" xfId="32" applyFont="true" applyBorder="true" applyAlignment="true" applyProtection="false">
      <alignment horizontal="center" vertical="center" textRotation="0" wrapText="false" indent="0" shrinkToFit="false"/>
      <protection locked="true" hidden="false"/>
    </xf>
    <xf numFmtId="179" fontId="26" fillId="0" borderId="150" xfId="32" applyFont="true" applyBorder="true" applyAlignment="true" applyProtection="false">
      <alignment horizontal="center" vertical="center" textRotation="0" wrapText="false" indent="0" shrinkToFit="false"/>
      <protection locked="true" hidden="false"/>
    </xf>
    <xf numFmtId="179" fontId="26" fillId="0" borderId="151" xfId="32" applyFont="true" applyBorder="true" applyAlignment="true" applyProtection="false">
      <alignment horizontal="center" vertical="center" textRotation="0" wrapText="false" indent="0" shrinkToFit="false"/>
      <protection locked="true" hidden="false"/>
    </xf>
    <xf numFmtId="179" fontId="26" fillId="0" borderId="178" xfId="32" applyFont="true" applyBorder="true" applyAlignment="true" applyProtection="false">
      <alignment horizontal="center" vertical="center" textRotation="0" wrapText="false" indent="0" shrinkToFit="false"/>
      <protection locked="true" hidden="false"/>
    </xf>
    <xf numFmtId="174" fontId="72" fillId="0" borderId="178" xfId="36" applyFont="true" applyBorder="true" applyAlignment="true" applyProtection="true">
      <alignment horizontal="center" vertical="center" textRotation="0" wrapText="false" indent="0" shrinkToFit="false" readingOrder="1"/>
      <protection locked="true" hidden="false"/>
    </xf>
    <xf numFmtId="184" fontId="72" fillId="0" borderId="151" xfId="32" applyFont="true" applyBorder="true" applyAlignment="true" applyProtection="false">
      <alignment horizontal="center" vertical="center" textRotation="0" wrapText="false" indent="0" shrinkToFit="false"/>
      <protection locked="true" hidden="false"/>
    </xf>
    <xf numFmtId="164" fontId="130" fillId="0" borderId="234" xfId="32" applyFont="true" applyBorder="true" applyAlignment="true" applyProtection="false">
      <alignment horizontal="left" vertical="center" textRotation="0" wrapText="true" indent="0" shrinkToFit="false" readingOrder="1"/>
      <protection locked="true" hidden="false"/>
    </xf>
    <xf numFmtId="164" fontId="127" fillId="0" borderId="4" xfId="32" applyFont="true" applyBorder="true" applyAlignment="true" applyProtection="false">
      <alignment horizontal="center" vertical="center" textRotation="0" wrapText="true" indent="0" shrinkToFit="false" readingOrder="1"/>
      <protection locked="true" hidden="false"/>
    </xf>
    <xf numFmtId="174" fontId="72" fillId="0" borderId="5" xfId="32" applyFont="true" applyBorder="true" applyAlignment="true" applyProtection="false">
      <alignment horizontal="center" vertical="center" textRotation="0" wrapText="false" indent="0" shrinkToFit="false" readingOrder="1"/>
      <protection locked="true" hidden="false"/>
    </xf>
    <xf numFmtId="164" fontId="130" fillId="0" borderId="235" xfId="32" applyFont="true" applyBorder="true" applyAlignment="true" applyProtection="false">
      <alignment horizontal="left" vertical="center" textRotation="0" wrapText="true" indent="0" shrinkToFit="false" readingOrder="1"/>
      <protection locked="true" hidden="false"/>
    </xf>
    <xf numFmtId="168" fontId="72" fillId="0" borderId="174" xfId="32" applyFont="true" applyBorder="true" applyAlignment="true" applyProtection="false">
      <alignment horizontal="center" vertical="center" textRotation="0" wrapText="false" indent="0" shrinkToFit="false"/>
      <protection locked="true" hidden="false"/>
    </xf>
    <xf numFmtId="179" fontId="72" fillId="0" borderId="236" xfId="32" applyFont="true" applyBorder="true" applyAlignment="true" applyProtection="false">
      <alignment horizontal="center" vertical="center" textRotation="0" wrapText="false" indent="0" shrinkToFit="false"/>
      <protection locked="true" hidden="false"/>
    </xf>
    <xf numFmtId="179" fontId="73" fillId="0" borderId="237" xfId="32" applyFont="true" applyBorder="true" applyAlignment="true" applyProtection="false">
      <alignment horizontal="center" vertical="center" textRotation="0" wrapText="false" indent="0" shrinkToFit="false"/>
      <protection locked="true" hidden="false"/>
    </xf>
    <xf numFmtId="164" fontId="127" fillId="0" borderId="238" xfId="32" applyFont="true" applyBorder="true" applyAlignment="true" applyProtection="false">
      <alignment horizontal="center" vertical="center" textRotation="0" wrapText="true" indent="0" shrinkToFit="false" readingOrder="1"/>
      <protection locked="true" hidden="false"/>
    </xf>
    <xf numFmtId="170" fontId="72" fillId="0" borderId="239" xfId="32" applyFont="true" applyBorder="true" applyAlignment="true" applyProtection="false">
      <alignment horizontal="center" vertical="center" textRotation="0" wrapText="false" indent="0" shrinkToFit="false" readingOrder="1"/>
      <protection locked="true" hidden="false"/>
    </xf>
    <xf numFmtId="174" fontId="72" fillId="0" borderId="239" xfId="32" applyFont="true" applyBorder="true" applyAlignment="true" applyProtection="false">
      <alignment horizontal="center" vertical="center" textRotation="0" wrapText="false" indent="0" shrinkToFit="false" readingOrder="1"/>
      <protection locked="true" hidden="false"/>
    </xf>
    <xf numFmtId="184" fontId="72" fillId="0" borderId="239" xfId="21" applyFont="true" applyBorder="true" applyAlignment="true" applyProtection="true">
      <alignment horizontal="center" vertical="center" textRotation="0" wrapText="false" indent="0" shrinkToFit="false" readingOrder="1"/>
      <protection locked="true" hidden="false"/>
    </xf>
    <xf numFmtId="184" fontId="72" fillId="0" borderId="239" xfId="32" applyFont="true" applyBorder="true" applyAlignment="true" applyProtection="false">
      <alignment horizontal="center" vertical="center" textRotation="0" wrapText="false" indent="0" shrinkToFit="false"/>
      <protection locked="true" hidden="false"/>
    </xf>
    <xf numFmtId="181" fontId="26" fillId="0" borderId="181" xfId="32" applyFont="true" applyBorder="true" applyAlignment="true" applyProtection="false">
      <alignment horizontal="center" vertical="center" textRotation="0" wrapText="false" indent="0" shrinkToFit="false"/>
      <protection locked="true" hidden="false"/>
    </xf>
    <xf numFmtId="181" fontId="72" fillId="0" borderId="240" xfId="32" applyFont="true" applyBorder="true" applyAlignment="true" applyProtection="false">
      <alignment horizontal="center" vertical="center" textRotation="0" wrapText="false" indent="0" shrinkToFit="false"/>
      <protection locked="true" hidden="false"/>
    </xf>
    <xf numFmtId="184" fontId="72" fillId="0" borderId="198" xfId="32" applyFont="true" applyBorder="true" applyAlignment="true" applyProtection="false">
      <alignment horizontal="center" vertical="center" textRotation="0" wrapText="false" indent="0" shrinkToFit="false"/>
      <protection locked="true" hidden="false"/>
    </xf>
    <xf numFmtId="179" fontId="26" fillId="0" borderId="198" xfId="32" applyFont="true" applyBorder="true" applyAlignment="true" applyProtection="false">
      <alignment horizontal="center" vertical="center" textRotation="0" wrapText="false" indent="0" shrinkToFit="false"/>
      <protection locked="true" hidden="false"/>
    </xf>
    <xf numFmtId="179" fontId="26" fillId="0" borderId="237" xfId="32" applyFont="true" applyBorder="true" applyAlignment="true" applyProtection="false">
      <alignment horizontal="center" vertical="center" textRotation="0" wrapText="false" indent="0" shrinkToFit="false"/>
      <protection locked="true" hidden="false"/>
    </xf>
    <xf numFmtId="168" fontId="72" fillId="0" borderId="197" xfId="32" applyFont="true" applyBorder="true" applyAlignment="true" applyProtection="false">
      <alignment horizontal="center" vertical="center" textRotation="0" wrapText="false" indent="0" shrinkToFit="false"/>
      <protection locked="true" hidden="false"/>
    </xf>
    <xf numFmtId="181" fontId="26" fillId="0" borderId="241" xfId="32" applyFont="true" applyBorder="true" applyAlignment="true" applyProtection="false">
      <alignment horizontal="center" vertical="center" textRotation="0" wrapText="false" indent="0" shrinkToFit="false"/>
      <protection locked="true" hidden="false"/>
    </xf>
    <xf numFmtId="181" fontId="73" fillId="0" borderId="242" xfId="32" applyFont="true" applyBorder="true" applyAlignment="true" applyProtection="false">
      <alignment horizontal="center" vertical="center" textRotation="0" wrapText="false" indent="0" shrinkToFit="false"/>
      <protection locked="true" hidden="false"/>
    </xf>
    <xf numFmtId="164" fontId="131" fillId="0" borderId="77" xfId="32" applyFont="true" applyBorder="true" applyAlignment="true" applyProtection="false">
      <alignment horizontal="center" vertical="center" textRotation="0" wrapText="true" indent="0" shrinkToFit="false" readingOrder="1"/>
      <protection locked="true" hidden="false"/>
    </xf>
    <xf numFmtId="164" fontId="73" fillId="0" borderId="75" xfId="32" applyFont="true" applyBorder="true" applyAlignment="true" applyProtection="false">
      <alignment horizontal="center" vertical="center" textRotation="0" wrapText="false" indent="0" shrinkToFit="false" readingOrder="1"/>
      <protection locked="true" hidden="false"/>
    </xf>
    <xf numFmtId="174" fontId="72" fillId="0" borderId="75" xfId="32" applyFont="true" applyBorder="true" applyAlignment="true" applyProtection="false">
      <alignment horizontal="center" vertical="center" textRotation="0" wrapText="false" indent="0" shrinkToFit="false" readingOrder="1"/>
      <protection locked="true" hidden="false"/>
    </xf>
    <xf numFmtId="184" fontId="72" fillId="0" borderId="75" xfId="21" applyFont="true" applyBorder="true" applyAlignment="true" applyProtection="true">
      <alignment horizontal="center" vertical="center" textRotation="0" wrapText="false" indent="0" shrinkToFit="false" readingOrder="1"/>
      <protection locked="true" hidden="false"/>
    </xf>
    <xf numFmtId="184" fontId="72" fillId="0" borderId="243" xfId="32" applyFont="true" applyBorder="true" applyAlignment="true" applyProtection="false">
      <alignment horizontal="center" vertical="center" textRotation="0" wrapText="false" indent="0" shrinkToFit="false"/>
      <protection locked="true" hidden="false"/>
    </xf>
    <xf numFmtId="179" fontId="26" fillId="0" borderId="243" xfId="32" applyFont="true" applyBorder="true" applyAlignment="true" applyProtection="false">
      <alignment horizontal="center" vertical="center" textRotation="0" wrapText="false" indent="0" shrinkToFit="false"/>
      <protection locked="true" hidden="false"/>
    </xf>
    <xf numFmtId="179" fontId="26" fillId="0" borderId="244" xfId="32" applyFont="true" applyBorder="true" applyAlignment="true" applyProtection="false">
      <alignment horizontal="center" vertical="center" textRotation="0" wrapText="false" indent="0" shrinkToFit="false"/>
      <protection locked="true" hidden="false"/>
    </xf>
    <xf numFmtId="170" fontId="72" fillId="0" borderId="245" xfId="32" applyFont="true" applyBorder="true" applyAlignment="true" applyProtection="false">
      <alignment horizontal="center" vertical="center" textRotation="0" wrapText="true" indent="0" shrinkToFit="false" readingOrder="1"/>
      <protection locked="true" hidden="false"/>
    </xf>
    <xf numFmtId="164" fontId="123" fillId="6" borderId="241" xfId="32" applyFont="true" applyBorder="true" applyAlignment="true" applyProtection="false">
      <alignment horizontal="general" vertical="center" textRotation="0" wrapText="false" indent="0" shrinkToFit="false"/>
      <protection locked="true" hidden="false"/>
    </xf>
    <xf numFmtId="164" fontId="123" fillId="6" borderId="246" xfId="32" applyFont="true" applyBorder="true" applyAlignment="true" applyProtection="false">
      <alignment horizontal="general" vertical="center" textRotation="0" wrapText="false" indent="0" shrinkToFit="false"/>
      <protection locked="true" hidden="false"/>
    </xf>
    <xf numFmtId="184" fontId="72" fillId="0" borderId="247" xfId="32" applyFont="true" applyBorder="true" applyAlignment="true" applyProtection="false">
      <alignment horizontal="center" vertical="center" textRotation="0" wrapText="false" indent="0" shrinkToFit="false"/>
      <protection locked="true" hidden="false"/>
    </xf>
    <xf numFmtId="168" fontId="72" fillId="0" borderId="241" xfId="32" applyFont="true" applyBorder="true" applyAlignment="true" applyProtection="false">
      <alignment horizontal="center" vertical="center" textRotation="0" wrapText="false" indent="0" shrinkToFit="false"/>
      <protection locked="true" hidden="false"/>
    </xf>
    <xf numFmtId="184" fontId="73" fillId="0" borderId="241" xfId="32" applyFont="true" applyBorder="true" applyAlignment="true" applyProtection="false">
      <alignment horizontal="center" vertical="center" textRotation="0" wrapText="false" indent="0" shrinkToFit="false"/>
      <protection locked="true" hidden="false"/>
    </xf>
    <xf numFmtId="181" fontId="73" fillId="0" borderId="241" xfId="32" applyFont="true" applyBorder="true" applyAlignment="true" applyProtection="false">
      <alignment horizontal="center" vertical="center" textRotation="0" wrapText="false" indent="0" shrinkToFit="false"/>
      <protection locked="true" hidden="false"/>
    </xf>
    <xf numFmtId="179" fontId="72" fillId="0" borderId="243" xfId="32" applyFont="true" applyBorder="true" applyAlignment="true" applyProtection="false">
      <alignment horizontal="center" vertical="center" textRotation="0" wrapText="false" indent="0" shrinkToFit="false"/>
      <protection locked="true" hidden="false"/>
    </xf>
    <xf numFmtId="181" fontId="73" fillId="0" borderId="248" xfId="32" applyFont="true" applyBorder="true" applyAlignment="true" applyProtection="false">
      <alignment horizontal="center" vertical="center" textRotation="0" wrapText="false" indent="0" shrinkToFit="false"/>
      <protection locked="true" hidden="false"/>
    </xf>
    <xf numFmtId="166" fontId="5" fillId="0" borderId="0" xfId="32" applyFont="true" applyBorder="false" applyAlignment="true" applyProtection="false">
      <alignment horizontal="general" vertical="center" textRotation="0" wrapText="false" indent="0" shrinkToFit="false"/>
      <protection locked="true" hidden="false"/>
    </xf>
    <xf numFmtId="172" fontId="5" fillId="0" borderId="0" xfId="36" applyFont="true" applyBorder="true" applyAlignment="true" applyProtection="true">
      <alignment horizontal="general" vertical="center" textRotation="0" wrapText="false" indent="0" shrinkToFit="false"/>
      <protection locked="true" hidden="false"/>
    </xf>
    <xf numFmtId="168" fontId="5" fillId="0" borderId="0" xfId="32" applyFont="true" applyBorder="false" applyAlignment="true" applyProtection="false">
      <alignment horizontal="general" vertical="center" textRotation="0" wrapText="false" indent="0" shrinkToFit="false"/>
      <protection locked="true" hidden="false"/>
    </xf>
    <xf numFmtId="168" fontId="0" fillId="0" borderId="0" xfId="32" applyFont="true" applyBorder="false" applyAlignment="true" applyProtection="false">
      <alignment horizontal="general" vertical="center" textRotation="0" wrapText="false" indent="0" shrinkToFit="false"/>
      <protection locked="true" hidden="false"/>
    </xf>
    <xf numFmtId="168" fontId="0" fillId="0" borderId="71" xfId="32" applyFont="true" applyBorder="true" applyAlignment="true" applyProtection="false">
      <alignment horizontal="center" vertical="center" textRotation="0" wrapText="false" indent="0" shrinkToFit="false"/>
      <protection locked="true" hidden="false"/>
    </xf>
    <xf numFmtId="164" fontId="5" fillId="0" borderId="71" xfId="32" applyFont="true" applyBorder="true" applyAlignment="true" applyProtection="false">
      <alignment horizontal="center" vertical="center" textRotation="0" wrapText="false" indent="0" shrinkToFit="false"/>
      <protection locked="true" hidden="false"/>
    </xf>
    <xf numFmtId="164" fontId="5" fillId="0" borderId="73" xfId="32" applyFont="true" applyBorder="true" applyAlignment="true" applyProtection="false">
      <alignment horizontal="center" vertical="center" textRotation="0" wrapText="false" indent="0" shrinkToFit="false"/>
      <protection locked="true" hidden="false"/>
    </xf>
    <xf numFmtId="164" fontId="5" fillId="0" borderId="12" xfId="32" applyFont="true" applyBorder="true" applyAlignment="true" applyProtection="false">
      <alignment horizontal="general" vertical="center" textRotation="0" wrapText="false" indent="0" shrinkToFit="false"/>
      <protection locked="true" hidden="false"/>
    </xf>
    <xf numFmtId="164" fontId="0" fillId="0" borderId="74" xfId="32" applyFont="true" applyBorder="true" applyAlignment="true" applyProtection="false">
      <alignment horizontal="center" vertical="center" textRotation="0" wrapText="false" indent="0" shrinkToFit="false"/>
      <protection locked="true" hidden="false"/>
    </xf>
    <xf numFmtId="168" fontId="0" fillId="0" borderId="5" xfId="25" applyFont="true" applyBorder="true" applyAlignment="true" applyProtection="true">
      <alignment horizontal="general" vertical="center" textRotation="0" wrapText="false" indent="0" shrinkToFit="false"/>
      <protection locked="true" hidden="false"/>
    </xf>
    <xf numFmtId="165" fontId="5" fillId="0" borderId="5" xfId="32" applyFont="true" applyBorder="true" applyAlignment="true" applyProtection="false">
      <alignment horizontal="center" vertical="center" textRotation="0" wrapText="false" indent="0" shrinkToFit="false"/>
      <protection locked="true" hidden="false"/>
    </xf>
    <xf numFmtId="165" fontId="5" fillId="0" borderId="76" xfId="32" applyFont="true" applyBorder="true" applyAlignment="true" applyProtection="false">
      <alignment horizontal="center" vertical="center" textRotation="0" wrapText="false" indent="0" shrinkToFit="false"/>
      <protection locked="true" hidden="false"/>
    </xf>
    <xf numFmtId="164" fontId="5" fillId="0" borderId="5" xfId="32" applyFont="true" applyBorder="true" applyAlignment="true" applyProtection="false">
      <alignment horizontal="center" vertical="center" textRotation="0" wrapText="false" indent="0" shrinkToFit="false"/>
      <protection locked="true" hidden="false"/>
    </xf>
    <xf numFmtId="168" fontId="0" fillId="0" borderId="5" xfId="32" applyFont="true" applyBorder="true" applyAlignment="true" applyProtection="false">
      <alignment horizontal="center" vertical="center" textRotation="0" wrapText="false" indent="0" shrinkToFit="false"/>
      <protection locked="true" hidden="false"/>
    </xf>
    <xf numFmtId="181" fontId="5" fillId="0" borderId="0" xfId="32" applyFont="true" applyBorder="false" applyAlignment="true" applyProtection="false">
      <alignment horizontal="general" vertical="center" textRotation="0" wrapText="false" indent="0" shrinkToFit="false"/>
      <protection locked="true" hidden="false"/>
    </xf>
    <xf numFmtId="168" fontId="36" fillId="0" borderId="5" xfId="25" applyFont="true" applyBorder="true" applyAlignment="true" applyProtection="true">
      <alignment horizontal="general" vertical="center" textRotation="0" wrapText="false" indent="0" shrinkToFit="false"/>
      <protection locked="true" hidden="false"/>
    </xf>
    <xf numFmtId="165" fontId="132" fillId="0" borderId="5" xfId="32" applyFont="true" applyBorder="true" applyAlignment="true" applyProtection="false">
      <alignment horizontal="center" vertical="center" textRotation="0" wrapText="false" indent="0" shrinkToFit="false"/>
      <protection locked="true" hidden="false"/>
    </xf>
    <xf numFmtId="168" fontId="0" fillId="0" borderId="5" xfId="32" applyFont="true" applyBorder="true" applyAlignment="true" applyProtection="false">
      <alignment horizontal="general" vertical="center" textRotation="0" wrapText="false" indent="0" shrinkToFit="false"/>
      <protection locked="true" hidden="false"/>
    </xf>
    <xf numFmtId="164" fontId="73" fillId="0" borderId="5" xfId="32" applyFont="true" applyBorder="true" applyAlignment="true" applyProtection="false">
      <alignment horizontal="center" vertical="center" textRotation="0" wrapText="false" indent="0" shrinkToFit="false" readingOrder="1"/>
      <protection locked="true" hidden="false"/>
    </xf>
    <xf numFmtId="180" fontId="72" fillId="0" borderId="75" xfId="32" applyFont="true" applyBorder="true" applyAlignment="true" applyProtection="false">
      <alignment horizontal="center" vertical="center" textRotation="0" wrapText="false" indent="0" shrinkToFit="false" readingOrder="1"/>
      <protection locked="true" hidden="false"/>
    </xf>
    <xf numFmtId="168" fontId="36" fillId="0" borderId="75" xfId="25" applyFont="true" applyBorder="true" applyAlignment="true" applyProtection="true">
      <alignment horizontal="general" vertical="center" textRotation="0" wrapText="false" indent="0" shrinkToFit="false"/>
      <protection locked="true" hidden="false"/>
    </xf>
    <xf numFmtId="165" fontId="132" fillId="0" borderId="75" xfId="32" applyFont="true" applyBorder="true" applyAlignment="true" applyProtection="false">
      <alignment horizontal="center" vertical="center" textRotation="0" wrapText="false" indent="0" shrinkToFit="false"/>
      <protection locked="true" hidden="false"/>
    </xf>
    <xf numFmtId="165" fontId="5" fillId="0" borderId="75" xfId="32" applyFont="true" applyBorder="true" applyAlignment="true" applyProtection="false">
      <alignment horizontal="center" vertical="center" textRotation="0" wrapText="false" indent="0" shrinkToFit="false"/>
      <protection locked="true" hidden="false"/>
    </xf>
    <xf numFmtId="165" fontId="5" fillId="0" borderId="78" xfId="32" applyFont="true" applyBorder="true" applyAlignment="true" applyProtection="false">
      <alignment horizontal="center" vertical="center" textRotation="0" wrapText="false" indent="0" shrinkToFit="false"/>
      <protection locked="true" hidden="false"/>
    </xf>
    <xf numFmtId="164" fontId="0" fillId="0" borderId="218" xfId="32" applyFont="true" applyBorder="true" applyAlignment="true" applyProtection="false">
      <alignment horizontal="center" vertical="center" textRotation="0" wrapText="false" indent="0" shrinkToFit="false"/>
      <protection locked="true" hidden="false"/>
    </xf>
    <xf numFmtId="164" fontId="73" fillId="0" borderId="7" xfId="32" applyFont="true" applyBorder="true" applyAlignment="true" applyProtection="false">
      <alignment horizontal="center" vertical="center" textRotation="0" wrapText="false" indent="0" shrinkToFit="false" readingOrder="1"/>
      <protection locked="true" hidden="false"/>
    </xf>
    <xf numFmtId="168" fontId="0" fillId="0" borderId="7" xfId="25" applyFont="true" applyBorder="true" applyAlignment="true" applyProtection="true">
      <alignment horizontal="general" vertical="center" textRotation="0" wrapText="false" indent="0" shrinkToFit="false"/>
      <protection locked="true" hidden="false"/>
    </xf>
    <xf numFmtId="165" fontId="5" fillId="0" borderId="7" xfId="32" applyFont="true" applyBorder="true" applyAlignment="true" applyProtection="false">
      <alignment horizontal="center" vertical="center" textRotation="0" wrapText="false" indent="0" shrinkToFit="false"/>
      <protection locked="true" hidden="false"/>
    </xf>
    <xf numFmtId="165" fontId="5" fillId="0" borderId="82" xfId="32" applyFont="true" applyBorder="true" applyAlignment="true" applyProtection="false">
      <alignment horizontal="center" vertical="center" textRotation="0" wrapText="false" indent="0" shrinkToFit="false"/>
      <protection locked="true" hidden="false"/>
    </xf>
    <xf numFmtId="180" fontId="72" fillId="0" borderId="2" xfId="32" applyFont="true" applyBorder="true" applyAlignment="true" applyProtection="false">
      <alignment horizontal="center" vertical="center" textRotation="0" wrapText="false" indent="0" shrinkToFit="false" readingOrder="1"/>
      <protection locked="true" hidden="false"/>
    </xf>
    <xf numFmtId="184" fontId="72" fillId="0" borderId="2" xfId="32" applyFont="true" applyBorder="true" applyAlignment="true" applyProtection="false">
      <alignment horizontal="center" vertical="center" textRotation="0" wrapText="false" indent="0" shrinkToFit="false"/>
      <protection locked="true" hidden="false"/>
    </xf>
    <xf numFmtId="168" fontId="36" fillId="0" borderId="2" xfId="25" applyFont="true" applyBorder="true" applyAlignment="true" applyProtection="true">
      <alignment horizontal="general" vertical="center" textRotation="0" wrapText="false" indent="0" shrinkToFit="false"/>
      <protection locked="true" hidden="false"/>
    </xf>
    <xf numFmtId="165" fontId="132" fillId="0" borderId="2" xfId="32" applyFont="true" applyBorder="true" applyAlignment="true" applyProtection="false">
      <alignment horizontal="center" vertical="center" textRotation="0" wrapText="false" indent="0" shrinkToFit="false"/>
      <protection locked="true" hidden="false"/>
    </xf>
    <xf numFmtId="165" fontId="5" fillId="0" borderId="2" xfId="32" applyFont="true" applyBorder="true" applyAlignment="true" applyProtection="false">
      <alignment horizontal="center" vertical="center" textRotation="0" wrapText="false" indent="0" shrinkToFit="false"/>
      <protection locked="true" hidden="false"/>
    </xf>
    <xf numFmtId="165" fontId="5" fillId="0" borderId="249" xfId="32" applyFont="true" applyBorder="true" applyAlignment="true" applyProtection="false">
      <alignment horizontal="center" vertical="center" textRotation="0" wrapText="false" indent="0" shrinkToFit="false"/>
      <protection locked="true" hidden="false"/>
    </xf>
    <xf numFmtId="168" fontId="0" fillId="0" borderId="2" xfId="25" applyFont="true" applyBorder="true" applyAlignment="true" applyProtection="true">
      <alignment horizontal="general" vertical="center" textRotation="0" wrapText="false" indent="0" shrinkToFit="false"/>
      <protection locked="true" hidden="false"/>
    </xf>
    <xf numFmtId="170" fontId="73" fillId="0" borderId="71" xfId="32" applyFont="true" applyBorder="true" applyAlignment="true" applyProtection="false">
      <alignment horizontal="center" vertical="center" textRotation="0" wrapText="false" indent="0" shrinkToFit="false" readingOrder="1"/>
      <protection locked="true" hidden="false"/>
    </xf>
    <xf numFmtId="180" fontId="73" fillId="0" borderId="71" xfId="32" applyFont="true" applyBorder="true" applyAlignment="true" applyProtection="false">
      <alignment horizontal="center" vertical="center" textRotation="0" wrapText="false" indent="0" shrinkToFit="false" readingOrder="1"/>
      <protection locked="true" hidden="false"/>
    </xf>
    <xf numFmtId="184" fontId="72" fillId="0" borderId="71" xfId="32" applyFont="true" applyBorder="true" applyAlignment="true" applyProtection="false">
      <alignment horizontal="center" vertical="center" textRotation="0" wrapText="false" indent="0" shrinkToFit="false"/>
      <protection locked="true" hidden="false"/>
    </xf>
    <xf numFmtId="168" fontId="0" fillId="0" borderId="71" xfId="25" applyFont="true" applyBorder="true" applyAlignment="true" applyProtection="true">
      <alignment horizontal="general" vertical="center" textRotation="0" wrapText="false" indent="0" shrinkToFit="false"/>
      <protection locked="true" hidden="false"/>
    </xf>
    <xf numFmtId="165" fontId="5" fillId="0" borderId="71" xfId="32" applyFont="true" applyBorder="true" applyAlignment="true" applyProtection="false">
      <alignment horizontal="center" vertical="center" textRotation="0" wrapText="false" indent="0" shrinkToFit="false"/>
      <protection locked="true" hidden="false"/>
    </xf>
    <xf numFmtId="165" fontId="5" fillId="0" borderId="73" xfId="32" applyFont="true" applyBorder="true" applyAlignment="true" applyProtection="false">
      <alignment horizontal="center" vertical="center" textRotation="0" wrapText="false" indent="0" shrinkToFit="false"/>
      <protection locked="true" hidden="false"/>
    </xf>
    <xf numFmtId="180" fontId="73" fillId="0" borderId="5" xfId="32" applyFont="true" applyBorder="true" applyAlignment="true" applyProtection="false">
      <alignment horizontal="center" vertical="center" textRotation="0" wrapText="false" indent="0" shrinkToFit="false" readingOrder="1"/>
      <protection locked="true" hidden="false"/>
    </xf>
    <xf numFmtId="164" fontId="0" fillId="0" borderId="250" xfId="32" applyFont="true" applyBorder="true" applyAlignment="true" applyProtection="false">
      <alignment horizontal="center" vertical="center" textRotation="0" wrapText="true" indent="0" shrinkToFit="false"/>
      <protection locked="true" hidden="false"/>
    </xf>
    <xf numFmtId="164" fontId="73" fillId="0" borderId="70" xfId="32" applyFont="true" applyBorder="true" applyAlignment="true" applyProtection="false">
      <alignment horizontal="center" vertical="center" textRotation="0" wrapText="false" indent="0" shrinkToFit="false" readingOrder="1"/>
      <protection locked="true" hidden="false"/>
    </xf>
    <xf numFmtId="164" fontId="5" fillId="20" borderId="0" xfId="32" applyFont="true" applyBorder="false" applyAlignment="true" applyProtection="false">
      <alignment horizontal="general" vertical="center" textRotation="0" wrapText="false" indent="0" shrinkToFit="false"/>
      <protection locked="true" hidden="false"/>
    </xf>
    <xf numFmtId="164" fontId="73" fillId="20" borderId="5" xfId="32" applyFont="true" applyBorder="true" applyAlignment="true" applyProtection="false">
      <alignment horizontal="center" vertical="center" textRotation="0" wrapText="false" indent="0" shrinkToFit="false" readingOrder="1"/>
      <protection locked="true" hidden="false"/>
    </xf>
    <xf numFmtId="180" fontId="73" fillId="20" borderId="5" xfId="32" applyFont="true" applyBorder="true" applyAlignment="true" applyProtection="false">
      <alignment horizontal="center" vertical="center" textRotation="0" wrapText="false" indent="0" shrinkToFit="false" readingOrder="1"/>
      <protection locked="true" hidden="false"/>
    </xf>
    <xf numFmtId="184" fontId="72" fillId="20" borderId="5" xfId="32" applyFont="true" applyBorder="true" applyAlignment="true" applyProtection="false">
      <alignment horizontal="center" vertical="center" textRotation="0" wrapText="false" indent="0" shrinkToFit="false"/>
      <protection locked="true" hidden="false"/>
    </xf>
    <xf numFmtId="168" fontId="0" fillId="20" borderId="5" xfId="25" applyFont="true" applyBorder="true" applyAlignment="true" applyProtection="true">
      <alignment horizontal="general" vertical="center" textRotation="0" wrapText="false" indent="0" shrinkToFit="false"/>
      <protection locked="true" hidden="false"/>
    </xf>
    <xf numFmtId="165" fontId="5" fillId="20" borderId="5" xfId="32" applyFont="true" applyBorder="true" applyAlignment="true" applyProtection="false">
      <alignment horizontal="center" vertical="center" textRotation="0" wrapText="false" indent="0" shrinkToFit="false"/>
      <protection locked="true" hidden="false"/>
    </xf>
    <xf numFmtId="165" fontId="5" fillId="20" borderId="76" xfId="32" applyFont="true" applyBorder="true" applyAlignment="true" applyProtection="false">
      <alignment horizontal="center" vertical="center" textRotation="0" wrapText="false" indent="0" shrinkToFit="false"/>
      <protection locked="true" hidden="false"/>
    </xf>
    <xf numFmtId="164" fontId="5" fillId="20" borderId="12" xfId="32" applyFont="true" applyBorder="true" applyAlignment="true" applyProtection="false">
      <alignment horizontal="general" vertical="center" textRotation="0" wrapText="false" indent="0" shrinkToFit="false"/>
      <protection locked="true" hidden="false"/>
    </xf>
    <xf numFmtId="165" fontId="132" fillId="20" borderId="5" xfId="32" applyFont="true" applyBorder="true" applyAlignment="true" applyProtection="false">
      <alignment horizontal="center" vertical="center" textRotation="0" wrapText="false" indent="0" shrinkToFit="false"/>
      <protection locked="true" hidden="false"/>
    </xf>
    <xf numFmtId="180" fontId="72" fillId="20" borderId="5" xfId="32" applyFont="true" applyBorder="true" applyAlignment="true" applyProtection="false">
      <alignment horizontal="center" vertical="center" textRotation="0" wrapText="false" indent="0" shrinkToFit="false" readingOrder="1"/>
      <protection locked="true" hidden="false"/>
    </xf>
    <xf numFmtId="168" fontId="36" fillId="20" borderId="5" xfId="25" applyFont="true" applyBorder="true" applyAlignment="true" applyProtection="true">
      <alignment horizontal="general" vertical="center" textRotation="0" wrapText="false" indent="0" shrinkToFit="false"/>
      <protection locked="true" hidden="false"/>
    </xf>
    <xf numFmtId="164" fontId="73" fillId="0" borderId="251" xfId="32" applyFont="true" applyBorder="true" applyAlignment="true" applyProtection="false">
      <alignment horizontal="center" vertical="center" textRotation="0" wrapText="false" indent="0" shrinkToFit="false" readingOrder="1"/>
      <protection locked="true" hidden="false"/>
    </xf>
    <xf numFmtId="170" fontId="133" fillId="0" borderId="251" xfId="32" applyFont="true" applyBorder="true" applyAlignment="true" applyProtection="false">
      <alignment horizontal="center" vertical="center" textRotation="0" wrapText="false" indent="0" shrinkToFit="false" readingOrder="1"/>
      <protection locked="true" hidden="false"/>
    </xf>
    <xf numFmtId="180" fontId="133" fillId="0" borderId="5" xfId="32" applyFont="true" applyBorder="true" applyAlignment="true" applyProtection="false">
      <alignment horizontal="center" vertical="center" textRotation="0" wrapText="false" indent="0" shrinkToFit="false" readingOrder="1"/>
      <protection locked="true" hidden="false"/>
    </xf>
    <xf numFmtId="165" fontId="0" fillId="0" borderId="5" xfId="32" applyFont="true" applyBorder="true" applyAlignment="true" applyProtection="false">
      <alignment horizontal="center" vertical="center" textRotation="0" wrapText="false" indent="0" shrinkToFit="false"/>
      <protection locked="true" hidden="false"/>
    </xf>
    <xf numFmtId="165" fontId="0" fillId="0" borderId="76" xfId="32" applyFont="true" applyBorder="true" applyAlignment="true" applyProtection="false">
      <alignment horizontal="center" vertical="center" textRotation="0" wrapText="false" indent="0" shrinkToFit="false"/>
      <protection locked="true" hidden="false"/>
    </xf>
    <xf numFmtId="164" fontId="73" fillId="0" borderId="74" xfId="32" applyFont="true" applyBorder="true" applyAlignment="true" applyProtection="false">
      <alignment horizontal="center" vertical="center" textRotation="0" wrapText="false" indent="0" shrinkToFit="false" readingOrder="1"/>
      <protection locked="true" hidden="false"/>
    </xf>
    <xf numFmtId="164" fontId="0" fillId="0" borderId="252" xfId="32" applyFont="true" applyBorder="true" applyAlignment="true" applyProtection="false">
      <alignment horizontal="center" vertical="center" textRotation="0" wrapText="false" indent="0" shrinkToFit="false"/>
      <protection locked="true" hidden="false"/>
    </xf>
    <xf numFmtId="174" fontId="72" fillId="0" borderId="71" xfId="36" applyFont="true" applyBorder="true" applyAlignment="true" applyProtection="true">
      <alignment horizontal="center" vertical="center" textRotation="0" wrapText="false" indent="0" shrinkToFit="false" readingOrder="1"/>
      <protection locked="true" hidden="false"/>
    </xf>
    <xf numFmtId="166" fontId="5" fillId="0" borderId="0" xfId="25" applyFont="true" applyBorder="true" applyAlignment="true" applyProtection="true">
      <alignment horizontal="general" vertical="center" textRotation="0" wrapText="false" indent="0" shrinkToFit="false"/>
      <protection locked="true" hidden="false"/>
    </xf>
    <xf numFmtId="174" fontId="133" fillId="0" borderId="5" xfId="32" applyFont="true" applyBorder="true" applyAlignment="true" applyProtection="false">
      <alignment horizontal="center" vertical="center" textRotation="0" wrapText="false" indent="0" shrinkToFit="false" readingOrder="1"/>
      <protection locked="true" hidden="false"/>
    </xf>
    <xf numFmtId="165" fontId="0" fillId="0" borderId="75" xfId="32" applyFont="true" applyBorder="true" applyAlignment="true" applyProtection="false">
      <alignment horizontal="center" vertical="center" textRotation="0" wrapText="false" indent="0" shrinkToFit="false"/>
      <protection locked="true" hidden="false"/>
    </xf>
    <xf numFmtId="165" fontId="0" fillId="0" borderId="78" xfId="32" applyFont="true" applyBorder="true" applyAlignment="true" applyProtection="false">
      <alignment horizontal="center" vertical="center" textRotation="0" wrapText="false" indent="0" shrinkToFit="false"/>
      <protection locked="true" hidden="false"/>
    </xf>
    <xf numFmtId="170" fontId="133" fillId="0" borderId="74" xfId="32" applyFont="true" applyBorder="true" applyAlignment="true" applyProtection="false">
      <alignment horizontal="center" vertical="center" textRotation="0" wrapText="false" indent="0" shrinkToFit="false" readingOrder="1"/>
      <protection locked="true" hidden="false"/>
    </xf>
    <xf numFmtId="172" fontId="0" fillId="0" borderId="0" xfId="15" applyFont="true" applyBorder="true" applyAlignment="true" applyProtection="true">
      <alignment horizontal="general" vertical="center" textRotation="0" wrapText="false" indent="0" shrinkToFit="false"/>
      <protection locked="true" hidden="false"/>
    </xf>
    <xf numFmtId="172" fontId="35" fillId="0" borderId="0" xfId="0" applyFont="true" applyBorder="false" applyAlignment="true" applyProtection="false">
      <alignment horizontal="general" vertical="center" textRotation="0" wrapText="false" indent="0" shrinkToFit="false"/>
      <protection locked="true" hidden="false"/>
    </xf>
    <xf numFmtId="172" fontId="35" fillId="0" borderId="0" xfId="0" applyFont="true" applyBorder="false" applyAlignment="true" applyProtection="false">
      <alignment horizontal="center" vertical="center" textRotation="0" wrapText="false" indent="0" shrinkToFit="false"/>
      <protection locked="true" hidden="false"/>
    </xf>
    <xf numFmtId="172" fontId="0" fillId="0" borderId="0" xfId="15" applyFont="true" applyBorder="true" applyAlignment="true" applyProtection="true">
      <alignment horizontal="center" vertical="center" textRotation="0" wrapText="false" indent="0" shrinkToFit="false"/>
      <protection locked="true" hidden="false"/>
    </xf>
    <xf numFmtId="164" fontId="90"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false" hidden="false"/>
    </xf>
    <xf numFmtId="164" fontId="92" fillId="16" borderId="85" xfId="0" applyFont="true" applyBorder="true" applyAlignment="true" applyProtection="false">
      <alignment horizontal="general" vertical="center" textRotation="0" wrapText="false" indent="0" shrinkToFit="false"/>
      <protection locked="true" hidden="false"/>
    </xf>
    <xf numFmtId="164" fontId="92" fillId="16" borderId="253" xfId="0" applyFont="true" applyBorder="true" applyAlignment="true" applyProtection="false">
      <alignment horizontal="general" vertical="center" textRotation="0" wrapText="false" indent="0" shrinkToFit="false"/>
      <protection locked="true" hidden="false"/>
    </xf>
    <xf numFmtId="172" fontId="37" fillId="16" borderId="254" xfId="15" applyFont="true" applyBorder="true" applyAlignment="true" applyProtection="true">
      <alignment horizontal="general" vertical="center" textRotation="0" wrapText="false" indent="0" shrinkToFit="false"/>
      <protection locked="true" hidden="false"/>
    </xf>
    <xf numFmtId="164" fontId="37" fillId="16" borderId="254" xfId="0" applyFont="true" applyBorder="true" applyAlignment="true" applyProtection="false">
      <alignment horizontal="general" vertical="center" textRotation="0" wrapText="false" indent="0" shrinkToFit="false"/>
      <protection locked="true" hidden="false"/>
    </xf>
    <xf numFmtId="164" fontId="37" fillId="16" borderId="254" xfId="0" applyFont="true" applyBorder="true" applyAlignment="true" applyProtection="false">
      <alignment horizontal="center" vertical="center" textRotation="0" wrapText="false" indent="0" shrinkToFit="false"/>
      <protection locked="true" hidden="false"/>
    </xf>
    <xf numFmtId="172" fontId="37" fillId="16" borderId="255" xfId="15" applyFont="true" applyBorder="true" applyAlignment="true" applyProtection="true">
      <alignment horizontal="general" vertical="center" textRotation="0" wrapText="false" indent="0" shrinkToFit="false"/>
      <protection locked="true" hidden="false"/>
    </xf>
    <xf numFmtId="164" fontId="91" fillId="16" borderId="87" xfId="0" applyFont="true" applyBorder="true" applyAlignment="true" applyProtection="false">
      <alignment horizontal="center" vertical="center" textRotation="0" wrapText="false" indent="0" shrinkToFit="false"/>
      <protection locked="true" hidden="false"/>
    </xf>
    <xf numFmtId="164" fontId="91" fillId="16" borderId="88" xfId="0" applyFont="true" applyBorder="true" applyAlignment="true" applyProtection="false">
      <alignment horizontal="general" vertical="center" textRotation="0" wrapText="false" indent="0" shrinkToFit="false"/>
      <protection locked="true" hidden="false"/>
    </xf>
    <xf numFmtId="164" fontId="37" fillId="16" borderId="256" xfId="0" applyFont="true" applyBorder="true" applyAlignment="true" applyProtection="false">
      <alignment horizontal="general" vertical="center" textRotation="0" wrapText="false" indent="0" shrinkToFit="false"/>
      <protection locked="true" hidden="false"/>
    </xf>
    <xf numFmtId="164" fontId="37" fillId="16" borderId="89" xfId="0" applyFont="true" applyBorder="true" applyAlignment="true" applyProtection="false">
      <alignment horizontal="center" vertical="center" textRotation="0" wrapText="false" indent="0" shrinkToFit="false"/>
      <protection locked="true" hidden="false"/>
    </xf>
    <xf numFmtId="164" fontId="134" fillId="16" borderId="89" xfId="0" applyFont="true" applyBorder="true" applyAlignment="true" applyProtection="false">
      <alignment horizontal="general" vertical="center" textRotation="0" wrapText="false" indent="0" shrinkToFit="false"/>
      <protection locked="true" hidden="false"/>
    </xf>
    <xf numFmtId="164" fontId="77" fillId="17" borderId="257" xfId="0" applyFont="true" applyBorder="true" applyAlignment="true" applyProtection="false">
      <alignment horizontal="center" vertical="center" textRotation="0" wrapText="true" indent="0" shrinkToFit="false"/>
      <protection locked="true" hidden="false"/>
    </xf>
    <xf numFmtId="164" fontId="77" fillId="17" borderId="258" xfId="0" applyFont="true" applyBorder="true" applyAlignment="true" applyProtection="false">
      <alignment horizontal="center" vertical="center" textRotation="0" wrapText="true" indent="0" shrinkToFit="false"/>
      <protection locked="true" hidden="false"/>
    </xf>
    <xf numFmtId="168" fontId="77" fillId="17" borderId="0" xfId="0" applyFont="true" applyBorder="false" applyAlignment="true" applyProtection="false">
      <alignment horizontal="center" vertical="center" textRotation="0" wrapText="true" indent="0" shrinkToFit="false"/>
      <protection locked="true" hidden="false"/>
    </xf>
    <xf numFmtId="164" fontId="77" fillId="17" borderId="259" xfId="0" applyFont="true" applyBorder="true" applyAlignment="true" applyProtection="false">
      <alignment horizontal="center" vertical="center" textRotation="0" wrapText="tru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general" vertical="center" textRotation="0" wrapText="true" indent="0" shrinkToFit="false"/>
      <protection locked="true" hidden="false"/>
    </xf>
    <xf numFmtId="164" fontId="97" fillId="0" borderId="0" xfId="0" applyFont="true" applyBorder="false" applyAlignment="true" applyProtection="true">
      <alignment horizontal="left" vertical="center" textRotation="0" wrapText="false" indent="1" shrinkToFit="false"/>
      <protection locked="false" hidden="false"/>
    </xf>
    <xf numFmtId="184" fontId="97" fillId="6" borderId="0" xfId="0" applyFont="true" applyBorder="false" applyAlignment="true" applyProtection="false">
      <alignment horizontal="center" vertical="center" textRotation="0" wrapText="false" indent="0" shrinkToFit="false"/>
      <protection locked="true" hidden="false"/>
    </xf>
    <xf numFmtId="174" fontId="97" fillId="6" borderId="0" xfId="0" applyFont="true" applyBorder="false" applyAlignment="true" applyProtection="false">
      <alignment horizontal="general" vertical="center" textRotation="0" wrapText="false" indent="0" shrinkToFit="false"/>
      <protection locked="true" hidden="false"/>
    </xf>
    <xf numFmtId="172" fontId="97" fillId="6" borderId="0" xfId="36" applyFont="true" applyBorder="true" applyAlignment="true" applyProtection="true">
      <alignment horizontal="center" vertical="center" textRotation="0" wrapText="false" indent="0" shrinkToFit="false"/>
      <protection locked="true" hidden="false"/>
    </xf>
    <xf numFmtId="180" fontId="97" fillId="6" borderId="0" xfId="0" applyFont="true" applyBorder="false" applyAlignment="true" applyProtection="false">
      <alignment horizontal="center" vertical="center" textRotation="0" wrapText="false" indent="0" shrinkToFit="false"/>
      <protection locked="true" hidden="false"/>
    </xf>
    <xf numFmtId="207" fontId="101" fillId="6" borderId="0" xfId="0" applyFont="true" applyBorder="false" applyAlignment="true" applyProtection="false">
      <alignment horizontal="center" vertical="center" textRotation="0" wrapText="false" indent="0" shrinkToFit="false"/>
      <protection locked="true" hidden="false"/>
    </xf>
    <xf numFmtId="209" fontId="97" fillId="6" borderId="0" xfId="0" applyFont="true" applyBorder="false" applyAlignment="true" applyProtection="false">
      <alignment horizontal="center" vertical="center" textRotation="0" wrapText="false" indent="0" shrinkToFit="false"/>
      <protection locked="true" hidden="false"/>
    </xf>
    <xf numFmtId="172" fontId="97" fillId="6" borderId="0" xfId="15" applyFont="true" applyBorder="true" applyAlignment="true" applyProtection="true">
      <alignment horizontal="center" vertical="center" textRotation="0" wrapText="false" indent="0" shrinkToFit="false"/>
      <protection locked="true" hidden="false"/>
    </xf>
    <xf numFmtId="164" fontId="97" fillId="0" borderId="0" xfId="0" applyFont="true" applyBorder="false" applyAlignment="true" applyProtection="false">
      <alignment horizontal="center" vertical="center" textRotation="0" wrapText="false" indent="0" shrinkToFit="false"/>
      <protection locked="true" hidden="false"/>
    </xf>
    <xf numFmtId="164" fontId="101" fillId="4" borderId="0" xfId="0" applyFont="true" applyBorder="false" applyAlignment="true" applyProtection="false">
      <alignment horizontal="center" vertical="center" textRotation="0" wrapText="false" indent="0" shrinkToFit="false"/>
      <protection locked="true" hidden="false"/>
    </xf>
    <xf numFmtId="172" fontId="100" fillId="0" borderId="0" xfId="15" applyFont="true" applyBorder="true" applyAlignment="true" applyProtection="true">
      <alignment horizontal="center" vertical="center" textRotation="0" wrapText="false" indent="0" shrinkToFit="false"/>
      <protection locked="true" hidden="false"/>
    </xf>
    <xf numFmtId="172" fontId="135" fillId="0" borderId="0" xfId="0" applyFont="true" applyBorder="false" applyAlignment="true" applyProtection="false">
      <alignment horizontal="center" vertical="center" textRotation="0" wrapText="false" indent="0" shrinkToFit="false"/>
      <protection locked="true" hidden="false"/>
    </xf>
    <xf numFmtId="172" fontId="97" fillId="0" borderId="0" xfId="15" applyFont="true" applyBorder="true" applyAlignment="true" applyProtection="true">
      <alignment horizontal="center" vertical="center" textRotation="0" wrapText="false" indent="0" shrinkToFit="false"/>
      <protection locked="true" hidden="false"/>
    </xf>
    <xf numFmtId="181" fontId="97" fillId="0" borderId="0" xfId="0" applyFont="true" applyBorder="false" applyAlignment="true" applyProtection="false">
      <alignment horizontal="center" vertical="center" textRotation="0" wrapText="false" indent="0" shrinkToFit="false"/>
      <protection locked="true" hidden="false"/>
    </xf>
    <xf numFmtId="181" fontId="102" fillId="0" borderId="0" xfId="0" applyFont="true" applyBorder="false" applyAlignment="true" applyProtection="false">
      <alignment horizontal="center" vertical="center" textRotation="0" wrapText="false" indent="0" shrinkToFit="false"/>
      <protection locked="true" hidden="false"/>
    </xf>
    <xf numFmtId="175" fontId="97" fillId="0" borderId="0" xfId="0" applyFont="true" applyBorder="false" applyAlignment="true" applyProtection="false">
      <alignment horizontal="center" vertical="center" textRotation="0" wrapText="false" indent="0" shrinkToFit="false"/>
      <protection locked="true" hidden="false"/>
    </xf>
    <xf numFmtId="164" fontId="97" fillId="0" borderId="0" xfId="0" applyFont="true" applyBorder="false" applyAlignment="true" applyProtection="false">
      <alignment horizontal="left" vertical="center" textRotation="0" wrapText="false" indent="0" shrinkToFit="false"/>
      <protection locked="true" hidden="false"/>
    </xf>
    <xf numFmtId="172" fontId="100" fillId="0" borderId="0" xfId="36" applyFont="true" applyBorder="true" applyAlignment="true" applyProtection="true">
      <alignment horizontal="center" vertical="center" textRotation="0" wrapText="false" indent="0" shrinkToFit="false"/>
      <protection locked="true" hidden="false"/>
    </xf>
    <xf numFmtId="164" fontId="100" fillId="0" borderId="0" xfId="0" applyFont="true" applyBorder="false" applyAlignment="true" applyProtection="false">
      <alignment horizontal="center" vertical="center" textRotation="0" wrapText="false" indent="0" shrinkToFit="false"/>
      <protection locked="true" hidden="false"/>
    </xf>
    <xf numFmtId="206" fontId="97" fillId="0" borderId="0" xfId="0" applyFont="true" applyBorder="false" applyAlignment="true" applyProtection="false">
      <alignment horizontal="center" vertical="center" textRotation="0" wrapText="false" indent="0" shrinkToFit="false"/>
      <protection locked="true" hidden="false"/>
    </xf>
    <xf numFmtId="210" fontId="97" fillId="0" borderId="0" xfId="15" applyFont="true" applyBorder="true" applyAlignment="true" applyProtection="true">
      <alignment horizontal="center" vertical="center" textRotation="0" wrapText="false" indent="0" shrinkToFit="false"/>
      <protection locked="true" hidden="false"/>
    </xf>
    <xf numFmtId="164" fontId="97" fillId="0" borderId="260" xfId="0" applyFont="true" applyBorder="true" applyAlignment="true" applyProtection="false">
      <alignment horizontal="left" vertical="center" textRotation="0" wrapText="true" indent="0" shrinkToFit="false"/>
      <protection locked="true" hidden="false"/>
    </xf>
    <xf numFmtId="164" fontId="117" fillId="0" borderId="0" xfId="0" applyFont="true" applyBorder="false" applyAlignment="true" applyProtection="false">
      <alignment horizontal="general" vertical="center" textRotation="0" wrapText="false" indent="0" shrinkToFit="false"/>
      <protection locked="true" hidden="false"/>
    </xf>
    <xf numFmtId="191" fontId="101" fillId="6" borderId="0" xfId="0" applyFont="true" applyBorder="false" applyAlignment="true" applyProtection="false">
      <alignment horizontal="center" vertical="center" textRotation="0" wrapText="false" indent="0" shrinkToFit="false"/>
      <protection locked="true" hidden="false"/>
    </xf>
    <xf numFmtId="164" fontId="24" fillId="8" borderId="0" xfId="0" applyFont="true" applyBorder="false" applyAlignment="true" applyProtection="false">
      <alignment horizontal="center" vertical="center" textRotation="0" wrapText="true" indent="0" shrinkToFit="false"/>
      <protection locked="true" hidden="false"/>
    </xf>
    <xf numFmtId="211" fontId="136" fillId="8" borderId="0" xfId="0" applyFont="true" applyBorder="false" applyAlignment="true" applyProtection="false">
      <alignment horizontal="center" vertical="center" textRotation="0" wrapText="true" indent="0" shrinkToFit="false"/>
      <protection locked="true" hidden="false"/>
    </xf>
    <xf numFmtId="202" fontId="102" fillId="6" borderId="0" xfId="0" applyFont="true" applyBorder="false" applyAlignment="true" applyProtection="false">
      <alignment horizontal="center" vertical="center" textRotation="0" wrapText="false" indent="0" shrinkToFit="false"/>
      <protection locked="true" hidden="false"/>
    </xf>
    <xf numFmtId="164" fontId="23" fillId="8" borderId="111" xfId="0" applyFont="true" applyBorder="true" applyAlignment="true" applyProtection="false">
      <alignment horizontal="general" vertical="center" textRotation="0" wrapText="true" indent="0" shrinkToFit="false"/>
      <protection locked="true" hidden="false"/>
    </xf>
    <xf numFmtId="164" fontId="97" fillId="0" borderId="111" xfId="0" applyFont="true" applyBorder="true" applyAlignment="true" applyProtection="true">
      <alignment horizontal="left" vertical="center" textRotation="0" wrapText="false" indent="1" shrinkToFit="false"/>
      <protection locked="false" hidden="false"/>
    </xf>
    <xf numFmtId="164" fontId="117" fillId="0" borderId="111" xfId="0" applyFont="true" applyBorder="true" applyAlignment="true" applyProtection="false">
      <alignment horizontal="general" vertical="center" textRotation="0" wrapText="false" indent="0" shrinkToFit="false"/>
      <protection locked="true" hidden="false"/>
    </xf>
    <xf numFmtId="184" fontId="97" fillId="6" borderId="111" xfId="0" applyFont="true" applyBorder="true" applyAlignment="true" applyProtection="false">
      <alignment horizontal="center" vertical="center" textRotation="0" wrapText="false" indent="0" shrinkToFit="false"/>
      <protection locked="true" hidden="false"/>
    </xf>
    <xf numFmtId="174" fontId="97" fillId="6" borderId="111" xfId="0" applyFont="true" applyBorder="true" applyAlignment="true" applyProtection="false">
      <alignment horizontal="general" vertical="center" textRotation="0" wrapText="false" indent="0" shrinkToFit="false"/>
      <protection locked="true" hidden="false"/>
    </xf>
    <xf numFmtId="172" fontId="97" fillId="6" borderId="111" xfId="36" applyFont="true" applyBorder="true" applyAlignment="true" applyProtection="true">
      <alignment horizontal="center" vertical="center" textRotation="0" wrapText="false" indent="0" shrinkToFit="false"/>
      <protection locked="true" hidden="false"/>
    </xf>
    <xf numFmtId="180" fontId="97" fillId="6" borderId="111" xfId="0" applyFont="true" applyBorder="true" applyAlignment="true" applyProtection="false">
      <alignment horizontal="center" vertical="center" textRotation="0" wrapText="false" indent="0" shrinkToFit="false"/>
      <protection locked="true" hidden="false"/>
    </xf>
    <xf numFmtId="207" fontId="101" fillId="6" borderId="111" xfId="0" applyFont="true" applyBorder="true" applyAlignment="true" applyProtection="false">
      <alignment horizontal="center" vertical="center" textRotation="0" wrapText="false" indent="0" shrinkToFit="false"/>
      <protection locked="true" hidden="false"/>
    </xf>
    <xf numFmtId="164" fontId="97" fillId="0" borderId="111" xfId="0" applyFont="true" applyBorder="true" applyAlignment="true" applyProtection="false">
      <alignment horizontal="center" vertical="center" textRotation="0" wrapText="false" indent="0" shrinkToFit="false"/>
      <protection locked="true" hidden="false"/>
    </xf>
    <xf numFmtId="172" fontId="97" fillId="6" borderId="111" xfId="15" applyFont="true" applyBorder="true" applyAlignment="true" applyProtection="true">
      <alignment horizontal="center" vertical="center" textRotation="0" wrapText="false" indent="0" shrinkToFit="false"/>
      <protection locked="true" hidden="false"/>
    </xf>
    <xf numFmtId="164" fontId="101" fillId="4" borderId="111" xfId="0" applyFont="true" applyBorder="true" applyAlignment="true" applyProtection="false">
      <alignment horizontal="center" vertical="center" textRotation="0" wrapText="false" indent="0" shrinkToFit="false"/>
      <protection locked="true" hidden="false"/>
    </xf>
    <xf numFmtId="172" fontId="100" fillId="0" borderId="111" xfId="15" applyFont="true" applyBorder="true" applyAlignment="true" applyProtection="true">
      <alignment horizontal="center" vertical="center" textRotation="0" wrapText="false" indent="0" shrinkToFit="false"/>
      <protection locked="true" hidden="false"/>
    </xf>
    <xf numFmtId="172" fontId="135" fillId="0" borderId="111" xfId="0" applyFont="true" applyBorder="true" applyAlignment="true" applyProtection="false">
      <alignment horizontal="center" vertical="center" textRotation="0" wrapText="false" indent="0" shrinkToFit="false"/>
      <protection locked="true" hidden="false"/>
    </xf>
    <xf numFmtId="172" fontId="97" fillId="0" borderId="111" xfId="15" applyFont="true" applyBorder="true" applyAlignment="true" applyProtection="true">
      <alignment horizontal="center" vertical="center" textRotation="0" wrapText="false" indent="0" shrinkToFit="false"/>
      <protection locked="true" hidden="false"/>
    </xf>
    <xf numFmtId="181" fontId="97" fillId="0" borderId="111" xfId="0" applyFont="true" applyBorder="true" applyAlignment="true" applyProtection="false">
      <alignment horizontal="center" vertical="center" textRotation="0" wrapText="false" indent="0" shrinkToFit="false"/>
      <protection locked="true" hidden="false"/>
    </xf>
    <xf numFmtId="175" fontId="97" fillId="0" borderId="1" xfId="0" applyFont="true" applyBorder="true" applyAlignment="true" applyProtection="false">
      <alignment horizontal="center" vertical="center" textRotation="0" wrapText="false" indent="0" shrinkToFit="false"/>
      <protection locked="true" hidden="false"/>
    </xf>
    <xf numFmtId="172" fontId="100" fillId="0" borderId="111" xfId="36" applyFont="true" applyBorder="true" applyAlignment="true" applyProtection="true">
      <alignment horizontal="center" vertical="center" textRotation="0" wrapText="false" indent="0" shrinkToFit="false"/>
      <protection locked="true" hidden="false"/>
    </xf>
    <xf numFmtId="164" fontId="100" fillId="0" borderId="111" xfId="0" applyFont="true" applyBorder="true" applyAlignment="true" applyProtection="false">
      <alignment horizontal="center" vertical="center" textRotation="0" wrapText="false" indent="0" shrinkToFit="false"/>
      <protection locked="true" hidden="false"/>
    </xf>
    <xf numFmtId="206" fontId="97" fillId="0" borderId="111" xfId="0" applyFont="true" applyBorder="true" applyAlignment="true" applyProtection="false">
      <alignment horizontal="center" vertical="center" textRotation="0" wrapText="false" indent="0" shrinkToFit="false"/>
      <protection locked="true" hidden="false"/>
    </xf>
    <xf numFmtId="210" fontId="97" fillId="0" borderId="111" xfId="15"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99" fontId="137" fillId="8" borderId="123" xfId="0" applyFont="true" applyBorder="true" applyAlignment="true" applyProtection="false">
      <alignment horizontal="general" vertical="center" textRotation="0" wrapText="true" indent="0" shrinkToFit="false"/>
      <protection locked="true" hidden="false"/>
    </xf>
    <xf numFmtId="164" fontId="97" fillId="0" borderId="123" xfId="0" applyFont="true" applyBorder="true" applyAlignment="true" applyProtection="true">
      <alignment horizontal="left" vertical="center" textRotation="0" wrapText="false" indent="1" shrinkToFit="false"/>
      <protection locked="false" hidden="false"/>
    </xf>
    <xf numFmtId="164" fontId="97" fillId="0" borderId="123" xfId="0" applyFont="true" applyBorder="true" applyAlignment="true" applyProtection="false">
      <alignment horizontal="general" vertical="center" textRotation="0" wrapText="false" indent="0" shrinkToFit="false"/>
      <protection locked="true" hidden="false"/>
    </xf>
    <xf numFmtId="164" fontId="98" fillId="0" borderId="123" xfId="0" applyFont="true" applyBorder="true" applyAlignment="true" applyProtection="false">
      <alignment horizontal="general" vertical="center" textRotation="0" wrapText="false" indent="0" shrinkToFit="false"/>
      <protection locked="true" hidden="false"/>
    </xf>
    <xf numFmtId="164" fontId="97" fillId="0" borderId="123" xfId="0" applyFont="true" applyBorder="true" applyAlignment="true" applyProtection="false">
      <alignment horizontal="center" vertical="center" textRotation="0" wrapText="false" indent="0" shrinkToFit="false"/>
      <protection locked="true" hidden="false"/>
    </xf>
    <xf numFmtId="181" fontId="97" fillId="0" borderId="123" xfId="0" applyFont="true" applyBorder="true" applyAlignment="true" applyProtection="false">
      <alignment horizontal="center" vertical="center" textRotation="0" wrapText="false" indent="0" shrinkToFit="false"/>
      <protection locked="true" hidden="false"/>
    </xf>
    <xf numFmtId="184" fontId="97" fillId="0" borderId="123" xfId="0" applyFont="true" applyBorder="true" applyAlignment="true" applyProtection="false">
      <alignment horizontal="center" vertical="center" textRotation="0" wrapText="false" indent="0" shrinkToFit="false"/>
      <protection locked="true" hidden="false"/>
    </xf>
    <xf numFmtId="174" fontId="97" fillId="0" borderId="123" xfId="0" applyFont="true" applyBorder="true" applyAlignment="true" applyProtection="false">
      <alignment horizontal="general" vertical="center" textRotation="0" wrapText="false" indent="0" shrinkToFit="false"/>
      <protection locked="true" hidden="false"/>
    </xf>
    <xf numFmtId="185" fontId="97" fillId="0" borderId="123" xfId="0" applyFont="true" applyBorder="true" applyAlignment="true" applyProtection="false">
      <alignment horizontal="center" vertical="center" textRotation="0" wrapText="false" indent="0" shrinkToFit="false"/>
      <protection locked="true" hidden="false"/>
    </xf>
    <xf numFmtId="180" fontId="97" fillId="0" borderId="123" xfId="0" applyFont="true" applyBorder="true" applyAlignment="true" applyProtection="false">
      <alignment horizontal="center" vertical="center" textRotation="0" wrapText="false" indent="0" shrinkToFit="false"/>
      <protection locked="true" hidden="false"/>
    </xf>
    <xf numFmtId="207" fontId="101" fillId="0" borderId="123" xfId="0" applyFont="true" applyBorder="true" applyAlignment="true" applyProtection="false">
      <alignment horizontal="center" vertical="center" textRotation="0" wrapText="false" indent="0" shrinkToFit="false"/>
      <protection locked="true" hidden="false"/>
    </xf>
    <xf numFmtId="202" fontId="97" fillId="0" borderId="123" xfId="0" applyFont="true" applyBorder="true" applyAlignment="true" applyProtection="false">
      <alignment horizontal="center" vertical="center" textRotation="0" wrapText="false" indent="0" shrinkToFit="false"/>
      <protection locked="true" hidden="false"/>
    </xf>
    <xf numFmtId="172" fontId="97" fillId="0" borderId="123" xfId="15" applyFont="true" applyBorder="true" applyAlignment="true" applyProtection="true">
      <alignment horizontal="center" vertical="center" textRotation="0" wrapText="false" indent="0" shrinkToFit="false"/>
      <protection locked="true" hidden="false"/>
    </xf>
    <xf numFmtId="172" fontId="100" fillId="0" borderId="123" xfId="15" applyFont="true" applyBorder="true" applyAlignment="true" applyProtection="true">
      <alignment horizontal="center" vertical="center" textRotation="0" wrapText="false" indent="0" shrinkToFit="false"/>
      <protection locked="true" hidden="false"/>
    </xf>
    <xf numFmtId="172" fontId="135" fillId="0" borderId="123" xfId="0" applyFont="true" applyBorder="true" applyAlignment="true" applyProtection="false">
      <alignment horizontal="center" vertical="center" textRotation="0" wrapText="false" indent="0" shrinkToFit="false"/>
      <protection locked="true" hidden="false"/>
    </xf>
    <xf numFmtId="181" fontId="102" fillId="0" borderId="123" xfId="0" applyFont="true" applyBorder="true" applyAlignment="true" applyProtection="false">
      <alignment horizontal="center" vertical="center" textRotation="0" wrapText="false" indent="0" shrinkToFit="false"/>
      <protection locked="true" hidden="false"/>
    </xf>
    <xf numFmtId="175" fontId="102" fillId="21" borderId="0" xfId="0" applyFont="true" applyBorder="false" applyAlignment="true" applyProtection="false">
      <alignment horizontal="center" vertical="center" textRotation="0" wrapText="false" indent="0" shrinkToFit="false"/>
      <protection locked="true" hidden="false"/>
    </xf>
    <xf numFmtId="206" fontId="97" fillId="0" borderId="123" xfId="0" applyFont="true" applyBorder="true" applyAlignment="true" applyProtection="false">
      <alignment horizontal="left" vertical="center" textRotation="0" wrapText="false" indent="0" shrinkToFit="false"/>
      <protection locked="true" hidden="false"/>
    </xf>
    <xf numFmtId="172" fontId="100" fillId="0" borderId="123" xfId="36" applyFont="true" applyBorder="true" applyAlignment="true" applyProtection="true">
      <alignment horizontal="center" vertical="center" textRotation="0" wrapText="false" indent="0" shrinkToFit="false"/>
      <protection locked="true" hidden="false"/>
    </xf>
    <xf numFmtId="164" fontId="100" fillId="0" borderId="123" xfId="0" applyFont="true" applyBorder="true" applyAlignment="true" applyProtection="false">
      <alignment horizontal="center" vertical="center" textRotation="0" wrapText="false" indent="0" shrinkToFit="false"/>
      <protection locked="true" hidden="false"/>
    </xf>
    <xf numFmtId="206" fontId="97" fillId="0" borderId="123" xfId="0" applyFont="true" applyBorder="true" applyAlignment="true" applyProtection="false">
      <alignment horizontal="center" vertical="center" textRotation="0" wrapText="false" indent="0" shrinkToFit="false"/>
      <protection locked="true" hidden="false"/>
    </xf>
    <xf numFmtId="210" fontId="97" fillId="0" borderId="123" xfId="15" applyFont="true" applyBorder="true" applyAlignment="true" applyProtection="true">
      <alignment horizontal="center" vertical="center" textRotation="0" wrapText="false" indent="0" shrinkToFit="false"/>
      <protection locked="true" hidden="false"/>
    </xf>
    <xf numFmtId="164" fontId="97" fillId="0" borderId="124" xfId="0" applyFont="true" applyBorder="true" applyAlignment="true" applyProtection="false">
      <alignment horizontal="left"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99" fontId="137" fillId="8" borderId="0" xfId="0" applyFont="true" applyBorder="false" applyAlignment="true" applyProtection="false">
      <alignment horizontal="general" vertical="center" textRotation="0" wrapText="true" indent="0" shrinkToFit="false"/>
      <protection locked="true" hidden="false"/>
    </xf>
    <xf numFmtId="184" fontId="97" fillId="0" borderId="0" xfId="0" applyFont="true" applyBorder="false" applyAlignment="true" applyProtection="false">
      <alignment horizontal="center" vertical="center" textRotation="0" wrapText="false" indent="0" shrinkToFit="false"/>
      <protection locked="true" hidden="false"/>
    </xf>
    <xf numFmtId="174" fontId="97" fillId="0" borderId="0" xfId="0" applyFont="true" applyBorder="false" applyAlignment="true" applyProtection="false">
      <alignment horizontal="general" vertical="center" textRotation="0" wrapText="false" indent="0" shrinkToFit="false"/>
      <protection locked="true" hidden="false"/>
    </xf>
    <xf numFmtId="185" fontId="97" fillId="0" borderId="0" xfId="0" applyFont="true" applyBorder="false" applyAlignment="true" applyProtection="false">
      <alignment horizontal="center" vertical="center" textRotation="0" wrapText="false" indent="0" shrinkToFit="false"/>
      <protection locked="true" hidden="false"/>
    </xf>
    <xf numFmtId="180" fontId="97" fillId="0" borderId="0" xfId="0" applyFont="true" applyBorder="false" applyAlignment="true" applyProtection="false">
      <alignment horizontal="center" vertical="center" textRotation="0" wrapText="false" indent="0" shrinkToFit="false"/>
      <protection locked="true" hidden="false"/>
    </xf>
    <xf numFmtId="207" fontId="101" fillId="0" borderId="0" xfId="0" applyFont="true" applyBorder="false" applyAlignment="true" applyProtection="false">
      <alignment horizontal="center" vertical="center" textRotation="0" wrapText="false" indent="0" shrinkToFit="false"/>
      <protection locked="true" hidden="false"/>
    </xf>
    <xf numFmtId="202" fontId="97" fillId="0" borderId="0" xfId="0" applyFont="true" applyBorder="false" applyAlignment="true" applyProtection="false">
      <alignment horizontal="center" vertical="center" textRotation="0" wrapText="false" indent="0" shrinkToFit="false"/>
      <protection locked="true" hidden="false"/>
    </xf>
    <xf numFmtId="172" fontId="135" fillId="0" borderId="0" xfId="0" applyFont="true" applyBorder="false" applyAlignment="true" applyProtection="false">
      <alignment horizontal="center" vertical="center" textRotation="0" wrapText="true" indent="0" shrinkToFit="false"/>
      <protection locked="true" hidden="false"/>
    </xf>
    <xf numFmtId="199" fontId="136" fillId="8" borderId="0" xfId="0" applyFont="true" applyBorder="false" applyAlignment="true" applyProtection="false">
      <alignment horizontal="center" vertical="center" textRotation="0" wrapText="true" indent="0" shrinkToFit="false"/>
      <protection locked="true" hidden="false"/>
    </xf>
    <xf numFmtId="185" fontId="97" fillId="6" borderId="0" xfId="0" applyFont="true" applyBorder="false" applyAlignment="true" applyProtection="false">
      <alignment horizontal="center" vertical="center" textRotation="0" wrapText="false" indent="0" shrinkToFit="false"/>
      <protection locked="true" hidden="false"/>
    </xf>
    <xf numFmtId="181" fontId="97" fillId="6" borderId="0" xfId="0" applyFont="true" applyBorder="false" applyAlignment="true" applyProtection="false">
      <alignment horizontal="left" vertical="center" textRotation="0" wrapText="false" indent="0" shrinkToFit="false"/>
      <protection locked="true" hidden="false"/>
    </xf>
    <xf numFmtId="202" fontId="97" fillId="6" borderId="0" xfId="0" applyFont="true" applyBorder="false" applyAlignment="true" applyProtection="false">
      <alignment horizontal="center" vertical="center" textRotation="0" wrapText="false" indent="0" shrinkToFit="false"/>
      <protection locked="true" hidden="false"/>
    </xf>
    <xf numFmtId="174" fontId="97" fillId="0" borderId="0" xfId="15" applyFont="true" applyBorder="true" applyAlignment="true" applyProtection="true">
      <alignment horizontal="center" vertical="center" textRotation="0" wrapText="false" indent="0" shrinkToFit="false"/>
      <protection locked="true" hidden="false"/>
    </xf>
    <xf numFmtId="164" fontId="97" fillId="0" borderId="0" xfId="0" applyFont="true" applyBorder="false" applyAlignment="true" applyProtection="true">
      <alignment horizontal="center" vertical="center" textRotation="0" wrapText="false" indent="0" shrinkToFit="false"/>
      <protection locked="false" hidden="false"/>
    </xf>
    <xf numFmtId="164" fontId="101" fillId="0" borderId="101" xfId="0" applyFont="true" applyBorder="true" applyAlignment="true" applyProtection="false">
      <alignment horizontal="general" vertical="center" textRotation="0" wrapText="false" indent="0" shrinkToFit="false"/>
      <protection locked="true" hidden="false"/>
    </xf>
    <xf numFmtId="199" fontId="137" fillId="8" borderId="111" xfId="0" applyFont="true" applyBorder="true" applyAlignment="true" applyProtection="false">
      <alignment horizontal="general" vertical="center" textRotation="0" wrapText="true" indent="0" shrinkToFit="false"/>
      <protection locked="true" hidden="false"/>
    </xf>
    <xf numFmtId="185" fontId="97" fillId="6" borderId="111" xfId="0" applyFont="true" applyBorder="true" applyAlignment="true" applyProtection="false">
      <alignment horizontal="center" vertical="center" textRotation="0" wrapText="false" indent="0" shrinkToFit="false"/>
      <protection locked="true" hidden="false"/>
    </xf>
    <xf numFmtId="202" fontId="102" fillId="6" borderId="111" xfId="0" applyFont="true" applyBorder="true" applyAlignment="true" applyProtection="false">
      <alignment horizontal="center" vertical="center" textRotation="0" wrapText="false" indent="0" shrinkToFit="false"/>
      <protection locked="true" hidden="false"/>
    </xf>
    <xf numFmtId="181" fontId="97" fillId="6" borderId="111" xfId="0" applyFont="true" applyBorder="true" applyAlignment="true" applyProtection="false">
      <alignment horizontal="left" vertical="center" textRotation="0" wrapText="false" indent="0" shrinkToFit="false"/>
      <protection locked="true" hidden="false"/>
    </xf>
    <xf numFmtId="202" fontId="97" fillId="6" borderId="111" xfId="0" applyFont="true" applyBorder="true" applyAlignment="true" applyProtection="false">
      <alignment horizontal="center" vertical="center" textRotation="0" wrapText="false" indent="0" shrinkToFit="false"/>
      <protection locked="true" hidden="false"/>
    </xf>
    <xf numFmtId="174" fontId="97" fillId="0" borderId="111" xfId="15" applyFont="true" applyBorder="true" applyAlignment="true" applyProtection="true">
      <alignment horizontal="center" vertical="center" textRotation="0" wrapText="false" indent="0" shrinkToFit="false"/>
      <protection locked="true" hidden="false"/>
    </xf>
    <xf numFmtId="175" fontId="102" fillId="21" borderId="1" xfId="0" applyFont="true" applyBorder="true" applyAlignment="true" applyProtection="false">
      <alignment horizontal="center" vertical="center" textRotation="0" wrapText="false" indent="0" shrinkToFit="false"/>
      <protection locked="true" hidden="false"/>
    </xf>
    <xf numFmtId="164" fontId="97" fillId="0" borderId="111" xfId="0" applyFont="true" applyBorder="true" applyAlignment="true" applyProtection="true">
      <alignment horizontal="center" vertical="center" textRotation="0" wrapText="false" indent="0" shrinkToFit="false"/>
      <protection locked="false" hidden="false"/>
    </xf>
    <xf numFmtId="164" fontId="101" fillId="0" borderId="114" xfId="0" applyFont="true" applyBorder="true" applyAlignment="true" applyProtection="false">
      <alignment horizontal="general" vertical="center" textRotation="0" wrapText="false" indent="0" shrinkToFit="false"/>
      <protection locked="true" hidden="false"/>
    </xf>
    <xf numFmtId="199" fontId="138" fillId="13" borderId="0" xfId="0" applyFont="true" applyBorder="false" applyAlignment="true" applyProtection="false">
      <alignment horizontal="general" vertical="center" textRotation="0" wrapText="true" indent="0" shrinkToFit="false"/>
      <protection locked="true" hidden="false"/>
    </xf>
    <xf numFmtId="164" fontId="139" fillId="0" borderId="0" xfId="0" applyFont="true" applyBorder="false" applyAlignment="true" applyProtection="true">
      <alignment horizontal="left" vertical="center" textRotation="0" wrapText="false" indent="1" shrinkToFit="false"/>
      <protection locked="false" hidden="false"/>
    </xf>
    <xf numFmtId="164" fontId="139" fillId="0" borderId="0" xfId="0" applyFont="true" applyBorder="false" applyAlignment="true" applyProtection="false">
      <alignment horizontal="general" vertical="center" textRotation="0" wrapText="false" indent="0" shrinkToFit="false"/>
      <protection locked="true" hidden="false"/>
    </xf>
    <xf numFmtId="164" fontId="140" fillId="6" borderId="0" xfId="0" applyFont="true" applyBorder="false" applyAlignment="true" applyProtection="false">
      <alignment horizontal="general" vertical="center" textRotation="0" wrapText="false" indent="0" shrinkToFit="false"/>
      <protection locked="true" hidden="false"/>
    </xf>
    <xf numFmtId="164" fontId="139" fillId="6" borderId="0" xfId="0" applyFont="true" applyBorder="false" applyAlignment="true" applyProtection="false">
      <alignment horizontal="center" vertical="center" textRotation="0" wrapText="false" indent="0" shrinkToFit="false"/>
      <protection locked="true" hidden="false"/>
    </xf>
    <xf numFmtId="181" fontId="139" fillId="6" borderId="0" xfId="0" applyFont="true" applyBorder="false" applyAlignment="true" applyProtection="false">
      <alignment horizontal="center" vertical="center" textRotation="0" wrapText="false" indent="0" shrinkToFit="false"/>
      <protection locked="true" hidden="false"/>
    </xf>
    <xf numFmtId="212" fontId="139" fillId="6" borderId="0" xfId="0" applyFont="true" applyBorder="false" applyAlignment="true" applyProtection="false">
      <alignment horizontal="general" vertical="center" textRotation="0" wrapText="false" indent="0" shrinkToFit="false"/>
      <protection locked="true" hidden="false"/>
    </xf>
    <xf numFmtId="180" fontId="139" fillId="6" borderId="0" xfId="0" applyFont="true" applyBorder="false" applyAlignment="true" applyProtection="false">
      <alignment horizontal="center" vertical="center" textRotation="0" wrapText="false" indent="0" shrinkToFit="false"/>
      <protection locked="true" hidden="false"/>
    </xf>
    <xf numFmtId="207" fontId="141" fillId="6" borderId="0" xfId="0" applyFont="true" applyBorder="false" applyAlignment="true" applyProtection="false">
      <alignment horizontal="center" vertical="center" textRotation="0" wrapText="false" indent="0" shrinkToFit="false"/>
      <protection locked="true" hidden="false"/>
    </xf>
    <xf numFmtId="164" fontId="139" fillId="0" borderId="0" xfId="0" applyFont="true" applyBorder="false" applyAlignment="true" applyProtection="false">
      <alignment horizontal="center" vertical="center" textRotation="0" wrapText="false" indent="0" shrinkToFit="false"/>
      <protection locked="true" hidden="false"/>
    </xf>
    <xf numFmtId="172" fontId="139" fillId="4" borderId="0" xfId="15" applyFont="true" applyBorder="true" applyAlignment="true" applyProtection="true">
      <alignment horizontal="center" vertical="center" textRotation="0" wrapText="false" indent="0" shrinkToFit="false"/>
      <protection locked="true" hidden="false"/>
    </xf>
    <xf numFmtId="164" fontId="139" fillId="4" borderId="0" xfId="0" applyFont="true" applyBorder="false" applyAlignment="true" applyProtection="false">
      <alignment horizontal="center" vertical="center" textRotation="0" wrapText="false" indent="0" shrinkToFit="false"/>
      <protection locked="true" hidden="false"/>
    </xf>
    <xf numFmtId="172" fontId="142" fillId="0" borderId="0" xfId="15" applyFont="true" applyBorder="true" applyAlignment="true" applyProtection="true">
      <alignment horizontal="general" vertical="center" textRotation="0" wrapText="false" indent="0" shrinkToFit="false"/>
      <protection locked="true" hidden="false"/>
    </xf>
    <xf numFmtId="172" fontId="143" fillId="0" borderId="0" xfId="0" applyFont="true" applyBorder="false" applyAlignment="true" applyProtection="false">
      <alignment horizontal="general" vertical="center" textRotation="0" wrapText="false" indent="0" shrinkToFit="false"/>
      <protection locked="true" hidden="false"/>
    </xf>
    <xf numFmtId="172" fontId="144" fillId="0" borderId="0" xfId="0" applyFont="true" applyBorder="false" applyAlignment="true" applyProtection="false">
      <alignment horizontal="center" vertical="center" textRotation="0" wrapText="false" indent="0" shrinkToFit="false"/>
      <protection locked="true" hidden="false"/>
    </xf>
    <xf numFmtId="172" fontId="139" fillId="0" borderId="0" xfId="15" applyFont="true" applyBorder="true" applyAlignment="true" applyProtection="true">
      <alignment horizontal="center" vertical="center" textRotation="0" wrapText="false" indent="0" shrinkToFit="false"/>
      <protection locked="true" hidden="false"/>
    </xf>
    <xf numFmtId="181" fontId="139" fillId="0" borderId="0" xfId="0" applyFont="true" applyBorder="false" applyAlignment="true" applyProtection="false">
      <alignment horizontal="center" vertical="center" textRotation="0" wrapText="false" indent="0" shrinkToFit="false"/>
      <protection locked="true" hidden="false"/>
    </xf>
    <xf numFmtId="206" fontId="101" fillId="0" borderId="0" xfId="0" applyFont="true" applyBorder="false" applyAlignment="true" applyProtection="false">
      <alignment horizontal="center" vertical="center" textRotation="0" wrapText="false" indent="0" shrinkToFit="false"/>
      <protection locked="true" hidden="false"/>
    </xf>
    <xf numFmtId="172" fontId="145" fillId="0" borderId="0" xfId="36" applyFont="true" applyBorder="true" applyAlignment="true" applyProtection="true">
      <alignment horizontal="center" vertical="center" textRotation="0" wrapText="false" indent="0" shrinkToFit="false"/>
      <protection locked="true" hidden="false"/>
    </xf>
    <xf numFmtId="179" fontId="138" fillId="0" borderId="0" xfId="0" applyFont="true" applyBorder="false" applyAlignment="true" applyProtection="false">
      <alignment horizontal="general" vertical="center" textRotation="0" wrapText="false" indent="0" shrinkToFit="false"/>
      <protection locked="true" hidden="false"/>
    </xf>
    <xf numFmtId="164" fontId="145" fillId="0" borderId="0" xfId="0" applyFont="true" applyBorder="false" applyAlignment="true" applyProtection="false">
      <alignment horizontal="general" vertical="center" textRotation="0" wrapText="false" indent="0" shrinkToFit="false"/>
      <protection locked="true" hidden="false"/>
    </xf>
    <xf numFmtId="179" fontId="145" fillId="0" borderId="0" xfId="0" applyFont="true" applyBorder="false" applyAlignment="true" applyProtection="false">
      <alignment horizontal="center" vertical="center" textRotation="0" wrapText="false" indent="0" shrinkToFit="false"/>
      <protection locked="true" hidden="false"/>
    </xf>
    <xf numFmtId="181" fontId="142" fillId="0" borderId="0" xfId="0" applyFont="true" applyBorder="false" applyAlignment="true" applyProtection="false">
      <alignment horizontal="right" vertical="center" textRotation="0" wrapText="false" indent="0" shrinkToFit="false"/>
      <protection locked="true" hidden="false"/>
    </xf>
    <xf numFmtId="210" fontId="139" fillId="0" borderId="0" xfId="15" applyFont="true" applyBorder="true" applyAlignment="true" applyProtection="true">
      <alignment horizontal="center" vertical="center" textRotation="0" wrapText="false" indent="0" shrinkToFit="false"/>
      <protection locked="true" hidden="false"/>
    </xf>
    <xf numFmtId="164" fontId="142" fillId="0" borderId="0" xfId="0" applyFont="true" applyBorder="false" applyAlignment="true" applyProtection="false">
      <alignment horizontal="general" vertical="center" textRotation="0" wrapText="false" indent="0" shrinkToFit="false"/>
      <protection locked="true" hidden="false"/>
    </xf>
    <xf numFmtId="172" fontId="145" fillId="0" borderId="0" xfId="15" applyFont="true" applyBorder="true" applyAlignment="true" applyProtection="true">
      <alignment horizontal="right" vertical="center" textRotation="0" wrapText="false" indent="0" shrinkToFit="false"/>
      <protection locked="true" hidden="false"/>
    </xf>
    <xf numFmtId="172" fontId="144" fillId="0" borderId="0" xfId="0" applyFont="true" applyBorder="false" applyAlignment="true" applyProtection="false">
      <alignment horizontal="right" vertical="center" textRotation="0" wrapText="false" indent="0" shrinkToFit="false"/>
      <protection locked="true" hidden="false"/>
    </xf>
    <xf numFmtId="172" fontId="146" fillId="0" borderId="0" xfId="0" applyFont="true" applyBorder="false" applyAlignment="true" applyProtection="false">
      <alignment horizontal="general" vertical="center" textRotation="0" wrapText="false" indent="0" shrinkToFit="false"/>
      <protection locked="true" hidden="false"/>
    </xf>
    <xf numFmtId="172" fontId="139" fillId="0" borderId="0" xfId="15" applyFont="true" applyBorder="true" applyAlignment="true" applyProtection="true">
      <alignment horizontal="right" vertical="center" textRotation="0" wrapText="false" indent="0" shrinkToFit="false"/>
      <protection locked="true" hidden="false"/>
    </xf>
    <xf numFmtId="172" fontId="139" fillId="0" borderId="0" xfId="0" applyFont="true" applyBorder="false" applyAlignment="true" applyProtection="false">
      <alignment horizontal="right" vertical="center" textRotation="0" wrapText="false" indent="0" shrinkToFit="false"/>
      <protection locked="true" hidden="false"/>
    </xf>
    <xf numFmtId="181" fontId="147" fillId="0" borderId="0" xfId="0" applyFont="true" applyBorder="false" applyAlignment="true" applyProtection="false">
      <alignment horizontal="center" vertical="center" textRotation="0" wrapText="false" indent="0" shrinkToFit="false"/>
      <protection locked="true" hidden="false"/>
    </xf>
    <xf numFmtId="164" fontId="142" fillId="0" borderId="0" xfId="0" applyFont="true" applyBorder="false" applyAlignment="true" applyProtection="false">
      <alignment horizontal="left" vertical="center" textRotation="0" wrapText="false" indent="0" shrinkToFit="false"/>
      <protection locked="true" hidden="false"/>
    </xf>
    <xf numFmtId="206" fontId="101" fillId="0" borderId="1" xfId="0" applyFont="true" applyBorder="true" applyAlignment="true" applyProtection="false">
      <alignment horizontal="center" vertical="center" textRotation="0" wrapText="false" indent="0" shrinkToFit="false"/>
      <protection locked="true" hidden="false"/>
    </xf>
    <xf numFmtId="181" fontId="141" fillId="6" borderId="0" xfId="0" applyFont="true" applyBorder="false" applyAlignment="true" applyProtection="false">
      <alignment horizontal="general" vertical="center" textRotation="0" wrapText="false" indent="0" shrinkToFit="false"/>
      <protection locked="true" hidden="false"/>
    </xf>
    <xf numFmtId="164" fontId="148" fillId="0" borderId="0" xfId="0" applyFont="true" applyBorder="false" applyAlignment="true" applyProtection="false">
      <alignment horizontal="general" vertical="center" textRotation="0" wrapText="false" indent="0" shrinkToFit="false"/>
      <protection locked="true" hidden="false"/>
    </xf>
    <xf numFmtId="199" fontId="138" fillId="13" borderId="1" xfId="0" applyFont="true" applyBorder="true" applyAlignment="true" applyProtection="false">
      <alignment horizontal="general" vertical="center" textRotation="0" wrapText="true" indent="0" shrinkToFit="false"/>
      <protection locked="true" hidden="false"/>
    </xf>
    <xf numFmtId="164" fontId="139" fillId="0" borderId="1" xfId="0" applyFont="true" applyBorder="true" applyAlignment="true" applyProtection="true">
      <alignment horizontal="left" vertical="center" textRotation="0" wrapText="false" indent="1" shrinkToFit="false"/>
      <protection locked="false" hidden="false"/>
    </xf>
    <xf numFmtId="164" fontId="139" fillId="0" borderId="1" xfId="0" applyFont="true" applyBorder="true" applyAlignment="true" applyProtection="false">
      <alignment horizontal="general" vertical="center" textRotation="0" wrapText="false" indent="0" shrinkToFit="false"/>
      <protection locked="true" hidden="false"/>
    </xf>
    <xf numFmtId="164" fontId="140" fillId="0" borderId="1" xfId="0" applyFont="true" applyBorder="true" applyAlignment="true" applyProtection="false">
      <alignment horizontal="general" vertical="center" textRotation="0" wrapText="false" indent="0" shrinkToFit="false"/>
      <protection locked="true" hidden="false"/>
    </xf>
    <xf numFmtId="164" fontId="139" fillId="6" borderId="1" xfId="0" applyFont="true" applyBorder="true" applyAlignment="true" applyProtection="false">
      <alignment horizontal="center" vertical="center" textRotation="0" wrapText="false" indent="0" shrinkToFit="false"/>
      <protection locked="true" hidden="false"/>
    </xf>
    <xf numFmtId="181" fontId="139" fillId="6" borderId="1" xfId="0" applyFont="true" applyBorder="true" applyAlignment="true" applyProtection="false">
      <alignment horizontal="center" vertical="center" textRotation="0" wrapText="false" indent="0" shrinkToFit="false"/>
      <protection locked="true" hidden="false"/>
    </xf>
    <xf numFmtId="181" fontId="141" fillId="6" borderId="1" xfId="0" applyFont="true" applyBorder="true" applyAlignment="true" applyProtection="false">
      <alignment horizontal="general" vertical="center" textRotation="0" wrapText="false" indent="0" shrinkToFit="false"/>
      <protection locked="true" hidden="false"/>
    </xf>
    <xf numFmtId="180" fontId="141" fillId="6" borderId="1" xfId="0" applyFont="true" applyBorder="true" applyAlignment="true" applyProtection="false">
      <alignment horizontal="center" vertical="center" textRotation="0" wrapText="false" indent="0" shrinkToFit="false"/>
      <protection locked="true" hidden="false"/>
    </xf>
    <xf numFmtId="164" fontId="139" fillId="0" borderId="1" xfId="0" applyFont="true" applyBorder="true" applyAlignment="true" applyProtection="false">
      <alignment horizontal="center" vertical="center" textRotation="0" wrapText="false" indent="0" shrinkToFit="false"/>
      <protection locked="true" hidden="false"/>
    </xf>
    <xf numFmtId="172" fontId="139" fillId="4" borderId="1" xfId="15" applyFont="true" applyBorder="true" applyAlignment="true" applyProtection="true">
      <alignment horizontal="center" vertical="center" textRotation="0" wrapText="false" indent="0" shrinkToFit="false"/>
      <protection locked="true" hidden="false"/>
    </xf>
    <xf numFmtId="164" fontId="139" fillId="4" borderId="1" xfId="0" applyFont="true" applyBorder="true" applyAlignment="true" applyProtection="false">
      <alignment horizontal="center" vertical="center" textRotation="0" wrapText="false" indent="0" shrinkToFit="false"/>
      <protection locked="true" hidden="false"/>
    </xf>
    <xf numFmtId="172" fontId="145" fillId="0" borderId="1" xfId="15" applyFont="true" applyBorder="true" applyAlignment="true" applyProtection="true">
      <alignment horizontal="right" vertical="center" textRotation="0" wrapText="false" indent="0" shrinkToFit="false"/>
      <protection locked="true" hidden="false"/>
    </xf>
    <xf numFmtId="172" fontId="144" fillId="0" borderId="1" xfId="0" applyFont="true" applyBorder="true" applyAlignment="true" applyProtection="false">
      <alignment horizontal="right" vertical="center" textRotation="0" wrapText="false" indent="0" shrinkToFit="false"/>
      <protection locked="true" hidden="false"/>
    </xf>
    <xf numFmtId="172" fontId="146" fillId="0" borderId="1" xfId="0" applyFont="true" applyBorder="true" applyAlignment="true" applyProtection="false">
      <alignment horizontal="general" vertical="center" textRotation="0" wrapText="false" indent="0" shrinkToFit="false"/>
      <protection locked="true" hidden="false"/>
    </xf>
    <xf numFmtId="172" fontId="144" fillId="0" borderId="1" xfId="0" applyFont="true" applyBorder="true" applyAlignment="true" applyProtection="false">
      <alignment horizontal="center" vertical="center" textRotation="0" wrapText="false" indent="0" shrinkToFit="false"/>
      <protection locked="true" hidden="false"/>
    </xf>
    <xf numFmtId="172" fontId="139" fillId="0" borderId="1" xfId="15" applyFont="true" applyBorder="true" applyAlignment="true" applyProtection="true">
      <alignment horizontal="center" vertical="center" textRotation="0" wrapText="false" indent="0" shrinkToFit="false"/>
      <protection locked="true" hidden="false"/>
    </xf>
    <xf numFmtId="181" fontId="139" fillId="0" borderId="1" xfId="0" applyFont="true" applyBorder="true" applyAlignment="true" applyProtection="false">
      <alignment horizontal="center" vertical="center" textRotation="0" wrapText="false" indent="0" shrinkToFit="false"/>
      <protection locked="true" hidden="false"/>
    </xf>
    <xf numFmtId="181" fontId="147" fillId="0" borderId="1" xfId="0" applyFont="true" applyBorder="true" applyAlignment="true" applyProtection="false">
      <alignment horizontal="center" vertical="center" textRotation="0" wrapText="false" indent="0" shrinkToFit="false"/>
      <protection locked="true" hidden="false"/>
    </xf>
    <xf numFmtId="172" fontId="145" fillId="0" borderId="1" xfId="36" applyFont="true" applyBorder="true" applyAlignment="true" applyProtection="true">
      <alignment horizontal="center" vertical="center" textRotation="0" wrapText="false" indent="0" shrinkToFit="false"/>
      <protection locked="true" hidden="false"/>
    </xf>
    <xf numFmtId="179" fontId="138" fillId="0" borderId="1" xfId="0" applyFont="true" applyBorder="true" applyAlignment="true" applyProtection="false">
      <alignment horizontal="general" vertical="center" textRotation="0" wrapText="false" indent="0" shrinkToFit="false"/>
      <protection locked="true" hidden="false"/>
    </xf>
    <xf numFmtId="164" fontId="145" fillId="0" borderId="1" xfId="0" applyFont="true" applyBorder="true" applyAlignment="true" applyProtection="false">
      <alignment horizontal="general" vertical="center" textRotation="0" wrapText="false" indent="0" shrinkToFit="false"/>
      <protection locked="true" hidden="false"/>
    </xf>
    <xf numFmtId="179" fontId="145" fillId="0" borderId="1" xfId="0" applyFont="true" applyBorder="true" applyAlignment="true" applyProtection="false">
      <alignment horizontal="center" vertical="center" textRotation="0" wrapText="false" indent="0" shrinkToFit="false"/>
      <protection locked="true" hidden="false"/>
    </xf>
    <xf numFmtId="181" fontId="142" fillId="0" borderId="1" xfId="0" applyFont="true" applyBorder="true" applyAlignment="true" applyProtection="false">
      <alignment horizontal="right" vertical="center" textRotation="0" wrapText="false" indent="0" shrinkToFit="false"/>
      <protection locked="true" hidden="false"/>
    </xf>
    <xf numFmtId="210" fontId="139" fillId="0" borderId="1" xfId="15" applyFont="true" applyBorder="true" applyAlignment="true" applyProtection="true">
      <alignment horizontal="center" vertical="center" textRotation="0" wrapText="false" indent="0" shrinkToFit="false"/>
      <protection locked="true" hidden="false"/>
    </xf>
    <xf numFmtId="164" fontId="142" fillId="0" borderId="1" xfId="0" applyFont="true" applyBorder="true" applyAlignment="true" applyProtection="false">
      <alignment horizontal="general" vertical="center" textRotation="0" wrapText="false" indent="0" shrinkToFit="false"/>
      <protection locked="true" hidden="false"/>
    </xf>
    <xf numFmtId="199" fontId="100" fillId="7" borderId="1" xfId="0" applyFont="true" applyBorder="true" applyAlignment="true" applyProtection="false">
      <alignment horizontal="center" vertical="center" textRotation="0" wrapText="true" indent="0" shrinkToFit="false"/>
      <protection locked="true" hidden="false"/>
    </xf>
    <xf numFmtId="181" fontId="101" fillId="6" borderId="0" xfId="0" applyFont="true" applyBorder="false" applyAlignment="true" applyProtection="false">
      <alignment horizontal="general" vertical="center" textRotation="0" wrapText="false" indent="0" shrinkToFit="false"/>
      <protection locked="true" hidden="false"/>
    </xf>
    <xf numFmtId="172" fontId="97" fillId="4" borderId="0" xfId="15" applyFont="true" applyBorder="true" applyAlignment="true" applyProtection="true">
      <alignment horizontal="center" vertical="center" textRotation="0" wrapText="false" indent="0" shrinkToFit="false"/>
      <protection locked="true" hidden="false"/>
    </xf>
    <xf numFmtId="164" fontId="97" fillId="4" borderId="0" xfId="0" applyFont="true" applyBorder="false" applyAlignment="true" applyProtection="false">
      <alignment horizontal="center" vertical="center" textRotation="0" wrapText="false" indent="0" shrinkToFit="false"/>
      <protection locked="true" hidden="false"/>
    </xf>
    <xf numFmtId="172" fontId="100" fillId="0" borderId="0" xfId="15" applyFont="true" applyBorder="true" applyAlignment="true" applyProtection="true">
      <alignment horizontal="right" vertical="center" textRotation="0" wrapText="false" indent="0" shrinkToFit="false"/>
      <protection locked="true" hidden="false"/>
    </xf>
    <xf numFmtId="172" fontId="135" fillId="0" borderId="0" xfId="0" applyFont="true" applyBorder="false" applyAlignment="true" applyProtection="false">
      <alignment horizontal="right" vertical="center" textRotation="0" wrapText="false" indent="0" shrinkToFit="false"/>
      <protection locked="true" hidden="false"/>
    </xf>
    <xf numFmtId="172" fontId="135" fillId="0" borderId="0" xfId="0" applyFont="true" applyBorder="false" applyAlignment="true" applyProtection="false">
      <alignment horizontal="general" vertical="center" textRotation="0" wrapText="false" indent="0" shrinkToFit="false"/>
      <protection locked="true" hidden="false"/>
    </xf>
    <xf numFmtId="172" fontId="135" fillId="0" borderId="0" xfId="0" applyFont="true" applyBorder="false" applyAlignment="true" applyProtection="false">
      <alignment horizontal="center" vertical="bottom" textRotation="0" wrapText="false" indent="0" shrinkToFit="false"/>
      <protection locked="true" hidden="false"/>
    </xf>
    <xf numFmtId="179" fontId="99" fillId="0" borderId="0" xfId="0" applyFont="true" applyBorder="false" applyAlignment="true" applyProtection="false">
      <alignment horizontal="general" vertical="center" textRotation="0" wrapText="false" indent="0" shrinkToFit="false"/>
      <protection locked="true" hidden="false"/>
    </xf>
    <xf numFmtId="181" fontId="0" fillId="0" borderId="0" xfId="0" applyFont="true" applyBorder="false" applyAlignment="true" applyProtection="false">
      <alignment horizontal="right" vertical="center" textRotation="0" wrapText="false" indent="0" shrinkToFit="false"/>
      <protection locked="true" hidden="false"/>
    </xf>
    <xf numFmtId="164" fontId="97" fillId="0" borderId="1" xfId="0" applyFont="true" applyBorder="true" applyAlignment="true" applyProtection="true">
      <alignment horizontal="left" vertical="center" textRotation="0" wrapText="false" indent="1" shrinkToFit="false"/>
      <protection locked="false" hidden="false"/>
    </xf>
    <xf numFmtId="164" fontId="117" fillId="0" borderId="1" xfId="0" applyFont="true" applyBorder="true" applyAlignment="true" applyProtection="false">
      <alignment horizontal="general" vertical="center" textRotation="0" wrapText="false" indent="0" shrinkToFit="false"/>
      <protection locked="true" hidden="false"/>
    </xf>
    <xf numFmtId="181" fontId="101" fillId="6" borderId="1" xfId="0" applyFont="true" applyBorder="true" applyAlignment="true" applyProtection="false">
      <alignment horizontal="general" vertical="center" textRotation="0" wrapText="false" indent="0" shrinkToFit="false"/>
      <protection locked="true" hidden="false"/>
    </xf>
    <xf numFmtId="180" fontId="101" fillId="6" borderId="1" xfId="0" applyFont="true" applyBorder="true" applyAlignment="true" applyProtection="false">
      <alignment horizontal="center" vertical="center" textRotation="0" wrapText="false" indent="0" shrinkToFit="false"/>
      <protection locked="true" hidden="false"/>
    </xf>
    <xf numFmtId="181" fontId="97" fillId="6" borderId="1" xfId="0" applyFont="true" applyBorder="true" applyAlignment="true" applyProtection="false">
      <alignment horizontal="center" vertical="center" textRotation="0" wrapText="false" indent="0" shrinkToFit="false"/>
      <protection locked="true" hidden="false"/>
    </xf>
    <xf numFmtId="164" fontId="97" fillId="0" borderId="1" xfId="0" applyFont="true" applyBorder="true" applyAlignment="true" applyProtection="false">
      <alignment horizontal="center" vertical="center" textRotation="0" wrapText="false" indent="0" shrinkToFit="false"/>
      <protection locked="true" hidden="false"/>
    </xf>
    <xf numFmtId="172" fontId="97" fillId="4" borderId="1" xfId="15" applyFont="true" applyBorder="true" applyAlignment="true" applyProtection="true">
      <alignment horizontal="center" vertical="center" textRotation="0" wrapText="false" indent="0" shrinkToFit="false"/>
      <protection locked="true" hidden="false"/>
    </xf>
    <xf numFmtId="164" fontId="97" fillId="4" borderId="1" xfId="0" applyFont="true" applyBorder="true" applyAlignment="true" applyProtection="false">
      <alignment horizontal="center" vertical="center" textRotation="0" wrapText="false" indent="0" shrinkToFit="false"/>
      <protection locked="true" hidden="false"/>
    </xf>
    <xf numFmtId="172" fontId="100" fillId="0" borderId="1" xfId="15" applyFont="true" applyBorder="true" applyAlignment="true" applyProtection="true">
      <alignment horizontal="right" vertical="center" textRotation="0" wrapText="false" indent="0" shrinkToFit="false"/>
      <protection locked="true" hidden="false"/>
    </xf>
    <xf numFmtId="172" fontId="135" fillId="0" borderId="1" xfId="0" applyFont="true" applyBorder="true" applyAlignment="true" applyProtection="false">
      <alignment horizontal="right" vertical="center" textRotation="0" wrapText="false" indent="0" shrinkToFit="false"/>
      <protection locked="true" hidden="false"/>
    </xf>
    <xf numFmtId="172" fontId="135" fillId="0" borderId="1" xfId="0" applyFont="true" applyBorder="true" applyAlignment="true" applyProtection="false">
      <alignment horizontal="general" vertical="center" textRotation="0" wrapText="false" indent="0" shrinkToFit="false"/>
      <protection locked="true" hidden="false"/>
    </xf>
    <xf numFmtId="172" fontId="135" fillId="0" borderId="1" xfId="0" applyFont="true" applyBorder="true" applyAlignment="true" applyProtection="false">
      <alignment horizontal="center" vertical="bottom" textRotation="0" wrapText="false" indent="0" shrinkToFit="false"/>
      <protection locked="true" hidden="false"/>
    </xf>
    <xf numFmtId="174" fontId="97" fillId="0" borderId="1" xfId="15" applyFont="true" applyBorder="true" applyAlignment="true" applyProtection="true">
      <alignment horizontal="center" vertical="center" textRotation="0" wrapText="false" indent="0" shrinkToFit="false"/>
      <protection locked="true" hidden="false"/>
    </xf>
    <xf numFmtId="181" fontId="97" fillId="0" borderId="1" xfId="0" applyFont="true" applyBorder="true" applyAlignment="true" applyProtection="false">
      <alignment horizontal="center" vertical="center" textRotation="0" wrapText="false" indent="0" shrinkToFit="false"/>
      <protection locked="true" hidden="false"/>
    </xf>
    <xf numFmtId="172" fontId="100" fillId="0" borderId="1" xfId="36" applyFont="true" applyBorder="true" applyAlignment="true" applyProtection="true">
      <alignment horizontal="center" vertical="center" textRotation="0" wrapText="false" indent="0" shrinkToFit="false"/>
      <protection locked="true" hidden="false"/>
    </xf>
    <xf numFmtId="179" fontId="99" fillId="0" borderId="1" xfId="0" applyFont="true" applyBorder="true" applyAlignment="true" applyProtection="false">
      <alignment horizontal="general" vertical="center" textRotation="0" wrapText="false" indent="0" shrinkToFit="false"/>
      <protection locked="true" hidden="false"/>
    </xf>
    <xf numFmtId="181" fontId="0" fillId="0" borderId="1" xfId="0" applyFont="true" applyBorder="true" applyAlignment="true" applyProtection="false">
      <alignment horizontal="right" vertical="center" textRotation="0" wrapText="false" indent="0" shrinkToFit="false"/>
      <protection locked="true" hidden="false"/>
    </xf>
    <xf numFmtId="170" fontId="97" fillId="7" borderId="1" xfId="0" applyFont="true" applyBorder="true" applyAlignment="true" applyProtection="false">
      <alignment horizontal="center" vertical="center" textRotation="0" wrapText="true" indent="0" shrinkToFit="false"/>
      <protection locked="true" hidden="false"/>
    </xf>
    <xf numFmtId="202" fontId="101" fillId="0" borderId="0" xfId="0" applyFont="true" applyBorder="false" applyAlignment="true" applyProtection="false">
      <alignment horizontal="center" vertical="center" textRotation="0" wrapText="false" indent="0" shrinkToFit="false"/>
      <protection locked="true" hidden="false"/>
    </xf>
    <xf numFmtId="172" fontId="97" fillId="0" borderId="1" xfId="15" applyFont="true" applyBorder="true" applyAlignment="true" applyProtection="true">
      <alignment horizontal="center" vertical="center" textRotation="0" wrapText="false" indent="0" shrinkToFit="false"/>
      <protection locked="true" hidden="false"/>
    </xf>
    <xf numFmtId="164" fontId="100" fillId="0" borderId="1" xfId="0" applyFont="true" applyBorder="true" applyAlignment="true" applyProtection="false">
      <alignment horizontal="center" vertical="center" textRotation="0" wrapText="false" indent="0" shrinkToFit="false"/>
      <protection locked="true" hidden="false"/>
    </xf>
    <xf numFmtId="170" fontId="97" fillId="7" borderId="84" xfId="0" applyFont="true" applyBorder="true" applyAlignment="true" applyProtection="false">
      <alignment horizontal="center" vertical="center" textRotation="0" wrapText="true" indent="0" shrinkToFit="false"/>
      <protection locked="true" hidden="false"/>
    </xf>
    <xf numFmtId="168" fontId="101" fillId="6" borderId="0" xfId="0" applyFont="true" applyBorder="false" applyAlignment="true" applyProtection="false">
      <alignment horizontal="center" vertical="center" textRotation="0" wrapText="false" indent="0" shrinkToFit="false"/>
      <protection locked="true" hidden="false"/>
    </xf>
    <xf numFmtId="213" fontId="101" fillId="6" borderId="0" xfId="0" applyFont="true" applyBorder="false" applyAlignment="true" applyProtection="false">
      <alignment horizontal="center" vertical="center" textRotation="0" wrapText="false" indent="0" shrinkToFit="false"/>
      <protection locked="true" hidden="false"/>
    </xf>
    <xf numFmtId="199" fontId="97" fillId="4" borderId="0" xfId="0" applyFont="true" applyBorder="false" applyAlignment="true" applyProtection="true">
      <alignment horizontal="left" vertical="center" textRotation="0" wrapText="false" indent="0" shrinkToFit="false"/>
      <protection locked="false" hidden="false"/>
    </xf>
    <xf numFmtId="214" fontId="149" fillId="0" borderId="0" xfId="36" applyFont="true" applyBorder="true" applyAlignment="true" applyProtection="true">
      <alignment horizontal="center" vertical="center" textRotation="0" wrapText="fals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206" fontId="101" fillId="0" borderId="123" xfId="0" applyFont="true" applyBorder="true" applyAlignment="true" applyProtection="false">
      <alignment horizontal="center" vertical="center" textRotation="0" wrapText="false" indent="0" shrinkToFit="false"/>
      <protection locked="true" hidden="false"/>
    </xf>
    <xf numFmtId="164" fontId="150" fillId="0" borderId="0" xfId="0" applyFont="true" applyBorder="false" applyAlignment="true" applyProtection="false">
      <alignment horizontal="general" vertical="center" textRotation="0" wrapText="false" indent="0" shrinkToFit="false"/>
      <protection locked="true" hidden="false"/>
    </xf>
    <xf numFmtId="164" fontId="151" fillId="0" borderId="0" xfId="0" applyFont="true" applyBorder="false" applyAlignment="true" applyProtection="false">
      <alignment horizontal="general" vertical="center" textRotation="0" wrapText="false" indent="0" shrinkToFit="false"/>
      <protection locked="true" hidden="false"/>
    </xf>
    <xf numFmtId="168" fontId="0" fillId="0" borderId="0" xfId="0" applyFont="true" applyBorder="false" applyAlignment="true" applyProtection="false">
      <alignment horizontal="left" vertical="center" textRotation="0" wrapText="false" indent="0" shrinkToFit="false"/>
      <protection locked="true" hidden="false"/>
    </xf>
    <xf numFmtId="215" fontId="0" fillId="0" borderId="0" xfId="0" applyFont="true" applyBorder="false" applyAlignment="true" applyProtection="false">
      <alignment horizontal="center" vertical="center" textRotation="0" wrapText="false" indent="0" shrinkToFit="false"/>
      <protection locked="true" hidden="false"/>
    </xf>
    <xf numFmtId="172" fontId="0" fillId="0" borderId="0" xfId="0" applyFont="true" applyBorder="false" applyAlignment="true" applyProtection="false">
      <alignment horizontal="center" vertical="center" textRotation="0" wrapText="false" indent="0" shrinkToFit="false"/>
      <protection locked="true" hidden="false"/>
    </xf>
    <xf numFmtId="164" fontId="152" fillId="0" borderId="0" xfId="0" applyFont="true" applyBorder="false" applyAlignment="true" applyProtection="false">
      <alignment horizontal="general" vertical="center" textRotation="0" wrapText="false" indent="0" shrinkToFit="false"/>
      <protection locked="true" hidden="false"/>
    </xf>
    <xf numFmtId="164" fontId="153" fillId="0" borderId="0" xfId="0" applyFont="true" applyBorder="false" applyAlignment="true" applyProtection="false">
      <alignment horizontal="general" vertical="center" textRotation="0" wrapText="true" indent="0" shrinkToFit="false"/>
      <protection locked="true" hidden="false"/>
    </xf>
    <xf numFmtId="164" fontId="154" fillId="6" borderId="0" xfId="0" applyFont="true" applyBorder="true" applyAlignment="true" applyProtection="false">
      <alignment horizontal="general" vertical="center" textRotation="0" wrapText="false" indent="0" shrinkToFit="false"/>
      <protection locked="true" hidden="false"/>
    </xf>
    <xf numFmtId="164" fontId="81" fillId="6" borderId="1" xfId="0" applyFont="true" applyBorder="true" applyAlignment="true" applyProtection="false">
      <alignment horizontal="general" vertical="center" textRotation="0" wrapText="false" indent="0" shrinkToFit="false"/>
      <protection locked="true" hidden="false"/>
    </xf>
    <xf numFmtId="164" fontId="82" fillId="6" borderId="1" xfId="0" applyFont="true" applyBorder="true" applyAlignment="true" applyProtection="false">
      <alignment horizontal="general" vertical="center" textRotation="0" wrapText="false" indent="0" shrinkToFit="false"/>
      <protection locked="true" hidden="false"/>
    </xf>
    <xf numFmtId="164" fontId="82" fillId="13" borderId="5" xfId="0" applyFont="true" applyBorder="true" applyAlignment="true" applyProtection="false">
      <alignment horizontal="general" vertical="center" textRotation="0" wrapText="true" indent="0" shrinkToFit="false"/>
      <protection locked="true" hidden="false"/>
    </xf>
    <xf numFmtId="164" fontId="82" fillId="13" borderId="3" xfId="0" applyFont="true" applyBorder="true" applyAlignment="true" applyProtection="false">
      <alignment horizontal="general" vertical="center" textRotation="0" wrapText="true" indent="0" shrinkToFit="false"/>
      <protection locked="true" hidden="false"/>
    </xf>
    <xf numFmtId="164" fontId="82" fillId="22" borderId="5" xfId="0" applyFont="true" applyBorder="true" applyAlignment="true" applyProtection="false">
      <alignment horizontal="general" vertical="center" textRotation="0" wrapText="true" indent="0" shrinkToFit="false"/>
      <protection locked="true" hidden="false"/>
    </xf>
    <xf numFmtId="164" fontId="82" fillId="13" borderId="4" xfId="0" applyFont="true" applyBorder="true" applyAlignment="true" applyProtection="false">
      <alignment horizontal="general" vertical="center" textRotation="0" wrapText="false" indent="0" shrinkToFit="false"/>
      <protection locked="true" hidden="false"/>
    </xf>
    <xf numFmtId="164" fontId="82" fillId="13" borderId="261" xfId="0" applyFont="true" applyBorder="true" applyAlignment="true" applyProtection="false">
      <alignment horizontal="general" vertical="center" textRotation="0" wrapText="false" indent="0" shrinkToFit="false"/>
      <protection locked="true" hidden="false"/>
    </xf>
    <xf numFmtId="164" fontId="82" fillId="13" borderId="262" xfId="0" applyFont="true" applyBorder="true" applyAlignment="true" applyProtection="false">
      <alignment horizontal="general" vertical="center" textRotation="0" wrapText="true" indent="0" shrinkToFit="false"/>
      <protection locked="true" hidden="false"/>
    </xf>
    <xf numFmtId="164" fontId="82" fillId="13" borderId="263" xfId="0" applyFont="true" applyBorder="true" applyAlignment="true" applyProtection="false">
      <alignment horizontal="general" vertical="center" textRotation="0" wrapText="true" indent="0" shrinkToFit="false"/>
      <protection locked="true" hidden="false"/>
    </xf>
    <xf numFmtId="164" fontId="82" fillId="4" borderId="263" xfId="0" applyFont="true" applyBorder="true" applyAlignment="true" applyProtection="false">
      <alignment horizontal="general" vertical="center" textRotation="0" wrapText="true" indent="0" shrinkToFit="false"/>
      <protection locked="true" hidden="false"/>
    </xf>
    <xf numFmtId="164" fontId="82" fillId="13" borderId="263" xfId="0" applyFont="true" applyBorder="true" applyAlignment="true" applyProtection="false">
      <alignment horizontal="general" vertical="center" textRotation="0" wrapText="false" indent="0" shrinkToFit="false"/>
      <protection locked="true" hidden="false"/>
    </xf>
    <xf numFmtId="164" fontId="155" fillId="7" borderId="263" xfId="0" applyFont="true" applyBorder="true" applyAlignment="true" applyProtection="false">
      <alignment horizontal="general" vertical="center" textRotation="0" wrapText="true" indent="0" shrinkToFit="false"/>
      <protection locked="true" hidden="false"/>
    </xf>
    <xf numFmtId="164" fontId="156" fillId="13" borderId="264" xfId="0" applyFont="true" applyBorder="true" applyAlignment="true" applyProtection="false">
      <alignment horizontal="general" vertical="center" textRotation="0" wrapText="true" indent="0" shrinkToFit="false"/>
      <protection locked="true" hidden="false"/>
    </xf>
    <xf numFmtId="164" fontId="82" fillId="13" borderId="265" xfId="0" applyFont="true" applyBorder="true" applyAlignment="true" applyProtection="false">
      <alignment horizontal="general" vertical="center" textRotation="0" wrapText="true" indent="0" shrinkToFit="false"/>
      <protection locked="true" hidden="false"/>
    </xf>
    <xf numFmtId="164" fontId="82" fillId="13" borderId="8" xfId="0" applyFont="true" applyBorder="true" applyAlignment="true" applyProtection="false">
      <alignment horizontal="general" vertical="center" textRotation="0" wrapText="true" indent="0" shrinkToFit="false"/>
      <protection locked="true" hidden="false"/>
    </xf>
    <xf numFmtId="164" fontId="82" fillId="22" borderId="8" xfId="0" applyFont="true" applyBorder="true" applyAlignment="true" applyProtection="false">
      <alignment horizontal="general" vertical="center" textRotation="0" wrapText="true" indent="0" shrinkToFit="false"/>
      <protection locked="true" hidden="false"/>
    </xf>
    <xf numFmtId="164" fontId="156" fillId="13" borderId="9" xfId="0" applyFont="true" applyBorder="true" applyAlignment="true" applyProtection="false">
      <alignment horizontal="general" vertical="center" textRotation="0" wrapText="true" indent="0" shrinkToFit="false"/>
      <protection locked="true" hidden="false"/>
    </xf>
    <xf numFmtId="164" fontId="6" fillId="23" borderId="8" xfId="0" applyFont="true" applyBorder="true" applyAlignment="true" applyProtection="false">
      <alignment horizontal="general" vertical="center" textRotation="0" wrapText="false" indent="0" shrinkToFit="false"/>
      <protection locked="true" hidden="false"/>
    </xf>
    <xf numFmtId="164" fontId="6" fillId="22" borderId="8" xfId="0" applyFont="true" applyBorder="true" applyAlignment="true" applyProtection="false">
      <alignment horizontal="general" vertical="center" textRotation="0" wrapText="false" indent="0" shrinkToFit="false"/>
      <protection locked="true" hidden="false"/>
    </xf>
    <xf numFmtId="164" fontId="6" fillId="15" borderId="1" xfId="0" applyFont="true" applyBorder="true" applyAlignment="true" applyProtection="false">
      <alignment horizontal="general" vertical="center" textRotation="0" wrapText="false" indent="0" shrinkToFit="false"/>
      <protection locked="true" hidden="false"/>
    </xf>
    <xf numFmtId="164" fontId="6" fillId="0" borderId="266" xfId="0" applyFont="true" applyBorder="true" applyAlignment="true" applyProtection="false">
      <alignment horizontal="general" vertical="center" textRotation="0" wrapText="false" indent="0" shrinkToFit="false"/>
      <protection locked="true" hidden="false"/>
    </xf>
    <xf numFmtId="164" fontId="6" fillId="0" borderId="8"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general" vertical="center" textRotation="0" wrapText="false" indent="0" shrinkToFit="false"/>
      <protection locked="true" hidden="false"/>
    </xf>
    <xf numFmtId="164" fontId="6" fillId="6" borderId="8" xfId="0" applyFont="true" applyBorder="true" applyAlignment="true" applyProtection="false">
      <alignment horizontal="general" vertical="center" textRotation="0" wrapText="false" indent="0" shrinkToFit="false"/>
      <protection locked="true" hidden="false"/>
    </xf>
    <xf numFmtId="216" fontId="100" fillId="0" borderId="84" xfId="0" applyFont="true" applyBorder="true" applyAlignment="true" applyProtection="false">
      <alignment horizontal="general" vertical="center" textRotation="0" wrapText="false" indent="0" shrinkToFit="false"/>
      <protection locked="true" hidden="false"/>
    </xf>
    <xf numFmtId="164" fontId="100" fillId="0" borderId="6" xfId="0" applyFont="true" applyBorder="true" applyAlignment="true" applyProtection="false">
      <alignment horizontal="general" vertical="center" textRotation="0" wrapText="false" indent="0" shrinkToFit="false"/>
      <protection locked="true" hidden="false"/>
    </xf>
    <xf numFmtId="164" fontId="6" fillId="0" borderId="267" xfId="0" applyFont="true" applyBorder="true" applyAlignment="true" applyProtection="false">
      <alignment horizontal="general" vertical="center" textRotation="0" wrapText="false" indent="0" shrinkToFit="false"/>
      <protection locked="true" hidden="false"/>
    </xf>
    <xf numFmtId="164" fontId="6" fillId="0" borderId="268" xfId="0" applyFont="true" applyBorder="true" applyAlignment="true" applyProtection="false">
      <alignment horizontal="general" vertical="center" textRotation="0" wrapText="false" indent="0" shrinkToFit="false"/>
      <protection locked="true" hidden="false"/>
    </xf>
    <xf numFmtId="216" fontId="100" fillId="0" borderId="1" xfId="0" applyFont="true" applyBorder="true" applyAlignment="true" applyProtection="false">
      <alignment horizontal="general" vertical="center" textRotation="0" wrapText="false" indent="0" shrinkToFit="false"/>
      <protection locked="true" hidden="false"/>
    </xf>
    <xf numFmtId="164" fontId="100" fillId="0" borderId="8" xfId="0" applyFont="true" applyBorder="true" applyAlignment="true" applyProtection="false">
      <alignment horizontal="general" vertical="center" textRotation="0" wrapText="false" indent="0" shrinkToFit="false"/>
      <protection locked="true" hidden="false"/>
    </xf>
    <xf numFmtId="164" fontId="6" fillId="0" borderId="269" xfId="0" applyFont="true" applyBorder="true" applyAlignment="true" applyProtection="false">
      <alignment horizontal="general" vertical="center" textRotation="0" wrapText="false" indent="0" shrinkToFit="false"/>
      <protection locked="true" hidden="false"/>
    </xf>
    <xf numFmtId="164" fontId="6" fillId="14" borderId="1" xfId="0" applyFont="true" applyBorder="true" applyAlignment="true" applyProtection="false">
      <alignment horizontal="general" vertical="center" textRotation="0" wrapText="false" indent="0" shrinkToFit="false"/>
      <protection locked="true" hidden="false"/>
    </xf>
    <xf numFmtId="164" fontId="6" fillId="24" borderId="8" xfId="0" applyFont="true" applyBorder="true" applyAlignment="true" applyProtection="false">
      <alignment horizontal="general" vertical="center" textRotation="0" wrapText="false" indent="0" shrinkToFit="false"/>
      <protection locked="true" hidden="false"/>
    </xf>
    <xf numFmtId="164" fontId="102" fillId="0" borderId="1" xfId="0" applyFont="true" applyBorder="true" applyAlignment="true" applyProtection="false">
      <alignment horizontal="general" vertical="center" textRotation="0" wrapText="false" indent="0" shrinkToFit="false"/>
      <protection locked="true" hidden="false"/>
    </xf>
    <xf numFmtId="164" fontId="6" fillId="0" borderId="270" xfId="0" applyFont="true" applyBorder="true" applyAlignment="true" applyProtection="false">
      <alignment horizontal="general" vertical="center" textRotation="0" wrapText="false" indent="0" shrinkToFit="false"/>
      <protection locked="true" hidden="false"/>
    </xf>
    <xf numFmtId="164" fontId="6" fillId="0" borderId="271" xfId="0" applyFont="true" applyBorder="true" applyAlignment="true" applyProtection="false">
      <alignment horizontal="general" vertical="center" textRotation="0" wrapText="false" indent="0" shrinkToFit="false"/>
      <protection locked="true" hidden="false"/>
    </xf>
    <xf numFmtId="216" fontId="100" fillId="0" borderId="272" xfId="0" applyFont="true" applyBorder="true" applyAlignment="true" applyProtection="false">
      <alignment horizontal="general" vertical="center" textRotation="0" wrapText="false" indent="0" shrinkToFit="false"/>
      <protection locked="true" hidden="false"/>
    </xf>
    <xf numFmtId="164" fontId="100" fillId="0" borderId="271" xfId="0" applyFont="true" applyBorder="true" applyAlignment="true" applyProtection="false">
      <alignment horizontal="general" vertical="center" textRotation="0" wrapText="false" indent="0" shrinkToFit="false"/>
      <protection locked="true" hidden="false"/>
    </xf>
    <xf numFmtId="164" fontId="6" fillId="0" borderId="273" xfId="0" applyFont="true" applyBorder="true" applyAlignment="true" applyProtection="false">
      <alignment horizontal="general" vertical="center" textRotation="0" wrapText="false" indent="0" shrinkToFit="false"/>
      <protection locked="true" hidden="false"/>
    </xf>
    <xf numFmtId="164" fontId="102" fillId="0" borderId="8" xfId="0" applyFont="true" applyBorder="true" applyAlignment="true" applyProtection="false">
      <alignment horizontal="general" vertical="center" textRotation="0" wrapText="false" indent="0" shrinkToFit="false"/>
      <protection locked="true" hidden="false"/>
    </xf>
    <xf numFmtId="164" fontId="83" fillId="4" borderId="8" xfId="0" applyFont="true" applyBorder="true" applyAlignment="true" applyProtection="false">
      <alignment horizontal="general" vertical="center" textRotation="0" wrapText="false" indent="0" shrinkToFit="false"/>
      <protection locked="true" hidden="false"/>
    </xf>
    <xf numFmtId="164" fontId="82" fillId="0" borderId="5" xfId="0" applyFont="true" applyBorder="true" applyAlignment="true" applyProtection="false">
      <alignment horizontal="general" vertical="center" textRotation="0" wrapText="false" indent="0" shrinkToFit="false"/>
      <protection locked="true" hidden="false"/>
    </xf>
    <xf numFmtId="199" fontId="82" fillId="0" borderId="6" xfId="0" applyFont="true" applyBorder="true" applyAlignment="true" applyProtection="false">
      <alignment horizontal="general" vertical="center" textRotation="0" wrapText="false" indent="0" shrinkToFit="false"/>
      <protection locked="true" hidden="false"/>
    </xf>
    <xf numFmtId="164" fontId="82" fillId="0" borderId="84" xfId="0" applyFont="true" applyBorder="true" applyAlignment="true" applyProtection="false">
      <alignment horizontal="general" vertical="center" textRotation="0" wrapText="false" indent="0" shrinkToFit="false"/>
      <protection locked="true" hidden="false"/>
    </xf>
    <xf numFmtId="164" fontId="82" fillId="0" borderId="1" xfId="0" applyFont="true" applyBorder="true" applyAlignment="true" applyProtection="false">
      <alignment horizontal="general" vertical="center" textRotation="0" wrapText="false" indent="0" shrinkToFit="false"/>
      <protection locked="true" hidden="false"/>
    </xf>
    <xf numFmtId="181" fontId="0" fillId="0" borderId="274" xfId="0" applyFont="true" applyBorder="true" applyAlignment="true" applyProtection="false">
      <alignment horizontal="center" vertical="center" textRotation="0" wrapText="false" indent="0" shrinkToFit="false"/>
      <protection locked="true" hidden="false"/>
    </xf>
    <xf numFmtId="172" fontId="37" fillId="16" borderId="85" xfId="15" applyFont="true" applyBorder="true" applyAlignment="true" applyProtection="true">
      <alignment horizontal="general" vertical="center" textRotation="0" wrapText="false" indent="0" shrinkToFit="false"/>
      <protection locked="true" hidden="false"/>
    </xf>
    <xf numFmtId="164" fontId="92" fillId="16" borderId="87" xfId="0" applyFont="true" applyBorder="true" applyAlignment="true" applyProtection="false">
      <alignment horizontal="center" vertical="center" textRotation="0" wrapText="false" indent="0" shrinkToFit="false"/>
      <protection locked="true" hidden="false"/>
    </xf>
    <xf numFmtId="164" fontId="92" fillId="16" borderId="256" xfId="0" applyFont="true" applyBorder="true" applyAlignment="true" applyProtection="false">
      <alignment horizontal="general" vertical="center" textRotation="0" wrapText="false" indent="0" shrinkToFit="false"/>
      <protection locked="true" hidden="false"/>
    </xf>
    <xf numFmtId="164" fontId="157" fillId="17" borderId="0" xfId="0" applyFont="true" applyBorder="false" applyAlignment="true" applyProtection="false">
      <alignment horizontal="center" vertical="center" textRotation="0" wrapText="true" indent="0" shrinkToFit="false"/>
      <protection locked="true" hidden="false"/>
    </xf>
    <xf numFmtId="181" fontId="157" fillId="17" borderId="0" xfId="0" applyFont="true" applyBorder="false" applyAlignment="true" applyProtection="false">
      <alignment horizontal="center" vertical="center" textRotation="0" wrapText="true" indent="0" shrinkToFit="false"/>
      <protection locked="true" hidden="false"/>
    </xf>
    <xf numFmtId="168" fontId="157" fillId="17" borderId="0" xfId="0" applyFont="true" applyBorder="false" applyAlignment="true" applyProtection="false">
      <alignment horizontal="center" vertical="center" textRotation="0" wrapText="true" indent="0" shrinkToFit="false"/>
      <protection locked="true" hidden="false"/>
    </xf>
    <xf numFmtId="164" fontId="158" fillId="17" borderId="0" xfId="0" applyFont="true" applyBorder="false" applyAlignment="true" applyProtection="false">
      <alignment horizontal="center" vertical="center" textRotation="0" wrapText="true" indent="0" shrinkToFit="false"/>
      <protection locked="true" hidden="false"/>
    </xf>
    <xf numFmtId="164" fontId="157" fillId="25" borderId="89" xfId="0" applyFont="true" applyBorder="true" applyAlignment="true" applyProtection="false">
      <alignment horizontal="center" vertical="center" textRotation="0" wrapText="true" indent="0" shrinkToFit="false"/>
      <protection locked="true" hidden="false"/>
    </xf>
    <xf numFmtId="164" fontId="157" fillId="17" borderId="88" xfId="0" applyFont="true" applyBorder="true" applyAlignment="true" applyProtection="false">
      <alignment horizontal="center" vertical="center" textRotation="0" wrapText="true" indent="0" shrinkToFit="false"/>
      <protection locked="true" hidden="false"/>
    </xf>
    <xf numFmtId="164" fontId="157" fillId="17" borderId="89" xfId="0" applyFont="true" applyBorder="true" applyAlignment="true" applyProtection="false">
      <alignment horizontal="center" vertical="center" textRotation="0" wrapText="true" indent="0" shrinkToFit="false"/>
      <protection locked="true" hidden="false"/>
    </xf>
    <xf numFmtId="164" fontId="157" fillId="17" borderId="256" xfId="0" applyFont="true" applyBorder="true" applyAlignment="true" applyProtection="false">
      <alignment horizontal="center" vertical="center" textRotation="0" wrapText="true" indent="0" shrinkToFit="false"/>
      <protection locked="true" hidden="false"/>
    </xf>
    <xf numFmtId="164" fontId="158" fillId="17" borderId="259" xfId="0" applyFont="true" applyBorder="true" applyAlignment="true" applyProtection="false">
      <alignment horizontal="center" vertical="center" textRotation="0" wrapText="true" indent="0" shrinkToFit="false"/>
      <protection locked="true" hidden="false"/>
    </xf>
    <xf numFmtId="164" fontId="158" fillId="17" borderId="275" xfId="0" applyFont="true" applyBorder="true" applyAlignment="true" applyProtection="false">
      <alignment horizontal="center" vertical="center" textRotation="0" wrapText="true" indent="0" shrinkToFit="false"/>
      <protection locked="true" hidden="false"/>
    </xf>
    <xf numFmtId="164" fontId="158" fillId="17" borderId="276" xfId="0" applyFont="true" applyBorder="true" applyAlignment="true" applyProtection="false">
      <alignment horizontal="center" vertical="center" textRotation="0" wrapText="true" indent="0" shrinkToFit="false"/>
      <protection locked="true" hidden="false"/>
    </xf>
    <xf numFmtId="164" fontId="157" fillId="25" borderId="276" xfId="0" applyFont="true" applyBorder="true" applyAlignment="true" applyProtection="false">
      <alignment horizontal="center" vertical="center" textRotation="0" wrapText="true" indent="0" shrinkToFit="false"/>
      <protection locked="true" hidden="false"/>
    </xf>
    <xf numFmtId="164" fontId="157" fillId="17" borderId="276" xfId="0" applyFont="true" applyBorder="true" applyAlignment="true" applyProtection="false">
      <alignment horizontal="center" vertical="center" textRotation="0" wrapText="true" indent="0" shrinkToFit="false"/>
      <protection locked="true" hidden="false"/>
    </xf>
    <xf numFmtId="172" fontId="158" fillId="4" borderId="0" xfId="36" applyFont="true" applyBorder="true" applyAlignment="true" applyProtection="true">
      <alignment horizontal="center" vertical="center" textRotation="0" wrapText="true" indent="0" shrinkToFit="false"/>
      <protection locked="true" hidden="false"/>
    </xf>
    <xf numFmtId="172" fontId="157" fillId="17" borderId="0" xfId="36" applyFont="true" applyBorder="true" applyAlignment="true" applyProtection="true">
      <alignment horizontal="center" vertical="center" textRotation="0" wrapText="true" indent="0" shrinkToFit="false"/>
      <protection locked="true" hidden="false"/>
    </xf>
    <xf numFmtId="172" fontId="157" fillId="26" borderId="0" xfId="36" applyFont="true" applyBorder="true" applyAlignment="true" applyProtection="true">
      <alignment horizontal="center" vertical="center" textRotation="0" wrapText="true" indent="0" shrinkToFit="false"/>
      <protection locked="true" hidden="false"/>
    </xf>
    <xf numFmtId="164" fontId="157" fillId="17" borderId="90" xfId="0" applyFont="true" applyBorder="true" applyAlignment="true" applyProtection="false">
      <alignment horizontal="center" vertical="center" textRotation="0" wrapText="true" indent="0" shrinkToFit="false"/>
      <protection locked="true" hidden="false"/>
    </xf>
    <xf numFmtId="164" fontId="157" fillId="17" borderId="90" xfId="0" applyFont="true" applyBorder="true" applyAlignment="true" applyProtection="true">
      <alignment horizontal="center" vertical="center" textRotation="0" wrapText="true" indent="0" shrinkToFit="false"/>
      <protection locked="false" hidden="false"/>
    </xf>
    <xf numFmtId="164" fontId="157" fillId="17" borderId="277" xfId="0" applyFont="true" applyBorder="true" applyAlignment="true" applyProtection="false">
      <alignment horizontal="center" vertical="center" textRotation="0" wrapText="true" indent="0" shrinkToFit="false"/>
      <protection locked="true" hidden="false"/>
    </xf>
    <xf numFmtId="164" fontId="157" fillId="17" borderId="92" xfId="0" applyFont="true" applyBorder="true" applyAlignment="true" applyProtection="false">
      <alignment horizontal="center" vertical="center" textRotation="0" wrapText="true" indent="0" shrinkToFit="false"/>
      <protection locked="true" hidden="false"/>
    </xf>
    <xf numFmtId="164" fontId="159" fillId="0" borderId="0" xfId="0" applyFont="true" applyBorder="false" applyAlignment="true" applyProtection="false">
      <alignment horizontal="center" vertical="center" textRotation="0" wrapText="false" indent="0" shrinkToFit="false"/>
      <protection locked="true" hidden="false"/>
    </xf>
    <xf numFmtId="164" fontId="97" fillId="0" borderId="0" xfId="0" applyFont="true" applyBorder="false" applyAlignment="true" applyProtection="true">
      <alignment horizontal="left" vertical="center" textRotation="0" wrapText="false" indent="0" shrinkToFit="false"/>
      <protection locked="false" hidden="false"/>
    </xf>
    <xf numFmtId="164" fontId="149" fillId="0" borderId="0" xfId="0" applyFont="true" applyBorder="false" applyAlignment="true" applyProtection="false">
      <alignment horizontal="left" vertical="center" textRotation="0" wrapText="false" indent="0" shrinkToFit="false"/>
      <protection locked="true" hidden="false"/>
    </xf>
    <xf numFmtId="181" fontId="0" fillId="4" borderId="0" xfId="0" applyFont="true" applyBorder="false" applyAlignment="true" applyProtection="false">
      <alignment horizontal="right" vertical="center" textRotation="0" wrapText="false" indent="0" shrinkToFit="false"/>
      <protection locked="true" hidden="false"/>
    </xf>
    <xf numFmtId="168" fontId="0" fillId="4" borderId="0" xfId="0" applyFont="true" applyBorder="false" applyAlignment="true" applyProtection="false">
      <alignment horizontal="center" vertical="center" textRotation="0" wrapText="false" indent="0" shrinkToFit="false"/>
      <protection locked="true" hidden="false"/>
    </xf>
    <xf numFmtId="181" fontId="149" fillId="4" borderId="0" xfId="0" applyFont="true" applyBorder="false" applyAlignment="true" applyProtection="false">
      <alignment horizontal="center" vertical="center" textRotation="0" wrapText="false" indent="0" shrinkToFit="false"/>
      <protection locked="true" hidden="false"/>
    </xf>
    <xf numFmtId="181" fontId="7" fillId="4"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72" fontId="149" fillId="4" borderId="0" xfId="15" applyFont="true" applyBorder="true" applyAlignment="true" applyProtection="true">
      <alignment horizontal="center" vertical="center" textRotation="0" wrapText="false" indent="0" shrinkToFit="false"/>
      <protection locked="true" hidden="false"/>
    </xf>
    <xf numFmtId="164" fontId="149" fillId="0" borderId="0" xfId="0" applyFont="true" applyBorder="false" applyAlignment="true" applyProtection="false">
      <alignment horizontal="center" vertical="center" textRotation="0" wrapText="false" indent="0" shrinkToFit="false"/>
      <protection locked="true" hidden="false"/>
    </xf>
    <xf numFmtId="164" fontId="149" fillId="4" borderId="0" xfId="0" applyFont="true" applyBorder="false" applyAlignment="true" applyProtection="false">
      <alignment horizontal="center" vertical="center" textRotation="0" wrapText="false" indent="0" shrinkToFit="false"/>
      <protection locked="true" hidden="false"/>
    </xf>
    <xf numFmtId="172" fontId="128" fillId="0" borderId="0" xfId="15" applyFont="true" applyBorder="true" applyAlignment="true" applyProtection="true">
      <alignment horizontal="right" vertical="center" textRotation="0" wrapText="false" indent="0" shrinkToFit="false"/>
      <protection locked="true" hidden="false"/>
    </xf>
    <xf numFmtId="172" fontId="160" fillId="0" borderId="0" xfId="0" applyFont="true" applyBorder="false" applyAlignment="true" applyProtection="false">
      <alignment horizontal="right" vertical="center" textRotation="0" wrapText="false" indent="0" shrinkToFit="false"/>
      <protection locked="true" hidden="false"/>
    </xf>
    <xf numFmtId="172" fontId="128" fillId="4" borderId="0" xfId="36" applyFont="true" applyBorder="true" applyAlignment="true" applyProtection="true">
      <alignment horizontal="right" vertical="center" textRotation="0" wrapText="false" indent="0" shrinkToFit="false"/>
      <protection locked="true" hidden="false"/>
    </xf>
    <xf numFmtId="217" fontId="129" fillId="4" borderId="0" xfId="36" applyFont="true" applyBorder="true" applyAlignment="true" applyProtection="true">
      <alignment horizontal="right" vertical="center" textRotation="0" wrapText="false" indent="0" shrinkToFit="false"/>
      <protection locked="true" hidden="false"/>
    </xf>
    <xf numFmtId="210" fontId="128" fillId="0" borderId="0" xfId="15" applyFont="true" applyBorder="true" applyAlignment="true" applyProtection="true">
      <alignment horizontal="center" vertical="center" textRotation="0" wrapText="false" indent="0" shrinkToFit="false"/>
      <protection locked="true" hidden="false"/>
    </xf>
    <xf numFmtId="164" fontId="97" fillId="0" borderId="278" xfId="0" applyFont="true" applyBorder="true" applyAlignment="true" applyProtection="false">
      <alignment horizontal="left" vertical="center" textRotation="0" wrapText="true" indent="0" shrinkToFit="false"/>
      <protection locked="true" hidden="false"/>
    </xf>
    <xf numFmtId="164" fontId="97" fillId="0" borderId="1" xfId="0" applyFont="true" applyBorder="true" applyAlignment="true" applyProtection="true">
      <alignment horizontal="left" vertical="center" textRotation="0" wrapText="false" indent="0" shrinkToFit="false"/>
      <protection locked="false" hidden="false"/>
    </xf>
    <xf numFmtId="164" fontId="149" fillId="0" borderId="1" xfId="0" applyFont="true" applyBorder="true" applyAlignment="true" applyProtection="false">
      <alignment horizontal="left" vertical="center" textRotation="0" wrapText="false" indent="0" shrinkToFit="false"/>
      <protection locked="true" hidden="false"/>
    </xf>
    <xf numFmtId="181" fontId="0" fillId="4" borderId="1" xfId="0" applyFont="true" applyBorder="true" applyAlignment="true" applyProtection="false">
      <alignment horizontal="right" vertical="center" textRotation="0" wrapText="false" indent="0" shrinkToFit="false"/>
      <protection locked="true" hidden="false"/>
    </xf>
    <xf numFmtId="168" fontId="0" fillId="4" borderId="1" xfId="0" applyFont="true" applyBorder="true" applyAlignment="true" applyProtection="false">
      <alignment horizontal="center" vertical="center" textRotation="0" wrapText="false" indent="0" shrinkToFit="false"/>
      <protection locked="true" hidden="false"/>
    </xf>
    <xf numFmtId="181" fontId="149" fillId="4" borderId="1" xfId="0" applyFont="true" applyBorder="true" applyAlignment="true" applyProtection="false">
      <alignment horizontal="center" vertical="center" textRotation="0" wrapText="false" indent="0" shrinkToFit="false"/>
      <protection locked="true" hidden="false"/>
    </xf>
    <xf numFmtId="181" fontId="7" fillId="4" borderId="1" xfId="0" applyFont="true" applyBorder="true" applyAlignment="true" applyProtection="false">
      <alignment horizontal="center" vertical="center" textRotation="0" wrapText="false" indent="0" shrinkToFit="false"/>
      <protection locked="true" hidden="false"/>
    </xf>
    <xf numFmtId="164" fontId="149" fillId="0" borderId="1" xfId="0" applyFont="tru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general"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72" fontId="149" fillId="4" borderId="1" xfId="15" applyFont="true" applyBorder="true" applyAlignment="true" applyProtection="true">
      <alignment horizontal="center" vertical="center" textRotation="0" wrapText="false" indent="0" shrinkToFit="false"/>
      <protection locked="true" hidden="false"/>
    </xf>
    <xf numFmtId="181" fontId="0" fillId="0" borderId="1" xfId="0" applyFont="true" applyBorder="true" applyAlignment="true" applyProtection="false">
      <alignment horizontal="center" vertical="center" textRotation="0" wrapText="false" indent="0" shrinkToFit="false"/>
      <protection locked="true" hidden="false"/>
    </xf>
    <xf numFmtId="164" fontId="149" fillId="4" borderId="1" xfId="0" applyFont="true" applyBorder="true" applyAlignment="true" applyProtection="false">
      <alignment horizontal="center" vertical="center" textRotation="0" wrapText="false" indent="0" shrinkToFit="false"/>
      <protection locked="true" hidden="false"/>
    </xf>
    <xf numFmtId="172" fontId="128" fillId="0" borderId="1" xfId="15" applyFont="true" applyBorder="true" applyAlignment="true" applyProtection="true">
      <alignment horizontal="right" vertical="center" textRotation="0" wrapText="false" indent="0" shrinkToFit="false"/>
      <protection locked="true" hidden="false"/>
    </xf>
    <xf numFmtId="172" fontId="160" fillId="0" borderId="1" xfId="0" applyFont="true" applyBorder="true" applyAlignment="true" applyProtection="false">
      <alignment horizontal="right" vertical="center" textRotation="0" wrapText="false" indent="0" shrinkToFit="false"/>
      <protection locked="true" hidden="false"/>
    </xf>
    <xf numFmtId="172" fontId="160" fillId="0" borderId="1" xfId="0" applyFont="true" applyBorder="true" applyAlignment="true" applyProtection="false">
      <alignment horizontal="general" vertical="center" textRotation="0" wrapText="false" indent="0" shrinkToFit="false"/>
      <protection locked="true" hidden="false"/>
    </xf>
    <xf numFmtId="172" fontId="149" fillId="0" borderId="1" xfId="15" applyFont="true" applyBorder="true" applyAlignment="true" applyProtection="true">
      <alignment horizontal="center" vertical="center" textRotation="0" wrapText="false" indent="0" shrinkToFit="false"/>
      <protection locked="true" hidden="false"/>
    </xf>
    <xf numFmtId="172" fontId="128" fillId="4" borderId="1" xfId="36" applyFont="true" applyBorder="true" applyAlignment="true" applyProtection="true">
      <alignment horizontal="right" vertical="center" textRotation="0" wrapText="false" indent="0" shrinkToFit="false"/>
      <protection locked="true" hidden="false"/>
    </xf>
    <xf numFmtId="217" fontId="129" fillId="4" borderId="1" xfId="36" applyFont="true" applyBorder="true" applyAlignment="true" applyProtection="true">
      <alignment horizontal="right" vertical="center" textRotation="0" wrapText="false" indent="0" shrinkToFit="false"/>
      <protection locked="true" hidden="false"/>
    </xf>
    <xf numFmtId="210" fontId="128" fillId="0" borderId="1" xfId="15" applyFont="true" applyBorder="true" applyAlignment="true" applyProtection="true">
      <alignment horizontal="center" vertical="center" textRotation="0" wrapText="false" indent="0" shrinkToFit="false"/>
      <protection locked="true" hidden="false"/>
    </xf>
    <xf numFmtId="164" fontId="97" fillId="20" borderId="0" xfId="0" applyFont="true" applyBorder="false" applyAlignment="true" applyProtection="true">
      <alignment horizontal="left" vertical="center" textRotation="0" wrapText="false" indent="0" shrinkToFit="false"/>
      <protection locked="false" hidden="false"/>
    </xf>
    <xf numFmtId="164" fontId="97" fillId="20" borderId="0" xfId="0" applyFont="true" applyBorder="false" applyAlignment="true" applyProtection="false">
      <alignment horizontal="general" vertical="center" textRotation="0" wrapText="false" indent="0" shrinkToFit="false"/>
      <protection locked="true" hidden="false"/>
    </xf>
    <xf numFmtId="164" fontId="0" fillId="20" borderId="0" xfId="0" applyFont="true" applyBorder="false" applyAlignment="true" applyProtection="false">
      <alignment horizontal="general" vertical="center" textRotation="0" wrapText="false" indent="0" shrinkToFit="false"/>
      <protection locked="true" hidden="false"/>
    </xf>
    <xf numFmtId="168" fontId="0" fillId="20" borderId="0" xfId="0" applyFont="true" applyBorder="false" applyAlignment="true" applyProtection="false">
      <alignment horizontal="center" vertical="center" textRotation="0" wrapText="false" indent="0" shrinkToFit="false"/>
      <protection locked="true" hidden="false"/>
    </xf>
    <xf numFmtId="181" fontId="0" fillId="20" borderId="0" xfId="0" applyFont="true" applyBorder="false" applyAlignment="true" applyProtection="false">
      <alignment horizontal="center" vertical="center" textRotation="0" wrapText="false" indent="0" shrinkToFit="false"/>
      <protection locked="true" hidden="false"/>
    </xf>
    <xf numFmtId="164" fontId="0" fillId="20" borderId="0" xfId="0" applyFont="true" applyBorder="false" applyAlignment="true" applyProtection="false">
      <alignment horizontal="center" vertical="center" textRotation="0" wrapText="false" indent="0" shrinkToFit="false"/>
      <protection locked="true" hidden="false"/>
    </xf>
    <xf numFmtId="172" fontId="0" fillId="20" borderId="0" xfId="15" applyFont="true" applyBorder="true" applyAlignment="true" applyProtection="true">
      <alignment horizontal="general" vertical="center" textRotation="0" wrapText="false" indent="0" shrinkToFit="false"/>
      <protection locked="true" hidden="false"/>
    </xf>
    <xf numFmtId="172" fontId="35" fillId="20" borderId="0" xfId="0" applyFont="true" applyBorder="false" applyAlignment="true" applyProtection="false">
      <alignment horizontal="general" vertical="center" textRotation="0" wrapText="false" indent="0" shrinkToFit="false"/>
      <protection locked="true" hidden="false"/>
    </xf>
    <xf numFmtId="172" fontId="0" fillId="20" borderId="0" xfId="15" applyFont="true" applyBorder="true" applyAlignment="true" applyProtection="true">
      <alignment horizontal="center" vertical="center" textRotation="0" wrapText="false" indent="0" shrinkToFit="false"/>
      <protection locked="true" hidden="false"/>
    </xf>
    <xf numFmtId="172" fontId="0" fillId="20" borderId="0" xfId="36" applyFont="true" applyBorder="true" applyAlignment="true" applyProtection="true">
      <alignment horizontal="center" vertical="center" textRotation="0" wrapText="false" indent="0" shrinkToFit="false"/>
      <protection locked="true" hidden="false"/>
    </xf>
    <xf numFmtId="164" fontId="0" fillId="20" borderId="0" xfId="0" applyFont="true" applyBorder="false" applyAlignment="true" applyProtection="false">
      <alignment horizontal="right" vertical="center" textRotation="0" wrapText="false" indent="0" shrinkToFit="false"/>
      <protection locked="true" hidden="false"/>
    </xf>
    <xf numFmtId="164" fontId="97" fillId="20" borderId="0" xfId="0" applyFont="true" applyBorder="true" applyAlignment="true" applyProtection="false">
      <alignment horizontal="left" vertical="center" textRotation="0" wrapText="true" indent="0" shrinkToFit="false"/>
      <protection locked="true" hidden="false"/>
    </xf>
    <xf numFmtId="164" fontId="97" fillId="4" borderId="0" xfId="0" applyFont="true" applyBorder="false" applyAlignment="true" applyProtection="true">
      <alignment horizontal="center" vertical="center" textRotation="0" wrapText="false" indent="0" shrinkToFit="false"/>
      <protection locked="false" hidden="false"/>
    </xf>
    <xf numFmtId="164" fontId="161" fillId="0" borderId="0" xfId="0" applyFont="true" applyBorder="false" applyAlignment="true" applyProtection="false">
      <alignment horizontal="center" vertical="center" textRotation="0" wrapText="false" indent="0" shrinkToFit="false"/>
      <protection locked="true" hidden="false"/>
    </xf>
    <xf numFmtId="164" fontId="35" fillId="4" borderId="0" xfId="0" applyFont="true" applyBorder="false" applyAlignment="true" applyProtection="false">
      <alignment horizontal="center" vertical="center" textRotation="0" wrapText="false" indent="0" shrinkToFit="false"/>
      <protection locked="true" hidden="false"/>
    </xf>
    <xf numFmtId="172" fontId="35" fillId="0" borderId="0" xfId="36" applyFont="true" applyBorder="true" applyAlignment="true" applyProtection="true">
      <alignment horizontal="general" vertical="center" textRotation="0" wrapText="false" indent="0" shrinkToFit="false"/>
      <protection locked="true" hidden="false"/>
    </xf>
    <xf numFmtId="172" fontId="129" fillId="0" borderId="0" xfId="15" applyFont="true" applyBorder="true" applyAlignment="true" applyProtection="true">
      <alignment horizontal="center" vertical="center" textRotation="0" wrapText="false" indent="0" shrinkToFit="false"/>
      <protection locked="true" hidden="false"/>
    </xf>
    <xf numFmtId="172" fontId="129" fillId="0" borderId="0" xfId="36" applyFont="true" applyBorder="true" applyAlignment="true" applyProtection="true">
      <alignment horizontal="right" vertical="center" textRotation="0" wrapText="false" indent="0" shrinkToFit="false"/>
      <protection locked="true" hidden="false"/>
    </xf>
    <xf numFmtId="172" fontId="129" fillId="6" borderId="0" xfId="36" applyFont="true" applyBorder="true" applyAlignment="true" applyProtection="true">
      <alignment horizontal="right" vertical="center" textRotation="0" wrapText="false" indent="0" shrinkToFit="false"/>
      <protection locked="true" hidden="false"/>
    </xf>
    <xf numFmtId="217" fontId="129" fillId="6" borderId="0" xfId="36" applyFont="true" applyBorder="true" applyAlignment="true" applyProtection="true">
      <alignment horizontal="right" vertical="center" textRotation="0" wrapText="false" indent="0" shrinkToFit="false"/>
      <protection locked="true" hidden="false"/>
    </xf>
    <xf numFmtId="181" fontId="0" fillId="6" borderId="0" xfId="0" applyFont="true" applyBorder="false" applyAlignment="true" applyProtection="false">
      <alignment horizontal="right" vertical="center" textRotation="0" wrapText="false" indent="0" shrinkToFit="false"/>
      <protection locked="true" hidden="false"/>
    </xf>
    <xf numFmtId="164" fontId="99" fillId="0" borderId="0" xfId="0" applyFont="true" applyBorder="false" applyAlignment="true" applyProtection="true">
      <alignment horizontal="center" vertical="bottom" textRotation="0" wrapText="false" indent="0" shrinkToFit="false"/>
      <protection locked="false" hidden="false"/>
    </xf>
    <xf numFmtId="164" fontId="161" fillId="0" borderId="0" xfId="0" applyFont="true" applyBorder="false" applyAlignment="true" applyProtection="false">
      <alignment horizontal="general" vertical="center" textRotation="0" wrapText="false" indent="0" shrinkToFit="false"/>
      <protection locked="true" hidden="false"/>
    </xf>
    <xf numFmtId="217" fontId="129" fillId="0" borderId="0" xfId="36" applyFont="true" applyBorder="true" applyAlignment="true" applyProtection="true">
      <alignment horizontal="right" vertical="center" textRotation="0" wrapText="false" indent="0" shrinkToFit="false"/>
      <protection locked="true" hidden="false"/>
    </xf>
    <xf numFmtId="181" fontId="0" fillId="0" borderId="0" xfId="0" applyFont="true" applyBorder="false" applyAlignment="true" applyProtection="false">
      <alignment horizontal="general" vertical="center" textRotation="0" wrapText="false" indent="0" shrinkToFit="false"/>
      <protection locked="true" hidden="false"/>
    </xf>
    <xf numFmtId="164" fontId="129" fillId="0" borderId="0" xfId="0" applyFont="true" applyBorder="false" applyAlignment="true" applyProtection="false">
      <alignment horizontal="general" vertical="center" textRotation="0" wrapText="false" indent="0" shrinkToFit="false"/>
      <protection locked="true" hidden="false"/>
    </xf>
    <xf numFmtId="172" fontId="129" fillId="0" borderId="0" xfId="15" applyFont="true" applyBorder="true" applyAlignment="true" applyProtection="true">
      <alignment horizontal="general" vertical="center" textRotation="0" wrapText="false" indent="0" shrinkToFit="false"/>
      <protection locked="true" hidden="false"/>
    </xf>
    <xf numFmtId="168" fontId="101" fillId="0" borderId="0" xfId="0" applyFont="true" applyBorder="false" applyAlignment="true" applyProtection="false">
      <alignment horizontal="center" vertical="center" textRotation="0" wrapText="false" indent="0" shrinkToFit="false"/>
      <protection locked="true" hidden="false"/>
    </xf>
    <xf numFmtId="172" fontId="101" fillId="0" borderId="0" xfId="15" applyFont="true" applyBorder="true" applyAlignment="true" applyProtection="true">
      <alignment horizontal="general" vertical="center" textRotation="0" wrapText="false" indent="0" shrinkToFit="false"/>
      <protection locked="true" hidden="false"/>
    </xf>
    <xf numFmtId="172" fontId="99" fillId="0" borderId="0" xfId="15" applyFont="true" applyBorder="true" applyAlignment="true" applyProtection="true">
      <alignment horizontal="general" vertical="center" textRotation="0" wrapText="false" indent="0" shrinkToFit="false"/>
      <protection locked="true" hidden="false"/>
    </xf>
    <xf numFmtId="164" fontId="101" fillId="0" borderId="0" xfId="0" applyFont="true" applyBorder="false" applyAlignment="true" applyProtection="false">
      <alignment horizontal="right"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81" fontId="0" fillId="6" borderId="0" xfId="0" applyFont="true" applyBorder="false" applyAlignment="true" applyProtection="false">
      <alignment horizontal="center" vertical="center" textRotation="0" wrapText="false" indent="0" shrinkToFit="false"/>
      <protection locked="true" hidden="false"/>
    </xf>
    <xf numFmtId="164" fontId="91" fillId="16" borderId="279" xfId="0" applyFont="true" applyBorder="true" applyAlignment="true" applyProtection="false">
      <alignment horizontal="left" vertical="center" textRotation="0" wrapText="false" indent="0" shrinkToFit="false"/>
      <protection locked="true" hidden="false"/>
    </xf>
    <xf numFmtId="164" fontId="91" fillId="16" borderId="254" xfId="0" applyFont="true" applyBorder="true" applyAlignment="true" applyProtection="false">
      <alignment horizontal="general" vertical="center" textRotation="0" wrapText="false" indent="0" shrinkToFit="false"/>
      <protection locked="true" hidden="false"/>
    </xf>
    <xf numFmtId="164" fontId="162" fillId="16" borderId="254" xfId="0" applyFont="true" applyBorder="true" applyAlignment="true" applyProtection="false">
      <alignment horizontal="right" vertical="bottom" textRotation="0" wrapText="false" indent="0" shrinkToFit="false"/>
      <protection locked="true" hidden="false"/>
    </xf>
    <xf numFmtId="164" fontId="91" fillId="16" borderId="88" xfId="0" applyFont="true" applyBorder="true" applyAlignment="true" applyProtection="false">
      <alignment horizontal="left" vertical="center" textRotation="0" wrapText="false" indent="0" shrinkToFit="false"/>
      <protection locked="true" hidden="false"/>
    </xf>
    <xf numFmtId="164" fontId="134" fillId="16" borderId="0" xfId="0" applyFont="true" applyBorder="false" applyAlignment="true" applyProtection="false">
      <alignment horizontal="general" vertical="center" textRotation="0" wrapText="false" indent="0" shrinkToFit="false"/>
      <protection locked="true" hidden="false"/>
    </xf>
    <xf numFmtId="164" fontId="134" fillId="16" borderId="274" xfId="0" applyFont="true" applyBorder="true" applyAlignment="true" applyProtection="false">
      <alignment horizontal="general" vertical="center" textRotation="0" wrapText="false" indent="0" shrinkToFit="false"/>
      <protection locked="true" hidden="false"/>
    </xf>
    <xf numFmtId="164" fontId="91" fillId="16" borderId="280" xfId="0" applyFont="true" applyBorder="true" applyAlignment="true" applyProtection="false">
      <alignment horizontal="left" vertical="center" textRotation="0" wrapText="false" indent="0" shrinkToFit="false"/>
      <protection locked="true" hidden="false"/>
    </xf>
    <xf numFmtId="164" fontId="37" fillId="16" borderId="281" xfId="0" applyFont="true" applyBorder="true" applyAlignment="true" applyProtection="false">
      <alignment horizontal="center" vertical="center" textRotation="0" wrapText="false" indent="0" shrinkToFit="false"/>
      <protection locked="true" hidden="false"/>
    </xf>
    <xf numFmtId="164" fontId="37" fillId="6" borderId="89" xfId="0" applyFont="true" applyBorder="true" applyAlignment="true" applyProtection="false">
      <alignment horizontal="general" vertical="center" textRotation="0" wrapText="false" indent="0" shrinkToFit="false"/>
      <protection locked="true" hidden="false"/>
    </xf>
    <xf numFmtId="164" fontId="37" fillId="6" borderId="256"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7" fillId="17" borderId="275" xfId="0" applyFont="true" applyBorder="true" applyAlignment="true" applyProtection="false">
      <alignment horizontal="center" vertical="center" textRotation="0" wrapText="true" indent="0" shrinkToFit="false"/>
      <protection locked="true" hidden="false"/>
    </xf>
    <xf numFmtId="164" fontId="77" fillId="17" borderId="282" xfId="0" applyFont="true" applyBorder="true" applyAlignment="true" applyProtection="false">
      <alignment horizontal="center" vertical="center" textRotation="0" wrapText="true" indent="0" shrinkToFit="false"/>
      <protection locked="true" hidden="false"/>
    </xf>
    <xf numFmtId="172" fontId="77" fillId="26" borderId="0" xfId="36" applyFont="true" applyBorder="true" applyAlignment="true" applyProtection="true">
      <alignment horizontal="center" vertical="center" textRotation="0" wrapText="true" indent="0" shrinkToFit="false"/>
      <protection locked="true" hidden="false"/>
    </xf>
    <xf numFmtId="164" fontId="77" fillId="17" borderId="88" xfId="0" applyFont="true" applyBorder="true" applyAlignment="true" applyProtection="false">
      <alignment horizontal="center" vertical="center" textRotation="0" wrapText="true" indent="0" shrinkToFit="false"/>
      <protection locked="true" hidden="false"/>
    </xf>
    <xf numFmtId="191" fontId="24" fillId="18" borderId="112" xfId="0" applyFont="true" applyBorder="true" applyAlignment="true" applyProtection="false">
      <alignment horizontal="general" vertical="center" textRotation="0" wrapText="true" indent="0" shrinkToFit="false"/>
      <protection locked="true" hidden="false"/>
    </xf>
    <xf numFmtId="164" fontId="135" fillId="6" borderId="118" xfId="0" applyFont="true" applyBorder="true" applyAlignment="true" applyProtection="false">
      <alignment horizontal="center" vertical="center" textRotation="0" wrapText="false" indent="0" shrinkToFit="false"/>
      <protection locked="true" hidden="false"/>
    </xf>
    <xf numFmtId="164" fontId="100" fillId="6" borderId="100" xfId="0" applyFont="true" applyBorder="true" applyAlignment="true" applyProtection="false">
      <alignment horizontal="general" vertical="center" textRotation="0" wrapText="false" indent="0" shrinkToFit="false"/>
      <protection locked="true" hidden="false"/>
    </xf>
    <xf numFmtId="164" fontId="117" fillId="6" borderId="100" xfId="0" applyFont="true" applyBorder="true" applyAlignment="true" applyProtection="false">
      <alignment horizontal="general" vertical="center" textRotation="0" wrapText="false" indent="0" shrinkToFit="false"/>
      <protection locked="true" hidden="false"/>
    </xf>
    <xf numFmtId="181" fontId="97" fillId="6" borderId="283" xfId="0" applyFont="true" applyBorder="true" applyAlignment="true" applyProtection="false">
      <alignment horizontal="center" vertical="center" textRotation="0" wrapText="false" indent="0" shrinkToFit="false"/>
      <protection locked="true" hidden="false"/>
    </xf>
    <xf numFmtId="184" fontId="97" fillId="6" borderId="283" xfId="19" applyFont="true" applyBorder="true" applyAlignment="true" applyProtection="true">
      <alignment horizontal="center" vertical="center" textRotation="0" wrapText="false" indent="0" shrinkToFit="false"/>
      <protection locked="false" hidden="false"/>
    </xf>
    <xf numFmtId="168" fontId="97" fillId="6" borderId="118" xfId="0" applyFont="true" applyBorder="true" applyAlignment="true" applyProtection="true">
      <alignment horizontal="right" vertical="center" textRotation="0" wrapText="false" indent="0" shrinkToFit="false"/>
      <protection locked="false" hidden="false"/>
    </xf>
    <xf numFmtId="191" fontId="97" fillId="6" borderId="284" xfId="0" applyFont="true" applyBorder="true" applyAlignment="true" applyProtection="false">
      <alignment horizontal="left" vertical="center" textRotation="0" wrapText="false" indent="0" shrinkToFit="false"/>
      <protection locked="true" hidden="false"/>
    </xf>
    <xf numFmtId="191" fontId="97" fillId="0" borderId="100" xfId="0" applyFont="true" applyBorder="true" applyAlignment="true" applyProtection="false">
      <alignment horizontal="center" vertical="center" textRotation="0" wrapText="false" indent="0" shrinkToFit="false"/>
      <protection locked="true" hidden="false"/>
    </xf>
    <xf numFmtId="181" fontId="97" fillId="6" borderId="100" xfId="0" applyFont="true" applyBorder="true" applyAlignment="true" applyProtection="false">
      <alignment horizontal="center" vertical="center" textRotation="0" wrapText="false" indent="0" shrinkToFit="false"/>
      <protection locked="true" hidden="false"/>
    </xf>
    <xf numFmtId="164" fontId="97" fillId="6" borderId="118" xfId="0" applyFont="true" applyBorder="true" applyAlignment="true" applyProtection="false">
      <alignment horizontal="center" vertical="center" textRotation="0" wrapText="false" indent="0" shrinkToFit="false"/>
      <protection locked="true" hidden="false"/>
    </xf>
    <xf numFmtId="172" fontId="97" fillId="6" borderId="283" xfId="15" applyFont="true" applyBorder="true" applyAlignment="true" applyProtection="true">
      <alignment horizontal="center" vertical="center" textRotation="0" wrapText="false" indent="0" shrinkToFit="false"/>
      <protection locked="true" hidden="false"/>
    </xf>
    <xf numFmtId="172" fontId="97" fillId="6" borderId="100" xfId="15" applyFont="true" applyBorder="true" applyAlignment="true" applyProtection="true">
      <alignment horizontal="center" vertical="center" textRotation="0" wrapText="false" indent="0" shrinkToFit="false"/>
      <protection locked="true" hidden="false"/>
    </xf>
    <xf numFmtId="172" fontId="100" fillId="6" borderId="100" xfId="15" applyFont="true" applyBorder="true" applyAlignment="true" applyProtection="true">
      <alignment horizontal="center" vertical="center" textRotation="0" wrapText="false" indent="0" shrinkToFit="false"/>
      <protection locked="true" hidden="false"/>
    </xf>
    <xf numFmtId="179" fontId="97" fillId="6" borderId="100" xfId="0" applyFont="true" applyBorder="true" applyAlignment="true" applyProtection="false">
      <alignment horizontal="center" vertical="center" textRotation="0" wrapText="false" indent="0" shrinkToFit="false"/>
      <protection locked="true" hidden="false"/>
    </xf>
    <xf numFmtId="174" fontId="97" fillId="6" borderId="283" xfId="36" applyFont="true" applyBorder="true" applyAlignment="true" applyProtection="true">
      <alignment horizontal="center" vertical="center" textRotation="0" wrapText="false" indent="0" shrinkToFit="false"/>
      <protection locked="true" hidden="false"/>
    </xf>
    <xf numFmtId="164" fontId="97" fillId="6" borderId="100" xfId="0" applyFont="true" applyBorder="true" applyAlignment="true" applyProtection="false">
      <alignment horizontal="left" vertical="center" textRotation="0" wrapText="false" indent="0" shrinkToFit="false"/>
      <protection locked="true" hidden="false"/>
    </xf>
    <xf numFmtId="164" fontId="97" fillId="6" borderId="100" xfId="0" applyFont="true" applyBorder="true" applyAlignment="true" applyProtection="false">
      <alignment horizontal="center" vertical="center" textRotation="0" wrapText="false" indent="0" shrinkToFit="false"/>
      <protection locked="true" hidden="false"/>
    </xf>
    <xf numFmtId="172" fontId="100" fillId="6" borderId="0" xfId="36" applyFont="true" applyBorder="true" applyAlignment="true" applyProtection="true">
      <alignment horizontal="center" vertical="center"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0" shrinkToFit="false"/>
      <protection locked="true" hidden="false"/>
    </xf>
    <xf numFmtId="168" fontId="97" fillId="6" borderId="100" xfId="0" applyFont="true" applyBorder="true" applyAlignment="true" applyProtection="false">
      <alignment horizontal="right" vertical="center" textRotation="0" wrapText="false" indent="0" shrinkToFit="false"/>
      <protection locked="true" hidden="false"/>
    </xf>
    <xf numFmtId="168" fontId="97" fillId="6" borderId="100" xfId="0" applyFont="true" applyBorder="true" applyAlignment="true" applyProtection="false">
      <alignment horizontal="center" vertical="center" textRotation="0" wrapText="false" indent="0" shrinkToFit="false"/>
      <protection locked="true" hidden="false"/>
    </xf>
    <xf numFmtId="168" fontId="97" fillId="6" borderId="100" xfId="0" applyFont="true" applyBorder="true" applyAlignment="true" applyProtection="true">
      <alignment horizontal="center" vertical="center" textRotation="0" wrapText="false" indent="0" shrinkToFit="false"/>
      <protection locked="false" hidden="false"/>
    </xf>
    <xf numFmtId="204" fontId="97" fillId="6" borderId="100" xfId="0" applyFont="true" applyBorder="true" applyAlignment="true" applyProtection="true">
      <alignment horizontal="center" vertical="center" textRotation="0" wrapText="false" indent="0" shrinkToFit="false"/>
      <protection locked="false" hidden="false"/>
    </xf>
    <xf numFmtId="168" fontId="97" fillId="0" borderId="0" xfId="0" applyFont="true" applyBorder="false" applyAlignment="true" applyProtection="true">
      <alignment horizontal="center" vertical="center" textRotation="0" wrapText="false" indent="0" shrinkToFit="false"/>
      <protection locked="false" hidden="false"/>
    </xf>
    <xf numFmtId="168" fontId="100" fillId="6" borderId="100" xfId="0" applyFont="true" applyBorder="true" applyAlignment="true" applyProtection="false">
      <alignment horizontal="general" vertical="center" textRotation="0" wrapText="false" indent="0" shrinkToFit="false"/>
      <protection locked="true" hidden="false"/>
    </xf>
    <xf numFmtId="164" fontId="97" fillId="0" borderId="285" xfId="0" applyFont="true" applyBorder="true" applyAlignment="true" applyProtection="false">
      <alignment horizontal="general" vertical="center" textRotation="0" wrapText="true" indent="0" shrinkToFit="false"/>
      <protection locked="true" hidden="false"/>
    </xf>
    <xf numFmtId="164" fontId="98" fillId="6" borderId="100" xfId="0" applyFont="true" applyBorder="true" applyAlignment="true" applyProtection="false">
      <alignment horizontal="general" vertical="center" textRotation="0" wrapText="false" indent="0" shrinkToFit="false"/>
      <protection locked="true" hidden="false"/>
    </xf>
    <xf numFmtId="174" fontId="97" fillId="6" borderId="100" xfId="36" applyFont="true" applyBorder="true" applyAlignment="true" applyProtection="true">
      <alignment horizontal="center" vertical="center" textRotation="0" wrapText="false" indent="0" shrinkToFit="false"/>
      <protection locked="true" hidden="false"/>
    </xf>
    <xf numFmtId="164" fontId="97" fillId="0" borderId="284" xfId="0" applyFont="true" applyBorder="true" applyAlignment="true" applyProtection="false">
      <alignment horizontal="general" vertical="center" textRotation="0" wrapText="false" indent="0" shrinkToFit="false"/>
      <protection locked="true" hidden="false"/>
    </xf>
    <xf numFmtId="164" fontId="135" fillId="6" borderId="112" xfId="0" applyFont="true" applyBorder="true" applyAlignment="true" applyProtection="false">
      <alignment horizontal="center" vertical="center" textRotation="0" wrapText="false" indent="0" shrinkToFit="false"/>
      <protection locked="true" hidden="false"/>
    </xf>
    <xf numFmtId="164" fontId="100" fillId="6" borderId="130" xfId="0" applyFont="true" applyBorder="true" applyAlignment="true" applyProtection="false">
      <alignment horizontal="general" vertical="center" textRotation="0" wrapText="false" indent="0" shrinkToFit="false"/>
      <protection locked="true" hidden="false"/>
    </xf>
    <xf numFmtId="164" fontId="98" fillId="6" borderId="130" xfId="0" applyFont="true" applyBorder="true" applyAlignment="true" applyProtection="false">
      <alignment horizontal="general" vertical="center" textRotation="0" wrapText="false" indent="0" shrinkToFit="false"/>
      <protection locked="true" hidden="false"/>
    </xf>
    <xf numFmtId="181" fontId="97" fillId="6" borderId="130" xfId="0" applyFont="true" applyBorder="true" applyAlignment="true" applyProtection="false">
      <alignment horizontal="center" vertical="center" textRotation="0" wrapText="false" indent="0" shrinkToFit="false"/>
      <protection locked="true" hidden="false"/>
    </xf>
    <xf numFmtId="201" fontId="97" fillId="6" borderId="113" xfId="0" applyFont="true" applyBorder="true" applyAlignment="true" applyProtection="false">
      <alignment horizontal="center" vertical="center" textRotation="0" wrapText="false" indent="0" shrinkToFit="false"/>
      <protection locked="true" hidden="false"/>
    </xf>
    <xf numFmtId="168" fontId="97" fillId="6" borderId="112" xfId="0" applyFont="true" applyBorder="true" applyAlignment="true" applyProtection="true">
      <alignment horizontal="right" vertical="center" textRotation="0" wrapText="false" indent="0" shrinkToFit="false"/>
      <protection locked="false" hidden="false"/>
    </xf>
    <xf numFmtId="191" fontId="97" fillId="6" borderId="286" xfId="0" applyFont="true" applyBorder="true" applyAlignment="true" applyProtection="false">
      <alignment horizontal="left" vertical="center" textRotation="0" wrapText="false" indent="0" shrinkToFit="false"/>
      <protection locked="true" hidden="false"/>
    </xf>
    <xf numFmtId="181" fontId="97" fillId="6" borderId="109" xfId="0" applyFont="true" applyBorder="true" applyAlignment="true" applyProtection="false">
      <alignment horizontal="center" vertical="center" textRotation="0" wrapText="false" indent="0" shrinkToFit="false"/>
      <protection locked="true" hidden="false"/>
    </xf>
    <xf numFmtId="191" fontId="97" fillId="0" borderId="130" xfId="0" applyFont="true" applyBorder="true" applyAlignment="true" applyProtection="false">
      <alignment horizontal="center" vertical="center" textRotation="0" wrapText="false" indent="0" shrinkToFit="false"/>
      <protection locked="true" hidden="false"/>
    </xf>
    <xf numFmtId="164" fontId="97" fillId="6" borderId="112" xfId="0" applyFont="true" applyBorder="true" applyAlignment="true" applyProtection="false">
      <alignment horizontal="center" vertical="center" textRotation="0" wrapText="false" indent="0" shrinkToFit="false"/>
      <protection locked="true" hidden="false"/>
    </xf>
    <xf numFmtId="172" fontId="97" fillId="6" borderId="130" xfId="15" applyFont="true" applyBorder="true" applyAlignment="true" applyProtection="true">
      <alignment horizontal="center" vertical="center" textRotation="0" wrapText="false" indent="0" shrinkToFit="false"/>
      <protection locked="true" hidden="false"/>
    </xf>
    <xf numFmtId="164" fontId="97" fillId="6" borderId="109" xfId="0" applyFont="true" applyBorder="true" applyAlignment="true" applyProtection="false">
      <alignment horizontal="center" vertical="center" textRotation="0" wrapText="false" indent="0" shrinkToFit="false"/>
      <protection locked="true" hidden="false"/>
    </xf>
    <xf numFmtId="172" fontId="100" fillId="6" borderId="130" xfId="15" applyFont="true" applyBorder="true" applyAlignment="true" applyProtection="true">
      <alignment horizontal="center" vertical="center" textRotation="0" wrapText="false" indent="0" shrinkToFit="false"/>
      <protection locked="true" hidden="false"/>
    </xf>
    <xf numFmtId="179" fontId="97" fillId="6" borderId="130" xfId="0" applyFont="true" applyBorder="true" applyAlignment="true" applyProtection="false">
      <alignment horizontal="center" vertical="center" textRotation="0" wrapText="false" indent="0" shrinkToFit="false"/>
      <protection locked="true" hidden="false"/>
    </xf>
    <xf numFmtId="174" fontId="97" fillId="6" borderId="130" xfId="36" applyFont="true" applyBorder="true" applyAlignment="true" applyProtection="true">
      <alignment horizontal="center" vertical="center" textRotation="0" wrapText="false" indent="0" shrinkToFit="false"/>
      <protection locked="true" hidden="false"/>
    </xf>
    <xf numFmtId="164" fontId="97" fillId="6" borderId="130" xfId="0" applyFont="true" applyBorder="true" applyAlignment="true" applyProtection="false">
      <alignment horizontal="left" vertical="center" textRotation="0" wrapText="false" indent="0" shrinkToFit="false"/>
      <protection locked="true" hidden="false"/>
    </xf>
    <xf numFmtId="164" fontId="97" fillId="6" borderId="130" xfId="0" applyFont="true" applyBorder="true" applyAlignment="true" applyProtection="false">
      <alignment horizontal="center" vertical="center" textRotation="0" wrapText="false" indent="0" shrinkToFit="false"/>
      <protection locked="true" hidden="false"/>
    </xf>
    <xf numFmtId="172" fontId="97" fillId="6" borderId="130" xfId="36" applyFont="true" applyBorder="true" applyAlignment="true" applyProtection="true">
      <alignment horizontal="center" vertical="center" textRotation="0" wrapText="false" indent="0" shrinkToFit="false"/>
      <protection locked="true" hidden="false"/>
    </xf>
    <xf numFmtId="172" fontId="100" fillId="6" borderId="109" xfId="36" applyFont="true" applyBorder="true" applyAlignment="true" applyProtection="true">
      <alignment horizontal="center" vertical="center" textRotation="0" wrapText="false" indent="0" shrinkToFit="false"/>
      <protection locked="true" hidden="false"/>
    </xf>
    <xf numFmtId="181" fontId="0" fillId="6" borderId="109" xfId="0" applyFont="true" applyBorder="true" applyAlignment="true" applyProtection="false">
      <alignment horizontal="right" vertical="center" textRotation="0" wrapText="false" indent="0" shrinkToFit="false"/>
      <protection locked="true" hidden="false"/>
    </xf>
    <xf numFmtId="164" fontId="0" fillId="6" borderId="109" xfId="0" applyFont="true" applyBorder="true" applyAlignment="true" applyProtection="false">
      <alignment horizontal="right" vertical="center" textRotation="0" wrapText="false" indent="0" shrinkToFit="false"/>
      <protection locked="true" hidden="false"/>
    </xf>
    <xf numFmtId="207" fontId="101" fillId="6" borderId="109" xfId="0" applyFont="true" applyBorder="true" applyAlignment="true" applyProtection="false">
      <alignment horizontal="center" vertical="center" textRotation="0" wrapText="false" indent="0" shrinkToFit="false"/>
      <protection locked="true" hidden="false"/>
    </xf>
    <xf numFmtId="168" fontId="97" fillId="6" borderId="130" xfId="0" applyFont="true" applyBorder="true" applyAlignment="true" applyProtection="false">
      <alignment horizontal="right" vertical="center" textRotation="0" wrapText="false" indent="0" shrinkToFit="false"/>
      <protection locked="true" hidden="false"/>
    </xf>
    <xf numFmtId="168" fontId="97" fillId="6" borderId="130" xfId="0" applyFont="true" applyBorder="true" applyAlignment="true" applyProtection="false">
      <alignment horizontal="center" vertical="center" textRotation="0" wrapText="false" indent="0" shrinkToFit="false"/>
      <protection locked="true" hidden="false"/>
    </xf>
    <xf numFmtId="203" fontId="97" fillId="6" borderId="130" xfId="0" applyFont="true" applyBorder="true" applyAlignment="true" applyProtection="false">
      <alignment horizontal="center" vertical="center" textRotation="0" wrapText="false" indent="0" shrinkToFit="false"/>
      <protection locked="true" hidden="false"/>
    </xf>
    <xf numFmtId="203" fontId="97" fillId="6" borderId="109" xfId="0" applyFont="true" applyBorder="true" applyAlignment="true" applyProtection="false">
      <alignment horizontal="center" vertical="center" textRotation="0" wrapText="false" indent="0" shrinkToFit="false"/>
      <protection locked="true" hidden="false"/>
    </xf>
    <xf numFmtId="168" fontId="97" fillId="6" borderId="130" xfId="0" applyFont="true" applyBorder="true" applyAlignment="true" applyProtection="true">
      <alignment horizontal="center" vertical="center" textRotation="0" wrapText="false" indent="0" shrinkToFit="false"/>
      <protection locked="false" hidden="false"/>
    </xf>
    <xf numFmtId="204" fontId="97" fillId="6" borderId="130" xfId="0" applyFont="true" applyBorder="true" applyAlignment="true" applyProtection="true">
      <alignment horizontal="center" vertical="center" textRotation="0" wrapText="false" indent="0" shrinkToFit="false"/>
      <protection locked="false" hidden="false"/>
    </xf>
    <xf numFmtId="168" fontId="97" fillId="0" borderId="109" xfId="0" applyFont="true" applyBorder="true" applyAlignment="true" applyProtection="true">
      <alignment horizontal="center" vertical="center" textRotation="0" wrapText="false" indent="0" shrinkToFit="false"/>
      <protection locked="false" hidden="false"/>
    </xf>
    <xf numFmtId="168" fontId="100" fillId="6" borderId="130" xfId="0" applyFont="true" applyBorder="true" applyAlignment="true" applyProtection="false">
      <alignment horizontal="general" vertical="center" textRotation="0" wrapText="false" indent="0" shrinkToFit="false"/>
      <protection locked="true" hidden="false"/>
    </xf>
    <xf numFmtId="164" fontId="97" fillId="0" borderId="286" xfId="0" applyFont="true" applyBorder="true" applyAlignment="true" applyProtection="false">
      <alignment horizontal="general" vertical="center" textRotation="0" wrapText="false" indent="0" shrinkToFit="false"/>
      <protection locked="true" hidden="false"/>
    </xf>
    <xf numFmtId="191" fontId="97" fillId="4" borderId="0" xfId="0" applyFont="true" applyBorder="false" applyAlignment="true" applyProtection="true">
      <alignment horizontal="center" vertical="center" textRotation="0" wrapText="false" indent="0" shrinkToFit="false"/>
      <protection locked="false" hidden="false"/>
    </xf>
    <xf numFmtId="168" fontId="129" fillId="6" borderId="0" xfId="36" applyFont="true" applyBorder="true" applyAlignment="true" applyProtection="true">
      <alignment horizontal="right" vertical="center" textRotation="0" wrapText="false" indent="0" shrinkToFit="false"/>
      <protection locked="true" hidden="false"/>
    </xf>
    <xf numFmtId="172" fontId="35" fillId="6" borderId="0" xfId="0" applyFont="true" applyBorder="false" applyAlignment="true" applyProtection="false">
      <alignment horizontal="general" vertical="center" textRotation="0" wrapText="false" indent="0" shrinkToFit="false"/>
      <protection locked="true" hidden="false"/>
    </xf>
    <xf numFmtId="172" fontId="129" fillId="6" borderId="0" xfId="36" applyFont="true" applyBorder="true" applyAlignment="true" applyProtection="true">
      <alignment horizontal="center" vertical="center" textRotation="0" wrapText="false" indent="0" shrinkToFit="false"/>
      <protection locked="true" hidden="false"/>
    </xf>
    <xf numFmtId="172" fontId="129" fillId="6" borderId="0" xfId="15" applyFont="true" applyBorder="true" applyAlignment="true" applyProtection="true">
      <alignment horizontal="center" vertical="center" textRotation="0" wrapText="false" indent="0" shrinkToFit="false"/>
      <protection locked="true" hidden="false"/>
    </xf>
    <xf numFmtId="172" fontId="163" fillId="0" borderId="0" xfId="36" applyFont="true" applyBorder="true" applyAlignment="true" applyProtection="true">
      <alignment horizontal="right" vertical="center" textRotation="0" wrapText="false" indent="0" shrinkToFit="false"/>
      <protection locked="true" hidden="false"/>
    </xf>
    <xf numFmtId="218" fontId="101" fillId="6" borderId="0" xfId="0" applyFont="true" applyBorder="false" applyAlignment="true" applyProtection="false">
      <alignment horizontal="center" vertical="center" textRotation="0" wrapText="false" indent="0" shrinkToFit="false"/>
      <protection locked="true" hidden="false"/>
    </xf>
    <xf numFmtId="164" fontId="101" fillId="0" borderId="0" xfId="0" applyFont="true" applyBorder="false" applyAlignment="true" applyProtection="false">
      <alignment horizontal="general" vertical="center" textRotation="0" wrapText="false" indent="0" shrinkToFit="false"/>
      <protection locked="true" hidden="false"/>
    </xf>
    <xf numFmtId="174" fontId="0"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84" fontId="101" fillId="6" borderId="1" xfId="0" applyFont="true" applyBorder="true" applyAlignment="true" applyProtection="false">
      <alignment horizontal="center" vertical="center" textRotation="0" wrapText="false" indent="0" shrinkToFit="false"/>
      <protection locked="true" hidden="false"/>
    </xf>
    <xf numFmtId="203" fontId="101" fillId="6"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false" hidden="false"/>
    </xf>
    <xf numFmtId="164" fontId="165" fillId="17" borderId="0" xfId="0" applyFont="true" applyBorder="false" applyAlignment="true" applyProtection="false">
      <alignment horizontal="center" vertical="center" textRotation="0" wrapText="true" indent="0" shrinkToFit="false"/>
      <protection locked="true" hidden="false"/>
    </xf>
    <xf numFmtId="164" fontId="97" fillId="7" borderId="0" xfId="0" applyFont="true" applyBorder="false" applyAlignment="true" applyProtection="true">
      <alignment horizontal="center" vertical="center" textRotation="0" wrapText="true" indent="0" shrinkToFit="false"/>
      <protection locked="false" hidden="false"/>
    </xf>
    <xf numFmtId="164" fontId="97" fillId="0" borderId="0" xfId="0" applyFont="true" applyBorder="false" applyAlignment="true" applyProtection="true">
      <alignment horizontal="center" vertical="center" textRotation="0" wrapText="true" indent="0" shrinkToFit="false"/>
      <protection locked="false" hidden="false"/>
    </xf>
    <xf numFmtId="164" fontId="97" fillId="0" borderId="0" xfId="0" applyFont="true" applyBorder="false" applyAlignment="true" applyProtection="true">
      <alignment horizontal="left" vertical="center" textRotation="0" wrapText="true" indent="0" shrinkToFit="false"/>
      <protection locked="false" hidden="false"/>
    </xf>
    <xf numFmtId="164" fontId="166" fillId="0" borderId="0" xfId="0" applyFont="true" applyBorder="false" applyAlignment="true" applyProtection="false">
      <alignment horizontal="center" vertical="center" textRotation="0" wrapText="false" indent="0" shrinkToFit="false"/>
      <protection locked="true" hidden="false"/>
    </xf>
    <xf numFmtId="164" fontId="167" fillId="27" borderId="10" xfId="0" applyFont="true" applyBorder="true" applyAlignment="true" applyProtection="false">
      <alignment horizontal="center" vertical="center" textRotation="0" wrapText="false" indent="0" shrinkToFit="false"/>
      <protection locked="true" hidden="false"/>
    </xf>
    <xf numFmtId="164" fontId="167" fillId="27" borderId="59" xfId="0" applyFont="true" applyBorder="true" applyAlignment="true" applyProtection="false">
      <alignment horizontal="general" vertical="center" textRotation="0" wrapText="false" indent="0" shrinkToFit="false"/>
      <protection locked="true" hidden="false"/>
    </xf>
    <xf numFmtId="164" fontId="167" fillId="27" borderId="59" xfId="0" applyFont="true" applyBorder="true" applyAlignment="true" applyProtection="false">
      <alignment horizontal="center" vertical="center" textRotation="0" wrapText="false" indent="0" shrinkToFit="false"/>
      <protection locked="true" hidden="false"/>
    </xf>
    <xf numFmtId="164" fontId="168" fillId="27" borderId="59" xfId="0" applyFont="true" applyBorder="true" applyAlignment="true" applyProtection="false">
      <alignment horizontal="center" vertical="center" textRotation="0" wrapText="false" indent="0" shrinkToFit="false"/>
      <protection locked="true" hidden="false"/>
    </xf>
    <xf numFmtId="164" fontId="167" fillId="27" borderId="3" xfId="0" applyFont="true" applyBorder="true" applyAlignment="true" applyProtection="false">
      <alignment horizontal="general" vertical="center" textRotation="0" wrapText="false" indent="0" shrinkToFit="false"/>
      <protection locked="true" hidden="false"/>
    </xf>
    <xf numFmtId="164" fontId="95" fillId="28" borderId="287" xfId="0" applyFont="true" applyBorder="true" applyAlignment="true" applyProtection="false">
      <alignment horizontal="center" vertical="center" textRotation="0" wrapText="true" indent="0" shrinkToFit="false" readingOrder="1"/>
      <protection locked="true" hidden="false"/>
    </xf>
    <xf numFmtId="164" fontId="95" fillId="28" borderId="287" xfId="0" applyFont="true" applyBorder="true" applyAlignment="true" applyProtection="false">
      <alignment horizontal="left" vertical="center" textRotation="0" wrapText="true" indent="0" shrinkToFit="false" readingOrder="1"/>
      <protection locked="true" hidden="false"/>
    </xf>
    <xf numFmtId="164" fontId="95" fillId="28" borderId="287" xfId="0" applyFont="true" applyBorder="true" applyAlignment="true" applyProtection="false">
      <alignment horizontal="left" vertical="center" textRotation="0" wrapText="true" indent="1" shrinkToFit="false" readingOrder="1"/>
      <protection locked="true" hidden="false"/>
    </xf>
    <xf numFmtId="164" fontId="128" fillId="0" borderId="12" xfId="0" applyFont="true" applyBorder="true" applyAlignment="true" applyProtection="false">
      <alignment horizontal="center" vertical="center" textRotation="0" wrapText="false" indent="0" shrinkToFit="false"/>
      <protection locked="true" hidden="false"/>
    </xf>
    <xf numFmtId="164" fontId="128" fillId="0" borderId="0" xfId="0" applyFont="true" applyBorder="false" applyAlignment="true" applyProtection="false">
      <alignment horizontal="general" vertical="center" textRotation="0" wrapText="false" indent="0" shrinkToFit="false"/>
      <protection locked="true" hidden="false"/>
    </xf>
    <xf numFmtId="199" fontId="128" fillId="0" borderId="0" xfId="0" applyFont="true" applyBorder="true" applyAlignment="true" applyProtection="false">
      <alignment horizontal="center" vertical="center" textRotation="0" wrapText="false" indent="0" shrinkToFit="false"/>
      <protection locked="true" hidden="false"/>
    </xf>
    <xf numFmtId="164" fontId="129" fillId="0" borderId="0" xfId="0" applyFont="true" applyBorder="false" applyAlignment="true" applyProtection="false">
      <alignment horizontal="center" vertical="center" textRotation="0" wrapText="false" indent="0" shrinkToFit="false"/>
      <protection locked="true" hidden="false"/>
    </xf>
    <xf numFmtId="164" fontId="128" fillId="0" borderId="0" xfId="0" applyFont="true" applyBorder="false" applyAlignment="true" applyProtection="false">
      <alignment horizontal="center" vertical="center" textRotation="0" wrapText="false" indent="0" shrinkToFit="false"/>
      <protection locked="true" hidden="false"/>
    </xf>
    <xf numFmtId="164" fontId="128" fillId="0" borderId="9" xfId="0" applyFont="true" applyBorder="true" applyAlignment="true" applyProtection="false">
      <alignment horizontal="general" vertical="center" textRotation="0" wrapText="false" indent="0" shrinkToFit="false"/>
      <protection locked="true" hidden="false"/>
    </xf>
    <xf numFmtId="164" fontId="170" fillId="6" borderId="288" xfId="0" applyFont="true" applyBorder="true" applyAlignment="true" applyProtection="false">
      <alignment horizontal="center" vertical="center" textRotation="0" wrapText="true" indent="0" shrinkToFit="false" readingOrder="1"/>
      <protection locked="true" hidden="false"/>
    </xf>
    <xf numFmtId="164" fontId="75" fillId="6" borderId="288" xfId="0" applyFont="true" applyBorder="true" applyAlignment="true" applyProtection="false">
      <alignment horizontal="center" vertical="center" textRotation="0" wrapText="true" indent="0" shrinkToFit="false" readingOrder="1"/>
      <protection locked="true" hidden="false"/>
    </xf>
    <xf numFmtId="164" fontId="100" fillId="6" borderId="288" xfId="0" applyFont="true" applyBorder="true" applyAlignment="true" applyProtection="false">
      <alignment horizontal="left" vertical="center" textRotation="0" wrapText="true" indent="0" shrinkToFit="false" readingOrder="1"/>
      <protection locked="true" hidden="false"/>
    </xf>
    <xf numFmtId="164" fontId="100" fillId="6" borderId="288" xfId="0" applyFont="true" applyBorder="true" applyAlignment="true" applyProtection="false">
      <alignment horizontal="left" vertical="center" textRotation="0" wrapText="true" indent="1" shrinkToFit="false" readingOrder="1"/>
      <protection locked="true" hidden="false"/>
    </xf>
    <xf numFmtId="174" fontId="100" fillId="6" borderId="288" xfId="36" applyFont="true" applyBorder="true" applyAlignment="true" applyProtection="true">
      <alignment horizontal="right" vertical="center" textRotation="0" wrapText="true" indent="1" shrinkToFit="false" readingOrder="1"/>
      <protection locked="true" hidden="false"/>
    </xf>
    <xf numFmtId="164" fontId="100" fillId="6" borderId="288" xfId="0" applyFont="true" applyBorder="true" applyAlignment="true" applyProtection="false">
      <alignment horizontal="right" vertical="center" textRotation="0" wrapText="true" indent="0" shrinkToFit="false" readingOrder="1"/>
      <protection locked="true" hidden="false"/>
    </xf>
    <xf numFmtId="164" fontId="171" fillId="6" borderId="289" xfId="0" applyFont="true" applyBorder="true" applyAlignment="true" applyProtection="false">
      <alignment horizontal="center" vertical="center" textRotation="0" wrapText="true" indent="0" shrinkToFit="false" readingOrder="1"/>
      <protection locked="true" hidden="false"/>
    </xf>
    <xf numFmtId="164" fontId="75" fillId="6" borderId="289" xfId="0" applyFont="true" applyBorder="true" applyAlignment="true" applyProtection="false">
      <alignment horizontal="center" vertical="center" textRotation="0" wrapText="true" indent="0" shrinkToFit="false" readingOrder="1"/>
      <protection locked="true" hidden="false"/>
    </xf>
    <xf numFmtId="164" fontId="100" fillId="6" borderId="289" xfId="0" applyFont="true" applyBorder="true" applyAlignment="true" applyProtection="false">
      <alignment horizontal="left" vertical="center" textRotation="0" wrapText="true" indent="0" shrinkToFit="false" readingOrder="1"/>
      <protection locked="true" hidden="false"/>
    </xf>
    <xf numFmtId="164" fontId="100" fillId="6" borderId="289" xfId="0" applyFont="true" applyBorder="true" applyAlignment="true" applyProtection="false">
      <alignment horizontal="left" vertical="center" textRotation="0" wrapText="true" indent="1" shrinkToFit="false" readingOrder="1"/>
      <protection locked="true" hidden="false"/>
    </xf>
    <xf numFmtId="174" fontId="100" fillId="6" borderId="289" xfId="36" applyFont="true" applyBorder="true" applyAlignment="true" applyProtection="true">
      <alignment horizontal="right" vertical="center" textRotation="0" wrapText="true" indent="1" shrinkToFit="false" readingOrder="1"/>
      <protection locked="true" hidden="false"/>
    </xf>
    <xf numFmtId="164" fontId="100" fillId="6" borderId="289" xfId="0" applyFont="true" applyBorder="true" applyAlignment="true" applyProtection="false">
      <alignment horizontal="right" vertical="center" textRotation="0" wrapText="true" indent="0" shrinkToFit="false" readingOrder="1"/>
      <protection locked="true" hidden="false"/>
    </xf>
    <xf numFmtId="164" fontId="172" fillId="6" borderId="289" xfId="0" applyFont="true" applyBorder="true" applyAlignment="true" applyProtection="false">
      <alignment horizontal="center" vertical="center" textRotation="0" wrapText="true" indent="0" shrinkToFit="false" readingOrder="1"/>
      <protection locked="true" hidden="false"/>
    </xf>
    <xf numFmtId="164" fontId="173" fillId="6" borderId="289" xfId="0" applyFont="true" applyBorder="true" applyAlignment="true" applyProtection="false">
      <alignment horizontal="center" vertical="center" textRotation="0" wrapText="true" indent="0" shrinkToFit="false" readingOrder="1"/>
      <protection locked="true" hidden="false"/>
    </xf>
    <xf numFmtId="164" fontId="75" fillId="6" borderId="290" xfId="0" applyFont="true" applyBorder="true" applyAlignment="true" applyProtection="false">
      <alignment horizontal="center" vertical="center" textRotation="0" wrapText="true" indent="0" shrinkToFit="false" readingOrder="1"/>
      <protection locked="true" hidden="false"/>
    </xf>
    <xf numFmtId="164" fontId="100" fillId="6" borderId="290" xfId="0" applyFont="true" applyBorder="true" applyAlignment="true" applyProtection="false">
      <alignment horizontal="left" vertical="center" textRotation="0" wrapText="true" indent="0" shrinkToFit="false" readingOrder="1"/>
      <protection locked="true" hidden="false"/>
    </xf>
    <xf numFmtId="164" fontId="100" fillId="6" borderId="291" xfId="0" applyFont="true" applyBorder="true" applyAlignment="true" applyProtection="false">
      <alignment horizontal="left" vertical="center" textRotation="0" wrapText="true" indent="1" shrinkToFit="false" readingOrder="1"/>
      <protection locked="true" hidden="false"/>
    </xf>
    <xf numFmtId="174" fontId="100" fillId="6" borderId="290" xfId="36" applyFont="true" applyBorder="true" applyAlignment="true" applyProtection="true">
      <alignment horizontal="right" vertical="center" textRotation="0" wrapText="true" indent="1" shrinkToFit="false" readingOrder="1"/>
      <protection locked="true" hidden="false"/>
    </xf>
    <xf numFmtId="164" fontId="100" fillId="6" borderId="290" xfId="0" applyFont="true" applyBorder="true" applyAlignment="true" applyProtection="false">
      <alignment horizontal="right" vertical="center" textRotation="0" wrapText="true" indent="0" shrinkToFit="false" readingOrder="1"/>
      <protection locked="true" hidden="false"/>
    </xf>
    <xf numFmtId="174" fontId="0" fillId="0" borderId="0" xfId="36" applyFont="true" applyBorder="true" applyAlignment="true" applyProtection="true">
      <alignment horizontal="general" vertical="center" textRotation="0" wrapText="false" indent="0" shrinkToFit="false"/>
      <protection locked="true" hidden="false"/>
    </xf>
    <xf numFmtId="164" fontId="75" fillId="6" borderId="292" xfId="0" applyFont="true" applyBorder="true" applyAlignment="true" applyProtection="false">
      <alignment horizontal="center" vertical="center" textRotation="0" wrapText="true" indent="0" shrinkToFit="false" readingOrder="1"/>
      <protection locked="true" hidden="false"/>
    </xf>
    <xf numFmtId="164" fontId="100" fillId="6" borderId="292" xfId="0" applyFont="true" applyBorder="true" applyAlignment="true" applyProtection="false">
      <alignment horizontal="left" vertical="center" textRotation="0" wrapText="true" indent="0" shrinkToFit="false" readingOrder="1"/>
      <protection locked="true" hidden="false"/>
    </xf>
    <xf numFmtId="174" fontId="100" fillId="6" borderId="292" xfId="36" applyFont="true" applyBorder="true" applyAlignment="true" applyProtection="true">
      <alignment horizontal="right" vertical="center" textRotation="0" wrapText="true" indent="1" shrinkToFit="false" readingOrder="1"/>
      <protection locked="true" hidden="false"/>
    </xf>
    <xf numFmtId="164" fontId="100" fillId="6" borderId="292" xfId="0" applyFont="true" applyBorder="true" applyAlignment="true" applyProtection="false">
      <alignment horizontal="right" vertical="center" textRotation="0" wrapText="true" indent="0" shrinkToFit="false" readingOrder="1"/>
      <protection locked="true" hidden="false"/>
    </xf>
    <xf numFmtId="164" fontId="23" fillId="6" borderId="289" xfId="0" applyFont="true" applyBorder="true" applyAlignment="true" applyProtection="false">
      <alignment horizontal="center" vertical="center" textRotation="0" wrapText="true" indent="0" shrinkToFit="false" readingOrder="1"/>
      <protection locked="true" hidden="false"/>
    </xf>
    <xf numFmtId="164" fontId="75" fillId="6" borderId="293" xfId="0" applyFont="true" applyBorder="true" applyAlignment="true" applyProtection="false">
      <alignment horizontal="center" vertical="center" textRotation="0" wrapText="true" indent="0" shrinkToFit="false" readingOrder="1"/>
      <protection locked="true" hidden="false"/>
    </xf>
    <xf numFmtId="164" fontId="100" fillId="6" borderId="293" xfId="0" applyFont="true" applyBorder="true" applyAlignment="true" applyProtection="false">
      <alignment horizontal="left" vertical="center" textRotation="0" wrapText="true" indent="0" shrinkToFit="false" readingOrder="1"/>
      <protection locked="true" hidden="false"/>
    </xf>
    <xf numFmtId="174" fontId="100" fillId="6" borderId="293" xfId="36" applyFont="true" applyBorder="true" applyAlignment="true" applyProtection="true">
      <alignment horizontal="right" vertical="center" textRotation="0" wrapText="true" indent="1" shrinkToFit="false" readingOrder="1"/>
      <protection locked="true" hidden="false"/>
    </xf>
    <xf numFmtId="164" fontId="100" fillId="6" borderId="293" xfId="0" applyFont="true" applyBorder="true" applyAlignment="true" applyProtection="false">
      <alignment horizontal="right" vertical="center" textRotation="0" wrapText="true" indent="0" shrinkToFit="false" readingOrder="1"/>
      <protection locked="true" hidden="false"/>
    </xf>
    <xf numFmtId="199" fontId="128" fillId="0" borderId="0" xfId="0" applyFont="true" applyBorder="false" applyAlignment="true" applyProtection="false">
      <alignment horizontal="center" vertical="center" textRotation="0" wrapText="false" indent="0" shrinkToFit="false"/>
      <protection locked="true" hidden="false"/>
    </xf>
    <xf numFmtId="164" fontId="174" fillId="6" borderId="291" xfId="0" applyFont="true" applyBorder="true" applyAlignment="true" applyProtection="false">
      <alignment horizontal="center" vertical="center" textRotation="0" wrapText="true" indent="0" shrinkToFit="false" readingOrder="1"/>
      <protection locked="true" hidden="false"/>
    </xf>
    <xf numFmtId="164" fontId="128" fillId="0" borderId="1" xfId="0" applyFont="true" applyBorder="true" applyAlignment="true" applyProtection="false">
      <alignment horizontal="general" vertical="center" textRotation="0" wrapText="false" indent="0" shrinkToFit="false"/>
      <protection locked="true" hidden="false"/>
    </xf>
    <xf numFmtId="164" fontId="128" fillId="0" borderId="1" xfId="0" applyFont="true" applyBorder="true" applyAlignment="true" applyProtection="false">
      <alignment horizontal="center" vertical="center" textRotation="0" wrapText="false" indent="0" shrinkToFit="false"/>
      <protection locked="true" hidden="false"/>
    </xf>
    <xf numFmtId="164" fontId="129" fillId="0" borderId="8" xfId="0" applyFont="true" applyBorder="true" applyAlignment="true" applyProtection="false">
      <alignment horizontal="general" vertical="center" textRotation="0" wrapText="false" indent="0" shrinkToFit="false"/>
      <protection locked="true" hidden="false"/>
    </xf>
    <xf numFmtId="164" fontId="167" fillId="27" borderId="12" xfId="0" applyFont="true" applyBorder="true" applyAlignment="true" applyProtection="false">
      <alignment horizontal="center" vertical="center" textRotation="0" wrapText="false" indent="0" shrinkToFit="false"/>
      <protection locked="true" hidden="false"/>
    </xf>
    <xf numFmtId="164" fontId="167" fillId="27" borderId="0" xfId="0" applyFont="true" applyBorder="false" applyAlignment="true" applyProtection="false">
      <alignment horizontal="general" vertical="center" textRotation="0" wrapText="false" indent="0" shrinkToFit="false"/>
      <protection locked="true" hidden="false"/>
    </xf>
    <xf numFmtId="164" fontId="167" fillId="27" borderId="0" xfId="0" applyFont="true" applyBorder="false" applyAlignment="true" applyProtection="false">
      <alignment horizontal="center" vertical="center" textRotation="0" wrapText="false" indent="0" shrinkToFit="false"/>
      <protection locked="true" hidden="false"/>
    </xf>
    <xf numFmtId="164" fontId="167" fillId="27" borderId="9" xfId="0" applyFont="true" applyBorder="true" applyAlignment="true" applyProtection="false">
      <alignment horizontal="general" vertical="center" textRotation="0" wrapText="false" indent="0" shrinkToFit="false"/>
      <protection locked="true" hidden="false"/>
    </xf>
    <xf numFmtId="199" fontId="175" fillId="0" borderId="0" xfId="0" applyFont="true" applyBorder="false" applyAlignment="true" applyProtection="false">
      <alignment horizontal="center" vertical="center" textRotation="0" wrapText="false" indent="0" shrinkToFit="false"/>
      <protection locked="true" hidden="false"/>
    </xf>
    <xf numFmtId="199" fontId="128" fillId="0" borderId="1" xfId="0" applyFont="true" applyBorder="true" applyAlignment="true" applyProtection="false">
      <alignment horizontal="center" vertical="center" textRotation="0" wrapText="false" indent="0" shrinkToFit="false"/>
      <protection locked="true" hidden="false"/>
    </xf>
    <xf numFmtId="164" fontId="6" fillId="0" borderId="9" xfId="0" applyFont="true" applyBorder="true" applyAlignment="true" applyProtection="false">
      <alignment horizontal="general" vertical="center" textRotation="0" wrapText="false" indent="0" shrinkToFit="false"/>
      <protection locked="true" hidden="false"/>
    </xf>
    <xf numFmtId="199" fontId="166" fillId="0" borderId="0" xfId="0" applyFont="true" applyBorder="false" applyAlignment="true" applyProtection="false">
      <alignment horizontal="center" vertical="center" textRotation="0" wrapText="false" indent="0" shrinkToFit="false"/>
      <protection locked="true" hidden="false"/>
    </xf>
    <xf numFmtId="164" fontId="124" fillId="0" borderId="1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128" fillId="0" borderId="11" xfId="0" applyFont="true" applyBorder="true" applyAlignment="true" applyProtection="false">
      <alignment horizontal="center" vertical="center" textRotation="0" wrapText="false" indent="0" shrinkToFit="false"/>
      <protection locked="true" hidden="false"/>
    </xf>
    <xf numFmtId="199" fontId="128" fillId="0" borderId="84" xfId="0" applyFont="true" applyBorder="true" applyAlignment="true" applyProtection="false">
      <alignment horizontal="center" vertical="center" textRotation="0" wrapText="false" indent="0" shrinkToFit="false"/>
      <protection locked="true" hidden="false"/>
    </xf>
    <xf numFmtId="164" fontId="176" fillId="0" borderId="1" xfId="0" applyFont="true" applyBorder="true" applyAlignment="true" applyProtection="false">
      <alignment horizontal="general" vertical="center" textRotation="0" wrapText="false" indent="0" shrinkToFit="false"/>
      <protection locked="true" hidden="false"/>
    </xf>
    <xf numFmtId="164" fontId="149" fillId="0" borderId="0" xfId="0" applyFont="true" applyBorder="false" applyAlignment="true" applyProtection="false">
      <alignment horizontal="general" vertical="center" textRotation="0" wrapText="false" indent="0" shrinkToFit="false"/>
      <protection locked="true" hidden="false"/>
    </xf>
    <xf numFmtId="164" fontId="149" fillId="0" borderId="1" xfId="0" applyFont="true" applyBorder="true" applyAlignment="true" applyProtection="false">
      <alignment horizontal="general" vertical="center" textRotation="0" wrapText="false" indent="0" shrinkToFit="false"/>
      <protection locked="true" hidden="false"/>
    </xf>
    <xf numFmtId="180" fontId="128" fillId="0" borderId="1" xfId="0" applyFont="true" applyBorder="true" applyAlignment="true" applyProtection="false">
      <alignment horizontal="center" vertical="center" textRotation="0" wrapText="false" indent="0" shrinkToFit="false"/>
      <protection locked="true" hidden="false"/>
    </xf>
    <xf numFmtId="199" fontId="128" fillId="0" borderId="84" xfId="0" applyFont="true" applyBorder="true" applyAlignment="true" applyProtection="false">
      <alignment horizontal="general" vertical="center" textRotation="0" wrapText="false" indent="0" shrinkToFit="false"/>
      <protection locked="true" hidden="false"/>
    </xf>
    <xf numFmtId="199" fontId="128" fillId="0"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74" fontId="58" fillId="0" borderId="0" xfId="36" applyFont="true" applyBorder="true" applyAlignment="true" applyProtection="true">
      <alignment horizontal="center" vertical="center" textRotation="0" wrapText="false" indent="0" shrinkToFit="false"/>
      <protection locked="true" hidden="false"/>
    </xf>
    <xf numFmtId="164" fontId="177"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4" fontId="8" fillId="0" borderId="0" xfId="36" applyFont="true" applyBorder="true" applyAlignment="true" applyProtection="true">
      <alignment horizontal="general" vertical="center" textRotation="0" wrapText="false" indent="0" shrinkToFit="false"/>
      <protection locked="true" hidden="false"/>
    </xf>
    <xf numFmtId="164" fontId="178" fillId="0" borderId="0" xfId="0" applyFont="true" applyBorder="false" applyAlignment="true" applyProtection="false">
      <alignment horizontal="general" vertical="center" textRotation="0" wrapText="false" indent="0" shrinkToFit="false"/>
      <protection locked="true" hidden="false"/>
    </xf>
    <xf numFmtId="164" fontId="178" fillId="0" borderId="0" xfId="0" applyFont="true" applyBorder="false" applyAlignment="true" applyProtection="false">
      <alignment horizontal="right" vertical="center" textRotation="0" wrapText="false" indent="0" shrinkToFit="false"/>
      <protection locked="true" hidden="false"/>
    </xf>
    <xf numFmtId="164" fontId="179" fillId="0" borderId="0" xfId="0" applyFont="true" applyBorder="false" applyAlignment="true" applyProtection="false">
      <alignment horizontal="center" vertical="center" textRotation="0" wrapText="false" indent="0" shrinkToFit="false"/>
      <protection locked="true" hidden="false"/>
    </xf>
    <xf numFmtId="164" fontId="178" fillId="0" borderId="0" xfId="0" applyFont="true" applyBorder="false" applyAlignment="true" applyProtection="false">
      <alignment horizontal="left" vertical="center" textRotation="0" wrapText="false" indent="0" shrinkToFit="false"/>
      <protection locked="true" hidden="false"/>
    </xf>
    <xf numFmtId="174" fontId="178" fillId="0" borderId="0" xfId="36" applyFont="true" applyBorder="true" applyAlignment="true" applyProtection="true">
      <alignment horizontal="general" vertical="center" textRotation="0" wrapText="false" indent="0" shrinkToFit="false"/>
      <protection locked="true" hidden="false"/>
    </xf>
    <xf numFmtId="172" fontId="178" fillId="0" borderId="0" xfId="36" applyFont="true" applyBorder="true" applyAlignment="true" applyProtection="true">
      <alignment horizontal="general" vertical="center" textRotation="0" wrapText="false" indent="0" shrinkToFit="false"/>
      <protection locked="true" hidden="false"/>
    </xf>
    <xf numFmtId="164" fontId="180" fillId="0" borderId="0" xfId="0" applyFont="true" applyBorder="true" applyAlignment="true" applyProtection="false">
      <alignment horizontal="right"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7" shrinkToFit="false"/>
      <protection locked="true" hidden="false"/>
    </xf>
    <xf numFmtId="164" fontId="178" fillId="0" borderId="0" xfId="0" applyFont="true" applyBorder="false" applyAlignment="true" applyProtection="false">
      <alignment horizontal="left" vertical="center" textRotation="0" wrapText="false" indent="1" shrinkToFit="false"/>
      <protection locked="true" hidden="false"/>
    </xf>
    <xf numFmtId="164" fontId="180" fillId="0" borderId="294" xfId="0" applyFont="true" applyBorder="true" applyAlignment="true" applyProtection="false">
      <alignment horizontal="right" vertical="center" textRotation="0" wrapText="true" indent="0" shrinkToFit="false"/>
      <protection locked="true" hidden="false"/>
    </xf>
    <xf numFmtId="164" fontId="45" fillId="0" borderId="0" xfId="0" applyFont="true" applyBorder="false" applyAlignment="true" applyProtection="false">
      <alignment horizontal="right" vertical="center" textRotation="0" wrapText="true" indent="0" shrinkToFit="false"/>
      <protection locked="true" hidden="false"/>
    </xf>
    <xf numFmtId="164" fontId="178" fillId="0" borderId="1" xfId="0" applyFont="true" applyBorder="true" applyAlignment="true" applyProtection="false">
      <alignment horizontal="general" vertical="center" textRotation="0" wrapText="false" indent="0" shrinkToFit="false"/>
      <protection locked="true" hidden="false"/>
    </xf>
    <xf numFmtId="164" fontId="77" fillId="28" borderId="295" xfId="0" applyFont="true" applyBorder="true" applyAlignment="true" applyProtection="false">
      <alignment horizontal="center" vertical="center" textRotation="0" wrapText="true" indent="0" shrinkToFit="false"/>
      <protection locked="true" hidden="false"/>
    </xf>
    <xf numFmtId="164" fontId="77" fillId="28" borderId="296" xfId="0" applyFont="true" applyBorder="true" applyAlignment="true" applyProtection="false">
      <alignment horizontal="center" vertical="center" textRotation="0" wrapText="true" indent="0" shrinkToFit="false"/>
      <protection locked="true" hidden="false"/>
    </xf>
    <xf numFmtId="164" fontId="77" fillId="28" borderId="297" xfId="0" applyFont="true" applyBorder="true" applyAlignment="true" applyProtection="false">
      <alignment horizontal="center" vertical="center" textRotation="0" wrapText="true" indent="0" shrinkToFit="false"/>
      <protection locked="true" hidden="false"/>
    </xf>
    <xf numFmtId="174" fontId="77" fillId="28" borderId="296" xfId="36" applyFont="true" applyBorder="true" applyAlignment="true" applyProtection="true">
      <alignment horizontal="center" vertical="center" textRotation="0" wrapText="true" indent="0" shrinkToFit="false"/>
      <protection locked="true" hidden="false"/>
    </xf>
    <xf numFmtId="172" fontId="77" fillId="28" borderId="296" xfId="36" applyFont="true" applyBorder="true" applyAlignment="true" applyProtection="true">
      <alignment horizontal="center" vertical="center" textRotation="0" wrapText="true" indent="0" shrinkToFit="false"/>
      <protection locked="true" hidden="false"/>
    </xf>
    <xf numFmtId="172" fontId="77" fillId="28" borderId="298" xfId="36" applyFont="true" applyBorder="true" applyAlignment="true" applyProtection="true">
      <alignment horizontal="center" vertical="center" textRotation="0" wrapText="true" indent="0" shrinkToFit="false"/>
      <protection locked="true" hidden="false"/>
    </xf>
    <xf numFmtId="164" fontId="91" fillId="17" borderId="6" xfId="0" applyFont="true" applyBorder="true" applyAlignment="true" applyProtection="false">
      <alignment horizontal="center" vertical="center" textRotation="0" wrapText="true" indent="0" shrinkToFit="false"/>
      <protection locked="true" hidden="false"/>
    </xf>
    <xf numFmtId="164" fontId="23" fillId="0" borderId="299" xfId="0" applyFont="true" applyBorder="true" applyAlignment="true" applyProtection="false">
      <alignment horizontal="general" vertical="center" textRotation="0" wrapText="true" indent="0" shrinkToFit="false"/>
      <protection locked="true" hidden="false"/>
    </xf>
    <xf numFmtId="191" fontId="23" fillId="0" borderId="0" xfId="0" applyFont="true" applyBorder="false" applyAlignment="true" applyProtection="false">
      <alignment horizontal="general" vertical="bottom" textRotation="0" wrapText="true" indent="0" shrinkToFit="false"/>
      <protection locked="true" hidden="false"/>
    </xf>
    <xf numFmtId="172" fontId="100" fillId="0" borderId="300" xfId="36" applyFont="true" applyBorder="true" applyAlignment="true" applyProtection="true">
      <alignment horizontal="center" vertical="center" textRotation="0" wrapText="false" indent="0" shrinkToFit="false"/>
      <protection locked="true" hidden="false"/>
    </xf>
    <xf numFmtId="164" fontId="97" fillId="0" borderId="300" xfId="0" applyFont="true" applyBorder="true" applyAlignment="true" applyProtection="true">
      <alignment horizontal="left" vertical="center" textRotation="0" wrapText="false" indent="1" shrinkToFit="false"/>
      <protection locked="false" hidden="false"/>
    </xf>
    <xf numFmtId="164" fontId="97" fillId="0" borderId="301" xfId="0" applyFont="true" applyBorder="true" applyAlignment="true" applyProtection="false">
      <alignment horizontal="general" vertical="center" textRotation="0" wrapText="false" indent="0" shrinkToFit="false"/>
      <protection locked="true" hidden="false"/>
    </xf>
    <xf numFmtId="164" fontId="98" fillId="0" borderId="301" xfId="0" applyFont="true" applyBorder="true" applyAlignment="true" applyProtection="false">
      <alignment horizontal="general" vertical="center" textRotation="0" wrapText="true" indent="0" shrinkToFit="false"/>
      <protection locked="true" hidden="false"/>
    </xf>
    <xf numFmtId="164" fontId="100" fillId="0" borderId="301" xfId="0" applyFont="true" applyBorder="true" applyAlignment="true" applyProtection="false">
      <alignment horizontal="general" vertical="center" textRotation="0" wrapText="true" indent="0" shrinkToFit="false"/>
      <protection locked="true" hidden="false"/>
    </xf>
    <xf numFmtId="164" fontId="97" fillId="6" borderId="301" xfId="0" applyFont="true" applyBorder="true" applyAlignment="true" applyProtection="false">
      <alignment horizontal="general" vertical="center" textRotation="0" wrapText="false" indent="0" shrinkToFit="false"/>
      <protection locked="true" hidden="false"/>
    </xf>
    <xf numFmtId="164" fontId="97" fillId="6" borderId="300" xfId="0" applyFont="true" applyBorder="true" applyAlignment="true" applyProtection="false">
      <alignment horizontal="left" vertical="center" textRotation="0" wrapText="false" indent="0" shrinkToFit="false"/>
      <protection locked="true" hidden="false"/>
    </xf>
    <xf numFmtId="174" fontId="97" fillId="6" borderId="301" xfId="36" applyFont="true" applyBorder="true" applyAlignment="true" applyProtection="true">
      <alignment horizontal="center" vertical="center" textRotation="0" wrapText="false" indent="0" shrinkToFit="false"/>
      <protection locked="true" hidden="false"/>
    </xf>
    <xf numFmtId="201" fontId="97" fillId="6" borderId="300" xfId="0" applyFont="true" applyBorder="true" applyAlignment="true" applyProtection="false">
      <alignment horizontal="center" vertical="center" textRotation="0" wrapText="false" indent="0" shrinkToFit="false"/>
      <protection locked="true" hidden="false"/>
    </xf>
    <xf numFmtId="174" fontId="97" fillId="0" borderId="300" xfId="36" applyFont="true" applyBorder="true" applyAlignment="true" applyProtection="true">
      <alignment horizontal="right" vertical="center" textRotation="0" wrapText="false" indent="0" shrinkToFit="false"/>
      <protection locked="true" hidden="false"/>
    </xf>
    <xf numFmtId="191" fontId="97" fillId="6" borderId="301" xfId="0" applyFont="true" applyBorder="true" applyAlignment="true" applyProtection="false">
      <alignment horizontal="center" vertical="center" textRotation="0" wrapText="false" indent="0" shrinkToFit="false"/>
      <protection locked="true" hidden="false"/>
    </xf>
    <xf numFmtId="184" fontId="97" fillId="6" borderId="300" xfId="0" applyFont="true" applyBorder="true" applyAlignment="true" applyProtection="false">
      <alignment horizontal="center" vertical="center" textRotation="0" wrapText="false" indent="0" shrinkToFit="false"/>
      <protection locked="true" hidden="false"/>
    </xf>
    <xf numFmtId="202" fontId="97" fillId="6" borderId="300" xfId="0" applyFont="true" applyBorder="true" applyAlignment="true" applyProtection="false">
      <alignment horizontal="center" vertical="center" textRotation="0" wrapText="false" indent="0" shrinkToFit="false"/>
      <protection locked="true" hidden="false"/>
    </xf>
    <xf numFmtId="179" fontId="100" fillId="6" borderId="300" xfId="0" applyFont="true" applyBorder="true" applyAlignment="true" applyProtection="false">
      <alignment horizontal="right" vertical="center" textRotation="0" wrapText="false" indent="0" shrinkToFit="false"/>
      <protection locked="true" hidden="false"/>
    </xf>
    <xf numFmtId="179" fontId="97" fillId="6" borderId="300" xfId="0" applyFont="true" applyBorder="true" applyAlignment="true" applyProtection="false">
      <alignment horizontal="right" vertical="center" textRotation="0" wrapText="false" indent="0" shrinkToFit="false"/>
      <protection locked="true" hidden="false"/>
    </xf>
    <xf numFmtId="179" fontId="100" fillId="6" borderId="302" xfId="0" applyFont="true" applyBorder="true" applyAlignment="true" applyProtection="false">
      <alignment horizontal="right" vertical="center" textRotation="0" wrapText="false" indent="0" shrinkToFit="false"/>
      <protection locked="true" hidden="false"/>
    </xf>
    <xf numFmtId="172" fontId="18" fillId="6" borderId="9" xfId="0" applyFont="true" applyBorder="true" applyAlignment="true" applyProtection="false">
      <alignment horizontal="center" vertical="center" textRotation="0" wrapText="false" indent="0" shrinkToFit="false"/>
      <protection locked="true" hidden="false"/>
    </xf>
    <xf numFmtId="170" fontId="58" fillId="0" borderId="0" xfId="0" applyFont="true" applyBorder="false" applyAlignment="true" applyProtection="false">
      <alignment horizontal="general" vertical="center" textRotation="0" wrapText="false" indent="0" shrinkToFit="false"/>
      <protection locked="true" hidden="false"/>
    </xf>
    <xf numFmtId="164" fontId="23" fillId="0" borderId="303" xfId="0" applyFont="true" applyBorder="true" applyAlignment="true" applyProtection="false">
      <alignment horizontal="general" vertical="center" textRotation="0" wrapText="true" indent="0" shrinkToFit="false"/>
      <protection locked="true" hidden="false"/>
    </xf>
    <xf numFmtId="172" fontId="100" fillId="0" borderId="304" xfId="36" applyFont="true" applyBorder="true" applyAlignment="true" applyProtection="true">
      <alignment horizontal="center" vertical="center" textRotation="0" wrapText="false" indent="0" shrinkToFit="false"/>
      <protection locked="true" hidden="false"/>
    </xf>
    <xf numFmtId="164" fontId="97" fillId="0" borderId="304" xfId="0" applyFont="true" applyBorder="true" applyAlignment="true" applyProtection="true">
      <alignment horizontal="left" vertical="center" textRotation="0" wrapText="false" indent="1" shrinkToFit="false"/>
      <protection locked="false" hidden="false"/>
    </xf>
    <xf numFmtId="164" fontId="97" fillId="0" borderId="305" xfId="0" applyFont="true" applyBorder="true" applyAlignment="true" applyProtection="false">
      <alignment horizontal="general" vertical="center" textRotation="0" wrapText="false" indent="0" shrinkToFit="false"/>
      <protection locked="true" hidden="false"/>
    </xf>
    <xf numFmtId="164" fontId="98" fillId="0" borderId="305" xfId="0" applyFont="true" applyBorder="true" applyAlignment="true" applyProtection="false">
      <alignment horizontal="general" vertical="center" textRotation="0" wrapText="true" indent="0" shrinkToFit="false"/>
      <protection locked="true" hidden="false"/>
    </xf>
    <xf numFmtId="164" fontId="97" fillId="6" borderId="305" xfId="0" applyFont="true" applyBorder="true" applyAlignment="true" applyProtection="false">
      <alignment horizontal="general" vertical="center" textRotation="0" wrapText="false" indent="0" shrinkToFit="false"/>
      <protection locked="true" hidden="false"/>
    </xf>
    <xf numFmtId="164" fontId="97" fillId="6" borderId="304" xfId="0" applyFont="true" applyBorder="true" applyAlignment="true" applyProtection="false">
      <alignment horizontal="left" vertical="center" textRotation="0" wrapText="false" indent="0" shrinkToFit="false"/>
      <protection locked="true" hidden="false"/>
    </xf>
    <xf numFmtId="174" fontId="97" fillId="6" borderId="305" xfId="36" applyFont="true" applyBorder="true" applyAlignment="true" applyProtection="true">
      <alignment horizontal="center" vertical="center" textRotation="0" wrapText="false" indent="0" shrinkToFit="false"/>
      <protection locked="true" hidden="false"/>
    </xf>
    <xf numFmtId="201" fontId="97" fillId="6" borderId="304" xfId="0" applyFont="true" applyBorder="true" applyAlignment="true" applyProtection="false">
      <alignment horizontal="center" vertical="center" textRotation="0" wrapText="false" indent="0" shrinkToFit="false"/>
      <protection locked="true" hidden="false"/>
    </xf>
    <xf numFmtId="174" fontId="97" fillId="0" borderId="304" xfId="36" applyFont="true" applyBorder="true" applyAlignment="true" applyProtection="true">
      <alignment horizontal="right" vertical="center" textRotation="0" wrapText="false" indent="0" shrinkToFit="false"/>
      <protection locked="true" hidden="false"/>
    </xf>
    <xf numFmtId="191" fontId="97" fillId="6" borderId="305" xfId="0" applyFont="true" applyBorder="true" applyAlignment="true" applyProtection="false">
      <alignment horizontal="center" vertical="center" textRotation="0" wrapText="false" indent="0" shrinkToFit="false"/>
      <protection locked="true" hidden="false"/>
    </xf>
    <xf numFmtId="184" fontId="97" fillId="6" borderId="304" xfId="0" applyFont="true" applyBorder="true" applyAlignment="true" applyProtection="false">
      <alignment horizontal="center" vertical="center" textRotation="0" wrapText="false" indent="0" shrinkToFit="false"/>
      <protection locked="true" hidden="false"/>
    </xf>
    <xf numFmtId="202" fontId="97" fillId="6" borderId="304" xfId="0" applyFont="true" applyBorder="true" applyAlignment="true" applyProtection="false">
      <alignment horizontal="center" vertical="center" textRotation="0" wrapText="false" indent="0" shrinkToFit="false"/>
      <protection locked="true" hidden="false"/>
    </xf>
    <xf numFmtId="164" fontId="183" fillId="0" borderId="306" xfId="0" applyFont="true" applyBorder="true" applyAlignment="true" applyProtection="false">
      <alignment horizontal="general" vertical="center" textRotation="0" wrapText="false" indent="0" shrinkToFit="false" readingOrder="1"/>
      <protection locked="true" hidden="false"/>
    </xf>
    <xf numFmtId="174" fontId="23" fillId="0" borderId="0" xfId="36" applyFont="true" applyBorder="true" applyAlignment="true" applyProtection="true">
      <alignment horizontal="general" vertical="top" textRotation="0" wrapText="true" indent="0" shrinkToFit="false"/>
      <protection locked="true" hidden="false"/>
    </xf>
    <xf numFmtId="164" fontId="99" fillId="0" borderId="305" xfId="0" applyFont="true" applyBorder="true" applyAlignment="true" applyProtection="false">
      <alignment horizontal="general" vertical="center" textRotation="0" wrapText="true" indent="0" shrinkToFit="false"/>
      <protection locked="true" hidden="false"/>
    </xf>
    <xf numFmtId="164" fontId="183" fillId="0" borderId="304" xfId="0" applyFont="true" applyBorder="true" applyAlignment="true" applyProtection="false">
      <alignment horizontal="general" vertical="center" textRotation="0" wrapText="false" indent="0" shrinkToFit="false" readingOrder="1"/>
      <protection locked="true" hidden="false"/>
    </xf>
    <xf numFmtId="191" fontId="24" fillId="0" borderId="307" xfId="0" applyFont="true" applyBorder="true" applyAlignment="true" applyProtection="false">
      <alignment horizontal="center" vertical="bottom" textRotation="0" wrapText="true" indent="0" shrinkToFit="false"/>
      <protection locked="true" hidden="false"/>
    </xf>
    <xf numFmtId="164" fontId="105" fillId="0" borderId="305" xfId="0" applyFont="true" applyBorder="true" applyAlignment="true" applyProtection="false">
      <alignment horizontal="general" vertical="center" textRotation="0" wrapText="true" indent="0" shrinkToFit="false"/>
      <protection locked="true" hidden="false"/>
    </xf>
    <xf numFmtId="164" fontId="24" fillId="0" borderId="303" xfId="0" applyFont="true" applyBorder="true" applyAlignment="true" applyProtection="false">
      <alignment horizontal="center" vertical="center" textRotation="0" wrapText="true" indent="0" shrinkToFit="false"/>
      <protection locked="true" hidden="false"/>
    </xf>
    <xf numFmtId="164" fontId="100" fillId="0" borderId="304" xfId="0" applyFont="true" applyBorder="true" applyAlignment="true" applyProtection="true">
      <alignment horizontal="left" vertical="center" textRotation="0" wrapText="false" indent="1" shrinkToFit="false"/>
      <protection locked="false" hidden="false"/>
    </xf>
    <xf numFmtId="172" fontId="58" fillId="0" borderId="0" xfId="36" applyFont="true" applyBorder="true" applyAlignment="true" applyProtection="true">
      <alignment horizontal="general" vertical="center" textRotation="0" wrapText="false" indent="0" shrinkToFit="false"/>
      <protection locked="true" hidden="false"/>
    </xf>
    <xf numFmtId="164" fontId="104" fillId="0" borderId="305" xfId="0" applyFont="true" applyBorder="true" applyAlignment="true" applyProtection="false">
      <alignment horizontal="general" vertical="center" textRotation="0" wrapText="true" indent="0" shrinkToFit="false"/>
      <protection locked="true" hidden="false"/>
    </xf>
    <xf numFmtId="174" fontId="24" fillId="0" borderId="0" xfId="36" applyFont="true" applyBorder="true" applyAlignment="true" applyProtection="true">
      <alignment horizontal="center" vertical="center" textRotation="0" wrapText="true" indent="0" shrinkToFit="false"/>
      <protection locked="true" hidden="false"/>
    </xf>
    <xf numFmtId="164" fontId="97" fillId="0" borderId="304" xfId="0" applyFont="true" applyBorder="true" applyAlignment="true" applyProtection="true">
      <alignment horizontal="left" vertical="center" textRotation="0" wrapText="true" indent="1" shrinkToFit="false"/>
      <protection locked="false" hidden="false"/>
    </xf>
    <xf numFmtId="172" fontId="97" fillId="6" borderId="304" xfId="15" applyFont="true" applyBorder="true" applyAlignment="true" applyProtection="true">
      <alignment horizontal="left" vertical="center" textRotation="0" wrapText="false" indent="0" shrinkToFit="false"/>
      <protection locked="true" hidden="false"/>
    </xf>
    <xf numFmtId="179" fontId="100" fillId="6" borderId="304" xfId="0" applyFont="true" applyBorder="true" applyAlignment="true" applyProtection="false">
      <alignment horizontal="right" vertical="center" textRotation="0" wrapText="false" indent="0" shrinkToFit="false"/>
      <protection locked="true" hidden="false"/>
    </xf>
    <xf numFmtId="179" fontId="100" fillId="6" borderId="308" xfId="0" applyFont="true" applyBorder="true" applyAlignment="true" applyProtection="false">
      <alignment horizontal="right" vertical="center" textRotation="0" wrapText="false" indent="0" shrinkToFit="false"/>
      <protection locked="true" hidden="false"/>
    </xf>
    <xf numFmtId="172" fontId="18" fillId="6" borderId="3" xfId="0" applyFont="true" applyBorder="true" applyAlignment="true" applyProtection="false">
      <alignment horizontal="center" vertical="center" textRotation="0" wrapText="false" indent="0" shrinkToFit="false"/>
      <protection locked="true" hidden="false"/>
    </xf>
    <xf numFmtId="174" fontId="23" fillId="0" borderId="0" xfId="36" applyFont="true" applyBorder="true" applyAlignment="true" applyProtection="true">
      <alignment horizontal="center" vertical="top" textRotation="0" wrapText="true" indent="0" shrinkToFit="false"/>
      <protection locked="true" hidden="false"/>
    </xf>
    <xf numFmtId="164" fontId="100" fillId="0" borderId="305" xfId="0" applyFont="true" applyBorder="true" applyAlignment="true" applyProtection="false">
      <alignment horizontal="general" vertical="center" textRotation="0" wrapText="true" indent="0" shrinkToFit="false"/>
      <protection locked="true" hidden="false"/>
    </xf>
    <xf numFmtId="199" fontId="183" fillId="0" borderId="304" xfId="0" applyFont="true" applyBorder="true" applyAlignment="true" applyProtection="false">
      <alignment horizontal="general" vertical="center" textRotation="0" wrapText="false" indent="0" shrinkToFit="false" readingOrder="1"/>
      <protection locked="true" hidden="false"/>
    </xf>
    <xf numFmtId="181" fontId="97" fillId="6" borderId="305" xfId="0" applyFont="true" applyBorder="true" applyAlignment="true" applyProtection="false">
      <alignment horizontal="center" vertical="center" textRotation="0" wrapText="false" indent="0" shrinkToFit="false"/>
      <protection locked="true" hidden="false"/>
    </xf>
    <xf numFmtId="179" fontId="97" fillId="6" borderId="304" xfId="0" applyFont="true" applyBorder="true" applyAlignment="true" applyProtection="false">
      <alignment horizontal="right" vertical="center" textRotation="0" wrapText="false" indent="0" shrinkToFit="false"/>
      <protection locked="true" hidden="false"/>
    </xf>
    <xf numFmtId="172" fontId="97" fillId="6" borderId="308" xfId="36" applyFont="true" applyBorder="true" applyAlignment="true" applyProtection="true">
      <alignment horizontal="right" vertical="center" textRotation="0" wrapText="false" indent="0" shrinkToFit="false"/>
      <protection locked="true" hidden="false"/>
    </xf>
    <xf numFmtId="179" fontId="100" fillId="0" borderId="304" xfId="0" applyFont="true" applyBorder="true" applyAlignment="true" applyProtection="false">
      <alignment horizontal="right" vertical="center" textRotation="0" wrapText="false" indent="0" shrinkToFit="false"/>
      <protection locked="true" hidden="false"/>
    </xf>
    <xf numFmtId="179" fontId="97" fillId="0" borderId="304" xfId="0" applyFont="true" applyBorder="true" applyAlignment="true" applyProtection="false">
      <alignment horizontal="right" vertical="center" textRotation="0" wrapText="false" indent="0" shrinkToFit="false"/>
      <protection locked="true" hidden="false"/>
    </xf>
    <xf numFmtId="179" fontId="97" fillId="0" borderId="300" xfId="0" applyFont="true" applyBorder="true" applyAlignment="true" applyProtection="false">
      <alignment horizontal="right" vertical="center" textRotation="0" wrapText="false" indent="0" shrinkToFit="false"/>
      <protection locked="true" hidden="false"/>
    </xf>
    <xf numFmtId="170" fontId="58" fillId="0" borderId="1" xfId="0" applyFont="true" applyBorder="true" applyAlignment="true" applyProtection="false">
      <alignment horizontal="general" vertical="center" textRotation="0" wrapText="false" indent="0" shrinkToFit="false"/>
      <protection locked="true" hidden="false"/>
    </xf>
    <xf numFmtId="164" fontId="184" fillId="0" borderId="303" xfId="0" applyFont="true" applyBorder="true" applyAlignment="true" applyProtection="false">
      <alignment horizontal="general" vertical="center" textRotation="0" wrapText="true" indent="0" shrinkToFit="false"/>
      <protection locked="true" hidden="false"/>
    </xf>
    <xf numFmtId="174" fontId="184" fillId="0" borderId="0" xfId="36" applyFont="true" applyBorder="true" applyAlignment="true" applyProtection="true">
      <alignment horizontal="center" vertical="top" textRotation="0" wrapText="true" indent="0" shrinkToFit="false"/>
      <protection locked="true" hidden="false"/>
    </xf>
    <xf numFmtId="172" fontId="106" fillId="0" borderId="304" xfId="36" applyFont="true" applyBorder="true" applyAlignment="true" applyProtection="true">
      <alignment horizontal="center" vertical="center" textRotation="0" wrapText="false" indent="0" shrinkToFit="false"/>
      <protection locked="true" hidden="false"/>
    </xf>
    <xf numFmtId="164" fontId="106" fillId="0" borderId="304" xfId="0" applyFont="true" applyBorder="true" applyAlignment="true" applyProtection="true">
      <alignment horizontal="left" vertical="center" textRotation="0" wrapText="false" indent="1" shrinkToFit="false"/>
      <protection locked="false" hidden="false"/>
    </xf>
    <xf numFmtId="164" fontId="106" fillId="0" borderId="305" xfId="0" applyFont="true" applyBorder="true" applyAlignment="true" applyProtection="false">
      <alignment horizontal="general" vertical="center" textRotation="0" wrapText="false" indent="0" shrinkToFit="false"/>
      <protection locked="true" hidden="false"/>
    </xf>
    <xf numFmtId="164" fontId="107" fillId="0" borderId="305" xfId="0" applyFont="true" applyBorder="true" applyAlignment="true" applyProtection="false">
      <alignment horizontal="general" vertical="center" textRotation="0" wrapText="true" indent="0" shrinkToFit="false"/>
      <protection locked="true" hidden="false"/>
    </xf>
    <xf numFmtId="164" fontId="106" fillId="0" borderId="305" xfId="0" applyFont="true" applyBorder="true" applyAlignment="true" applyProtection="false">
      <alignment horizontal="general" vertical="center" textRotation="0" wrapText="true" indent="0" shrinkToFit="false"/>
      <protection locked="true" hidden="false"/>
    </xf>
    <xf numFmtId="164" fontId="106" fillId="6" borderId="304" xfId="0" applyFont="true" applyBorder="true" applyAlignment="true" applyProtection="false">
      <alignment horizontal="left" vertical="center" textRotation="0" wrapText="false" indent="0" shrinkToFit="false"/>
      <protection locked="true" hidden="false"/>
    </xf>
    <xf numFmtId="174" fontId="106" fillId="6" borderId="305" xfId="36" applyFont="true" applyBorder="true" applyAlignment="true" applyProtection="true">
      <alignment horizontal="center" vertical="center" textRotation="0" wrapText="false" indent="0" shrinkToFit="false"/>
      <protection locked="true" hidden="false"/>
    </xf>
    <xf numFmtId="201" fontId="106" fillId="6" borderId="304" xfId="0" applyFont="true" applyBorder="true" applyAlignment="true" applyProtection="false">
      <alignment horizontal="center" vertical="center" textRotation="0" wrapText="false" indent="0" shrinkToFit="false"/>
      <protection locked="true" hidden="false"/>
    </xf>
    <xf numFmtId="174" fontId="106" fillId="0" borderId="304" xfId="36" applyFont="true" applyBorder="true" applyAlignment="true" applyProtection="true">
      <alignment horizontal="right" vertical="center" textRotation="0" wrapText="false" indent="0" shrinkToFit="false"/>
      <protection locked="true" hidden="false"/>
    </xf>
    <xf numFmtId="191" fontId="106" fillId="6" borderId="305" xfId="0" applyFont="true" applyBorder="true" applyAlignment="true" applyProtection="false">
      <alignment horizontal="center" vertical="center" textRotation="0" wrapText="false" indent="0" shrinkToFit="false"/>
      <protection locked="true" hidden="false"/>
    </xf>
    <xf numFmtId="184" fontId="106" fillId="6" borderId="304" xfId="0" applyFont="true" applyBorder="true" applyAlignment="true" applyProtection="false">
      <alignment horizontal="center" vertical="center" textRotation="0" wrapText="false" indent="0" shrinkToFit="false"/>
      <protection locked="true" hidden="false"/>
    </xf>
    <xf numFmtId="202" fontId="106" fillId="6" borderId="304" xfId="0" applyFont="true" applyBorder="true" applyAlignment="true" applyProtection="false">
      <alignment horizontal="center" vertical="center" textRotation="0" wrapText="false" indent="0" shrinkToFit="false"/>
      <protection locked="true" hidden="false"/>
    </xf>
    <xf numFmtId="179" fontId="106" fillId="0" borderId="304" xfId="0" applyFont="true" applyBorder="true" applyAlignment="true" applyProtection="false">
      <alignment horizontal="right" vertical="center" textRotation="0" wrapText="false" indent="0" shrinkToFit="false"/>
      <protection locked="true" hidden="false"/>
    </xf>
    <xf numFmtId="179" fontId="106" fillId="0" borderId="300" xfId="0" applyFont="true" applyBorder="true" applyAlignment="true" applyProtection="false">
      <alignment horizontal="right" vertical="center" textRotation="0" wrapText="false" indent="0" shrinkToFit="false"/>
      <protection locked="true" hidden="false"/>
    </xf>
    <xf numFmtId="179" fontId="106" fillId="6" borderId="308" xfId="0" applyFont="true" applyBorder="true" applyAlignment="true" applyProtection="false">
      <alignment horizontal="right" vertical="center" textRotation="0" wrapText="false" indent="0" shrinkToFit="false"/>
      <protection locked="true" hidden="false"/>
    </xf>
    <xf numFmtId="172" fontId="185" fillId="6" borderId="9" xfId="0" applyFont="true" applyBorder="true" applyAlignment="true" applyProtection="false">
      <alignment horizontal="center" vertical="center" textRotation="0" wrapText="false" indent="0" shrinkToFit="false"/>
      <protection locked="true" hidden="false"/>
    </xf>
    <xf numFmtId="179" fontId="106" fillId="4" borderId="304" xfId="0" applyFont="true" applyBorder="true" applyAlignment="true" applyProtection="false">
      <alignment horizontal="right" vertical="center" textRotation="0" wrapText="false" indent="0" shrinkToFit="false"/>
      <protection locked="true" hidden="false"/>
    </xf>
    <xf numFmtId="191" fontId="186" fillId="0" borderId="0" xfId="0" applyFont="true" applyBorder="false" applyAlignment="true" applyProtection="false">
      <alignment horizontal="general" vertical="center" textRotation="0" wrapText="false" indent="0" shrinkToFit="false"/>
      <protection locked="true" hidden="false"/>
    </xf>
    <xf numFmtId="170" fontId="186" fillId="0" borderId="0" xfId="0" applyFont="true" applyBorder="false" applyAlignment="true" applyProtection="false">
      <alignment horizontal="general" vertical="center" textRotation="0" wrapText="false" indent="0" shrinkToFit="false"/>
      <protection locked="true" hidden="false"/>
    </xf>
    <xf numFmtId="199" fontId="187" fillId="0" borderId="304" xfId="0" applyFont="true" applyBorder="true" applyAlignment="true" applyProtection="false">
      <alignment horizontal="general" vertical="center" textRotation="0" wrapText="false" indent="0" shrinkToFit="false" readingOrder="1"/>
      <protection locked="true" hidden="false"/>
    </xf>
    <xf numFmtId="179" fontId="109" fillId="0" borderId="0" xfId="0" applyFont="true" applyBorder="false" applyAlignment="true" applyProtection="false">
      <alignment horizontal="general" vertical="center" textRotation="0" wrapText="false" indent="0" shrinkToFit="false"/>
      <protection locked="true" hidden="false"/>
    </xf>
    <xf numFmtId="179" fontId="106" fillId="6" borderId="304" xfId="0" applyFont="true" applyBorder="true" applyAlignment="true" applyProtection="false">
      <alignment horizontal="right" vertical="center" textRotation="0" wrapText="false" indent="0" shrinkToFit="false"/>
      <protection locked="true" hidden="false"/>
    </xf>
    <xf numFmtId="164" fontId="187" fillId="0" borderId="304" xfId="0" applyFont="true" applyBorder="true" applyAlignment="true" applyProtection="false">
      <alignment horizontal="general" vertical="center" textRotation="0" wrapText="false" indent="0" shrinkToFit="false" readingOrder="1"/>
      <protection locked="true" hidden="false"/>
    </xf>
    <xf numFmtId="164" fontId="110" fillId="0" borderId="305" xfId="0" applyFont="true" applyBorder="true" applyAlignment="true" applyProtection="false">
      <alignment horizontal="general" vertical="center" textRotation="0" wrapText="true" indent="0" shrinkToFit="false"/>
      <protection locked="true" hidden="false"/>
    </xf>
    <xf numFmtId="179" fontId="106" fillId="6" borderId="300" xfId="0" applyFont="true" applyBorder="true" applyAlignment="true" applyProtection="false">
      <alignment horizontal="right" vertical="center" textRotation="0" wrapText="false" indent="0" shrinkToFit="false"/>
      <protection locked="true" hidden="false"/>
    </xf>
    <xf numFmtId="164" fontId="23" fillId="0" borderId="309" xfId="0" applyFont="true" applyBorder="true" applyAlignment="true" applyProtection="false">
      <alignment horizontal="general" vertical="center" textRotation="0" wrapText="true" indent="0" shrinkToFit="false"/>
      <protection locked="true" hidden="false"/>
    </xf>
    <xf numFmtId="174" fontId="23" fillId="0" borderId="294" xfId="36" applyFont="true" applyBorder="true" applyAlignment="true" applyProtection="true">
      <alignment horizontal="center" vertical="top" textRotation="0" wrapText="true" indent="0" shrinkToFit="false"/>
      <protection locked="true" hidden="false"/>
    </xf>
    <xf numFmtId="172" fontId="100" fillId="0" borderId="310" xfId="36" applyFont="true" applyBorder="true" applyAlignment="true" applyProtection="true">
      <alignment horizontal="center" vertical="center" textRotation="0" wrapText="false" indent="0" shrinkToFit="false"/>
      <protection locked="true" hidden="false"/>
    </xf>
    <xf numFmtId="164" fontId="97" fillId="0" borderId="310" xfId="0" applyFont="true" applyBorder="true" applyAlignment="true" applyProtection="true">
      <alignment horizontal="left" vertical="center" textRotation="0" wrapText="false" indent="1" shrinkToFit="false"/>
      <protection locked="false" hidden="false"/>
    </xf>
    <xf numFmtId="164" fontId="97" fillId="0" borderId="311" xfId="0" applyFont="true" applyBorder="true" applyAlignment="true" applyProtection="false">
      <alignment horizontal="general" vertical="center" textRotation="0" wrapText="false" indent="0" shrinkToFit="false"/>
      <protection locked="true" hidden="false"/>
    </xf>
    <xf numFmtId="164" fontId="105" fillId="0" borderId="311" xfId="0" applyFont="true" applyBorder="true" applyAlignment="true" applyProtection="false">
      <alignment horizontal="general" vertical="center" textRotation="0" wrapText="true" indent="0" shrinkToFit="false"/>
      <protection locked="true" hidden="false"/>
    </xf>
    <xf numFmtId="164" fontId="100" fillId="0" borderId="311" xfId="0" applyFont="true" applyBorder="true" applyAlignment="true" applyProtection="false">
      <alignment horizontal="general" vertical="center" textRotation="0" wrapText="true" indent="0" shrinkToFit="false"/>
      <protection locked="true" hidden="false"/>
    </xf>
    <xf numFmtId="164" fontId="97" fillId="6" borderId="311" xfId="0" applyFont="true" applyBorder="true" applyAlignment="true" applyProtection="false">
      <alignment horizontal="general" vertical="center" textRotation="0" wrapText="false" indent="0" shrinkToFit="false"/>
      <protection locked="true" hidden="false"/>
    </xf>
    <xf numFmtId="164" fontId="97" fillId="6" borderId="310" xfId="0" applyFont="true" applyBorder="true" applyAlignment="true" applyProtection="false">
      <alignment horizontal="left" vertical="center" textRotation="0" wrapText="false" indent="0" shrinkToFit="false"/>
      <protection locked="true" hidden="false"/>
    </xf>
    <xf numFmtId="174" fontId="100" fillId="0" borderId="311" xfId="36" applyFont="true" applyBorder="true" applyAlignment="true" applyProtection="true">
      <alignment horizontal="center" vertical="center" textRotation="0" wrapText="false" indent="0" shrinkToFit="false"/>
      <protection locked="true" hidden="false"/>
    </xf>
    <xf numFmtId="174" fontId="100" fillId="0" borderId="310" xfId="36" applyFont="true" applyBorder="true" applyAlignment="true" applyProtection="true">
      <alignment horizontal="center" vertical="center" textRotation="0" wrapText="false" indent="0" shrinkToFit="false"/>
      <protection locked="true" hidden="false"/>
    </xf>
    <xf numFmtId="174" fontId="100" fillId="0" borderId="310" xfId="36" applyFont="true" applyBorder="true" applyAlignment="true" applyProtection="true">
      <alignment horizontal="right" vertical="center" textRotation="0" wrapText="false" indent="0" shrinkToFit="false"/>
      <protection locked="true" hidden="false"/>
    </xf>
    <xf numFmtId="191" fontId="97" fillId="6" borderId="311" xfId="0" applyFont="true" applyBorder="true" applyAlignment="true" applyProtection="false">
      <alignment horizontal="center" vertical="center" textRotation="0" wrapText="false" indent="0" shrinkToFit="false"/>
      <protection locked="true" hidden="false"/>
    </xf>
    <xf numFmtId="184" fontId="97" fillId="6" borderId="310" xfId="0" applyFont="true" applyBorder="true" applyAlignment="true" applyProtection="false">
      <alignment horizontal="center" vertical="center" textRotation="0" wrapText="false" indent="0" shrinkToFit="false"/>
      <protection locked="true" hidden="false"/>
    </xf>
    <xf numFmtId="202" fontId="97" fillId="6" borderId="310" xfId="0" applyFont="true" applyBorder="true" applyAlignment="true" applyProtection="false">
      <alignment horizontal="center" vertical="center" textRotation="0" wrapText="false" indent="0" shrinkToFit="false"/>
      <protection locked="true" hidden="false"/>
    </xf>
    <xf numFmtId="179" fontId="100" fillId="6" borderId="310" xfId="0" applyFont="true" applyBorder="true" applyAlignment="true" applyProtection="false">
      <alignment horizontal="right" vertical="center" textRotation="0" wrapText="false" indent="0" shrinkToFit="false"/>
      <protection locked="true" hidden="false"/>
    </xf>
    <xf numFmtId="179" fontId="97" fillId="6" borderId="310" xfId="0" applyFont="true" applyBorder="true" applyAlignment="true" applyProtection="false">
      <alignment horizontal="right" vertical="center" textRotation="0" wrapText="false" indent="0" shrinkToFit="false"/>
      <protection locked="true" hidden="false"/>
    </xf>
    <xf numFmtId="179" fontId="100" fillId="6" borderId="312" xfId="0" applyFont="true" applyBorder="true" applyAlignment="true" applyProtection="false">
      <alignment horizontal="right" vertical="center" textRotation="0" wrapText="false" indent="0" shrinkToFit="false"/>
      <protection locked="true" hidden="false"/>
    </xf>
    <xf numFmtId="172" fontId="18" fillId="6" borderId="8" xfId="0" applyFont="true" applyBorder="true" applyAlignment="true" applyProtection="false">
      <alignment horizontal="center" vertical="center" textRotation="0" wrapText="false" indent="0" shrinkToFit="false"/>
      <protection locked="true" hidden="false"/>
    </xf>
    <xf numFmtId="164" fontId="24" fillId="0" borderId="299" xfId="0" applyFont="true" applyBorder="true" applyAlignment="true" applyProtection="false">
      <alignment horizontal="center" vertical="center" textRotation="0" wrapText="true" indent="0" shrinkToFit="false"/>
      <protection locked="true" hidden="false"/>
    </xf>
    <xf numFmtId="200" fontId="118" fillId="0" borderId="300" xfId="36" applyFont="true" applyBorder="true" applyAlignment="true" applyProtection="true">
      <alignment horizontal="center" vertical="center" textRotation="0" wrapText="false" indent="0" shrinkToFit="false"/>
      <protection locked="true" hidden="false"/>
    </xf>
    <xf numFmtId="179" fontId="101" fillId="6" borderId="306" xfId="0" applyFont="true" applyBorder="true" applyAlignment="true" applyProtection="false">
      <alignment horizontal="right" vertical="center" textRotation="0" wrapText="false" indent="0" shrinkToFit="false"/>
      <protection locked="true" hidden="false"/>
    </xf>
    <xf numFmtId="179" fontId="101" fillId="6" borderId="313" xfId="0" applyFont="true" applyBorder="true" applyAlignment="true" applyProtection="false">
      <alignment horizontal="right" vertical="center" textRotation="0" wrapText="false" indent="0" shrinkToFit="false"/>
      <protection locked="true" hidden="false"/>
    </xf>
    <xf numFmtId="184" fontId="118" fillId="6" borderId="300" xfId="0" applyFont="true" applyBorder="true" applyAlignment="true" applyProtection="false">
      <alignment horizontal="center" vertical="center" textRotation="0" wrapText="false" indent="0" shrinkToFit="false"/>
      <protection locked="true" hidden="false"/>
    </xf>
    <xf numFmtId="179" fontId="101" fillId="6" borderId="314" xfId="0" applyFont="true" applyBorder="true" applyAlignment="true" applyProtection="false">
      <alignment horizontal="right" vertical="center" textRotation="0" wrapText="false" indent="0" shrinkToFit="false"/>
      <protection locked="true" hidden="false"/>
    </xf>
    <xf numFmtId="164" fontId="24" fillId="0" borderId="315" xfId="0" applyFont="true" applyBorder="true" applyAlignment="true" applyProtection="false">
      <alignment horizontal="center" vertical="center" textRotation="0" wrapText="true" indent="0" shrinkToFit="false"/>
      <protection locked="true" hidden="false"/>
    </xf>
    <xf numFmtId="172" fontId="99" fillId="0" borderId="316" xfId="36" applyFont="true" applyBorder="true" applyAlignment="true" applyProtection="true">
      <alignment horizontal="center" vertical="center" textRotation="0" wrapText="false" indent="0" shrinkToFit="false"/>
      <protection locked="true" hidden="false"/>
    </xf>
    <xf numFmtId="164" fontId="101" fillId="0" borderId="316" xfId="0" applyFont="true" applyBorder="true" applyAlignment="true" applyProtection="true">
      <alignment horizontal="left" vertical="center" textRotation="0" wrapText="false" indent="1" shrinkToFit="false"/>
      <protection locked="false" hidden="false"/>
    </xf>
    <xf numFmtId="164" fontId="99" fillId="0" borderId="109" xfId="0" applyFont="true" applyBorder="true" applyAlignment="true" applyProtection="false">
      <alignment horizontal="general" vertical="center" textRotation="0" wrapText="true" indent="0" shrinkToFit="false"/>
      <protection locked="true" hidden="false"/>
    </xf>
    <xf numFmtId="164" fontId="101" fillId="6" borderId="109" xfId="0" applyFont="true" applyBorder="true" applyAlignment="true" applyProtection="false">
      <alignment horizontal="general" vertical="center" textRotation="0" wrapText="false" indent="0" shrinkToFit="false"/>
      <protection locked="true" hidden="false"/>
    </xf>
    <xf numFmtId="164" fontId="101" fillId="6" borderId="316" xfId="0" applyFont="true" applyBorder="true" applyAlignment="true" applyProtection="false">
      <alignment horizontal="left" vertical="center" textRotation="0" wrapText="false" indent="0" shrinkToFit="false"/>
      <protection locked="true" hidden="false"/>
    </xf>
    <xf numFmtId="174" fontId="101" fillId="6" borderId="109" xfId="36" applyFont="true" applyBorder="true" applyAlignment="true" applyProtection="true">
      <alignment horizontal="center" vertical="center" textRotation="0" wrapText="false" indent="0" shrinkToFit="false"/>
      <protection locked="true" hidden="false"/>
    </xf>
    <xf numFmtId="201" fontId="101" fillId="6" borderId="316" xfId="0" applyFont="true" applyBorder="true" applyAlignment="true" applyProtection="false">
      <alignment horizontal="center" vertical="center" textRotation="0" wrapText="false" indent="0" shrinkToFit="false"/>
      <protection locked="true" hidden="false"/>
    </xf>
    <xf numFmtId="174" fontId="101" fillId="0" borderId="316" xfId="36" applyFont="true" applyBorder="true" applyAlignment="true" applyProtection="true">
      <alignment horizontal="right" vertical="center" textRotation="0" wrapText="false" indent="0" shrinkToFit="false"/>
      <protection locked="true" hidden="false"/>
    </xf>
    <xf numFmtId="191" fontId="101" fillId="6" borderId="109" xfId="0" applyFont="true" applyBorder="true" applyAlignment="true" applyProtection="false">
      <alignment horizontal="center" vertical="center" textRotation="0" wrapText="false" indent="0" shrinkToFit="false"/>
      <protection locked="true" hidden="false"/>
    </xf>
    <xf numFmtId="184" fontId="101" fillId="6" borderId="316" xfId="0" applyFont="true" applyBorder="true" applyAlignment="true" applyProtection="false">
      <alignment horizontal="center" vertical="center" textRotation="0" wrapText="false" indent="0" shrinkToFit="false"/>
      <protection locked="true" hidden="false"/>
    </xf>
    <xf numFmtId="202" fontId="101" fillId="6" borderId="316" xfId="0" applyFont="true" applyBorder="true" applyAlignment="true" applyProtection="false">
      <alignment horizontal="center" vertical="center" textRotation="0" wrapText="false" indent="0" shrinkToFit="false"/>
      <protection locked="true" hidden="false"/>
    </xf>
    <xf numFmtId="179" fontId="99" fillId="6" borderId="316" xfId="0" applyFont="true" applyBorder="true" applyAlignment="true" applyProtection="false">
      <alignment horizontal="right" vertical="center" textRotation="0" wrapText="false" indent="0" shrinkToFit="false"/>
      <protection locked="true" hidden="false"/>
    </xf>
    <xf numFmtId="179" fontId="101" fillId="6" borderId="316" xfId="0" applyFont="true" applyBorder="true" applyAlignment="true" applyProtection="false">
      <alignment horizontal="right" vertical="center" textRotation="0" wrapText="false" indent="0" shrinkToFit="false"/>
      <protection locked="true" hidden="false"/>
    </xf>
    <xf numFmtId="179" fontId="118" fillId="6" borderId="317" xfId="0" applyFont="true" applyBorder="true" applyAlignment="true" applyProtection="false">
      <alignment horizontal="left" vertical="center" textRotation="0" wrapText="false" indent="0" shrinkToFit="false"/>
      <protection locked="true" hidden="false"/>
    </xf>
    <xf numFmtId="179" fontId="99" fillId="6" borderId="286" xfId="0" applyFont="true" applyBorder="true" applyAlignment="true" applyProtection="false">
      <alignment horizontal="right" vertical="center" textRotation="0" wrapText="false" indent="0" shrinkToFit="false"/>
      <protection locked="true" hidden="false"/>
    </xf>
    <xf numFmtId="179" fontId="97" fillId="6" borderId="0" xfId="0" applyFont="true" applyBorder="false" applyAlignment="true" applyProtection="false">
      <alignment horizontal="right" vertical="center" textRotation="0" wrapText="false" indent="1" shrinkToFit="false"/>
      <protection locked="true" hidden="false"/>
    </xf>
    <xf numFmtId="164" fontId="23" fillId="0" borderId="318" xfId="0" applyFont="true" applyBorder="true" applyAlignment="true" applyProtection="false">
      <alignment horizontal="general" vertical="center" textRotation="0" wrapText="true" indent="0" shrinkToFit="false"/>
      <protection locked="true" hidden="false"/>
    </xf>
    <xf numFmtId="191" fontId="23" fillId="0" borderId="319" xfId="0" applyFont="true" applyBorder="true" applyAlignment="true" applyProtection="false">
      <alignment horizontal="general" vertical="bottom" textRotation="0" wrapText="true" indent="0" shrinkToFit="false"/>
      <protection locked="true" hidden="false"/>
    </xf>
    <xf numFmtId="172" fontId="100" fillId="0" borderId="320" xfId="36" applyFont="true" applyBorder="true" applyAlignment="true" applyProtection="true">
      <alignment horizontal="center" vertical="center" textRotation="0" wrapText="false" indent="0" shrinkToFit="false"/>
      <protection locked="true" hidden="false"/>
    </xf>
    <xf numFmtId="164" fontId="97" fillId="0" borderId="320" xfId="0" applyFont="true" applyBorder="true" applyAlignment="true" applyProtection="true">
      <alignment horizontal="left" vertical="center" textRotation="0" wrapText="false" indent="1" shrinkToFit="false"/>
      <protection locked="false" hidden="false"/>
    </xf>
    <xf numFmtId="164" fontId="101" fillId="0" borderId="321" xfId="0" applyFont="true" applyBorder="true" applyAlignment="true" applyProtection="false">
      <alignment horizontal="general" vertical="center" textRotation="0" wrapText="false" indent="0" shrinkToFit="false"/>
      <protection locked="true" hidden="false"/>
    </xf>
    <xf numFmtId="164" fontId="99" fillId="0" borderId="321" xfId="0" applyFont="true" applyBorder="true" applyAlignment="true" applyProtection="false">
      <alignment horizontal="general" vertical="center" textRotation="0" wrapText="true" indent="0" shrinkToFit="false"/>
      <protection locked="true" hidden="false"/>
    </xf>
    <xf numFmtId="164" fontId="100" fillId="0" borderId="321" xfId="0" applyFont="true" applyBorder="true" applyAlignment="true" applyProtection="false">
      <alignment horizontal="center" vertical="center" textRotation="0" wrapText="true" indent="0" shrinkToFit="false"/>
      <protection locked="true" hidden="false"/>
    </xf>
    <xf numFmtId="164" fontId="100" fillId="0" borderId="321" xfId="0" applyFont="true" applyBorder="true" applyAlignment="true" applyProtection="false">
      <alignment horizontal="general" vertical="center" textRotation="0" wrapText="true" indent="0" shrinkToFit="false"/>
      <protection locked="true" hidden="false"/>
    </xf>
    <xf numFmtId="164" fontId="101" fillId="6" borderId="321" xfId="0" applyFont="true" applyBorder="true" applyAlignment="true" applyProtection="false">
      <alignment horizontal="general" vertical="center" textRotation="0" wrapText="false" indent="0" shrinkToFit="false"/>
      <protection locked="true" hidden="false"/>
    </xf>
    <xf numFmtId="174" fontId="101" fillId="6" borderId="321" xfId="36" applyFont="true" applyBorder="true" applyAlignment="true" applyProtection="true">
      <alignment horizontal="center" vertical="center" textRotation="0" wrapText="false" indent="0" shrinkToFit="false"/>
      <protection locked="true" hidden="false"/>
    </xf>
    <xf numFmtId="201" fontId="97" fillId="6" borderId="320" xfId="0" applyFont="true" applyBorder="true" applyAlignment="true" applyProtection="false">
      <alignment horizontal="center" vertical="center" textRotation="0" wrapText="false" indent="0" shrinkToFit="false"/>
      <protection locked="true" hidden="false"/>
    </xf>
    <xf numFmtId="200" fontId="97" fillId="0" borderId="320" xfId="36" applyFont="true" applyBorder="true" applyAlignment="true" applyProtection="true">
      <alignment horizontal="right" vertical="center" textRotation="0" wrapText="false" indent="1" shrinkToFit="false"/>
      <protection locked="true" hidden="false"/>
    </xf>
    <xf numFmtId="191" fontId="97" fillId="6" borderId="321" xfId="0" applyFont="true" applyBorder="true" applyAlignment="true" applyProtection="false">
      <alignment horizontal="center" vertical="center" textRotation="0" wrapText="false" indent="0" shrinkToFit="false"/>
      <protection locked="true" hidden="false"/>
    </xf>
    <xf numFmtId="184" fontId="97" fillId="6" borderId="320" xfId="0" applyFont="true" applyBorder="true" applyAlignment="true" applyProtection="false">
      <alignment horizontal="center" vertical="center" textRotation="0" wrapText="false" indent="0" shrinkToFit="false"/>
      <protection locked="true" hidden="false"/>
    </xf>
    <xf numFmtId="202" fontId="97" fillId="6" borderId="320" xfId="0" applyFont="true" applyBorder="true" applyAlignment="true" applyProtection="false">
      <alignment horizontal="right" vertical="center" textRotation="0" wrapText="false" indent="1" shrinkToFit="false"/>
      <protection locked="true" hidden="false"/>
    </xf>
    <xf numFmtId="202" fontId="97" fillId="0" borderId="320" xfId="0" applyFont="true" applyBorder="true" applyAlignment="true" applyProtection="false">
      <alignment horizontal="right" vertical="center" textRotation="0" wrapText="false" indent="1" shrinkToFit="false"/>
      <protection locked="true" hidden="false"/>
    </xf>
    <xf numFmtId="179" fontId="100" fillId="6" borderId="320" xfId="0" applyFont="true" applyBorder="true" applyAlignment="true" applyProtection="false">
      <alignment horizontal="right" vertical="center" textRotation="0" wrapText="false" indent="1" shrinkToFit="false"/>
      <protection locked="true" hidden="false"/>
    </xf>
    <xf numFmtId="179" fontId="97" fillId="6" borderId="320" xfId="0" applyFont="true" applyBorder="true" applyAlignment="true" applyProtection="false">
      <alignment horizontal="right" vertical="center" textRotation="0" wrapText="false" indent="1" shrinkToFit="false"/>
      <protection locked="true" hidden="false"/>
    </xf>
    <xf numFmtId="179" fontId="100" fillId="6" borderId="322" xfId="0" applyFont="true" applyBorder="true" applyAlignment="true" applyProtection="false">
      <alignment horizontal="right" vertical="center" textRotation="0" wrapText="false" indent="1" shrinkToFit="false"/>
      <protection locked="true" hidden="false"/>
    </xf>
    <xf numFmtId="179" fontId="97" fillId="6" borderId="10" xfId="0" applyFont="true" applyBorder="true" applyAlignment="true" applyProtection="false">
      <alignment horizontal="right" vertical="center" textRotation="0" wrapText="false" indent="1" shrinkToFit="false"/>
      <protection locked="true" hidden="false"/>
    </xf>
    <xf numFmtId="164" fontId="117" fillId="0" borderId="3" xfId="0" applyFont="true" applyBorder="true" applyAlignment="true" applyProtection="false">
      <alignment horizontal="general" vertical="center" textRotation="0" wrapText="false" indent="0" shrinkToFit="false"/>
      <protection locked="true" hidden="false"/>
    </xf>
    <xf numFmtId="219" fontId="188" fillId="0" borderId="5" xfId="0" applyFont="true" applyBorder="true" applyAlignment="true" applyProtection="false">
      <alignment horizontal="general" vertical="center" textRotation="0" wrapText="false" indent="0" shrinkToFit="false"/>
      <protection locked="true" hidden="false"/>
    </xf>
    <xf numFmtId="164" fontId="188" fillId="0" borderId="0" xfId="0" applyFont="true" applyBorder="false" applyAlignment="true" applyProtection="false">
      <alignment horizontal="general" vertical="center" textRotation="0" wrapText="false" indent="0" shrinkToFit="false"/>
      <protection locked="true" hidden="false"/>
    </xf>
    <xf numFmtId="164" fontId="100" fillId="0" borderId="305" xfId="0" applyFont="true" applyBorder="true" applyAlignment="true" applyProtection="false">
      <alignment horizontal="center" vertical="center" textRotation="0" wrapText="true" indent="0" shrinkToFit="false"/>
      <protection locked="true" hidden="false"/>
    </xf>
    <xf numFmtId="200" fontId="97" fillId="0" borderId="304" xfId="36" applyFont="true" applyBorder="true" applyAlignment="true" applyProtection="true">
      <alignment horizontal="right" vertical="center" textRotation="0" wrapText="false" indent="1" shrinkToFit="false"/>
      <protection locked="true" hidden="false"/>
    </xf>
    <xf numFmtId="202" fontId="97" fillId="6" borderId="304" xfId="0" applyFont="true" applyBorder="true" applyAlignment="true" applyProtection="false">
      <alignment horizontal="right" vertical="center" textRotation="0" wrapText="false" indent="1" shrinkToFit="false"/>
      <protection locked="true" hidden="false"/>
    </xf>
    <xf numFmtId="202" fontId="97" fillId="0" borderId="304" xfId="0" applyFont="true" applyBorder="true" applyAlignment="true" applyProtection="false">
      <alignment horizontal="right" vertical="center" textRotation="0" wrapText="false" indent="1" shrinkToFit="false"/>
      <protection locked="true" hidden="false"/>
    </xf>
    <xf numFmtId="179" fontId="100" fillId="6" borderId="300" xfId="0" applyFont="true" applyBorder="true" applyAlignment="true" applyProtection="false">
      <alignment horizontal="right" vertical="center" textRotation="0" wrapText="false" indent="1" shrinkToFit="false"/>
      <protection locked="true" hidden="false"/>
    </xf>
    <xf numFmtId="179" fontId="97" fillId="6" borderId="300" xfId="0" applyFont="true" applyBorder="true" applyAlignment="true" applyProtection="false">
      <alignment horizontal="right" vertical="center" textRotation="0" wrapText="false" indent="1" shrinkToFit="false"/>
      <protection locked="true" hidden="false"/>
    </xf>
    <xf numFmtId="179" fontId="100" fillId="6" borderId="302" xfId="0" applyFont="true" applyBorder="true" applyAlignment="true" applyProtection="false">
      <alignment horizontal="right" vertical="center" textRotation="0" wrapText="false" indent="1" shrinkToFit="false"/>
      <protection locked="true" hidden="false"/>
    </xf>
    <xf numFmtId="179" fontId="97" fillId="6" borderId="11" xfId="0" applyFont="true" applyBorder="true" applyAlignment="true" applyProtection="false">
      <alignment horizontal="right" vertical="center" textRotation="0" wrapText="false" indent="1" shrinkToFit="false"/>
      <protection locked="true" hidden="false"/>
    </xf>
    <xf numFmtId="164" fontId="117" fillId="0" borderId="8" xfId="0" applyFont="true" applyBorder="true" applyAlignment="true" applyProtection="false">
      <alignment horizontal="general" vertical="center" textRotation="0" wrapText="false" indent="0" shrinkToFit="false"/>
      <protection locked="true" hidden="false"/>
    </xf>
    <xf numFmtId="219" fontId="188" fillId="0" borderId="0" xfId="0" applyFont="true" applyBorder="false" applyAlignment="true" applyProtection="false">
      <alignment horizontal="general" vertical="center" textRotation="0" wrapText="false" indent="0" shrinkToFit="false"/>
      <protection locked="true" hidden="false"/>
    </xf>
    <xf numFmtId="164" fontId="58" fillId="0" borderId="303" xfId="0" applyFont="true" applyBorder="true" applyAlignment="true" applyProtection="false">
      <alignment horizontal="general" vertical="center" textRotation="0" wrapText="false" indent="0" shrinkToFit="false"/>
      <protection locked="true" hidden="false"/>
    </xf>
    <xf numFmtId="191" fontId="24" fillId="0" borderId="307" xfId="0" applyFont="true" applyBorder="true" applyAlignment="true" applyProtection="false">
      <alignment horizontal="center" vertical="center" textRotation="0" wrapText="true" indent="0" shrinkToFit="false"/>
      <protection locked="true" hidden="false"/>
    </xf>
    <xf numFmtId="199" fontId="0" fillId="0" borderId="0" xfId="0" applyFont="false" applyBorder="false" applyAlignment="true" applyProtection="false">
      <alignment horizontal="general" vertical="center" textRotation="0" wrapText="false" indent="0" shrinkToFit="false"/>
      <protection locked="true" hidden="false"/>
    </xf>
    <xf numFmtId="218" fontId="24" fillId="0" borderId="0" xfId="36" applyFont="true" applyBorder="true" applyAlignment="true" applyProtection="true">
      <alignment horizontal="center" vertical="center" textRotation="0" wrapText="true" indent="0" shrinkToFit="false"/>
      <protection locked="true" hidden="false"/>
    </xf>
    <xf numFmtId="164" fontId="106" fillId="0" borderId="305" xfId="0" applyFont="true" applyBorder="true" applyAlignment="true" applyProtection="false">
      <alignment horizontal="center" vertical="center" textRotation="0" wrapText="true" indent="0" shrinkToFit="false"/>
      <protection locked="true" hidden="false"/>
    </xf>
    <xf numFmtId="164" fontId="101" fillId="0" borderId="323" xfId="0" applyFont="true" applyBorder="true" applyAlignment="true" applyProtection="false">
      <alignment horizontal="general" vertical="center" textRotation="0" wrapText="false" indent="0" shrinkToFit="false"/>
      <protection locked="true" hidden="false"/>
    </xf>
    <xf numFmtId="164" fontId="99" fillId="0" borderId="323" xfId="0" applyFont="true" applyBorder="true" applyAlignment="true" applyProtection="false">
      <alignment horizontal="general" vertical="center" textRotation="0" wrapText="true" indent="0" shrinkToFit="false"/>
      <protection locked="true" hidden="false"/>
    </xf>
    <xf numFmtId="164" fontId="100" fillId="0" borderId="323" xfId="0" applyFont="true" applyBorder="true" applyAlignment="true" applyProtection="false">
      <alignment horizontal="general" vertical="center" textRotation="0" wrapText="true" indent="0" shrinkToFit="false"/>
      <protection locked="true" hidden="false"/>
    </xf>
    <xf numFmtId="164" fontId="100" fillId="0" borderId="323" xfId="0" applyFont="true" applyBorder="true" applyAlignment="true" applyProtection="false">
      <alignment horizontal="center" vertical="center" textRotation="0" wrapText="true" indent="0" shrinkToFit="false"/>
      <protection locked="true" hidden="false"/>
    </xf>
    <xf numFmtId="164" fontId="101" fillId="6" borderId="323" xfId="0" applyFont="true" applyBorder="true" applyAlignment="true" applyProtection="false">
      <alignment horizontal="general" vertical="center" textRotation="0" wrapText="false" indent="0" shrinkToFit="false"/>
      <protection locked="true" hidden="false"/>
    </xf>
    <xf numFmtId="174" fontId="101" fillId="6" borderId="323" xfId="36" applyFont="true" applyBorder="true" applyAlignment="true" applyProtection="true">
      <alignment horizontal="center" vertical="center" textRotation="0" wrapText="false" indent="0" shrinkToFit="false"/>
      <protection locked="true" hidden="false"/>
    </xf>
    <xf numFmtId="201" fontId="97" fillId="6" borderId="324" xfId="0" applyFont="true" applyBorder="true" applyAlignment="true" applyProtection="false">
      <alignment horizontal="center" vertical="center" textRotation="0" wrapText="false" indent="0" shrinkToFit="false"/>
      <protection locked="true" hidden="false"/>
    </xf>
    <xf numFmtId="200" fontId="97" fillId="0" borderId="324" xfId="36" applyFont="true" applyBorder="true" applyAlignment="true" applyProtection="true">
      <alignment horizontal="right" vertical="center" textRotation="0" wrapText="false" indent="1" shrinkToFit="false"/>
      <protection locked="true" hidden="false"/>
    </xf>
    <xf numFmtId="172" fontId="100" fillId="0" borderId="324" xfId="36" applyFont="true" applyBorder="true" applyAlignment="true" applyProtection="true">
      <alignment horizontal="center" vertical="center" textRotation="0" wrapText="false" indent="0" shrinkToFit="false"/>
      <protection locked="true" hidden="false"/>
    </xf>
    <xf numFmtId="191" fontId="97" fillId="6" borderId="323" xfId="0" applyFont="true" applyBorder="true" applyAlignment="true" applyProtection="false">
      <alignment horizontal="center" vertical="center" textRotation="0" wrapText="false" indent="0" shrinkToFit="false"/>
      <protection locked="true" hidden="false"/>
    </xf>
    <xf numFmtId="184" fontId="97" fillId="6" borderId="324" xfId="0" applyFont="true" applyBorder="true" applyAlignment="true" applyProtection="false">
      <alignment horizontal="center" vertical="center" textRotation="0" wrapText="false" indent="0" shrinkToFit="false"/>
      <protection locked="true" hidden="false"/>
    </xf>
    <xf numFmtId="202" fontId="97" fillId="6" borderId="324" xfId="0" applyFont="true" applyBorder="true" applyAlignment="true" applyProtection="false">
      <alignment horizontal="right" vertical="center" textRotation="0" wrapText="false" indent="1" shrinkToFit="false"/>
      <protection locked="true" hidden="false"/>
    </xf>
    <xf numFmtId="202" fontId="97" fillId="0" borderId="324" xfId="0" applyFont="true" applyBorder="true" applyAlignment="true" applyProtection="false">
      <alignment horizontal="right" vertical="center" textRotation="0" wrapText="false" indent="1" shrinkToFit="false"/>
      <protection locked="true" hidden="false"/>
    </xf>
    <xf numFmtId="164" fontId="97" fillId="0" borderId="324" xfId="0" applyFont="true" applyBorder="true" applyAlignment="true" applyProtection="true">
      <alignment horizontal="left" vertical="center" textRotation="0" wrapText="false" indent="1" shrinkToFit="false"/>
      <protection locked="false" hidden="false"/>
    </xf>
    <xf numFmtId="164" fontId="100" fillId="0" borderId="311" xfId="0" applyFont="true" applyBorder="true" applyAlignment="true" applyProtection="false">
      <alignment horizontal="center" vertical="center" textRotation="0" wrapText="true" indent="0" shrinkToFit="false"/>
      <protection locked="true" hidden="false"/>
    </xf>
    <xf numFmtId="174" fontId="100" fillId="0" borderId="310" xfId="36" applyFont="true" applyBorder="true" applyAlignment="true" applyProtection="true">
      <alignment horizontal="left" vertical="center" textRotation="0" wrapText="false" indent="0" shrinkToFit="false"/>
      <protection locked="true" hidden="false"/>
    </xf>
    <xf numFmtId="200" fontId="100" fillId="0" borderId="310" xfId="36" applyFont="true" applyBorder="true" applyAlignment="true" applyProtection="true">
      <alignment horizontal="right" vertical="center" textRotation="0" wrapText="false" indent="1" shrinkToFit="false"/>
      <protection locked="true" hidden="false"/>
    </xf>
    <xf numFmtId="202" fontId="97" fillId="6" borderId="310" xfId="0" applyFont="true" applyBorder="true" applyAlignment="true" applyProtection="false">
      <alignment horizontal="right" vertical="center" textRotation="0" wrapText="false" indent="1" shrinkToFit="false"/>
      <protection locked="true" hidden="false"/>
    </xf>
    <xf numFmtId="202" fontId="97" fillId="0" borderId="310" xfId="0" applyFont="true" applyBorder="true" applyAlignment="true" applyProtection="false">
      <alignment horizontal="right" vertical="center" textRotation="0" wrapText="false" indent="1" shrinkToFit="false"/>
      <protection locked="true" hidden="false"/>
    </xf>
    <xf numFmtId="179" fontId="97" fillId="6" borderId="310" xfId="0" applyFont="true" applyBorder="true" applyAlignment="true" applyProtection="false">
      <alignment horizontal="right" vertical="center" textRotation="0" wrapText="false" indent="1" shrinkToFit="false"/>
      <protection locked="true" hidden="false"/>
    </xf>
    <xf numFmtId="179" fontId="100" fillId="6" borderId="312" xfId="0" applyFont="true" applyBorder="true" applyAlignment="true" applyProtection="false">
      <alignment horizontal="right" vertical="center" textRotation="0" wrapText="false" indent="1" shrinkToFit="false"/>
      <protection locked="true" hidden="false"/>
    </xf>
    <xf numFmtId="174" fontId="118" fillId="0" borderId="300" xfId="36" applyFont="true" applyBorder="true" applyAlignment="true" applyProtection="true">
      <alignment horizontal="center" vertical="center" textRotation="0" wrapText="false" indent="0" shrinkToFit="false"/>
      <protection locked="true" hidden="false"/>
    </xf>
    <xf numFmtId="220" fontId="101" fillId="6" borderId="300" xfId="0" applyFont="true" applyBorder="true" applyAlignment="true" applyProtection="false">
      <alignment horizontal="center" vertical="center" textRotation="0" wrapText="false" indent="0" shrinkToFit="false"/>
      <protection locked="true" hidden="false"/>
    </xf>
    <xf numFmtId="172" fontId="101" fillId="6" borderId="300" xfId="36" applyFont="true" applyBorder="true" applyAlignment="true" applyProtection="true">
      <alignment horizontal="center" vertical="center" textRotation="0" wrapText="false" indent="0" shrinkToFit="false"/>
      <protection locked="true" hidden="false"/>
    </xf>
    <xf numFmtId="172" fontId="99" fillId="6" borderId="300" xfId="36" applyFont="true" applyBorder="true" applyAlignment="true" applyProtection="true">
      <alignment horizontal="right" vertical="center" textRotation="0" wrapText="false" indent="0" shrinkToFit="false"/>
      <protection locked="true" hidden="false"/>
    </xf>
    <xf numFmtId="172" fontId="101" fillId="6" borderId="300" xfId="36" applyFont="true" applyBorder="true" applyAlignment="true" applyProtection="true">
      <alignment horizontal="right" vertical="center" textRotation="0" wrapText="false" indent="0" shrinkToFit="false"/>
      <protection locked="true" hidden="false"/>
    </xf>
    <xf numFmtId="220" fontId="101" fillId="6" borderId="316" xfId="0" applyFont="true" applyBorder="true" applyAlignment="true" applyProtection="false">
      <alignment horizontal="center" vertical="center" textRotation="0" wrapText="false" indent="0" shrinkToFit="false"/>
      <protection locked="true" hidden="false"/>
    </xf>
    <xf numFmtId="172" fontId="101" fillId="6" borderId="316" xfId="36" applyFont="true" applyBorder="true" applyAlignment="true" applyProtection="true">
      <alignment horizontal="center" vertical="center" textRotation="0" wrapText="false" indent="0" shrinkToFit="false"/>
      <protection locked="true" hidden="false"/>
    </xf>
    <xf numFmtId="172" fontId="99" fillId="6" borderId="316" xfId="36" applyFont="true" applyBorder="true" applyAlignment="true" applyProtection="true">
      <alignment horizontal="right" vertical="center" textRotation="0" wrapText="false" indent="0" shrinkToFit="false"/>
      <protection locked="true" hidden="false"/>
    </xf>
    <xf numFmtId="172" fontId="101" fillId="6" borderId="316" xfId="36" applyFont="true" applyBorder="true" applyAlignment="true" applyProtection="true">
      <alignment horizontal="right" vertical="center" textRotation="0" wrapText="false" indent="0" shrinkToFit="false"/>
      <protection locked="true" hidden="false"/>
    </xf>
    <xf numFmtId="179" fontId="118" fillId="6" borderId="325" xfId="0" applyFont="true" applyBorder="true" applyAlignment="true" applyProtection="false">
      <alignment horizontal="left" vertical="center" textRotation="0" wrapText="false" indent="0" shrinkToFit="false"/>
      <protection locked="true" hidden="false"/>
    </xf>
    <xf numFmtId="164" fontId="24" fillId="0" borderId="318" xfId="0" applyFont="true" applyBorder="true" applyAlignment="true" applyProtection="false">
      <alignment horizontal="general" vertical="center" textRotation="0" wrapText="true" indent="0" shrinkToFit="false"/>
      <protection locked="true" hidden="false"/>
    </xf>
    <xf numFmtId="174" fontId="24" fillId="0" borderId="326" xfId="36" applyFont="true" applyBorder="true" applyAlignment="true" applyProtection="true">
      <alignment horizontal="general" vertical="bottom" textRotation="0" wrapText="true" indent="0" shrinkToFit="false"/>
      <protection locked="true" hidden="false"/>
    </xf>
    <xf numFmtId="172" fontId="100" fillId="0" borderId="327" xfId="36" applyFont="true" applyBorder="true" applyAlignment="true" applyProtection="true">
      <alignment horizontal="center" vertical="center" textRotation="0" wrapText="false" indent="0" shrinkToFit="false"/>
      <protection locked="true" hidden="false"/>
    </xf>
    <xf numFmtId="164" fontId="105" fillId="0" borderId="301" xfId="0" applyFont="true" applyBorder="true" applyAlignment="true" applyProtection="false">
      <alignment horizontal="general" vertical="center" textRotation="0" wrapText="true" indent="0" shrinkToFit="false"/>
      <protection locked="true" hidden="false"/>
    </xf>
    <xf numFmtId="174" fontId="23" fillId="0" borderId="307" xfId="36" applyFont="true" applyBorder="true" applyAlignment="true" applyProtection="true">
      <alignment horizontal="general" vertical="bottom" textRotation="0" wrapText="true" indent="0" shrinkToFit="false"/>
      <protection locked="true" hidden="false"/>
    </xf>
    <xf numFmtId="172" fontId="100" fillId="0" borderId="328" xfId="36" applyFont="true" applyBorder="true" applyAlignment="true" applyProtection="true">
      <alignment horizontal="center" vertical="center" textRotation="0" wrapText="false" indent="0" shrinkToFit="false"/>
      <protection locked="true" hidden="false"/>
    </xf>
    <xf numFmtId="199" fontId="58" fillId="0" borderId="0" xfId="0" applyFont="true" applyBorder="false" applyAlignment="true" applyProtection="false">
      <alignment horizontal="general" vertical="center" textRotation="0" wrapText="false" indent="0" shrinkToFit="false"/>
      <protection locked="true" hidden="false"/>
    </xf>
    <xf numFmtId="174" fontId="24" fillId="0" borderId="329" xfId="36" applyFont="true" applyBorder="true" applyAlignment="true" applyProtection="true">
      <alignment horizontal="general" vertical="top" textRotation="0" wrapText="true" indent="0" shrinkToFit="false"/>
      <protection locked="true" hidden="false"/>
    </xf>
    <xf numFmtId="174" fontId="58" fillId="0" borderId="0" xfId="36" applyFont="true" applyBorder="true" applyAlignment="true" applyProtection="true">
      <alignment horizontal="general" vertical="center" textRotation="0" wrapText="false" indent="0" shrinkToFit="false"/>
      <protection locked="true" hidden="false"/>
    </xf>
    <xf numFmtId="164" fontId="189" fillId="0" borderId="0" xfId="0" applyFont="true" applyBorder="false" applyAlignment="true" applyProtection="false">
      <alignment horizontal="general" vertical="center" textRotation="0" wrapText="false" indent="0" shrinkToFit="false" readingOrder="1"/>
      <protection locked="true" hidden="false"/>
    </xf>
    <xf numFmtId="174" fontId="23" fillId="0" borderId="330" xfId="36" applyFont="true" applyBorder="true" applyAlignment="true" applyProtection="true">
      <alignment horizontal="general" vertical="top" textRotation="0" wrapText="true" indent="0" shrinkToFit="false"/>
      <protection locked="true" hidden="false"/>
    </xf>
    <xf numFmtId="164" fontId="97" fillId="6" borderId="331" xfId="0" applyFont="true" applyBorder="true" applyAlignment="true" applyProtection="false">
      <alignment horizontal="left" vertical="center" textRotation="0" wrapText="false" indent="0" shrinkToFit="false"/>
      <protection locked="true" hidden="false"/>
    </xf>
    <xf numFmtId="172" fontId="100" fillId="0" borderId="332" xfId="36" applyFont="true" applyBorder="true" applyAlignment="true" applyProtection="true">
      <alignment horizontal="center" vertical="center" textRotation="0" wrapText="false" indent="0" shrinkToFit="false"/>
      <protection locked="true" hidden="false"/>
    </xf>
    <xf numFmtId="174" fontId="97" fillId="0" borderId="332" xfId="36" applyFont="true" applyBorder="true" applyAlignment="true" applyProtection="true">
      <alignment horizontal="right" vertical="center" textRotation="0" wrapText="false" indent="0" shrinkToFit="false"/>
      <protection locked="true" hidden="false"/>
    </xf>
    <xf numFmtId="202" fontId="97" fillId="6" borderId="332" xfId="0" applyFont="true" applyBorder="true" applyAlignment="true" applyProtection="false">
      <alignment horizontal="right" vertical="center" textRotation="0" wrapText="false" indent="1" shrinkToFit="false"/>
      <protection locked="true" hidden="false"/>
    </xf>
    <xf numFmtId="202" fontId="97" fillId="6" borderId="333" xfId="0" applyFont="true" applyBorder="true" applyAlignment="true" applyProtection="false">
      <alignment horizontal="right" vertical="center" textRotation="0" wrapText="false" indent="1" shrinkToFit="false"/>
      <protection locked="true" hidden="false"/>
    </xf>
    <xf numFmtId="179" fontId="100" fillId="6" borderId="334" xfId="0" applyFont="true" applyBorder="true" applyAlignment="true" applyProtection="false">
      <alignment horizontal="right" vertical="center" textRotation="0" wrapText="false" indent="1" shrinkToFit="false"/>
      <protection locked="true" hidden="false"/>
    </xf>
    <xf numFmtId="174" fontId="118" fillId="0" borderId="300" xfId="36" applyFont="true" applyBorder="true" applyAlignment="true" applyProtection="true">
      <alignment horizontal="right" vertical="center" textRotation="0" wrapText="false" indent="0" shrinkToFit="false"/>
      <protection locked="true" hidden="false"/>
    </xf>
    <xf numFmtId="164" fontId="24" fillId="0" borderId="335" xfId="0" applyFont="true" applyBorder="true" applyAlignment="true" applyProtection="false">
      <alignment horizontal="center" vertical="center" textRotation="0" wrapText="true" indent="0" shrinkToFit="false"/>
      <protection locked="true" hidden="false"/>
    </xf>
    <xf numFmtId="174" fontId="24" fillId="0" borderId="326" xfId="36" applyFont="true" applyBorder="true" applyAlignment="true" applyProtection="true">
      <alignment horizontal="center" vertical="bottom" textRotation="0" wrapText="true" indent="0" shrinkToFit="false"/>
      <protection locked="true" hidden="false"/>
    </xf>
    <xf numFmtId="201" fontId="97" fillId="6" borderId="300" xfId="0" applyFont="true" applyBorder="true" applyAlignment="true" applyProtection="false">
      <alignment horizontal="left" vertical="center" textRotation="0" wrapText="false" indent="0" shrinkToFit="false"/>
      <protection locked="true" hidden="false"/>
    </xf>
    <xf numFmtId="174" fontId="97" fillId="0" borderId="300" xfId="36" applyFont="true" applyBorder="true" applyAlignment="true" applyProtection="true">
      <alignment horizontal="center" vertical="center" textRotation="0" wrapText="false" indent="0" shrinkToFit="false"/>
      <protection locked="true" hidden="false"/>
    </xf>
    <xf numFmtId="174" fontId="101" fillId="6" borderId="0" xfId="36" applyFont="true" applyBorder="true" applyAlignment="true" applyProtection="true">
      <alignment horizontal="center" vertical="center" textRotation="0" wrapText="false" indent="0" shrinkToFit="false"/>
      <protection locked="true" hidden="false"/>
    </xf>
    <xf numFmtId="174" fontId="100" fillId="0" borderId="109" xfId="36" applyFont="true" applyBorder="true" applyAlignment="true" applyProtection="true">
      <alignment horizontal="center" vertical="center" textRotation="0" wrapText="false" indent="0" shrinkToFit="false"/>
      <protection locked="true" hidden="false"/>
    </xf>
    <xf numFmtId="174" fontId="24" fillId="0" borderId="331" xfId="36" applyFont="true" applyBorder="true" applyAlignment="true" applyProtection="true">
      <alignment horizontal="center" vertical="top" textRotation="0" wrapText="true" indent="0" shrinkToFit="false"/>
      <protection locked="true" hidden="false"/>
    </xf>
    <xf numFmtId="172" fontId="100" fillId="0" borderId="331" xfId="36" applyFont="true" applyBorder="true" applyAlignment="true" applyProtection="true">
      <alignment horizontal="center" vertical="center" textRotation="0" wrapText="false" indent="0" shrinkToFit="false"/>
      <protection locked="true" hidden="false"/>
    </xf>
    <xf numFmtId="174" fontId="97" fillId="0" borderId="331" xfId="36" applyFont="true" applyBorder="true" applyAlignment="true" applyProtection="true">
      <alignment horizontal="center" vertical="center" textRotation="0" wrapText="false" indent="0" shrinkToFit="false"/>
      <protection locked="true" hidden="false"/>
    </xf>
    <xf numFmtId="202" fontId="97" fillId="6" borderId="331" xfId="0" applyFont="true" applyBorder="true" applyAlignment="true" applyProtection="false">
      <alignment horizontal="center" vertical="center" textRotation="0" wrapText="false" indent="0" shrinkToFit="false"/>
      <protection locked="true" hidden="false"/>
    </xf>
    <xf numFmtId="174" fontId="23" fillId="0" borderId="307" xfId="36" applyFont="true" applyBorder="true" applyAlignment="true" applyProtection="true">
      <alignment horizontal="general" vertical="top" textRotation="0" wrapText="true" indent="0" shrinkToFit="false"/>
      <protection locked="true" hidden="false"/>
    </xf>
    <xf numFmtId="164" fontId="23" fillId="0" borderId="303" xfId="0" applyFont="true" applyBorder="true" applyAlignment="true" applyProtection="false">
      <alignment horizontal="general" vertical="center" textRotation="0" wrapText="false" indent="0" shrinkToFit="false"/>
      <protection locked="true" hidden="false"/>
    </xf>
    <xf numFmtId="174" fontId="24" fillId="0" borderId="307" xfId="36" applyFont="true" applyBorder="true" applyAlignment="true" applyProtection="true">
      <alignment horizontal="center" vertical="center" textRotation="0" wrapText="true" indent="0" shrinkToFit="false"/>
      <protection locked="true" hidden="false"/>
    </xf>
    <xf numFmtId="174" fontId="23" fillId="0" borderId="331" xfId="36" applyFont="true" applyBorder="true" applyAlignment="true" applyProtection="true">
      <alignment horizontal="general" vertical="top" textRotation="0" wrapText="true" indent="0" shrinkToFit="false"/>
      <protection locked="true" hidden="false"/>
    </xf>
    <xf numFmtId="172" fontId="100" fillId="0" borderId="330" xfId="36" applyFont="true" applyBorder="true" applyAlignment="true" applyProtection="true">
      <alignment horizontal="center" vertical="center" textRotation="0" wrapText="false" indent="0" shrinkToFit="false"/>
      <protection locked="true" hidden="false"/>
    </xf>
    <xf numFmtId="164" fontId="97" fillId="0" borderId="331" xfId="0" applyFont="true" applyBorder="true" applyAlignment="true" applyProtection="true">
      <alignment horizontal="left" vertical="center" textRotation="0" wrapText="false" indent="1" shrinkToFit="false"/>
      <protection locked="false" hidden="false"/>
    </xf>
    <xf numFmtId="201" fontId="97" fillId="6" borderId="331" xfId="0" applyFont="true" applyBorder="true" applyAlignment="true" applyProtection="false">
      <alignment horizontal="center" vertical="center" textRotation="0" wrapText="false" indent="0" shrinkToFit="false"/>
      <protection locked="true" hidden="false"/>
    </xf>
    <xf numFmtId="191" fontId="24" fillId="0" borderId="336" xfId="0" applyFont="true" applyBorder="true" applyAlignment="true" applyProtection="false">
      <alignment horizontal="center" vertical="bottom" textRotation="0" wrapText="true" indent="0" shrinkToFit="false"/>
      <protection locked="true" hidden="false"/>
    </xf>
    <xf numFmtId="172" fontId="100" fillId="0" borderId="337" xfId="36" applyFont="true" applyBorder="true" applyAlignment="true" applyProtection="true">
      <alignment horizontal="center" vertical="center" textRotation="0" wrapText="false" indent="0" shrinkToFit="false"/>
      <protection locked="true" hidden="false"/>
    </xf>
    <xf numFmtId="164" fontId="97" fillId="0" borderId="321" xfId="0" applyFont="true" applyBorder="true" applyAlignment="true" applyProtection="false">
      <alignment horizontal="general" vertical="center" textRotation="0" wrapText="false" indent="0" shrinkToFit="false"/>
      <protection locked="true" hidden="false"/>
    </xf>
    <xf numFmtId="164" fontId="105" fillId="0" borderId="321" xfId="0" applyFont="true" applyBorder="true" applyAlignment="true" applyProtection="false">
      <alignment horizontal="general" vertical="center" textRotation="0" wrapText="true" indent="0" shrinkToFit="false"/>
      <protection locked="true" hidden="false"/>
    </xf>
    <xf numFmtId="164" fontId="97" fillId="6" borderId="321" xfId="0" applyFont="true" applyBorder="true" applyAlignment="true" applyProtection="false">
      <alignment horizontal="general" vertical="center" textRotation="0" wrapText="false" indent="0" shrinkToFit="false"/>
      <protection locked="true" hidden="false"/>
    </xf>
    <xf numFmtId="164" fontId="97" fillId="6" borderId="320" xfId="0" applyFont="true" applyBorder="true" applyAlignment="true" applyProtection="false">
      <alignment horizontal="left" vertical="center" textRotation="0" wrapText="false" indent="0" shrinkToFit="false"/>
      <protection locked="true" hidden="false"/>
    </xf>
    <xf numFmtId="174" fontId="97" fillId="0" borderId="320" xfId="36" applyFont="true" applyBorder="true" applyAlignment="true" applyProtection="true">
      <alignment horizontal="center" vertical="center" textRotation="0" wrapText="false" indent="0" shrinkToFit="false"/>
      <protection locked="true" hidden="false"/>
    </xf>
    <xf numFmtId="202" fontId="97" fillId="6" borderId="320" xfId="0" applyFont="true" applyBorder="true" applyAlignment="true" applyProtection="false">
      <alignment horizontal="center" vertical="center" textRotation="0" wrapText="false" indent="0" shrinkToFit="false"/>
      <protection locked="true" hidden="false"/>
    </xf>
    <xf numFmtId="179" fontId="100" fillId="6" borderId="320" xfId="0" applyFont="true" applyBorder="true" applyAlignment="true" applyProtection="false">
      <alignment horizontal="center" vertical="center" textRotation="0" wrapText="false" indent="0" shrinkToFit="false"/>
      <protection locked="true" hidden="false"/>
    </xf>
    <xf numFmtId="179" fontId="97" fillId="6" borderId="320" xfId="0" applyFont="true" applyBorder="true" applyAlignment="true" applyProtection="false">
      <alignment horizontal="center" vertical="center" textRotation="0" wrapText="false" indent="0" shrinkToFit="false"/>
      <protection locked="true" hidden="false"/>
    </xf>
    <xf numFmtId="179" fontId="101" fillId="6" borderId="321" xfId="0" applyFont="true" applyBorder="true" applyAlignment="true" applyProtection="false">
      <alignment horizontal="center" vertical="center" textRotation="0" wrapText="false" indent="0" shrinkToFit="false"/>
      <protection locked="true" hidden="false"/>
    </xf>
    <xf numFmtId="179" fontId="100" fillId="6" borderId="322" xfId="0" applyFont="true" applyBorder="true" applyAlignment="true" applyProtection="false">
      <alignment horizontal="right" vertical="center" textRotation="0" wrapText="false" indent="0" shrinkToFit="false"/>
      <protection locked="true" hidden="false"/>
    </xf>
    <xf numFmtId="179" fontId="99" fillId="6" borderId="0" xfId="0" applyFont="true" applyBorder="false" applyAlignment="true" applyProtection="false">
      <alignment horizontal="center" vertical="center" textRotation="0" wrapText="false" indent="0" shrinkToFit="false"/>
      <protection locked="true" hidden="false"/>
    </xf>
    <xf numFmtId="174" fontId="97" fillId="0" borderId="304" xfId="36" applyFont="true" applyBorder="true" applyAlignment="true" applyProtection="true">
      <alignment horizontal="center" vertical="center" textRotation="0" wrapText="false" indent="0" shrinkToFit="false"/>
      <protection locked="true" hidden="false"/>
    </xf>
    <xf numFmtId="179" fontId="100" fillId="6" borderId="304" xfId="0" applyFont="true" applyBorder="true" applyAlignment="true" applyProtection="false">
      <alignment horizontal="center" vertical="center" textRotation="0" wrapText="false" indent="0" shrinkToFit="false"/>
      <protection locked="true" hidden="false"/>
    </xf>
    <xf numFmtId="179" fontId="97" fillId="6" borderId="304" xfId="0" applyFont="true" applyBorder="true" applyAlignment="true" applyProtection="false">
      <alignment horizontal="center" vertical="center" textRotation="0" wrapText="false" indent="0" shrinkToFit="false"/>
      <protection locked="true" hidden="false"/>
    </xf>
    <xf numFmtId="179" fontId="101" fillId="6" borderId="305" xfId="0" applyFont="true" applyBorder="true" applyAlignment="true" applyProtection="false">
      <alignment horizontal="center" vertical="center" textRotation="0" wrapText="false" indent="0" shrinkToFit="false"/>
      <protection locked="true" hidden="false"/>
    </xf>
    <xf numFmtId="174" fontId="24" fillId="0" borderId="130" xfId="36" applyFont="true" applyBorder="true" applyAlignment="true" applyProtection="true">
      <alignment horizontal="center" vertical="top" textRotation="0" wrapText="true" indent="0" shrinkToFit="false"/>
      <protection locked="true" hidden="false"/>
    </xf>
    <xf numFmtId="170" fontId="97" fillId="0" borderId="325" xfId="0" applyFont="true" applyBorder="true" applyAlignment="true" applyProtection="true">
      <alignment horizontal="center" vertical="center" textRotation="0" wrapText="false" indent="0" shrinkToFit="false"/>
      <protection locked="false" hidden="false"/>
    </xf>
    <xf numFmtId="164" fontId="97" fillId="0" borderId="325" xfId="0" applyFont="true" applyBorder="true" applyAlignment="true" applyProtection="true">
      <alignment horizontal="left" vertical="center" textRotation="0" wrapText="false" indent="1" shrinkToFit="false"/>
      <protection locked="false" hidden="false"/>
    </xf>
    <xf numFmtId="164" fontId="97" fillId="0" borderId="338" xfId="0" applyFont="true" applyBorder="true" applyAlignment="true" applyProtection="false">
      <alignment horizontal="general" vertical="center" textRotation="0" wrapText="false" indent="0" shrinkToFit="false"/>
      <protection locked="true" hidden="false"/>
    </xf>
    <xf numFmtId="164" fontId="99" fillId="0" borderId="338" xfId="0" applyFont="true" applyBorder="true" applyAlignment="true" applyProtection="false">
      <alignment horizontal="general" vertical="center" textRotation="0" wrapText="true" indent="0" shrinkToFit="false"/>
      <protection locked="true" hidden="false"/>
    </xf>
    <xf numFmtId="164" fontId="97" fillId="6" borderId="338" xfId="0" applyFont="true" applyBorder="true" applyAlignment="true" applyProtection="false">
      <alignment horizontal="general" vertical="center" textRotation="0" wrapText="false" indent="0" shrinkToFit="false"/>
      <protection locked="true" hidden="false"/>
    </xf>
    <xf numFmtId="164" fontId="97" fillId="6" borderId="325" xfId="0" applyFont="true" applyBorder="true" applyAlignment="true" applyProtection="false">
      <alignment horizontal="left" vertical="center" textRotation="0" wrapText="false" indent="0" shrinkToFit="false"/>
      <protection locked="true" hidden="false"/>
    </xf>
    <xf numFmtId="174" fontId="100" fillId="0" borderId="338" xfId="36" applyFont="true" applyBorder="true" applyAlignment="true" applyProtection="true">
      <alignment horizontal="center" vertical="center" textRotation="0" wrapText="false" indent="0" shrinkToFit="false"/>
      <protection locked="true" hidden="false"/>
    </xf>
    <xf numFmtId="174" fontId="100" fillId="0" borderId="325" xfId="36" applyFont="true" applyBorder="true" applyAlignment="true" applyProtection="true">
      <alignment horizontal="center" vertical="center" textRotation="0" wrapText="false" indent="0" shrinkToFit="false"/>
      <protection locked="true" hidden="false"/>
    </xf>
    <xf numFmtId="172" fontId="100" fillId="0" borderId="325" xfId="36" applyFont="true" applyBorder="true" applyAlignment="true" applyProtection="true">
      <alignment horizontal="center" vertical="center" textRotation="0" wrapText="false" indent="0" shrinkToFit="false"/>
      <protection locked="true" hidden="false"/>
    </xf>
    <xf numFmtId="191" fontId="97" fillId="6" borderId="338" xfId="0" applyFont="true" applyBorder="true" applyAlignment="true" applyProtection="false">
      <alignment horizontal="center" vertical="center" textRotation="0" wrapText="false" indent="0" shrinkToFit="false"/>
      <protection locked="true" hidden="false"/>
    </xf>
    <xf numFmtId="184" fontId="97" fillId="6" borderId="325" xfId="0" applyFont="true" applyBorder="true" applyAlignment="true" applyProtection="false">
      <alignment horizontal="center" vertical="center" textRotation="0" wrapText="false" indent="0" shrinkToFit="false"/>
      <protection locked="true" hidden="false"/>
    </xf>
    <xf numFmtId="202" fontId="97" fillId="6" borderId="325" xfId="0" applyFont="true" applyBorder="true" applyAlignment="true" applyProtection="false">
      <alignment horizontal="center" vertical="center" textRotation="0" wrapText="false" indent="0" shrinkToFit="false"/>
      <protection locked="true" hidden="false"/>
    </xf>
    <xf numFmtId="179" fontId="100" fillId="6" borderId="325" xfId="0" applyFont="true" applyBorder="true" applyAlignment="true" applyProtection="false">
      <alignment horizontal="center" vertical="center" textRotation="0" wrapText="false" indent="0" shrinkToFit="false"/>
      <protection locked="true" hidden="false"/>
    </xf>
    <xf numFmtId="179" fontId="97" fillId="6" borderId="325" xfId="0" applyFont="true" applyBorder="true" applyAlignment="true" applyProtection="false">
      <alignment horizontal="center" vertical="center" textRotation="0" wrapText="false" indent="0" shrinkToFit="false"/>
      <protection locked="true" hidden="false"/>
    </xf>
    <xf numFmtId="179" fontId="101" fillId="6" borderId="338" xfId="0" applyFont="true" applyBorder="true" applyAlignment="true" applyProtection="false">
      <alignment horizontal="center" vertical="center" textRotation="0" wrapText="false" indent="0" shrinkToFit="false"/>
      <protection locked="true" hidden="false"/>
    </xf>
    <xf numFmtId="179" fontId="100" fillId="6" borderId="339" xfId="0" applyFont="true" applyBorder="true" applyAlignment="true" applyProtection="false">
      <alignment horizontal="right" vertical="center" textRotation="0" wrapText="false" indent="0" shrinkToFit="false"/>
      <protection locked="true" hidden="false"/>
    </xf>
    <xf numFmtId="181" fontId="0" fillId="0" borderId="0" xfId="0" applyFont="false" applyBorder="false" applyAlignment="true" applyProtection="false">
      <alignment horizontal="general" vertical="center" textRotation="0" wrapText="false" indent="0" shrinkToFit="false"/>
      <protection locked="true" hidden="false"/>
    </xf>
    <xf numFmtId="181" fontId="7" fillId="0" borderId="0" xfId="0" applyFont="true" applyBorder="false" applyAlignment="true" applyProtection="false">
      <alignment horizontal="general" vertical="center" textRotation="0" wrapText="false" indent="0" shrinkToFit="false"/>
      <protection locked="true" hidden="false"/>
    </xf>
    <xf numFmtId="164" fontId="190" fillId="0" borderId="0" xfId="0" applyFont="true" applyBorder="false" applyAlignment="true" applyProtection="false">
      <alignment horizontal="general" vertical="center" textRotation="0" wrapText="false" indent="0" shrinkToFit="false"/>
      <protection locked="true" hidden="false"/>
    </xf>
    <xf numFmtId="164" fontId="91" fillId="16" borderId="85" xfId="0" applyFont="true" applyBorder="true" applyAlignment="true" applyProtection="false">
      <alignment horizontal="general" vertical="center" textRotation="0" wrapText="false" indent="0" shrinkToFit="false"/>
      <protection locked="true" hidden="false"/>
    </xf>
    <xf numFmtId="164" fontId="191" fillId="17" borderId="276" xfId="0" applyFont="true" applyBorder="true" applyAlignment="true" applyProtection="false">
      <alignment horizontal="center" vertical="center" textRotation="0" wrapText="true" indent="0" shrinkToFit="false"/>
      <protection locked="true" hidden="false"/>
    </xf>
    <xf numFmtId="164" fontId="192" fillId="17" borderId="0" xfId="0" applyFont="true" applyBorder="false" applyAlignment="true" applyProtection="false">
      <alignment horizontal="center" vertical="center" textRotation="0" wrapText="true" indent="0" shrinkToFit="false"/>
      <protection locked="true" hidden="false"/>
    </xf>
    <xf numFmtId="164" fontId="100" fillId="0" borderId="0" xfId="0" applyFont="true" applyBorder="false" applyAlignment="true" applyProtection="true">
      <alignment horizontal="left" vertical="center" textRotation="0" wrapText="false" indent="0" shrinkToFit="false"/>
      <protection locked="false" hidden="false"/>
    </xf>
    <xf numFmtId="164" fontId="149" fillId="0" borderId="0" xfId="0" applyFont="true" applyBorder="false" applyAlignment="true" applyProtection="false">
      <alignment horizontal="general" vertical="center" textRotation="0" wrapText="true" indent="0" shrinkToFit="false"/>
      <protection locked="true" hidden="false"/>
    </xf>
    <xf numFmtId="164" fontId="101" fillId="13" borderId="9" xfId="0" applyFont="true" applyBorder="true" applyAlignment="true" applyProtection="false">
      <alignment horizontal="general" vertical="center" textRotation="0" wrapText="false" indent="0" shrinkToFit="false"/>
      <protection locked="true" hidden="false"/>
    </xf>
    <xf numFmtId="164" fontId="97" fillId="13" borderId="0" xfId="0" applyFont="true" applyBorder="false" applyAlignment="true" applyProtection="true">
      <alignment horizontal="left" vertical="center" textRotation="0" wrapText="false" indent="0" shrinkToFit="false"/>
      <protection locked="false" hidden="false"/>
    </xf>
    <xf numFmtId="164" fontId="97" fillId="13" borderId="0" xfId="0" applyFont="true" applyBorder="false" applyAlignment="true" applyProtection="false">
      <alignment horizontal="general" vertical="center" textRotation="0" wrapText="false" indent="0" shrinkToFit="false"/>
      <protection locked="true" hidden="false"/>
    </xf>
    <xf numFmtId="164" fontId="117" fillId="13" borderId="0" xfId="0" applyFont="true" applyBorder="false" applyAlignment="true" applyProtection="false">
      <alignment horizontal="general" vertical="center" textRotation="0" wrapText="false" indent="0" shrinkToFit="false"/>
      <protection locked="true" hidden="false"/>
    </xf>
    <xf numFmtId="164" fontId="149" fillId="13" borderId="0" xfId="0" applyFont="true" applyBorder="false" applyAlignment="true" applyProtection="false">
      <alignment horizontal="general" vertical="center" textRotation="0" wrapText="false" indent="0" shrinkToFit="false"/>
      <protection locked="true" hidden="false"/>
    </xf>
    <xf numFmtId="181" fontId="0" fillId="13" borderId="0" xfId="0" applyFont="true" applyBorder="false" applyAlignment="true" applyProtection="false">
      <alignment horizontal="right" vertical="center" textRotation="0" wrapText="false" indent="0" shrinkToFit="false"/>
      <protection locked="true" hidden="false"/>
    </xf>
    <xf numFmtId="168" fontId="0" fillId="13" borderId="0" xfId="0" applyFont="true" applyBorder="false" applyAlignment="true" applyProtection="false">
      <alignment horizontal="center" vertical="center" textRotation="0" wrapText="false" indent="0" shrinkToFit="false"/>
      <protection locked="true" hidden="false"/>
    </xf>
    <xf numFmtId="181" fontId="149" fillId="13" borderId="0" xfId="0" applyFont="true" applyBorder="false" applyAlignment="true" applyProtection="false">
      <alignment horizontal="center" vertical="center" textRotation="0" wrapText="false" indent="0" shrinkToFit="false"/>
      <protection locked="true" hidden="false"/>
    </xf>
    <xf numFmtId="164" fontId="0" fillId="13" borderId="0" xfId="0" applyFont="true" applyBorder="false" applyAlignment="true" applyProtection="false">
      <alignment horizontal="center" vertical="center" textRotation="0" wrapText="false" indent="0" shrinkToFit="false"/>
      <protection locked="true" hidden="false"/>
    </xf>
    <xf numFmtId="164" fontId="0" fillId="13" borderId="0" xfId="0" applyFont="true" applyBorder="false" applyAlignment="true" applyProtection="false">
      <alignment horizontal="general" vertical="center" textRotation="0" wrapText="false" indent="0" shrinkToFit="false"/>
      <protection locked="true" hidden="false"/>
    </xf>
    <xf numFmtId="172" fontId="149" fillId="13" borderId="0" xfId="15" applyFont="true" applyBorder="true" applyAlignment="true" applyProtection="true">
      <alignment horizontal="center" vertical="center" textRotation="0" wrapText="false" indent="0" shrinkToFit="false"/>
      <protection locked="true" hidden="false"/>
    </xf>
    <xf numFmtId="164" fontId="149" fillId="13" borderId="0" xfId="0" applyFont="true" applyBorder="false" applyAlignment="true" applyProtection="false">
      <alignment horizontal="center" vertical="center" textRotation="0" wrapText="false" indent="0" shrinkToFit="false"/>
      <protection locked="true" hidden="false"/>
    </xf>
    <xf numFmtId="164" fontId="35" fillId="13" borderId="0" xfId="0" applyFont="true" applyBorder="false" applyAlignment="true" applyProtection="false">
      <alignment horizontal="center" vertical="center" textRotation="0" wrapText="false" indent="0" shrinkToFit="false"/>
      <protection locked="true" hidden="false"/>
    </xf>
    <xf numFmtId="172" fontId="128" fillId="13" borderId="0" xfId="15" applyFont="true" applyBorder="true" applyAlignment="true" applyProtection="true">
      <alignment horizontal="right" vertical="center" textRotation="0" wrapText="false" indent="0" shrinkToFit="false"/>
      <protection locked="true" hidden="false"/>
    </xf>
    <xf numFmtId="172" fontId="160" fillId="13" borderId="0" xfId="0" applyFont="true" applyBorder="false" applyAlignment="true" applyProtection="false">
      <alignment horizontal="right" vertical="center" textRotation="0" wrapText="false" indent="0" shrinkToFit="false"/>
      <protection locked="true" hidden="false"/>
    </xf>
    <xf numFmtId="172" fontId="160" fillId="13" borderId="0" xfId="36" applyFont="true" applyBorder="true" applyAlignment="true" applyProtection="true">
      <alignment horizontal="general" vertical="center" textRotation="0" wrapText="false" indent="0" shrinkToFit="false"/>
      <protection locked="true" hidden="false"/>
    </xf>
    <xf numFmtId="172" fontId="129" fillId="13" borderId="0" xfId="36" applyFont="true" applyBorder="true" applyAlignment="true" applyProtection="true">
      <alignment horizontal="right" vertical="center" textRotation="0" wrapText="false" indent="0" shrinkToFit="false"/>
      <protection locked="true" hidden="false"/>
    </xf>
    <xf numFmtId="179" fontId="100" fillId="13" borderId="0" xfId="0" applyFont="true" applyBorder="false" applyAlignment="true" applyProtection="false">
      <alignment horizontal="general" vertical="center" textRotation="0" wrapText="false" indent="0" shrinkToFit="false"/>
      <protection locked="true" hidden="false"/>
    </xf>
    <xf numFmtId="164" fontId="99" fillId="13" borderId="0" xfId="0" applyFont="true" applyBorder="false" applyAlignment="true" applyProtection="false">
      <alignment horizontal="general" vertical="center" textRotation="0" wrapText="false" indent="0" shrinkToFit="false"/>
      <protection locked="true" hidden="false"/>
    </xf>
    <xf numFmtId="172" fontId="129" fillId="13" borderId="0" xfId="15" applyFont="true" applyBorder="true" applyAlignment="true" applyProtection="true">
      <alignment horizontal="center" vertical="center" textRotation="0" wrapText="false" indent="0" shrinkToFit="false"/>
      <protection locked="true" hidden="false"/>
    </xf>
    <xf numFmtId="164" fontId="0" fillId="13" borderId="0" xfId="0" applyFont="true" applyBorder="false" applyAlignment="true" applyProtection="false">
      <alignment horizontal="left" vertical="center" textRotation="0" wrapText="false" indent="0" shrinkToFit="false"/>
      <protection locked="true" hidden="false"/>
    </xf>
    <xf numFmtId="164" fontId="149" fillId="13" borderId="9" xfId="0" applyFont="true" applyBorder="true" applyAlignment="true" applyProtection="false">
      <alignment horizontal="center" vertical="center" textRotation="0" wrapText="false" indent="0" shrinkToFit="false"/>
      <protection locked="true" hidden="false"/>
    </xf>
    <xf numFmtId="164" fontId="97" fillId="13" borderId="0" xfId="0" applyFont="true" applyBorder="false" applyAlignment="true" applyProtection="false">
      <alignment horizontal="center" vertical="center" textRotation="0" wrapText="false" indent="0" shrinkToFit="false"/>
      <protection locked="true" hidden="false"/>
    </xf>
    <xf numFmtId="181" fontId="101" fillId="13" borderId="0" xfId="0" applyFont="true" applyBorder="false" applyAlignment="true" applyProtection="false">
      <alignment horizontal="right" vertical="center" textRotation="0" wrapText="false" indent="0" shrinkToFit="false"/>
      <protection locked="true" hidden="false"/>
    </xf>
    <xf numFmtId="168" fontId="101" fillId="13" borderId="0" xfId="0" applyFont="true" applyBorder="false" applyAlignment="true" applyProtection="false">
      <alignment horizontal="center" vertical="center" textRotation="0" wrapText="false" indent="0" shrinkToFit="false"/>
      <protection locked="true" hidden="false"/>
    </xf>
    <xf numFmtId="181" fontId="97" fillId="4" borderId="0" xfId="0" applyFont="true" applyBorder="false" applyAlignment="true" applyProtection="false">
      <alignment horizontal="center" vertical="center" textRotation="0" wrapText="false" indent="0" shrinkToFit="false"/>
      <protection locked="true" hidden="false"/>
    </xf>
    <xf numFmtId="181" fontId="193" fillId="13" borderId="0" xfId="0" applyFont="true" applyBorder="false" applyAlignment="true" applyProtection="false">
      <alignment horizontal="center" vertical="center" textRotation="0" wrapText="false" indent="0" shrinkToFit="false"/>
      <protection locked="true" hidden="false"/>
    </xf>
    <xf numFmtId="181" fontId="101" fillId="13" borderId="0" xfId="0" applyFont="true" applyBorder="false" applyAlignment="true" applyProtection="false">
      <alignment horizontal="center" vertical="center" textRotation="0" wrapText="false" indent="0" shrinkToFit="false"/>
      <protection locked="true" hidden="false"/>
    </xf>
    <xf numFmtId="164" fontId="101" fillId="13" borderId="0" xfId="0" applyFont="true" applyBorder="false" applyAlignment="true" applyProtection="false">
      <alignment horizontal="general" vertical="center" textRotation="0" wrapText="false" indent="0" shrinkToFit="false"/>
      <protection locked="true" hidden="false"/>
    </xf>
    <xf numFmtId="172" fontId="97" fillId="13" borderId="0" xfId="15" applyFont="true" applyBorder="true" applyAlignment="true" applyProtection="true">
      <alignment horizontal="center" vertical="center" textRotation="0" wrapText="false" indent="0" shrinkToFit="false"/>
      <protection locked="true" hidden="false"/>
    </xf>
    <xf numFmtId="172" fontId="100" fillId="13" borderId="0" xfId="15" applyFont="true" applyBorder="true" applyAlignment="true" applyProtection="true">
      <alignment horizontal="right" vertical="center" textRotation="0" wrapText="false" indent="0" shrinkToFit="false"/>
      <protection locked="true" hidden="false"/>
    </xf>
    <xf numFmtId="172" fontId="135" fillId="13" borderId="0" xfId="0" applyFont="true" applyBorder="false" applyAlignment="true" applyProtection="false">
      <alignment horizontal="right" vertical="center" textRotation="0" wrapText="false" indent="0" shrinkToFit="false"/>
      <protection locked="true" hidden="false"/>
    </xf>
    <xf numFmtId="172" fontId="135" fillId="13" borderId="0" xfId="0" applyFont="true" applyBorder="false" applyAlignment="true" applyProtection="false">
      <alignment horizontal="general" vertical="center" textRotation="0" wrapText="false" indent="0" shrinkToFit="false"/>
      <protection locked="true" hidden="false"/>
    </xf>
    <xf numFmtId="172" fontId="100" fillId="4" borderId="0" xfId="36" applyFont="true" applyBorder="true" applyAlignment="true" applyProtection="true">
      <alignment horizontal="right" vertical="center" textRotation="0" wrapText="false" indent="0" shrinkToFit="false"/>
      <protection locked="true" hidden="false"/>
    </xf>
    <xf numFmtId="179" fontId="100" fillId="4" borderId="0" xfId="0" applyFont="true" applyBorder="false" applyAlignment="true" applyProtection="false">
      <alignment horizontal="center" vertical="center" textRotation="0" wrapText="false" indent="0" shrinkToFit="false"/>
      <protection locked="true" hidden="false"/>
    </xf>
    <xf numFmtId="217" fontId="129" fillId="13" borderId="0" xfId="36" applyFont="true" applyBorder="true" applyAlignment="true" applyProtection="true">
      <alignment horizontal="right" vertical="center" textRotation="0" wrapText="false" indent="0" shrinkToFit="false"/>
      <protection locked="true" hidden="false"/>
    </xf>
    <xf numFmtId="164" fontId="97" fillId="13" borderId="0" xfId="0" applyFont="true" applyBorder="false" applyAlignment="true" applyProtection="true">
      <alignment horizontal="center" vertical="center" textRotation="0" wrapText="false" indent="0" shrinkToFit="false"/>
      <protection locked="false" hidden="false"/>
    </xf>
    <xf numFmtId="210" fontId="100" fillId="13" borderId="0" xfId="15" applyFont="true" applyBorder="true" applyAlignment="true" applyProtection="true">
      <alignment horizontal="center" vertical="center" textRotation="0" wrapText="false" indent="0" shrinkToFit="false"/>
      <protection locked="true" hidden="false"/>
    </xf>
    <xf numFmtId="164" fontId="101" fillId="13" borderId="0" xfId="0" applyFont="true" applyBorder="false" applyAlignment="true" applyProtection="false">
      <alignment horizontal="right" vertical="center" textRotation="0" wrapText="false" indent="0" shrinkToFit="false"/>
      <protection locked="true" hidden="false"/>
    </xf>
    <xf numFmtId="164" fontId="101" fillId="13" borderId="9" xfId="0" applyFont="true" applyBorder="true" applyAlignment="true" applyProtection="false">
      <alignment horizontal="center" vertical="center" textRotation="0" wrapText="false" indent="0" shrinkToFit="false"/>
      <protection locked="true" hidden="false"/>
    </xf>
    <xf numFmtId="181" fontId="97" fillId="13" borderId="0" xfId="0" applyFont="true" applyBorder="false" applyAlignment="true" applyProtection="false">
      <alignment horizontal="center" vertical="center" textRotation="0" wrapText="false" indent="0" shrinkToFit="false"/>
      <protection locked="true" hidden="false"/>
    </xf>
    <xf numFmtId="172" fontId="97" fillId="13" borderId="0" xfId="15" applyFont="true" applyBorder="true" applyAlignment="true" applyProtection="true">
      <alignment horizontal="right" vertical="center" textRotation="0" wrapText="false" indent="0" shrinkToFit="false"/>
      <protection locked="true" hidden="false"/>
    </xf>
    <xf numFmtId="172" fontId="97" fillId="13" borderId="0" xfId="0" applyFont="true" applyBorder="false" applyAlignment="true" applyProtection="false">
      <alignment horizontal="right" vertical="center" textRotation="0" wrapText="false" indent="0" shrinkToFit="false"/>
      <protection locked="true" hidden="false"/>
    </xf>
    <xf numFmtId="172" fontId="97" fillId="13" borderId="0" xfId="0" applyFont="true" applyBorder="false" applyAlignment="true" applyProtection="false">
      <alignment horizontal="general" vertical="center" textRotation="0" wrapText="false" indent="0" shrinkToFit="false"/>
      <protection locked="true" hidden="false"/>
    </xf>
    <xf numFmtId="172" fontId="100" fillId="13" borderId="0" xfId="36" applyFont="true" applyBorder="true" applyAlignment="true" applyProtection="true">
      <alignment horizontal="right" vertical="center" textRotation="0" wrapText="false" indent="0" shrinkToFit="false"/>
      <protection locked="true" hidden="false"/>
    </xf>
    <xf numFmtId="164" fontId="100" fillId="13" borderId="0" xfId="0" applyFont="true" applyBorder="false" applyAlignment="true" applyProtection="false">
      <alignment horizontal="general" vertical="center" textRotation="0" wrapText="false" indent="0" shrinkToFit="false"/>
      <protection locked="true" hidden="false"/>
    </xf>
    <xf numFmtId="179" fontId="100" fillId="13" borderId="0" xfId="0" applyFont="true" applyBorder="false" applyAlignment="true" applyProtection="false">
      <alignment horizontal="center" vertical="center" textRotation="0" wrapText="false" indent="0" shrinkToFit="false"/>
      <protection locked="true" hidden="false"/>
    </xf>
    <xf numFmtId="172" fontId="0" fillId="13" borderId="0" xfId="36" applyFont="true" applyBorder="true" applyAlignment="true" applyProtection="true">
      <alignment horizontal="right" vertical="center" textRotation="0" wrapText="false" indent="0" shrinkToFit="false"/>
      <protection locked="true" hidden="false"/>
    </xf>
    <xf numFmtId="217" fontId="0" fillId="13" borderId="0" xfId="36" applyFont="true" applyBorder="true" applyAlignment="true" applyProtection="true">
      <alignment horizontal="right" vertical="center" textRotation="0" wrapText="false" indent="0" shrinkToFit="false"/>
      <protection locked="true" hidden="false"/>
    </xf>
    <xf numFmtId="210" fontId="97" fillId="13" borderId="0" xfId="15" applyFont="true" applyBorder="true" applyAlignment="true" applyProtection="true">
      <alignment horizontal="center" vertical="center" textRotation="0" wrapText="false" indent="0" shrinkToFit="false"/>
      <protection locked="true" hidden="false"/>
    </xf>
    <xf numFmtId="164" fontId="97" fillId="13" borderId="8" xfId="0" applyFont="true" applyBorder="true" applyAlignment="true" applyProtection="false">
      <alignment horizontal="center" vertical="center" textRotation="0" wrapText="false" indent="0" shrinkToFit="false"/>
      <protection locked="true" hidden="false"/>
    </xf>
    <xf numFmtId="180" fontId="97" fillId="13" borderId="0" xfId="0" applyFont="true" applyBorder="false" applyAlignment="true" applyProtection="false">
      <alignment horizontal="right" vertical="center" textRotation="0" wrapText="false" indent="0" shrinkToFit="false"/>
      <protection locked="true" hidden="false"/>
    </xf>
    <xf numFmtId="172" fontId="135" fillId="13" borderId="0" xfId="0" applyFont="true" applyBorder="false" applyAlignment="true" applyProtection="false">
      <alignment horizontal="center" vertical="center" textRotation="0" wrapText="false" indent="0" shrinkToFit="false"/>
      <protection locked="true" hidden="false"/>
    </xf>
    <xf numFmtId="164" fontId="102" fillId="13" borderId="0" xfId="0" applyFont="true" applyBorder="false" applyAlignment="true" applyProtection="false">
      <alignment horizontal="center" vertical="center" textRotation="0" wrapText="false" indent="0" shrinkToFit="false"/>
      <protection locked="true" hidden="false"/>
    </xf>
    <xf numFmtId="172" fontId="100" fillId="13" borderId="0" xfId="36" applyFont="true" applyBorder="true" applyAlignment="true" applyProtection="true">
      <alignment horizontal="center" vertical="center" textRotation="0" wrapText="false" indent="0" shrinkToFit="false"/>
      <protection locked="true" hidden="false"/>
    </xf>
    <xf numFmtId="164" fontId="97" fillId="13" borderId="1" xfId="0" applyFont="true" applyBorder="true" applyAlignment="true" applyProtection="true">
      <alignment horizontal="left" vertical="center" textRotation="0" wrapText="false" indent="0" shrinkToFit="false"/>
      <protection locked="false" hidden="false"/>
    </xf>
    <xf numFmtId="164" fontId="97" fillId="13" borderId="1" xfId="0" applyFont="true" applyBorder="true" applyAlignment="true" applyProtection="false">
      <alignment horizontal="general" vertical="center" textRotation="0" wrapText="false" indent="0" shrinkToFit="false"/>
      <protection locked="true" hidden="false"/>
    </xf>
    <xf numFmtId="164" fontId="117" fillId="13" borderId="1" xfId="0" applyFont="true" applyBorder="true" applyAlignment="true" applyProtection="false">
      <alignment horizontal="general" vertical="center" textRotation="0" wrapText="false" indent="0" shrinkToFit="false"/>
      <protection locked="true" hidden="false"/>
    </xf>
    <xf numFmtId="164" fontId="97" fillId="13" borderId="1" xfId="0" applyFont="true" applyBorder="true" applyAlignment="true" applyProtection="false">
      <alignment horizontal="center" vertical="center" textRotation="0" wrapText="false" indent="0" shrinkToFit="false"/>
      <protection locked="true" hidden="false"/>
    </xf>
    <xf numFmtId="181" fontId="97" fillId="13" borderId="1" xfId="0" applyFont="true" applyBorder="true" applyAlignment="true" applyProtection="false">
      <alignment horizontal="center" vertical="center" textRotation="0" wrapText="false" indent="0" shrinkToFit="false"/>
      <protection locked="true" hidden="false"/>
    </xf>
    <xf numFmtId="180" fontId="97" fillId="13" borderId="1" xfId="0" applyFont="true" applyBorder="true" applyAlignment="true" applyProtection="false">
      <alignment horizontal="right" vertical="center" textRotation="0" wrapText="false" indent="0" shrinkToFit="false"/>
      <protection locked="true" hidden="false"/>
    </xf>
    <xf numFmtId="168" fontId="101" fillId="13" borderId="1" xfId="0" applyFont="true" applyBorder="true" applyAlignment="true" applyProtection="false">
      <alignment horizontal="center" vertical="center" textRotation="0" wrapText="false" indent="0" shrinkToFit="false"/>
      <protection locked="true" hidden="false"/>
    </xf>
    <xf numFmtId="181" fontId="193" fillId="13" borderId="1" xfId="0" applyFont="true" applyBorder="true" applyAlignment="true" applyProtection="false">
      <alignment horizontal="center" vertical="center" textRotation="0" wrapText="false" indent="0" shrinkToFit="false"/>
      <protection locked="true" hidden="false"/>
    </xf>
    <xf numFmtId="164" fontId="101" fillId="13" borderId="1" xfId="0" applyFont="true" applyBorder="true" applyAlignment="true" applyProtection="false">
      <alignment horizontal="general" vertical="center" textRotation="0" wrapText="false" indent="0" shrinkToFit="false"/>
      <protection locked="true" hidden="false"/>
    </xf>
    <xf numFmtId="172" fontId="97" fillId="13" borderId="1" xfId="15" applyFont="true" applyBorder="true" applyAlignment="true" applyProtection="true">
      <alignment horizontal="center" vertical="center" textRotation="0" wrapText="false" indent="0" shrinkToFit="false"/>
      <protection locked="true" hidden="false"/>
    </xf>
    <xf numFmtId="172" fontId="100" fillId="13" borderId="1" xfId="15" applyFont="true" applyBorder="true" applyAlignment="true" applyProtection="true">
      <alignment horizontal="right" vertical="center" textRotation="0" wrapText="false" indent="0" shrinkToFit="false"/>
      <protection locked="true" hidden="false"/>
    </xf>
    <xf numFmtId="172" fontId="135" fillId="13" borderId="1" xfId="0" applyFont="true" applyBorder="true" applyAlignment="true" applyProtection="false">
      <alignment horizontal="right" vertical="center" textRotation="0" wrapText="false" indent="0" shrinkToFit="false"/>
      <protection locked="true" hidden="false"/>
    </xf>
    <xf numFmtId="172" fontId="161" fillId="13" borderId="1" xfId="0" applyFont="true" applyBorder="true" applyAlignment="true" applyProtection="false">
      <alignment horizontal="general" vertical="center" textRotation="0" wrapText="false" indent="0" shrinkToFit="false"/>
      <protection locked="true" hidden="false"/>
    </xf>
    <xf numFmtId="172" fontId="135" fillId="13" borderId="1" xfId="0" applyFont="true" applyBorder="true" applyAlignment="true" applyProtection="false">
      <alignment horizontal="center" vertical="center" textRotation="0" wrapText="false" indent="0" shrinkToFit="false"/>
      <protection locked="true" hidden="false"/>
    </xf>
    <xf numFmtId="164" fontId="102" fillId="13" borderId="1" xfId="0" applyFont="true" applyBorder="true" applyAlignment="true" applyProtection="false">
      <alignment horizontal="center" vertical="center" textRotation="0" wrapText="false" indent="0" shrinkToFit="false"/>
      <protection locked="true" hidden="false"/>
    </xf>
    <xf numFmtId="172" fontId="100" fillId="13" borderId="1" xfId="36" applyFont="true" applyBorder="true" applyAlignment="true" applyProtection="true">
      <alignment horizontal="center" vertical="center" textRotation="0" wrapText="false" indent="0" shrinkToFit="false"/>
      <protection locked="true" hidden="false"/>
    </xf>
    <xf numFmtId="179" fontId="99" fillId="13" borderId="1" xfId="0" applyFont="true" applyBorder="true" applyAlignment="true" applyProtection="false">
      <alignment horizontal="general" vertical="center" textRotation="0" wrapText="false" indent="0" shrinkToFit="false"/>
      <protection locked="true" hidden="false"/>
    </xf>
    <xf numFmtId="164" fontId="100" fillId="13" borderId="1" xfId="0" applyFont="true" applyBorder="true" applyAlignment="true" applyProtection="false">
      <alignment horizontal="general" vertical="center" textRotation="0" wrapText="false" indent="0" shrinkToFit="false"/>
      <protection locked="true" hidden="false"/>
    </xf>
    <xf numFmtId="179" fontId="100" fillId="13" borderId="1" xfId="0" applyFont="true" applyBorder="true" applyAlignment="true" applyProtection="false">
      <alignment horizontal="center" vertical="center" textRotation="0" wrapText="false" indent="0" shrinkToFit="false"/>
      <protection locked="true" hidden="false"/>
    </xf>
    <xf numFmtId="172" fontId="129" fillId="13" borderId="1" xfId="36" applyFont="true" applyBorder="true" applyAlignment="true" applyProtection="true">
      <alignment horizontal="right" vertical="center" textRotation="0" wrapText="false" indent="0" shrinkToFit="false"/>
      <protection locked="true" hidden="false"/>
    </xf>
    <xf numFmtId="217" fontId="129" fillId="13" borderId="1" xfId="36" applyFont="true" applyBorder="true" applyAlignment="true" applyProtection="true">
      <alignment horizontal="right" vertical="center" textRotation="0" wrapText="false" indent="0" shrinkToFit="false"/>
      <protection locked="true" hidden="false"/>
    </xf>
    <xf numFmtId="181" fontId="0" fillId="13" borderId="1" xfId="0" applyFont="true" applyBorder="true" applyAlignment="true" applyProtection="false">
      <alignment horizontal="right" vertical="center" textRotation="0" wrapText="false" indent="0" shrinkToFit="false"/>
      <protection locked="true" hidden="false"/>
    </xf>
    <xf numFmtId="164" fontId="97" fillId="13" borderId="1" xfId="0" applyFont="true" applyBorder="true" applyAlignment="true" applyProtection="true">
      <alignment horizontal="center" vertical="center" textRotation="0" wrapText="false" indent="0" shrinkToFit="false"/>
      <protection locked="false" hidden="false"/>
    </xf>
    <xf numFmtId="210" fontId="97" fillId="13" borderId="1" xfId="15" applyFont="true" applyBorder="true" applyAlignment="true" applyProtection="true">
      <alignment horizontal="center" vertical="center" textRotation="0" wrapText="false" indent="0" shrinkToFit="false"/>
      <protection locked="true" hidden="false"/>
    </xf>
    <xf numFmtId="164" fontId="101" fillId="13" borderId="1" xfId="0" applyFont="true" applyBorder="true" applyAlignment="true" applyProtection="false">
      <alignment horizontal="right" vertical="center" textRotation="0" wrapText="false" indent="0" shrinkToFit="false"/>
      <protection locked="true" hidden="false"/>
    </xf>
    <xf numFmtId="164" fontId="194" fillId="13" borderId="0" xfId="0" applyFont="true" applyBorder="false" applyAlignment="true" applyProtection="true">
      <alignment horizontal="left" vertical="center" textRotation="0" wrapText="false" indent="0" shrinkToFit="false"/>
      <protection locked="false" hidden="false"/>
    </xf>
    <xf numFmtId="172" fontId="0" fillId="13" borderId="0" xfId="15" applyFont="true" applyBorder="true" applyAlignment="true" applyProtection="true">
      <alignment horizontal="general" vertical="center" textRotation="0" wrapText="false" indent="0" shrinkToFit="false"/>
      <protection locked="true" hidden="false"/>
    </xf>
    <xf numFmtId="172" fontId="35" fillId="13" borderId="0" xfId="0" applyFont="true" applyBorder="false" applyAlignment="true" applyProtection="false">
      <alignment horizontal="general" vertical="center" textRotation="0" wrapText="false" indent="0" shrinkToFit="false"/>
      <protection locked="true" hidden="false"/>
    </xf>
    <xf numFmtId="172" fontId="0" fillId="13" borderId="0" xfId="36" applyFont="true" applyBorder="true" applyAlignment="true" applyProtection="true">
      <alignment horizontal="center" vertical="center" textRotation="0" wrapText="false" indent="0" shrinkToFit="false"/>
      <protection locked="true" hidden="false"/>
    </xf>
    <xf numFmtId="164" fontId="0" fillId="13" borderId="0" xfId="0" applyFont="true" applyBorder="false" applyAlignment="true" applyProtection="false">
      <alignment horizontal="right" vertical="center" textRotation="0" wrapText="false" indent="0" shrinkToFit="false"/>
      <protection locked="true" hidden="false"/>
    </xf>
    <xf numFmtId="164" fontId="149" fillId="13" borderId="8" xfId="0" applyFont="true" applyBorder="true" applyAlignment="true" applyProtection="false">
      <alignment horizontal="center" vertical="center" textRotation="0" wrapText="false" indent="0" shrinkToFit="false"/>
      <protection locked="true" hidden="false"/>
    </xf>
    <xf numFmtId="164" fontId="0" fillId="13" borderId="1" xfId="0" applyFont="true" applyBorder="true" applyAlignment="true" applyProtection="false">
      <alignment horizontal="general" vertical="center" textRotation="0" wrapText="false" indent="0" shrinkToFit="false"/>
      <protection locked="true" hidden="false"/>
    </xf>
    <xf numFmtId="168" fontId="0" fillId="13" borderId="1" xfId="0" applyFont="true" applyBorder="true" applyAlignment="true" applyProtection="false">
      <alignment horizontal="center" vertical="center" textRotation="0" wrapText="false" indent="0" shrinkToFit="false"/>
      <protection locked="true" hidden="false"/>
    </xf>
    <xf numFmtId="181" fontId="0" fillId="13" borderId="1" xfId="0" applyFont="true" applyBorder="true" applyAlignment="true" applyProtection="false">
      <alignment horizontal="center" vertical="center" textRotation="0" wrapText="false" indent="0" shrinkToFit="false"/>
      <protection locked="true" hidden="false"/>
    </xf>
    <xf numFmtId="164" fontId="0" fillId="13" borderId="1" xfId="0" applyFont="true" applyBorder="true" applyAlignment="true" applyProtection="false">
      <alignment horizontal="center" vertical="center" textRotation="0" wrapText="false" indent="0" shrinkToFit="false"/>
      <protection locked="true" hidden="false"/>
    </xf>
    <xf numFmtId="172" fontId="0" fillId="13" borderId="1" xfId="15" applyFont="true" applyBorder="true" applyAlignment="true" applyProtection="true">
      <alignment horizontal="general" vertical="center" textRotation="0" wrapText="false" indent="0" shrinkToFit="false"/>
      <protection locked="true" hidden="false"/>
    </xf>
    <xf numFmtId="172" fontId="35" fillId="13" borderId="1" xfId="0" applyFont="true" applyBorder="true" applyAlignment="true" applyProtection="false">
      <alignment horizontal="general" vertical="center" textRotation="0" wrapText="false" indent="0" shrinkToFit="false"/>
      <protection locked="true" hidden="false"/>
    </xf>
    <xf numFmtId="172" fontId="0" fillId="13" borderId="1" xfId="15" applyFont="true" applyBorder="true" applyAlignment="true" applyProtection="true">
      <alignment horizontal="center" vertical="center" textRotation="0" wrapText="false" indent="0" shrinkToFit="false"/>
      <protection locked="true" hidden="false"/>
    </xf>
    <xf numFmtId="172" fontId="0" fillId="13" borderId="1" xfId="36" applyFont="true" applyBorder="true" applyAlignment="true" applyProtection="true">
      <alignment horizontal="center" vertical="center" textRotation="0" wrapText="false" indent="0" shrinkToFit="false"/>
      <protection locked="true" hidden="false"/>
    </xf>
    <xf numFmtId="164" fontId="0" fillId="13" borderId="1" xfId="0" applyFont="true" applyBorder="true" applyAlignment="true" applyProtection="false">
      <alignment horizontal="right" vertical="center" textRotation="0" wrapText="false" indent="0" shrinkToFit="false"/>
      <protection locked="true" hidden="false"/>
    </xf>
    <xf numFmtId="164" fontId="149" fillId="13" borderId="3" xfId="0" applyFont="true" applyBorder="true" applyAlignment="true" applyProtection="false">
      <alignment horizontal="center" vertical="center" textRotation="0" wrapText="true" indent="0" shrinkToFit="false"/>
      <protection locked="true" hidden="false"/>
    </xf>
    <xf numFmtId="164" fontId="97" fillId="13" borderId="126" xfId="0" applyFont="true" applyBorder="true" applyAlignment="true" applyProtection="true">
      <alignment horizontal="left" vertical="center" textRotation="0" wrapText="false" indent="0" shrinkToFit="false"/>
      <protection locked="false" hidden="false"/>
    </xf>
    <xf numFmtId="164" fontId="97" fillId="13" borderId="129" xfId="0" applyFont="true" applyBorder="true" applyAlignment="true" applyProtection="true">
      <alignment horizontal="left" vertical="center" textRotation="0" wrapText="false" indent="0" shrinkToFit="false"/>
      <protection locked="false" hidden="false"/>
    </xf>
    <xf numFmtId="164" fontId="195" fillId="13" borderId="6" xfId="0" applyFont="true" applyBorder="true" applyAlignment="true" applyProtection="true">
      <alignment horizontal="center" vertical="center" textRotation="0" wrapText="false" indent="0" shrinkToFit="false"/>
      <protection locked="false" hidden="false"/>
    </xf>
    <xf numFmtId="164" fontId="100" fillId="13" borderId="0" xfId="0" applyFont="true" applyBorder="false" applyAlignment="true" applyProtection="true">
      <alignment horizontal="center" vertical="center" textRotation="0" wrapText="false" indent="0" shrinkToFit="false"/>
      <protection locked="false" hidden="false"/>
    </xf>
    <xf numFmtId="164" fontId="89" fillId="13" borderId="0" xfId="0" applyFont="true" applyBorder="false" applyAlignment="true" applyProtection="false">
      <alignment horizontal="general" vertical="center" textRotation="0" wrapText="false" indent="0" shrinkToFit="false"/>
      <protection locked="true" hidden="false"/>
    </xf>
    <xf numFmtId="181" fontId="100" fillId="13" borderId="0" xfId="0" applyFont="true" applyBorder="false" applyAlignment="true" applyProtection="false">
      <alignment horizontal="center" vertical="center" textRotation="0" wrapText="false" indent="0" shrinkToFit="false"/>
      <protection locked="true" hidden="false"/>
    </xf>
    <xf numFmtId="202" fontId="101" fillId="13" borderId="0" xfId="0" applyFont="true" applyBorder="false" applyAlignment="true" applyProtection="false">
      <alignment horizontal="center" vertical="center" textRotation="0" wrapText="false" indent="0" shrinkToFit="false"/>
      <protection locked="true" hidden="false"/>
    </xf>
    <xf numFmtId="181" fontId="101" fillId="13" borderId="0" xfId="0" applyFont="true" applyBorder="false" applyAlignment="true" applyProtection="false">
      <alignment horizontal="general" vertical="center" textRotation="0" wrapText="false" indent="0" shrinkToFit="false"/>
      <protection locked="true" hidden="false"/>
    </xf>
    <xf numFmtId="181" fontId="193" fillId="13" borderId="0" xfId="0" applyFont="true" applyBorder="false" applyAlignment="true" applyProtection="false">
      <alignment horizontal="general" vertical="center" textRotation="0" wrapText="false" indent="0" shrinkToFit="false"/>
      <protection locked="true" hidden="false"/>
    </xf>
    <xf numFmtId="168" fontId="97" fillId="13" borderId="0" xfId="0" applyFont="true" applyBorder="false" applyAlignment="true" applyProtection="false">
      <alignment horizontal="general" vertical="center" textRotation="0" wrapText="false" indent="0" shrinkToFit="false"/>
      <protection locked="true" hidden="false"/>
    </xf>
    <xf numFmtId="196" fontId="97" fillId="13" borderId="0" xfId="0" applyFont="true" applyBorder="false" applyAlignment="true" applyProtection="false">
      <alignment horizontal="general" vertical="center" textRotation="0" wrapText="false" indent="0" shrinkToFit="false"/>
      <protection locked="true" hidden="false"/>
    </xf>
    <xf numFmtId="164" fontId="97" fillId="13" borderId="278" xfId="0" applyFont="true" applyBorder="true" applyAlignment="true" applyProtection="false">
      <alignment horizontal="left" vertical="center" textRotation="0" wrapText="true" indent="0" shrinkToFit="false"/>
      <protection locked="true" hidden="false"/>
    </xf>
    <xf numFmtId="164" fontId="58" fillId="13" borderId="0" xfId="0" applyFont="true" applyBorder="false" applyAlignment="true" applyProtection="false">
      <alignment horizontal="general" vertical="center" textRotation="0" wrapText="false" indent="0" shrinkToFit="false"/>
      <protection locked="true" hidden="false"/>
    </xf>
    <xf numFmtId="181" fontId="100" fillId="13" borderId="1" xfId="0" applyFont="true" applyBorder="true" applyAlignment="true" applyProtection="false">
      <alignment horizontal="center" vertical="center" textRotation="0" wrapText="false" indent="0" shrinkToFit="false"/>
      <protection locked="true" hidden="false"/>
    </xf>
    <xf numFmtId="202" fontId="97" fillId="13" borderId="1" xfId="0" applyFont="true" applyBorder="true" applyAlignment="true" applyProtection="false">
      <alignment horizontal="center" vertical="center" textRotation="0" wrapText="false" indent="0" shrinkToFit="false"/>
      <protection locked="true" hidden="false"/>
    </xf>
    <xf numFmtId="181" fontId="101" fillId="13" borderId="1" xfId="0" applyFont="true" applyBorder="true" applyAlignment="true" applyProtection="false">
      <alignment horizontal="general" vertical="center" textRotation="0" wrapText="false" indent="0" shrinkToFit="false"/>
      <protection locked="true" hidden="false"/>
    </xf>
    <xf numFmtId="181" fontId="193" fillId="13" borderId="1" xfId="0" applyFont="true" applyBorder="true" applyAlignment="true" applyProtection="false">
      <alignment horizontal="general" vertical="center" textRotation="0" wrapText="false" indent="0" shrinkToFit="false"/>
      <protection locked="true" hidden="false"/>
    </xf>
    <xf numFmtId="181" fontId="101" fillId="13" borderId="1" xfId="0" applyFont="true" applyBorder="true" applyAlignment="true" applyProtection="false">
      <alignment horizontal="right" vertical="center" textRotation="0" wrapText="false" indent="0" shrinkToFit="false"/>
      <protection locked="true" hidden="false"/>
    </xf>
    <xf numFmtId="168" fontId="101" fillId="13" borderId="1" xfId="0" applyFont="true" applyBorder="true" applyAlignment="true" applyProtection="false">
      <alignment horizontal="general" vertical="center" textRotation="0" wrapText="false" indent="0" shrinkToFit="false"/>
      <protection locked="true" hidden="false"/>
    </xf>
    <xf numFmtId="164" fontId="58" fillId="13" borderId="1" xfId="0" applyFont="true" applyBorder="true" applyAlignment="true" applyProtection="false">
      <alignment horizontal="general" vertical="center" textRotation="0" wrapText="false" indent="0" shrinkToFit="false"/>
      <protection locked="true" hidden="false"/>
    </xf>
    <xf numFmtId="164" fontId="195" fillId="13" borderId="9" xfId="0" applyFont="true" applyBorder="true" applyAlignment="true" applyProtection="true">
      <alignment horizontal="center" vertical="center" textRotation="0" wrapText="false" indent="0" shrinkToFit="false"/>
      <protection locked="false" hidden="false"/>
    </xf>
    <xf numFmtId="172" fontId="97" fillId="13" borderId="0" xfId="36" applyFont="true" applyBorder="true" applyAlignment="true" applyProtection="true">
      <alignment horizontal="general" vertical="center" textRotation="0" wrapText="false" indent="0" shrinkToFit="false"/>
      <protection locked="true" hidden="false"/>
    </xf>
    <xf numFmtId="164" fontId="0" fillId="13" borderId="0" xfId="0" applyFont="false" applyBorder="false" applyAlignment="true" applyProtection="false">
      <alignment horizontal="general" vertical="center" textRotation="0" wrapText="false" indent="0" shrinkToFit="false"/>
      <protection locked="true" hidden="false"/>
    </xf>
    <xf numFmtId="181" fontId="0" fillId="13" borderId="0" xfId="0" applyFont="true" applyBorder="false" applyAlignment="true" applyProtection="false">
      <alignment horizontal="general" vertical="center" textRotation="0" wrapText="false" indent="0" shrinkToFit="false"/>
      <protection locked="true" hidden="false"/>
    </xf>
    <xf numFmtId="181" fontId="7" fillId="13" borderId="0" xfId="0" applyFont="true" applyBorder="false" applyAlignment="true" applyProtection="false">
      <alignment horizontal="general" vertical="center" textRotation="0" wrapText="false" indent="0" shrinkToFit="false"/>
      <protection locked="true" hidden="false"/>
    </xf>
  </cellXfs>
  <cellStyles count="23">
    <cellStyle name="Normal" xfId="0" builtinId="0"/>
    <cellStyle name="Comma" xfId="15" builtinId="3"/>
    <cellStyle name="Comma [0]" xfId="16" builtinId="6"/>
    <cellStyle name="Currency" xfId="17" builtinId="4"/>
    <cellStyle name="Currency [0]" xfId="18" builtinId="7"/>
    <cellStyle name="Percent" xfId="19" builtinId="5"/>
    <cellStyle name="백분율 2" xfId="20"/>
    <cellStyle name="백분율 2 2" xfId="21"/>
    <cellStyle name="백분율 3" xfId="22"/>
    <cellStyle name="쉼표 [0] 2" xfId="23"/>
    <cellStyle name="쉼표 [0] 3" xfId="24"/>
    <cellStyle name="쉼표 [0] 3 2" xfId="25"/>
    <cellStyle name="쉼표 [0] 4" xfId="26"/>
    <cellStyle name="쉼표 [0] 5" xfId="27"/>
    <cellStyle name="통화 [0] 2" xfId="28"/>
    <cellStyle name="표준 2" xfId="29"/>
    <cellStyle name="표준 3" xfId="30"/>
    <cellStyle name="표준 3 2" xfId="31"/>
    <cellStyle name="표준 3 3" xfId="32"/>
    <cellStyle name="표준 3 3 2" xfId="33"/>
    <cellStyle name="표준 32" xfId="34"/>
    <cellStyle name="표준 4" xfId="35"/>
    <cellStyle name="Excel Built-in Comma [0]" xfId="36"/>
  </cellStyles>
  <dxfs count="22">
    <dxf>
      <fill>
        <patternFill patternType="solid">
          <fgColor rgb="FFFFFFFF"/>
          <bgColor rgb="FF000000"/>
        </patternFill>
      </fill>
    </dxf>
    <dxf>
      <fill>
        <patternFill patternType="solid">
          <fgColor rgb="FF000000"/>
          <bgColor rgb="FF000000"/>
        </patternFill>
      </fill>
    </dxf>
    <dxf>
      <fill>
        <patternFill patternType="solid">
          <fgColor rgb="FFFBF5EF"/>
          <bgColor rgb="FF000000"/>
        </patternFill>
      </fill>
    </dxf>
    <dxf>
      <fill>
        <patternFill patternType="solid">
          <fgColor rgb="FF156082"/>
          <bgColor rgb="FF000000"/>
        </patternFill>
      </fill>
    </dxf>
    <dxf>
      <fill>
        <patternFill patternType="solid">
          <bgColor rgb="FF000000"/>
        </patternFill>
      </fill>
    </dxf>
    <dxf>
      <fill>
        <patternFill patternType="solid">
          <fgColor rgb="FF1F4E79"/>
          <bgColor rgb="FF000000"/>
        </patternFill>
      </fill>
    </dxf>
    <dxf>
      <fill>
        <patternFill patternType="solid">
          <fgColor rgb="FFF8CBAD"/>
          <bgColor rgb="FF000000"/>
        </patternFill>
      </fill>
    </dxf>
    <dxf>
      <fill>
        <patternFill patternType="solid">
          <fgColor rgb="FFFFFF00"/>
          <bgColor rgb="FF000000"/>
        </patternFill>
      </fill>
    </dxf>
    <dxf>
      <fill>
        <patternFill patternType="solid">
          <fgColor rgb="FFD9D9D9"/>
          <bgColor rgb="FF000000"/>
        </patternFill>
      </fill>
    </dxf>
    <dxf>
      <fill>
        <patternFill patternType="solid">
          <fgColor rgb="FFC00000"/>
          <bgColor rgb="FF000000"/>
        </patternFill>
      </fill>
    </dxf>
    <dxf>
      <fill>
        <patternFill patternType="solid">
          <fgColor rgb="FFFF0000"/>
          <bgColor rgb="FF000000"/>
        </patternFill>
      </fill>
    </dxf>
    <dxf>
      <font>
        <strike val="0"/>
        <color rgb="FF000000"/>
      </font>
      <fill>
        <patternFill/>
      </fill>
    </dxf>
    <dxf>
      <font>
        <color rgb="FFFF0000"/>
      </font>
      <fill>
        <patternFill>
          <bgColor rgb="FFFFFF00"/>
        </patternFill>
      </fill>
    </dxf>
    <dxf>
      <font>
        <color rgb="FF000000"/>
      </font>
      <fill>
        <patternFill/>
      </fill>
    </dxf>
    <dxf>
      <fill>
        <patternFill patternType="solid">
          <fgColor rgb="FFDEEBF7"/>
          <bgColor rgb="FF000000"/>
        </patternFill>
      </fill>
    </dxf>
    <dxf>
      <fill>
        <patternFill patternType="solid">
          <fgColor rgb="FF385724"/>
          <bgColor rgb="FF000000"/>
        </patternFill>
      </fill>
    </dxf>
    <dxf>
      <fill>
        <patternFill patternType="solid">
          <fgColor rgb="FFFFFFC9"/>
          <bgColor rgb="FF000000"/>
        </patternFill>
      </fill>
    </dxf>
    <dxf>
      <font>
        <color rgb="FF000000"/>
      </font>
      <fill>
        <patternFill/>
      </fill>
    </dxf>
    <dxf>
      <font>
        <color rgb="FF000000"/>
      </font>
      <fill>
        <patternFill/>
      </fill>
    </dxf>
    <dxf>
      <fill>
        <patternFill patternType="solid">
          <fgColor rgb="FF843C0B"/>
          <bgColor rgb="FF000000"/>
        </patternFill>
      </fill>
    </dxf>
    <dxf>
      <fill>
        <patternFill patternType="solid">
          <fgColor rgb="FF2F5597"/>
          <bgColor rgb="FF000000"/>
        </patternFill>
      </fill>
    </dxf>
    <dxf>
      <fill>
        <patternFill patternType="solid">
          <fgColor rgb="FF153D64"/>
          <bgColor rgb="FF000000"/>
        </patternFill>
      </fill>
    </dxf>
  </dxfs>
  <colors>
    <indexedColors>
      <rgbColor rgb="FF000000"/>
      <rgbColor rgb="FFFFFFFF"/>
      <rgbColor rgb="FFFF0000"/>
      <rgbColor rgb="FFF2F2F2"/>
      <rgbColor rgb="FF0000FF"/>
      <rgbColor rgb="FFFFFF00"/>
      <rgbColor rgb="FFFBF5EF"/>
      <rgbColor rgb="FFDAE9F8"/>
      <rgbColor rgb="FFC00000"/>
      <rgbColor rgb="FF595959"/>
      <rgbColor rgb="FF002060"/>
      <rgbColor rgb="FF548235"/>
      <rgbColor rgb="FF800080"/>
      <rgbColor rgb="FF156082"/>
      <rgbColor rgb="FFBFBFBF"/>
      <rgbColor rgb="FF808080"/>
      <rgbColor rgb="FFDBDBDB"/>
      <rgbColor rgb="FF7030A0"/>
      <rgbColor rgb="FFFFFFC9"/>
      <rgbColor rgb="FFCAEDFB"/>
      <rgbColor rgb="FF660066"/>
      <rgbColor rgb="FFF7C7AC"/>
      <rgbColor rgb="FF0070C0"/>
      <rgbColor rgb="FFD9D9D9"/>
      <rgbColor rgb="FF2F5597"/>
      <rgbColor rgb="FFFF00FF"/>
      <rgbColor rgb="FFFBE5D6"/>
      <rgbColor rgb="FFEBEEF2"/>
      <rgbColor rgb="FF800080"/>
      <rgbColor rgb="FF800000"/>
      <rgbColor rgb="FF00B050"/>
      <rgbColor rgb="FF0000FF"/>
      <rgbColor rgb="FFEDEDED"/>
      <rgbColor rgb="FFDEEBF7"/>
      <rgbColor rgb="FFDAF2D0"/>
      <rgbColor rgb="FFFFF2CC"/>
      <rgbColor rgb="FFA9D18E"/>
      <rgbColor rgb="FFFAACFA"/>
      <rgbColor rgb="FFF2CEEF"/>
      <rgbColor rgb="FFF8CBAD"/>
      <rgbColor rgb="FF0066FF"/>
      <rgbColor rgb="FFDAE3F3"/>
      <rgbColor rgb="FF92D050"/>
      <rgbColor rgb="FFFFC000"/>
      <rgbColor rgb="FFE2F0D9"/>
      <rgbColor rgb="FFC55A11"/>
      <rgbColor rgb="FF5F5F5F"/>
      <rgbColor rgb="FF7F7F7F"/>
      <rgbColor rgb="FF153D64"/>
      <rgbColor rgb="FF37A2B1"/>
      <rgbColor rgb="FF385724"/>
      <rgbColor rgb="FF404040"/>
      <rgbColor rgb="FF843C0B"/>
      <rgbColor rgb="FF605E5C"/>
      <rgbColor rgb="FF1F4E79"/>
      <rgbColor rgb="FF3231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externalLink" Target="externalLinks/externalLink1.xml"/><Relationship Id="rId42" Type="http://schemas.openxmlformats.org/officeDocument/2006/relationships/externalLink" Target="externalLinks/externalLink2.xml"/><Relationship Id="rId43" Type="http://schemas.openxmlformats.org/officeDocument/2006/relationships/externalLink" Target="externalLinks/externalLink3.xml"/><Relationship Id="rId44" Type="http://schemas.openxmlformats.org/officeDocument/2006/relationships/externalLink" Target="externalLinks/externalLink4.xml"/><Relationship Id="rId45" Type="http://schemas.openxmlformats.org/officeDocument/2006/relationships/externalLink" Target="externalLinks/externalLink5.xml"/><Relationship Id="rId46" Type="http://schemas.openxmlformats.org/officeDocument/2006/relationships/externalLink" Target="externalLinks/externalLink6.xml"/><Relationship Id="rId47" Type="http://schemas.openxmlformats.org/officeDocument/2006/relationships/externalLink" Target="externalLinks/externalLink7.xml"/><Relationship Id="rId48" Type="http://schemas.openxmlformats.org/officeDocument/2006/relationships/externalLink" Target="externalLinks/externalLink8.xml"/><Relationship Id="rId4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image" Target="../media/image6.gif"/><Relationship Id="rId2" Type="http://schemas.openxmlformats.org/officeDocument/2006/relationships/image" Target="../media/image6.gif"/><Relationship Id="rId3" Type="http://schemas.openxmlformats.org/officeDocument/2006/relationships/image" Target="../media/image6.gif"/><Relationship Id="rId4" Type="http://schemas.openxmlformats.org/officeDocument/2006/relationships/image" Target="../media/image6.gif"/><Relationship Id="rId5" Type="http://schemas.openxmlformats.org/officeDocument/2006/relationships/image" Target="../media/image6.gif"/><Relationship Id="rId6" Type="http://schemas.openxmlformats.org/officeDocument/2006/relationships/image" Target="../media/image6.gif"/><Relationship Id="rId7" Type="http://schemas.openxmlformats.org/officeDocument/2006/relationships/image" Target="../media/image6.gif"/><Relationship Id="rId8" Type="http://schemas.openxmlformats.org/officeDocument/2006/relationships/image" Target="../media/image6.gif"/><Relationship Id="rId9" Type="http://schemas.openxmlformats.org/officeDocument/2006/relationships/image" Target="../media/image6.gif"/><Relationship Id="rId10" Type="http://schemas.openxmlformats.org/officeDocument/2006/relationships/image" Target="../media/image6.gif"/>
</Relationships>
</file>

<file path=xl/drawings/_rels/drawing9.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7.png"/><Relationship Id="rId3" Type="http://schemas.openxmlformats.org/officeDocument/2006/relationships/image" Target="../media/image7.png"/><Relationship Id="rId4" Type="http://schemas.openxmlformats.org/officeDocument/2006/relationships/image" Target="../media/image7.png"/><Relationship Id="rId5" Type="http://schemas.openxmlformats.org/officeDocument/2006/relationships/image" Target="../media/image7.png"/><Relationship Id="rId6"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723960</xdr:colOff>
      <xdr:row>33</xdr:row>
      <xdr:rowOff>15840</xdr:rowOff>
    </xdr:from>
    <xdr:to>
      <xdr:col>17</xdr:col>
      <xdr:colOff>229680</xdr:colOff>
      <xdr:row>82</xdr:row>
      <xdr:rowOff>104400</xdr:rowOff>
    </xdr:to>
    <xdr:pic>
      <xdr:nvPicPr>
        <xdr:cNvPr id="0" name="그림 1" descr=""/>
        <xdr:cNvPicPr/>
      </xdr:nvPicPr>
      <xdr:blipFill>
        <a:blip r:embed="rId1"/>
        <a:stretch/>
      </xdr:blipFill>
      <xdr:spPr>
        <a:xfrm>
          <a:off x="8762400" y="8667720"/>
          <a:ext cx="9675360" cy="4505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35</xdr:row>
      <xdr:rowOff>1800</xdr:rowOff>
    </xdr:from>
    <xdr:to>
      <xdr:col>17</xdr:col>
      <xdr:colOff>495720</xdr:colOff>
      <xdr:row>98</xdr:row>
      <xdr:rowOff>139680</xdr:rowOff>
    </xdr:to>
    <xdr:pic>
      <xdr:nvPicPr>
        <xdr:cNvPr id="1" name="그림 1" descr=""/>
        <xdr:cNvPicPr/>
      </xdr:nvPicPr>
      <xdr:blipFill>
        <a:blip r:embed="rId1"/>
        <a:stretch/>
      </xdr:blipFill>
      <xdr:spPr>
        <a:xfrm>
          <a:off x="9920520" y="7324560"/>
          <a:ext cx="5632200" cy="7277760"/>
        </a:xfrm>
        <a:prstGeom prst="rect">
          <a:avLst/>
        </a:prstGeom>
        <a:ln w="0">
          <a:noFill/>
        </a:ln>
      </xdr:spPr>
    </xdr:pic>
    <xdr:clientData/>
  </xdr:twoCellAnchor>
  <xdr:twoCellAnchor editAs="oneCell">
    <xdr:from>
      <xdr:col>11</xdr:col>
      <xdr:colOff>0</xdr:colOff>
      <xdr:row>82</xdr:row>
      <xdr:rowOff>148320</xdr:rowOff>
    </xdr:from>
    <xdr:to>
      <xdr:col>18</xdr:col>
      <xdr:colOff>57600</xdr:colOff>
      <xdr:row>126</xdr:row>
      <xdr:rowOff>149040</xdr:rowOff>
    </xdr:to>
    <xdr:pic>
      <xdr:nvPicPr>
        <xdr:cNvPr id="2" name="그림 4" descr=""/>
        <xdr:cNvPicPr/>
      </xdr:nvPicPr>
      <xdr:blipFill>
        <a:blip r:embed="rId2"/>
        <a:stretch/>
      </xdr:blipFill>
      <xdr:spPr>
        <a:xfrm>
          <a:off x="9920520" y="12020400"/>
          <a:ext cx="6161400" cy="7125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8</xdr:col>
      <xdr:colOff>343080</xdr:colOff>
      <xdr:row>31</xdr:row>
      <xdr:rowOff>181440</xdr:rowOff>
    </xdr:to>
    <xdr:pic>
      <xdr:nvPicPr>
        <xdr:cNvPr id="3" name="그림 1" descr=""/>
        <xdr:cNvPicPr/>
      </xdr:nvPicPr>
      <xdr:blipFill>
        <a:blip r:embed="rId1"/>
        <a:stretch/>
      </xdr:blipFill>
      <xdr:spPr>
        <a:xfrm>
          <a:off x="713160" y="209520"/>
          <a:ext cx="5334840" cy="6468120"/>
        </a:xfrm>
        <a:prstGeom prst="rect">
          <a:avLst/>
        </a:prstGeom>
        <a:ln w="0">
          <a:noFill/>
        </a:ln>
      </xdr:spPr>
    </xdr:pic>
    <xdr:clientData/>
  </xdr:twoCellAnchor>
  <xdr:twoCellAnchor editAs="oneCell">
    <xdr:from>
      <xdr:col>1</xdr:col>
      <xdr:colOff>0</xdr:colOff>
      <xdr:row>32</xdr:row>
      <xdr:rowOff>0</xdr:rowOff>
    </xdr:from>
    <xdr:to>
      <xdr:col>8</xdr:col>
      <xdr:colOff>295560</xdr:colOff>
      <xdr:row>37</xdr:row>
      <xdr:rowOff>180720</xdr:rowOff>
    </xdr:to>
    <xdr:pic>
      <xdr:nvPicPr>
        <xdr:cNvPr id="4" name="그림 2" descr=""/>
        <xdr:cNvPicPr/>
      </xdr:nvPicPr>
      <xdr:blipFill>
        <a:blip r:embed="rId2"/>
        <a:stretch/>
      </xdr:blipFill>
      <xdr:spPr>
        <a:xfrm>
          <a:off x="713160" y="6705720"/>
          <a:ext cx="5287320" cy="12283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36</xdr:col>
      <xdr:colOff>826920</xdr:colOff>
      <xdr:row>0</xdr:row>
      <xdr:rowOff>278280</xdr:rowOff>
    </xdr:from>
    <xdr:to>
      <xdr:col>38</xdr:col>
      <xdr:colOff>5400</xdr:colOff>
      <xdr:row>0</xdr:row>
      <xdr:rowOff>514080</xdr:rowOff>
    </xdr:to>
    <xdr:sp>
      <xdr:nvSpPr>
        <xdr:cNvPr id="5" name="TextBox 1"/>
        <xdr:cNvSpPr/>
      </xdr:nvSpPr>
      <xdr:spPr>
        <a:xfrm>
          <a:off x="35422200" y="278280"/>
          <a:ext cx="1539720" cy="2358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000" spc="-1" strike="noStrike">
              <a:solidFill>
                <a:schemeClr val="dk1"/>
              </a:solidFill>
              <a:latin typeface="Calibri"/>
            </a:rPr>
            <a:t>Excl. VAT(10%)</a:t>
          </a:r>
          <a:endParaRPr b="0" lang="en-US" sz="1000" spc="-1" strike="noStrike">
            <a:latin typeface="돋움"/>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49</xdr:col>
      <xdr:colOff>0</xdr:colOff>
      <xdr:row>93</xdr:row>
      <xdr:rowOff>0</xdr:rowOff>
    </xdr:from>
    <xdr:to>
      <xdr:col>49</xdr:col>
      <xdr:colOff>0</xdr:colOff>
      <xdr:row>93</xdr:row>
      <xdr:rowOff>18720</xdr:rowOff>
    </xdr:to>
    <xdr:pic>
      <xdr:nvPicPr>
        <xdr:cNvPr id="6" name="그림 1" descr=""/>
        <xdr:cNvPicPr/>
      </xdr:nvPicPr>
      <xdr:blipFill>
        <a:blip r:embed="rId1"/>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7" name="그림 2" descr=""/>
        <xdr:cNvPicPr/>
      </xdr:nvPicPr>
      <xdr:blipFill>
        <a:blip r:embed="rId2"/>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8" name="그림 3" descr=""/>
        <xdr:cNvPicPr/>
      </xdr:nvPicPr>
      <xdr:blipFill>
        <a:blip r:embed="rId3"/>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9" name="그림 4" descr=""/>
        <xdr:cNvPicPr/>
      </xdr:nvPicPr>
      <xdr:blipFill>
        <a:blip r:embed="rId4"/>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0" name="그림 5" descr=""/>
        <xdr:cNvPicPr/>
      </xdr:nvPicPr>
      <xdr:blipFill>
        <a:blip r:embed="rId5"/>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1" name="그림 6" descr=""/>
        <xdr:cNvPicPr/>
      </xdr:nvPicPr>
      <xdr:blipFill>
        <a:blip r:embed="rId6"/>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2" name="그림 7" descr=""/>
        <xdr:cNvPicPr/>
      </xdr:nvPicPr>
      <xdr:blipFill>
        <a:blip r:embed="rId7"/>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3" name="그림 8" descr=""/>
        <xdr:cNvPicPr/>
      </xdr:nvPicPr>
      <xdr:blipFill>
        <a:blip r:embed="rId8"/>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4" name="그림 9" descr=""/>
        <xdr:cNvPicPr/>
      </xdr:nvPicPr>
      <xdr:blipFill>
        <a:blip r:embed="rId9"/>
        <a:stretch/>
      </xdr:blipFill>
      <xdr:spPr>
        <a:xfrm>
          <a:off x="41384880" y="13077720"/>
          <a:ext cx="0" cy="18720"/>
        </a:xfrm>
        <a:prstGeom prst="rect">
          <a:avLst/>
        </a:prstGeom>
        <a:ln w="0">
          <a:noFill/>
        </a:ln>
      </xdr:spPr>
    </xdr:pic>
    <xdr:clientData/>
  </xdr:twoCellAnchor>
  <xdr:twoCellAnchor editAs="oneCell">
    <xdr:from>
      <xdr:col>49</xdr:col>
      <xdr:colOff>0</xdr:colOff>
      <xdr:row>93</xdr:row>
      <xdr:rowOff>0</xdr:rowOff>
    </xdr:from>
    <xdr:to>
      <xdr:col>49</xdr:col>
      <xdr:colOff>0</xdr:colOff>
      <xdr:row>93</xdr:row>
      <xdr:rowOff>18720</xdr:rowOff>
    </xdr:to>
    <xdr:pic>
      <xdr:nvPicPr>
        <xdr:cNvPr id="15" name="그림 10" descr=""/>
        <xdr:cNvPicPr/>
      </xdr:nvPicPr>
      <xdr:blipFill>
        <a:blip r:embed="rId10"/>
        <a:stretch/>
      </xdr:blipFill>
      <xdr:spPr>
        <a:xfrm>
          <a:off x="41384880" y="13077720"/>
          <a:ext cx="0" cy="187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47</xdr:col>
      <xdr:colOff>9360</xdr:colOff>
      <xdr:row>0</xdr:row>
      <xdr:rowOff>209520</xdr:rowOff>
    </xdr:from>
    <xdr:to>
      <xdr:col>48</xdr:col>
      <xdr:colOff>151920</xdr:colOff>
      <xdr:row>1</xdr:row>
      <xdr:rowOff>95040</xdr:rowOff>
    </xdr:to>
    <xdr:sp>
      <xdr:nvSpPr>
        <xdr:cNvPr id="16" name="TextBox 1"/>
        <xdr:cNvSpPr/>
      </xdr:nvSpPr>
      <xdr:spPr>
        <a:xfrm>
          <a:off x="29927880" y="209520"/>
          <a:ext cx="1109880" cy="31428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b="1" lang="en-US" sz="1000" spc="-1" strike="noStrike">
              <a:solidFill>
                <a:schemeClr val="lt1"/>
              </a:solidFill>
              <a:latin typeface="Calibri"/>
            </a:rPr>
            <a:t>(Excl. 10% VAT)</a:t>
          </a:r>
          <a:endParaRPr b="0" lang="en-US" sz="1000" spc="-1" strike="noStrike">
            <a:latin typeface="돋움"/>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447840</xdr:colOff>
      <xdr:row>19</xdr:row>
      <xdr:rowOff>28440</xdr:rowOff>
    </xdr:from>
    <xdr:to>
      <xdr:col>22</xdr:col>
      <xdr:colOff>605880</xdr:colOff>
      <xdr:row>21</xdr:row>
      <xdr:rowOff>78480</xdr:rowOff>
    </xdr:to>
    <xdr:pic>
      <xdr:nvPicPr>
        <xdr:cNvPr id="17" name="그림 3" descr=""/>
        <xdr:cNvPicPr/>
      </xdr:nvPicPr>
      <xdr:blipFill>
        <a:blip r:embed="rId1"/>
        <a:stretch/>
      </xdr:blipFill>
      <xdr:spPr>
        <a:xfrm>
          <a:off x="15940440" y="4657680"/>
          <a:ext cx="158040" cy="469080"/>
        </a:xfrm>
        <a:prstGeom prst="rect">
          <a:avLst/>
        </a:prstGeom>
        <a:ln w="0">
          <a:noFill/>
        </a:ln>
      </xdr:spPr>
    </xdr:pic>
    <xdr:clientData/>
  </xdr:twoCellAnchor>
  <xdr:twoCellAnchor editAs="oneCell">
    <xdr:from>
      <xdr:col>22</xdr:col>
      <xdr:colOff>457200</xdr:colOff>
      <xdr:row>40</xdr:row>
      <xdr:rowOff>37800</xdr:rowOff>
    </xdr:from>
    <xdr:to>
      <xdr:col>22</xdr:col>
      <xdr:colOff>615240</xdr:colOff>
      <xdr:row>42</xdr:row>
      <xdr:rowOff>87840</xdr:rowOff>
    </xdr:to>
    <xdr:pic>
      <xdr:nvPicPr>
        <xdr:cNvPr id="18" name="그림 4" descr=""/>
        <xdr:cNvPicPr/>
      </xdr:nvPicPr>
      <xdr:blipFill>
        <a:blip r:embed="rId2"/>
        <a:stretch/>
      </xdr:blipFill>
      <xdr:spPr>
        <a:xfrm>
          <a:off x="15949800" y="9067680"/>
          <a:ext cx="158040" cy="469080"/>
        </a:xfrm>
        <a:prstGeom prst="rect">
          <a:avLst/>
        </a:prstGeom>
        <a:ln w="0">
          <a:noFill/>
        </a:ln>
      </xdr:spPr>
    </xdr:pic>
    <xdr:clientData/>
  </xdr:twoCellAnchor>
  <xdr:twoCellAnchor editAs="oneCell">
    <xdr:from>
      <xdr:col>22</xdr:col>
      <xdr:colOff>552600</xdr:colOff>
      <xdr:row>68</xdr:row>
      <xdr:rowOff>47520</xdr:rowOff>
    </xdr:from>
    <xdr:to>
      <xdr:col>22</xdr:col>
      <xdr:colOff>710640</xdr:colOff>
      <xdr:row>70</xdr:row>
      <xdr:rowOff>97560</xdr:rowOff>
    </xdr:to>
    <xdr:pic>
      <xdr:nvPicPr>
        <xdr:cNvPr id="19" name="그림 1" descr=""/>
        <xdr:cNvPicPr/>
      </xdr:nvPicPr>
      <xdr:blipFill>
        <a:blip r:embed="rId3"/>
        <a:stretch/>
      </xdr:blipFill>
      <xdr:spPr>
        <a:xfrm>
          <a:off x="16045200" y="14944680"/>
          <a:ext cx="158040" cy="469080"/>
        </a:xfrm>
        <a:prstGeom prst="rect">
          <a:avLst/>
        </a:prstGeom>
        <a:ln w="0">
          <a:noFill/>
        </a:ln>
      </xdr:spPr>
    </xdr:pic>
    <xdr:clientData/>
  </xdr:twoCellAnchor>
  <xdr:twoCellAnchor editAs="oneCell">
    <xdr:from>
      <xdr:col>22</xdr:col>
      <xdr:colOff>552600</xdr:colOff>
      <xdr:row>68</xdr:row>
      <xdr:rowOff>38160</xdr:rowOff>
    </xdr:from>
    <xdr:to>
      <xdr:col>22</xdr:col>
      <xdr:colOff>710640</xdr:colOff>
      <xdr:row>70</xdr:row>
      <xdr:rowOff>88200</xdr:rowOff>
    </xdr:to>
    <xdr:pic>
      <xdr:nvPicPr>
        <xdr:cNvPr id="20" name="그림 3" descr=""/>
        <xdr:cNvPicPr/>
      </xdr:nvPicPr>
      <xdr:blipFill>
        <a:blip r:embed="rId4"/>
        <a:stretch/>
      </xdr:blipFill>
      <xdr:spPr>
        <a:xfrm>
          <a:off x="16045200" y="14935320"/>
          <a:ext cx="158040" cy="469080"/>
        </a:xfrm>
        <a:prstGeom prst="rect">
          <a:avLst/>
        </a:prstGeom>
        <a:ln w="0">
          <a:noFill/>
        </a:ln>
      </xdr:spPr>
    </xdr:pic>
    <xdr:clientData/>
  </xdr:twoCellAnchor>
  <xdr:twoCellAnchor editAs="oneCell">
    <xdr:from>
      <xdr:col>22</xdr:col>
      <xdr:colOff>552600</xdr:colOff>
      <xdr:row>95</xdr:row>
      <xdr:rowOff>56880</xdr:rowOff>
    </xdr:from>
    <xdr:to>
      <xdr:col>22</xdr:col>
      <xdr:colOff>710640</xdr:colOff>
      <xdr:row>97</xdr:row>
      <xdr:rowOff>106920</xdr:rowOff>
    </xdr:to>
    <xdr:pic>
      <xdr:nvPicPr>
        <xdr:cNvPr id="21" name="그림 4" descr=""/>
        <xdr:cNvPicPr/>
      </xdr:nvPicPr>
      <xdr:blipFill>
        <a:blip r:embed="rId5"/>
        <a:stretch/>
      </xdr:blipFill>
      <xdr:spPr>
        <a:xfrm>
          <a:off x="16045200" y="20611800"/>
          <a:ext cx="158040" cy="469080"/>
        </a:xfrm>
        <a:prstGeom prst="rect">
          <a:avLst/>
        </a:prstGeom>
        <a:ln w="0">
          <a:noFill/>
        </a:ln>
      </xdr:spPr>
    </xdr:pic>
    <xdr:clientData/>
  </xdr:twoCellAnchor>
  <xdr:twoCellAnchor editAs="oneCell">
    <xdr:from>
      <xdr:col>22</xdr:col>
      <xdr:colOff>552600</xdr:colOff>
      <xdr:row>95</xdr:row>
      <xdr:rowOff>47520</xdr:rowOff>
    </xdr:from>
    <xdr:to>
      <xdr:col>22</xdr:col>
      <xdr:colOff>710640</xdr:colOff>
      <xdr:row>97</xdr:row>
      <xdr:rowOff>97560</xdr:rowOff>
    </xdr:to>
    <xdr:pic>
      <xdr:nvPicPr>
        <xdr:cNvPr id="22" name="그림 6" descr=""/>
        <xdr:cNvPicPr/>
      </xdr:nvPicPr>
      <xdr:blipFill>
        <a:blip r:embed="rId6"/>
        <a:stretch/>
      </xdr:blipFill>
      <xdr:spPr>
        <a:xfrm>
          <a:off x="16045200" y="20602440"/>
          <a:ext cx="158040" cy="4690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https://d.docs.live.net/8046699f46284e5f/&#47928;&#49436;/DG_Batch12_DEVEX%20Payment%20Plan_Revised_Aug%2026_Financial%20Condition%20%202nd%20Drawdown%20plan_v4.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originated.sharepoint.com/Users/distributedgeneratio/Desktop/&#49352;%20&#54260;&#45908;/1.%20&#44536;&#47536;&#48380;&#53944;/&#50900;&#44036;&#48372;&#44256;/SPV%20&#51204;&#52404;%20&#51088;&#44552;%20&#54788;&#54889;/Cash%20Position%20by%20SPV%20as%20of%20Sep%2030,%202025.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https://originated.sharepoint.com/sites/vdr/Shared%20Documents/Plants%20(DG,%20Conventional)%20-South%20Korea/05_1.%20Payment%20Status/2.%20DG_Batch12_DEVEX%20Payment%20Plan_Jan.%2008.%2026_V1.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https://originated.sharepoint.com/sites/vdr/Shared%20Documents/Plants%20(DG,%20Conventional)%20-South%20Korea/13.%20Project%20Inputsheet/GM%20Batch%202/1.%20Inputsheet_GM%20Batch2_20250521.xlsx"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https://originated-my.sharepoint.com/originated/&#51116;&#47924;&#47784;&#45944;/Input%20Sheet/1.%20Inputsheet_Shinan(9Project)_6.500MW_20250502_V1.xlsx"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https://originated.sharepoint.com/sites/vdr/Shared%20Documents/Plants%20(DG,%20Conventional)%20-South%20Korea/05_1.%20Payment%20Status/2.%20DG_Batch12_DEVEX%20Payment%20Plan_Nov.%2014_V1.xlsx"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https://originated.sharepoint.com/Users/germa/Downloads/GM_Batch2_Broker%20Fee_&#51088;&#44552;%20&#44228;&#54925;_V1.xlsx"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originated/&#48277;&#51064;&#49436;&#47448;/SPV%20List_JPedits_&#51452;&#51452;&#47749;&#48512;,&#48277;&#51064;&#54788;&#54889;&#54364;.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2HO-Account detail"/>
      <sheetName val="3HO-Account detail"/>
      <sheetName val="6HO-Account detail"/>
      <sheetName val="7HO-Account detail"/>
      <sheetName val="2HO-evidence of collection"/>
      <sheetName val="3HO-evidence of collection"/>
      <sheetName val="6HO-evidence of collection"/>
      <sheetName val="7HO-evidence of collection"/>
      <sheetName val="Liquidity Monthly Schedule"/>
      <sheetName val="Sheet2"/>
      <sheetName val="자금현황"/>
      <sheetName val="SPV Balance by bank_1"/>
      <sheetName val="SPV Balance by bank"/>
      <sheetName val="Current Financial Requirements"/>
      <sheetName val="Amount to be paid in 2025(이전)"/>
      <sheetName val="Amount to be paid in 2025(0826)"/>
      <sheetName val="Bolt Taeyanggwang 2HO"/>
      <sheetName val="Bolt Taeyanggwang 3HO"/>
      <sheetName val="Bolt Taeyanggwang 6HO"/>
      <sheetName val="지급비율"/>
      <sheetName val="Bolt Taeyanggwang 7HO"/>
      <sheetName val="Dropped Project (2)"/>
      <sheetName val="Dropped Project"/>
    </sheetNames>
    <sheetDataSet>
      <sheetData sheetId="0"/>
      <sheetData sheetId="1"/>
      <sheetData sheetId="2"/>
      <sheetData sheetId="3"/>
      <sheetData sheetId="4"/>
      <sheetData sheetId="5"/>
      <sheetData sheetId="6"/>
      <sheetData sheetId="7"/>
      <sheetData sheetId="8"/>
      <sheetData sheetId="9"/>
      <sheetData sheetId="10"/>
      <sheetData sheetId="11">
        <row r="5">
          <cell r="E5" t="str">
            <v>Balance</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PV Balance by bank"/>
      <sheetName val="SPV Balance by bank_1"/>
      <sheetName val="Bolt1ho"/>
      <sheetName val="Bolt2ho"/>
      <sheetName val="Bolt3ho"/>
      <sheetName val="Bolt4ho"/>
      <sheetName val="Bolt5ho"/>
      <sheetName val="Bolt6ho"/>
      <sheetName val="Bolt7ho"/>
      <sheetName val="Bolt8ho"/>
      <sheetName val="Honam1ho"/>
      <sheetName val="Honam2ho"/>
      <sheetName val="POSN2HO"/>
      <sheetName val="Galsan"/>
      <sheetName val="Mineuri"/>
      <sheetName val="Saegol"/>
      <sheetName val="Jaesan"/>
    </sheetNames>
    <sheetDataSet>
      <sheetData sheetId="0"/>
      <sheetData sheetId="1"/>
      <sheetData sheetId="2">
        <row r="8">
          <cell r="M8">
            <v>556033915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verview"/>
      <sheetName val="3HO-Account detail"/>
      <sheetName val="6HO-Account detail"/>
      <sheetName val="2HO-evidence of collection"/>
      <sheetName val="3HO-evidence of collection"/>
      <sheetName val="6HO-evidence of collection"/>
      <sheetName val="7HO-evidence of collection"/>
      <sheetName val="Liquidity Monthly Schedule"/>
      <sheetName val="Sheet2"/>
      <sheetName val="자금현황"/>
      <sheetName val="Summary"/>
      <sheetName val="SPV Balance by bank_1"/>
      <sheetName val="SPV Balance by bank"/>
      <sheetName val="Current Financial Requirements"/>
      <sheetName val="Amount to be paid in 2025(이전)"/>
      <sheetName val="CAPEX_Input_2HO"/>
      <sheetName val="CAPEX_Amount to be paid in 2025"/>
      <sheetName val="확인 작업"/>
      <sheetName val="DEVEX_Amount to be paid in 2025"/>
      <sheetName val="BT 2HO (2)"/>
      <sheetName val="DEVEX Payment Status"/>
      <sheetName val="INPUTSHEET(BOLT 2)"/>
      <sheetName val="INPUTSHEET(BOLT 3)"/>
      <sheetName val="민감도분석_3,7"/>
      <sheetName val="PPAN"/>
      <sheetName val="EPC Liquidity Plan"/>
      <sheetName val="Lease Agreement (2)"/>
      <sheetName val="Lease Agreement"/>
      <sheetName val="CAPEX Breakdown"/>
      <sheetName val="CAPEX_Input_3,7HO(수정용)"/>
      <sheetName val="민감도분석_4"/>
      <sheetName val="입금요청"/>
      <sheetName val="SPV별 CAPEX 현황"/>
      <sheetName val="INPUTSHEET(BOLT 7,4)"/>
      <sheetName val="Input 기초"/>
      <sheetName val="SPV별 DEVEX 현황"/>
      <sheetName val="선납임차료"/>
      <sheetName val="BT 2HO"/>
      <sheetName val="지급비율"/>
      <sheetName val="BT 3HO"/>
      <sheetName val="BT 4HO"/>
      <sheetName val="BT 6HO"/>
      <sheetName val="BT 7HO"/>
      <sheetName val="DEVEX(Info)"/>
      <sheetName val="DEVEX(지급)"/>
      <sheetName val="CAPEX_Input_2HO_DK 요청"/>
      <sheetName val="Bolt Taeyanggwang 5HO"/>
      <sheetName val="Dropped Project (2)"/>
      <sheetName val="Dropped 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33">
          <cell r="T33">
            <v>0.024285621</v>
          </cell>
        </row>
        <row r="34">
          <cell r="T34">
            <v>0.036847296</v>
          </cell>
        </row>
        <row r="35">
          <cell r="T35">
            <v>0.019635</v>
          </cell>
        </row>
        <row r="37">
          <cell r="T37">
            <v>0.0112118</v>
          </cell>
        </row>
        <row r="40">
          <cell r="T40">
            <v>0.084744677</v>
          </cell>
        </row>
        <row r="41">
          <cell r="T41">
            <v>0.0423984</v>
          </cell>
        </row>
        <row r="44">
          <cell r="G44">
            <v>1410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ack up"/>
      <sheetName val="GM_Batch2_Inputsheet"/>
      <sheetName val="GM_Batch2_Inputsheet(연결)"/>
      <sheetName val="민감도분석"/>
      <sheetName val="입력 시트(0124)"/>
      <sheetName val="CAPEX,DEVEX"/>
      <sheetName val="O&amp;M"/>
      <sheetName val="지급현황"/>
      <sheetName val="Sheet1"/>
    </sheetNames>
    <sheetDataSet>
      <sheetData sheetId="0"/>
      <sheetData sheetId="1"/>
      <sheetData sheetId="2"/>
      <sheetData sheetId="3"/>
      <sheetData sheetId="4">
        <row r="10">
          <cell r="E10" t="str">
            <v>RTB</v>
          </cell>
          <cell r="F10" t="str">
            <v>RTB</v>
          </cell>
          <cell r="G10" t="str">
            <v>RTB</v>
          </cell>
          <cell r="H10" t="str">
            <v>RTB</v>
          </cell>
          <cell r="I10" t="str">
            <v>RTB</v>
          </cell>
          <cell r="J10" t="str">
            <v>RTB</v>
          </cell>
          <cell r="K10" t="str">
            <v>RTB</v>
          </cell>
          <cell r="L10" t="str">
            <v>RTB</v>
          </cell>
          <cell r="M10" t="str">
            <v>RTB</v>
          </cell>
          <cell r="N10" t="str">
            <v>RTB</v>
          </cell>
        </row>
      </sheetData>
      <sheetData sheetId="5"/>
      <sheetData sheetId="6"/>
      <sheetData sheetId="7"/>
      <sheetData sheetId="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Back up"/>
      <sheetName val="Shinan(9 Project) Inputsheet"/>
      <sheetName val="Shinan(9 Project) 7.5816MW"/>
      <sheetName val="민감도분석"/>
      <sheetName val="입력 시트(0124)"/>
      <sheetName val="O&amp;M"/>
      <sheetName val="Sheet1"/>
    </sheetNames>
    <sheetDataSet>
      <sheetData sheetId="0"/>
      <sheetData sheetId="1"/>
      <sheetData sheetId="2"/>
      <sheetData sheetId="3"/>
      <sheetData sheetId="4">
        <row r="72">
          <cell r="E72" t="str">
            <v>CPI</v>
          </cell>
          <cell r="F72" t="str">
            <v>CPI</v>
          </cell>
          <cell r="G72" t="str">
            <v>CPI</v>
          </cell>
        </row>
        <row r="80">
          <cell r="E80">
            <v>45901</v>
          </cell>
          <cell r="F80">
            <v>45901</v>
          </cell>
          <cell r="G80">
            <v>45901</v>
          </cell>
          <cell r="H80">
            <v>45901</v>
          </cell>
          <cell r="I80">
            <v>45931</v>
          </cell>
        </row>
        <row r="81">
          <cell r="E81" t="str">
            <v>CPI</v>
          </cell>
          <cell r="F81" t="str">
            <v>CPI</v>
          </cell>
          <cell r="G81" t="str">
            <v>CPI</v>
          </cell>
          <cell r="H81" t="str">
            <v>CPI</v>
          </cell>
          <cell r="I81" t="str">
            <v>CPI</v>
          </cell>
        </row>
        <row r="82">
          <cell r="E82">
            <v>45901</v>
          </cell>
          <cell r="F82">
            <v>45901</v>
          </cell>
          <cell r="G82">
            <v>45901</v>
          </cell>
          <cell r="H82">
            <v>45901</v>
          </cell>
          <cell r="I82">
            <v>45931</v>
          </cell>
        </row>
        <row r="90">
          <cell r="E90" t="str">
            <v>CPI</v>
          </cell>
        </row>
        <row r="99">
          <cell r="E99" t="str">
            <v>N/A</v>
          </cell>
          <cell r="F99" t="str">
            <v>N/A</v>
          </cell>
          <cell r="G99" t="str">
            <v>N/A</v>
          </cell>
          <cell r="H99" t="str">
            <v>N/A</v>
          </cell>
          <cell r="I99" t="str">
            <v>N/A</v>
          </cell>
        </row>
        <row r="100">
          <cell r="E100">
            <v>45901</v>
          </cell>
          <cell r="F100">
            <v>45901</v>
          </cell>
          <cell r="G100">
            <v>45901</v>
          </cell>
          <cell r="H100">
            <v>45901</v>
          </cell>
          <cell r="I100">
            <v>45931</v>
          </cell>
        </row>
        <row r="108">
          <cell r="E108" t="str">
            <v>N/A</v>
          </cell>
          <cell r="F108" t="str">
            <v>N/A</v>
          </cell>
          <cell r="G108" t="str">
            <v>N/A</v>
          </cell>
          <cell r="H108" t="str">
            <v>N/A</v>
          </cell>
          <cell r="I108" t="str">
            <v>N/A</v>
          </cell>
        </row>
        <row r="116">
          <cell r="H116">
            <v>45901</v>
          </cell>
          <cell r="I116">
            <v>45931</v>
          </cell>
        </row>
        <row r="117">
          <cell r="E117" t="str">
            <v>N/A</v>
          </cell>
          <cell r="F117" t="str">
            <v>N/A</v>
          </cell>
          <cell r="G117" t="str">
            <v>N/A</v>
          </cell>
          <cell r="H117" t="str">
            <v>N/A</v>
          </cell>
          <cell r="I117" t="str">
            <v>N/A</v>
          </cell>
        </row>
        <row r="118">
          <cell r="H118">
            <v>45901</v>
          </cell>
          <cell r="I118">
            <v>45931</v>
          </cell>
        </row>
        <row r="127">
          <cell r="E127" t="str">
            <v>N/A</v>
          </cell>
        </row>
        <row r="154">
          <cell r="E154" t="str">
            <v>CPI</v>
          </cell>
          <cell r="F154" t="str">
            <v>CPI</v>
          </cell>
          <cell r="G154" t="str">
            <v>CPI</v>
          </cell>
          <cell r="H154" t="str">
            <v>CPI</v>
          </cell>
          <cell r="I154" t="str">
            <v>CPI</v>
          </cell>
        </row>
        <row r="370">
          <cell r="E370">
            <v>1</v>
          </cell>
          <cell r="F370">
            <v>1</v>
          </cell>
          <cell r="G370">
            <v>1</v>
          </cell>
          <cell r="H370">
            <v>1</v>
          </cell>
          <cell r="I370">
            <v>1</v>
          </cell>
        </row>
        <row r="398">
          <cell r="E398">
            <v>0</v>
          </cell>
          <cell r="F398">
            <v>0</v>
          </cell>
          <cell r="G398">
            <v>0</v>
          </cell>
          <cell r="H398">
            <v>0</v>
          </cell>
          <cell r="I398">
            <v>0</v>
          </cell>
        </row>
      </sheetData>
      <sheetData sheetId="5"/>
      <sheetData sheetId="6"/>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Overview"/>
      <sheetName val="3HO-Account detail"/>
      <sheetName val="6HO-Account detail"/>
      <sheetName val="2HO-evidence of collection"/>
      <sheetName val="3HO-evidence of collection"/>
      <sheetName val="6HO-evidence of collection"/>
      <sheetName val="7HO-evidence of collection"/>
      <sheetName val="Liquidity Monthly Schedule"/>
      <sheetName val="Sheet2"/>
      <sheetName val="자금현황"/>
      <sheetName val="Summary"/>
      <sheetName val="SPV Balance by bank_1"/>
      <sheetName val="SPV Balance by bank"/>
      <sheetName val="Current Financial Requirements"/>
      <sheetName val="Amount to be paid in 2025(이전)"/>
      <sheetName val="CAPEX_Input_2HO"/>
      <sheetName val="CAPEX_Amount to be paid in 2025"/>
      <sheetName val="확인 작업"/>
      <sheetName val="DEVEX_Amount to be paid in 2025"/>
      <sheetName val="BT 2HO (2)"/>
      <sheetName val="DEVEX Payment Status"/>
      <sheetName val="Input 기초"/>
      <sheetName val="INPUTSHEET(BOLT 2)"/>
      <sheetName val="INPUTSHEET(BOLT 3)"/>
      <sheetName val="INPUTSHEET(BOLT 7)"/>
      <sheetName val="민감도분석_3,7"/>
      <sheetName val="PPAN"/>
      <sheetName val="EPC Liquidity Plan"/>
      <sheetName val="Lease Agreement (2)"/>
      <sheetName val="Lease Agreement"/>
      <sheetName val="CAPEX Breakdown"/>
      <sheetName val="CAPEX_Input_3,7HO(수정용)"/>
      <sheetName val="민감도분석_4"/>
      <sheetName val="입금요청"/>
      <sheetName val="SPV별 CAPEX 현황"/>
      <sheetName val="SPV별 DEVEX 현황"/>
      <sheetName val="Sheet1"/>
      <sheetName val="BT 2HO"/>
      <sheetName val="지급비율"/>
      <sheetName val="BT 3HO"/>
      <sheetName val="BT 4HO"/>
      <sheetName val="BT 6HO"/>
      <sheetName val="BT 7HO"/>
      <sheetName val="DEVEX(Info)"/>
      <sheetName val="DEVEX(지급)"/>
      <sheetName val="CAPEX_Input_2HO_DK 요청"/>
      <sheetName val="Bolt Taeyanggwang 5HO"/>
      <sheetName val="Dropped Project (2)"/>
      <sheetName val="Dropped 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82">
          <cell r="O82">
            <v>45922</v>
          </cell>
        </row>
        <row r="82">
          <cell r="R82">
            <v>31185000</v>
          </cell>
        </row>
        <row r="83">
          <cell r="R83">
            <v>20790000</v>
          </cell>
        </row>
      </sheetData>
      <sheetData sheetId="38"/>
      <sheetData sheetId="39">
        <row r="17">
          <cell r="AB17">
            <v>45930</v>
          </cell>
        </row>
        <row r="22">
          <cell r="AB22">
            <v>45831</v>
          </cell>
        </row>
        <row r="27">
          <cell r="AB27">
            <v>45831</v>
          </cell>
        </row>
        <row r="32">
          <cell r="AB32">
            <v>45930</v>
          </cell>
        </row>
        <row r="37">
          <cell r="AB37">
            <v>45930</v>
          </cell>
        </row>
        <row r="42">
          <cell r="AB42">
            <v>45930</v>
          </cell>
        </row>
      </sheetData>
      <sheetData sheetId="40"/>
      <sheetData sheetId="41">
        <row r="11">
          <cell r="D11">
            <v>150</v>
          </cell>
        </row>
        <row r="12">
          <cell r="N12">
            <v>45631</v>
          </cell>
          <cell r="O12">
            <v>45631</v>
          </cell>
        </row>
        <row r="12">
          <cell r="R12">
            <v>9900000</v>
          </cell>
        </row>
        <row r="13">
          <cell r="R13">
            <v>6600000</v>
          </cell>
        </row>
        <row r="16">
          <cell r="D16">
            <v>144.15</v>
          </cell>
        </row>
        <row r="17">
          <cell r="N17">
            <v>45631</v>
          </cell>
          <cell r="O17">
            <v>45631</v>
          </cell>
        </row>
        <row r="17">
          <cell r="R17">
            <v>9513900</v>
          </cell>
        </row>
        <row r="18">
          <cell r="R18">
            <v>6342600</v>
          </cell>
        </row>
        <row r="21">
          <cell r="D21">
            <v>138.43</v>
          </cell>
        </row>
        <row r="22">
          <cell r="N22">
            <v>45631</v>
          </cell>
          <cell r="O22">
            <v>45631</v>
          </cell>
        </row>
        <row r="22">
          <cell r="R22">
            <v>9136380</v>
          </cell>
        </row>
        <row r="23">
          <cell r="R23">
            <v>6090920</v>
          </cell>
        </row>
        <row r="26">
          <cell r="D26">
            <v>2444.8</v>
          </cell>
        </row>
      </sheetData>
      <sheetData sheetId="42">
        <row r="12">
          <cell r="N12">
            <v>45650</v>
          </cell>
          <cell r="O12">
            <v>45650</v>
          </cell>
        </row>
        <row r="12">
          <cell r="R12">
            <v>21067200</v>
          </cell>
        </row>
        <row r="12">
          <cell r="U12">
            <v>45737</v>
          </cell>
          <cell r="V12">
            <v>45737</v>
          </cell>
        </row>
        <row r="12">
          <cell r="Y12">
            <v>21067200</v>
          </cell>
        </row>
        <row r="12">
          <cell r="AB12">
            <v>45791</v>
          </cell>
          <cell r="AC12">
            <v>45791</v>
          </cell>
        </row>
        <row r="12">
          <cell r="AF12">
            <v>52668000</v>
          </cell>
        </row>
        <row r="13">
          <cell r="R13">
            <v>14044800</v>
          </cell>
        </row>
        <row r="13">
          <cell r="Y13">
            <v>14044800</v>
          </cell>
        </row>
        <row r="13">
          <cell r="AF13">
            <v>35112000</v>
          </cell>
        </row>
        <row r="17">
          <cell r="N17">
            <v>45679</v>
          </cell>
          <cell r="O17">
            <v>45679</v>
          </cell>
        </row>
        <row r="17">
          <cell r="R17">
            <v>36000360</v>
          </cell>
        </row>
        <row r="17">
          <cell r="U17">
            <v>45791</v>
          </cell>
          <cell r="V17">
            <v>45791</v>
          </cell>
        </row>
        <row r="17">
          <cell r="Y17">
            <v>36000360</v>
          </cell>
        </row>
        <row r="17">
          <cell r="AB17">
            <v>45991</v>
          </cell>
        </row>
        <row r="18">
          <cell r="R18">
            <v>24000240</v>
          </cell>
        </row>
        <row r="18">
          <cell r="Y18">
            <v>24000240</v>
          </cell>
        </row>
        <row r="22">
          <cell r="N22">
            <v>45808</v>
          </cell>
          <cell r="O22">
            <v>45791</v>
          </cell>
        </row>
        <row r="22">
          <cell r="R22">
            <v>16093440</v>
          </cell>
        </row>
        <row r="22">
          <cell r="U22">
            <v>45855</v>
          </cell>
          <cell r="V22">
            <v>45867</v>
          </cell>
        </row>
        <row r="22">
          <cell r="Y22">
            <v>16093440</v>
          </cell>
        </row>
        <row r="22">
          <cell r="AB22">
            <v>45930</v>
          </cell>
          <cell r="AC22">
            <v>45922</v>
          </cell>
        </row>
        <row r="22">
          <cell r="AF22">
            <v>34214400</v>
          </cell>
        </row>
        <row r="23">
          <cell r="R23">
            <v>10728960</v>
          </cell>
        </row>
        <row r="23">
          <cell r="Y23">
            <v>10728960</v>
          </cell>
        </row>
        <row r="23">
          <cell r="AF23">
            <v>14784000</v>
          </cell>
        </row>
        <row r="27">
          <cell r="N27">
            <v>45737</v>
          </cell>
          <cell r="O27">
            <v>45737</v>
          </cell>
        </row>
        <row r="27">
          <cell r="R27">
            <v>13914120</v>
          </cell>
        </row>
        <row r="27">
          <cell r="U27">
            <v>45820</v>
          </cell>
          <cell r="V27">
            <v>45820</v>
          </cell>
        </row>
        <row r="27">
          <cell r="Y27">
            <v>13914120</v>
          </cell>
        </row>
        <row r="27">
          <cell r="AB27">
            <v>45900</v>
          </cell>
          <cell r="AC27">
            <v>45883</v>
          </cell>
        </row>
        <row r="27">
          <cell r="AF27">
            <v>34785300</v>
          </cell>
        </row>
        <row r="28">
          <cell r="R28">
            <v>9276080</v>
          </cell>
        </row>
        <row r="28">
          <cell r="Y28">
            <v>9276080</v>
          </cell>
        </row>
        <row r="28">
          <cell r="AF28">
            <v>23190200</v>
          </cell>
        </row>
        <row r="32">
          <cell r="N32">
            <v>45679</v>
          </cell>
          <cell r="O32">
            <v>45679</v>
          </cell>
        </row>
        <row r="32">
          <cell r="R32">
            <v>9974580</v>
          </cell>
        </row>
        <row r="32">
          <cell r="U32">
            <v>45791</v>
          </cell>
          <cell r="V32">
            <v>45791</v>
          </cell>
        </row>
        <row r="32">
          <cell r="Y32">
            <v>9974580</v>
          </cell>
        </row>
        <row r="32">
          <cell r="AB32">
            <v>45820</v>
          </cell>
          <cell r="AC32">
            <v>45820</v>
          </cell>
        </row>
        <row r="32">
          <cell r="AF32">
            <v>24936450</v>
          </cell>
        </row>
        <row r="33">
          <cell r="R33">
            <v>6649720</v>
          </cell>
        </row>
        <row r="33">
          <cell r="Y33">
            <v>6649720</v>
          </cell>
        </row>
        <row r="33">
          <cell r="AF33">
            <v>16624300</v>
          </cell>
        </row>
        <row r="37">
          <cell r="N37">
            <v>45705</v>
          </cell>
          <cell r="O37">
            <v>45705</v>
          </cell>
        </row>
        <row r="37">
          <cell r="R37">
            <v>4730880</v>
          </cell>
        </row>
        <row r="37">
          <cell r="U37">
            <v>45820</v>
          </cell>
          <cell r="V37">
            <v>45820</v>
          </cell>
        </row>
        <row r="37">
          <cell r="Y37">
            <v>4730880</v>
          </cell>
        </row>
        <row r="37">
          <cell r="AB37">
            <v>46022</v>
          </cell>
        </row>
        <row r="38">
          <cell r="R38">
            <v>3153920</v>
          </cell>
        </row>
        <row r="38">
          <cell r="Y38">
            <v>3233120</v>
          </cell>
        </row>
        <row r="42">
          <cell r="N42">
            <v>45705</v>
          </cell>
          <cell r="O42">
            <v>45705</v>
          </cell>
        </row>
        <row r="42">
          <cell r="R42">
            <v>2534400</v>
          </cell>
        </row>
        <row r="42">
          <cell r="U42">
            <v>45820</v>
          </cell>
          <cell r="V42">
            <v>45820</v>
          </cell>
        </row>
        <row r="42">
          <cell r="Y42">
            <v>2534400</v>
          </cell>
        </row>
        <row r="42">
          <cell r="AB42">
            <v>46022</v>
          </cell>
        </row>
        <row r="43">
          <cell r="R43">
            <v>1689600</v>
          </cell>
        </row>
        <row r="43">
          <cell r="Y43">
            <v>1689600</v>
          </cell>
        </row>
        <row r="47">
          <cell r="N47">
            <v>45705</v>
          </cell>
          <cell r="O47">
            <v>45705</v>
          </cell>
        </row>
        <row r="47">
          <cell r="R47">
            <v>10477500</v>
          </cell>
        </row>
        <row r="47">
          <cell r="U47">
            <v>45820</v>
          </cell>
          <cell r="V47">
            <v>45820</v>
          </cell>
        </row>
        <row r="47">
          <cell r="Y47">
            <v>10477500</v>
          </cell>
        </row>
        <row r="47">
          <cell r="AB47">
            <v>45930</v>
          </cell>
        </row>
        <row r="47">
          <cell r="AF47">
            <v>26193750</v>
          </cell>
        </row>
        <row r="48">
          <cell r="R48">
            <v>6985000</v>
          </cell>
        </row>
        <row r="48">
          <cell r="Y48">
            <v>6985000</v>
          </cell>
        </row>
        <row r="48">
          <cell r="AF48">
            <v>17462500</v>
          </cell>
        </row>
      </sheetData>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atch1 calculation"/>
      <sheetName val="Week news"/>
      <sheetName val="ref.Phase 1 (2)"/>
      <sheetName val="관련 현황"/>
      <sheetName val="GM Total"/>
      <sheetName val="GM Payment(1)"/>
      <sheetName val="GM Payment Plan"/>
      <sheetName val="GM Payment(APA)"/>
      <sheetName val="GM Payment(SPA)"/>
      <sheetName val="지급비율"/>
      <sheetName val="지급비율(1)"/>
      <sheetName val="DG-PV Organic"/>
      <sheetName val="GM payment(재작성 중)"/>
      <sheetName val="SPVs Status 3"/>
      <sheetName val="ref.지급기준 (2)"/>
      <sheetName val="Solar M&amp;A"/>
      <sheetName val="Sheet1"/>
      <sheetName val="Rationales_Solar M&amp;A"/>
      <sheetName val="Solar Organic"/>
      <sheetName val="DG-PV M&amp;A"/>
      <sheetName val="Rationales_DG-PV Organic"/>
      <sheetName val="DG정리"/>
      <sheetName val="Quarterly BD Projection"/>
      <sheetName val="Wind"/>
      <sheetName val="Rationales_Wind"/>
      <sheetName val="Down PJ"/>
      <sheetName val="Back up"/>
      <sheetName val="Pivot"/>
    </sheetNames>
    <sheetDataSet>
      <sheetData sheetId="0"/>
      <sheetData sheetId="1"/>
      <sheetData sheetId="2"/>
      <sheetData sheetId="3"/>
      <sheetData sheetId="4"/>
      <sheetData sheetId="5"/>
      <sheetData sheetId="6"/>
      <sheetData sheetId="7"/>
      <sheetData sheetId="8">
        <row r="11">
          <cell r="C11" t="str">
            <v>Galsan (SPA)</v>
          </cell>
          <cell r="D11">
            <v>993.6</v>
          </cell>
        </row>
        <row r="17">
          <cell r="C17" t="str">
            <v>Mineuri (SPA)</v>
          </cell>
          <cell r="D17">
            <v>993.6</v>
          </cell>
        </row>
        <row r="23">
          <cell r="C23" t="str">
            <v>GM Payment(SPA)</v>
          </cell>
          <cell r="D23">
            <v>993.6</v>
          </cell>
        </row>
        <row r="29">
          <cell r="C29" t="str">
            <v>Jaesan (SPA)</v>
          </cell>
          <cell r="D29">
            <v>993.6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영문법인현황"/>
      <sheetName val="국문법인현황"/>
      <sheetName val="주주명부(1호)"/>
      <sheetName val="주주명부(2호)"/>
      <sheetName val="주주명부(3호)"/>
      <sheetName val="주주명부(4호)"/>
      <sheetName val="주주명부(5호)"/>
      <sheetName val="주주명부(6호)"/>
      <sheetName val="주주명부(7호)"/>
      <sheetName val="주주명부(8호)"/>
      <sheetName val="주주명부(9호)"/>
      <sheetName val="주주명부(10호)"/>
    </sheetNames>
    <sheetDataSet>
      <sheetData sheetId="0"/>
      <sheetData sheetId="1">
        <row r="15">
          <cell r="D15" t="str">
            <v>096301-04-103327</v>
          </cell>
          <cell r="E15" t="str">
            <v>096301-04-103330</v>
          </cell>
        </row>
        <row r="15">
          <cell r="H15" t="str">
            <v>096337-04-011223</v>
          </cell>
          <cell r="I15" t="str">
            <v>096301-04-103343</v>
          </cell>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xmlns:r="http://schemas.openxmlformats.org/officeDocument/2006/relationships" name="Office 2013 - 2022 테마">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3.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6.vml"/>
</Relationships>
</file>

<file path=xl/worksheets/_rels/sheet17.xml.rels><?xml version="1.0" encoding="UTF-8"?>
<Relationships xmlns="http://schemas.openxmlformats.org/package/2006/relationships"><Relationship Id="rId1" Type="http://schemas.openxmlformats.org/officeDocument/2006/relationships/drawing" Target="../drawings/drawing2.xml"/>
</Relationships>
</file>

<file path=xl/worksheets/_rels/sheet20.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4.xml"/><Relationship Id="rId3"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5.xml"/><Relationship Id="rId3"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6.xml"/><Relationship Id="rId3" Type="http://schemas.openxmlformats.org/officeDocument/2006/relationships/vmlDrawing" Target="../drawings/vmlDrawing11.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7.xml"/><Relationship Id="rId3" Type="http://schemas.openxmlformats.org/officeDocument/2006/relationships/vmlDrawing" Target="../drawings/vmlDrawing12.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8.xml"/><Relationship Id="rId3" Type="http://schemas.openxmlformats.org/officeDocument/2006/relationships/vmlDrawing" Target="../drawings/vmlDrawing13.vml"/>
</Relationships>
</file>

<file path=xl/worksheets/_rels/sheet33.xml.rels><?xml version="1.0" encoding="UTF-8"?>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9.xml"/><Relationship Id="rId3" Type="http://schemas.openxmlformats.org/officeDocument/2006/relationships/vmlDrawing" Target="../drawings/vmlDrawing14.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10.xml"/><Relationship Id="rId3" Type="http://schemas.openxmlformats.org/officeDocument/2006/relationships/vmlDrawing" Target="../drawings/vmlDrawing15.vml"/>
</Relationships>
</file>

<file path=xl/worksheets/_rels/sheet35.xml.rels><?xml version="1.0" encoding="UTF-8"?>
<Relationships xmlns="http://schemas.openxmlformats.org/package/2006/relationships"><Relationship Id="rId1" Type="http://schemas.openxmlformats.org/officeDocument/2006/relationships/drawing" Target="../drawings/drawing11.x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12.xml"/><Relationship Id="rId3" Type="http://schemas.openxmlformats.org/officeDocument/2006/relationships/vmlDrawing" Target="../drawings/vmlDrawing1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2: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7" activeCellId="0" sqref="F27"/>
    </sheetView>
  </sheetViews>
  <sheetFormatPr defaultColWidth="8.57421875" defaultRowHeight="16.5" zeroHeight="false" outlineLevelRow="0" outlineLevelCol="0"/>
  <cols>
    <col collapsed="false" customWidth="true" hidden="false" outlineLevel="0" max="2" min="2" style="0" width="18.63"/>
    <col collapsed="false" customWidth="true" hidden="false" outlineLevel="0" max="3" min="3" style="1" width="28"/>
    <col collapsed="false" customWidth="true" hidden="false" outlineLevel="0" max="4" min="4" style="0" width="17.88"/>
    <col collapsed="false" customWidth="true" hidden="false" outlineLevel="0" max="5" min="5" style="0" width="16.75"/>
    <col collapsed="false" customWidth="true" hidden="false" outlineLevel="0" max="6" min="6" style="0" width="23.88"/>
  </cols>
  <sheetData>
    <row r="2" customFormat="false" ht="25.5" hidden="false" customHeight="true" outlineLevel="0" collapsed="false">
      <c r="A2" s="2"/>
      <c r="B2" s="2"/>
      <c r="C2" s="3"/>
      <c r="D2" s="4" t="s">
        <v>0</v>
      </c>
      <c r="F2" s="5"/>
    </row>
    <row r="3" customFormat="false" ht="16.5" hidden="false" customHeight="false" outlineLevel="0" collapsed="false">
      <c r="A3" s="6" t="s">
        <v>1</v>
      </c>
      <c r="B3" s="7"/>
      <c r="C3" s="8" t="s">
        <v>2</v>
      </c>
      <c r="D3" s="7" t="s">
        <v>3</v>
      </c>
      <c r="E3" s="9"/>
      <c r="F3" s="9"/>
    </row>
    <row r="4" customFormat="false" ht="16.5" hidden="false" customHeight="false" outlineLevel="0" collapsed="false">
      <c r="A4" s="10" t="s">
        <v>4</v>
      </c>
      <c r="B4" s="11" t="s">
        <v>5</v>
      </c>
      <c r="C4" s="1" t="n">
        <v>303473480</v>
      </c>
      <c r="D4" s="12" t="n">
        <f aca="false">SUM(C4:C7)</f>
        <v>1210404780</v>
      </c>
      <c r="E4" s="13"/>
      <c r="F4" s="14"/>
    </row>
    <row r="5" customFormat="false" ht="16.5" hidden="false" customHeight="false" outlineLevel="0" collapsed="false">
      <c r="A5" s="10"/>
      <c r="B5" s="11" t="s">
        <v>6</v>
      </c>
      <c r="C5" s="1" t="n">
        <v>302270100</v>
      </c>
      <c r="D5" s="12"/>
      <c r="E5" s="12"/>
      <c r="F5" s="12"/>
    </row>
    <row r="6" customFormat="false" ht="16.5" hidden="false" customHeight="false" outlineLevel="0" collapsed="false">
      <c r="A6" s="10"/>
      <c r="B6" s="11" t="s">
        <v>7</v>
      </c>
      <c r="C6" s="1" t="n">
        <v>302330600</v>
      </c>
      <c r="D6" s="12"/>
      <c r="E6" s="12"/>
      <c r="F6" s="12"/>
    </row>
    <row r="7" customFormat="false" ht="16.5" hidden="false" customHeight="false" outlineLevel="0" collapsed="false">
      <c r="A7" s="10"/>
      <c r="B7" s="2" t="s">
        <v>8</v>
      </c>
      <c r="C7" s="3" t="n">
        <v>302330600</v>
      </c>
      <c r="D7" s="12"/>
      <c r="E7" s="13"/>
      <c r="F7" s="13"/>
    </row>
    <row r="8" customFormat="false" ht="16.5" hidden="false" customHeight="false" outlineLevel="0" collapsed="false">
      <c r="A8" s="10" t="s">
        <v>9</v>
      </c>
      <c r="B8" s="11" t="s">
        <v>10</v>
      </c>
      <c r="C8" s="1" t="n">
        <v>302379000</v>
      </c>
      <c r="D8" s="12" t="n">
        <f aca="false">SUM(C8:C11)</f>
        <v>1209503900</v>
      </c>
      <c r="E8" s="13"/>
      <c r="F8" s="14"/>
    </row>
    <row r="9" customFormat="false" ht="16.5" hidden="false" customHeight="false" outlineLevel="0" collapsed="false">
      <c r="A9" s="10"/>
      <c r="B9" s="11" t="s">
        <v>11</v>
      </c>
      <c r="C9" s="1" t="n">
        <v>302379000</v>
      </c>
      <c r="D9" s="12"/>
      <c r="E9" s="12"/>
      <c r="F9" s="12"/>
    </row>
    <row r="10" customFormat="false" ht="16.5" hidden="false" customHeight="false" outlineLevel="0" collapsed="false">
      <c r="A10" s="10"/>
      <c r="B10" s="11" t="s">
        <v>12</v>
      </c>
      <c r="C10" s="1" t="n">
        <v>302372950</v>
      </c>
      <c r="D10" s="12"/>
      <c r="E10" s="12"/>
      <c r="F10" s="12"/>
    </row>
    <row r="11" customFormat="false" ht="16.5" hidden="false" customHeight="false" outlineLevel="0" collapsed="false">
      <c r="A11" s="10"/>
      <c r="B11" s="2" t="s">
        <v>13</v>
      </c>
      <c r="C11" s="3" t="n">
        <v>302372950</v>
      </c>
      <c r="D11" s="12"/>
      <c r="E11" s="13"/>
      <c r="F11" s="13"/>
    </row>
    <row r="13" customFormat="false" ht="25.5" hidden="false" customHeight="true" outlineLevel="0" collapsed="false">
      <c r="A13" s="2"/>
      <c r="B13" s="2"/>
      <c r="C13" s="3"/>
      <c r="D13" s="2"/>
      <c r="E13" s="2"/>
      <c r="F13" s="4" t="s">
        <v>0</v>
      </c>
    </row>
    <row r="14" customFormat="false" ht="16.5" hidden="false" customHeight="false" outlineLevel="0" collapsed="false">
      <c r="A14" s="6" t="s">
        <v>14</v>
      </c>
      <c r="B14" s="7"/>
      <c r="C14" s="8" t="s">
        <v>2</v>
      </c>
      <c r="D14" s="7" t="s">
        <v>3</v>
      </c>
      <c r="E14" s="7" t="s">
        <v>15</v>
      </c>
      <c r="F14" s="7" t="s">
        <v>16</v>
      </c>
    </row>
    <row r="15" customFormat="false" ht="16.5" hidden="false" customHeight="false" outlineLevel="0" collapsed="false">
      <c r="A15" s="10" t="s">
        <v>4</v>
      </c>
      <c r="B15" s="11" t="s">
        <v>17</v>
      </c>
      <c r="C15" s="1" t="n">
        <v>54945000</v>
      </c>
      <c r="D15" s="12" t="n">
        <f aca="false">SUM(C15:C19)</f>
        <v>211365000</v>
      </c>
      <c r="E15" s="10" t="n">
        <v>4</v>
      </c>
      <c r="F15" s="12" t="n">
        <f aca="false">D15/E15</f>
        <v>52841250</v>
      </c>
    </row>
    <row r="16" customFormat="false" ht="16.5" hidden="false" customHeight="false" outlineLevel="0" collapsed="false">
      <c r="A16" s="10"/>
      <c r="B16" s="11" t="s">
        <v>18</v>
      </c>
      <c r="C16" s="1" t="n">
        <v>11000000</v>
      </c>
      <c r="D16" s="12"/>
      <c r="E16" s="12"/>
      <c r="F16" s="12"/>
    </row>
    <row r="17" customFormat="false" ht="16.5" hidden="false" customHeight="false" outlineLevel="0" collapsed="false">
      <c r="A17" s="10"/>
      <c r="B17" s="11" t="s">
        <v>19</v>
      </c>
      <c r="C17" s="1" t="n">
        <v>35530000</v>
      </c>
      <c r="D17" s="12"/>
      <c r="E17" s="12"/>
      <c r="F17" s="12"/>
    </row>
    <row r="18" customFormat="false" ht="16.5" hidden="false" customHeight="false" outlineLevel="0" collapsed="false">
      <c r="A18" s="10"/>
      <c r="B18" s="11" t="s">
        <v>20</v>
      </c>
      <c r="C18" s="1" t="n">
        <v>54945000</v>
      </c>
      <c r="D18" s="12"/>
      <c r="E18" s="12"/>
      <c r="F18" s="12"/>
    </row>
    <row r="19" customFormat="false" ht="16.5" hidden="false" customHeight="false" outlineLevel="0" collapsed="false">
      <c r="A19" s="10"/>
      <c r="B19" s="2" t="s">
        <v>21</v>
      </c>
      <c r="C19" s="3" t="n">
        <v>54945000</v>
      </c>
      <c r="D19" s="12"/>
      <c r="E19" s="12"/>
      <c r="F19" s="12"/>
    </row>
    <row r="20" customFormat="false" ht="16.5" hidden="false" customHeight="false" outlineLevel="0" collapsed="false">
      <c r="A20" s="10" t="s">
        <v>9</v>
      </c>
      <c r="B20" s="11" t="s">
        <v>10</v>
      </c>
      <c r="C20" s="1" t="n">
        <v>54945000</v>
      </c>
      <c r="D20" s="12" t="n">
        <f aca="false">SUM(C20:C24)</f>
        <v>207790000</v>
      </c>
      <c r="E20" s="10" t="n">
        <v>4</v>
      </c>
      <c r="F20" s="12" t="n">
        <f aca="false">D20/E20</f>
        <v>51947500</v>
      </c>
    </row>
    <row r="21" customFormat="false" ht="16.5" hidden="false" customHeight="false" outlineLevel="0" collapsed="false">
      <c r="A21" s="10"/>
      <c r="B21" s="11" t="s">
        <v>11</v>
      </c>
      <c r="C21" s="1" t="n">
        <v>7040000</v>
      </c>
      <c r="D21" s="12"/>
      <c r="E21" s="12"/>
      <c r="F21" s="12"/>
    </row>
    <row r="22" customFormat="false" ht="16.5" hidden="false" customHeight="false" outlineLevel="0" collapsed="false">
      <c r="A22" s="10"/>
      <c r="B22" s="11" t="s">
        <v>12</v>
      </c>
      <c r="C22" s="1" t="n">
        <v>54945000</v>
      </c>
      <c r="D22" s="12"/>
      <c r="E22" s="12"/>
      <c r="F22" s="12"/>
    </row>
    <row r="23" customFormat="false" ht="16.5" hidden="false" customHeight="false" outlineLevel="0" collapsed="false">
      <c r="A23" s="10"/>
      <c r="B23" s="11" t="s">
        <v>22</v>
      </c>
      <c r="C23" s="1" t="n">
        <v>54945000</v>
      </c>
      <c r="D23" s="12"/>
      <c r="E23" s="12"/>
      <c r="F23" s="12"/>
    </row>
    <row r="24" customFormat="false" ht="16.5" hidden="false" customHeight="false" outlineLevel="0" collapsed="false">
      <c r="A24" s="10"/>
      <c r="B24" s="2" t="s">
        <v>13</v>
      </c>
      <c r="C24" s="3" t="n">
        <v>35915000</v>
      </c>
      <c r="D24" s="12"/>
      <c r="E24" s="12"/>
      <c r="F24" s="12"/>
    </row>
  </sheetData>
  <mergeCells count="16">
    <mergeCell ref="A4:A7"/>
    <mergeCell ref="D4:D7"/>
    <mergeCell ref="E4:E7"/>
    <mergeCell ref="F4:F7"/>
    <mergeCell ref="A8:A11"/>
    <mergeCell ref="D8:D11"/>
    <mergeCell ref="E8:E11"/>
    <mergeCell ref="F8:F11"/>
    <mergeCell ref="A15:A19"/>
    <mergeCell ref="D15:D19"/>
    <mergeCell ref="E15:E19"/>
    <mergeCell ref="F15:F19"/>
    <mergeCell ref="A20:A24"/>
    <mergeCell ref="D20:D24"/>
    <mergeCell ref="E20:E24"/>
    <mergeCell ref="F20: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ACFA"/>
    <pageSetUpPr fitToPage="false"/>
  </sheetPr>
  <dimension ref="A1:D21"/>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C20" activeCellId="0" sqref="C20"/>
    </sheetView>
  </sheetViews>
  <sheetFormatPr defaultColWidth="8.57421875" defaultRowHeight="16.5" zeroHeight="false" outlineLevelRow="0" outlineLevelCol="0"/>
  <cols>
    <col collapsed="false" customWidth="true" hidden="false" outlineLevel="0" max="1" min="1" style="0" width="7.12"/>
    <col collapsed="false" customWidth="true" hidden="false" outlineLevel="0" max="2" min="2" style="0" width="38.25"/>
    <col collapsed="false" customWidth="true" hidden="false" outlineLevel="0" max="3" min="3" style="0" width="130.75"/>
  </cols>
  <sheetData>
    <row r="1" customFormat="false" ht="32.25" hidden="false" customHeight="true" outlineLevel="0" collapsed="false">
      <c r="A1" s="15" t="s">
        <v>23</v>
      </c>
    </row>
    <row r="3" s="18" customFormat="true" ht="21" hidden="false" customHeight="true" outlineLevel="0" collapsed="false">
      <c r="A3" s="16" t="s">
        <v>24</v>
      </c>
      <c r="B3" s="17" t="s">
        <v>25</v>
      </c>
      <c r="C3" s="17" t="s">
        <v>26</v>
      </c>
    </row>
    <row r="4" customFormat="false" ht="76.5" hidden="false" customHeight="true" outlineLevel="0" collapsed="false">
      <c r="A4" s="19" t="n">
        <v>1</v>
      </c>
      <c r="B4" s="20" t="s">
        <v>27</v>
      </c>
      <c r="C4" s="21" t="s">
        <v>28</v>
      </c>
    </row>
    <row r="5" customFormat="false" ht="54.75" hidden="false" customHeight="true" outlineLevel="0" collapsed="false">
      <c r="A5" s="22" t="n">
        <v>2</v>
      </c>
      <c r="B5" s="23" t="s">
        <v>29</v>
      </c>
      <c r="C5" s="24" t="s">
        <v>30</v>
      </c>
    </row>
    <row r="6" customFormat="false" ht="43.5" hidden="false" customHeight="true" outlineLevel="0" collapsed="false">
      <c r="A6" s="22"/>
      <c r="B6" s="23"/>
      <c r="C6" s="25" t="s">
        <v>31</v>
      </c>
    </row>
    <row r="7" customFormat="false" ht="39" hidden="false" customHeight="true" outlineLevel="0" collapsed="false">
      <c r="A7" s="22" t="n">
        <v>3</v>
      </c>
      <c r="B7" s="23" t="s">
        <v>32</v>
      </c>
      <c r="C7" s="24" t="s">
        <v>33</v>
      </c>
    </row>
    <row r="8" customFormat="false" ht="27" hidden="false" customHeight="true" outlineLevel="0" collapsed="false">
      <c r="A8" s="22"/>
      <c r="B8" s="23"/>
      <c r="C8" s="25" t="s">
        <v>34</v>
      </c>
    </row>
    <row r="9" customFormat="false" ht="16.5" hidden="false" customHeight="false" outlineLevel="0" collapsed="false">
      <c r="C9" s="26"/>
    </row>
    <row r="10" customFormat="false" ht="16.5" hidden="false" customHeight="false" outlineLevel="0" collapsed="false">
      <c r="C10" s="26"/>
    </row>
    <row r="11" customFormat="false" ht="28.5" hidden="false" customHeight="true" outlineLevel="0" collapsed="false">
      <c r="A11" s="15" t="s">
        <v>35</v>
      </c>
    </row>
    <row r="12" customFormat="false" ht="16.5" hidden="false" customHeight="false" outlineLevel="0" collapsed="false">
      <c r="C12" s="26"/>
    </row>
    <row r="13" customFormat="false" ht="20.25" hidden="false" customHeight="true" outlineLevel="0" collapsed="false">
      <c r="A13" s="27" t="s">
        <v>24</v>
      </c>
      <c r="B13" s="28" t="s">
        <v>36</v>
      </c>
      <c r="C13" s="17" t="s">
        <v>37</v>
      </c>
      <c r="D13" s="18"/>
    </row>
    <row r="14" customFormat="false" ht="66" hidden="false" customHeight="true" outlineLevel="0" collapsed="false">
      <c r="A14" s="29" t="n">
        <v>1</v>
      </c>
      <c r="B14" s="30" t="s">
        <v>38</v>
      </c>
      <c r="C14" s="31" t="s">
        <v>39</v>
      </c>
    </row>
    <row r="15" customFormat="false" ht="73.5" hidden="false" customHeight="true" outlineLevel="0" collapsed="false">
      <c r="A15" s="19" t="n">
        <v>2</v>
      </c>
      <c r="B15" s="32" t="s">
        <v>40</v>
      </c>
      <c r="C15" s="21" t="s">
        <v>41</v>
      </c>
    </row>
    <row r="16" customFormat="false" ht="90" hidden="false" customHeight="true" outlineLevel="0" collapsed="false">
      <c r="A16" s="33" t="n">
        <v>3</v>
      </c>
      <c r="B16" s="34" t="s">
        <v>42</v>
      </c>
      <c r="C16" s="25" t="s">
        <v>43</v>
      </c>
    </row>
    <row r="17" customFormat="false" ht="75.75" hidden="false" customHeight="true" outlineLevel="0" collapsed="false">
      <c r="A17" s="35" t="n">
        <v>4</v>
      </c>
      <c r="B17" s="36" t="s">
        <v>44</v>
      </c>
      <c r="C17" s="24" t="s">
        <v>45</v>
      </c>
    </row>
    <row r="18" customFormat="false" ht="39" hidden="false" customHeight="true" outlineLevel="0" collapsed="false">
      <c r="A18" s="37"/>
      <c r="B18" s="38" t="s">
        <v>46</v>
      </c>
      <c r="C18" s="38"/>
    </row>
    <row r="19" customFormat="false" ht="16.5" hidden="false" customHeight="false" outlineLevel="0" collapsed="false">
      <c r="A19" s="9"/>
    </row>
    <row r="20" customFormat="false" ht="16.5" hidden="false" customHeight="false" outlineLevel="0" collapsed="false">
      <c r="A20" s="9"/>
    </row>
    <row r="21" customFormat="false" ht="16.5" hidden="false" customHeight="false" outlineLevel="0" collapsed="false">
      <c r="A21" s="9"/>
    </row>
  </sheetData>
  <mergeCells count="5">
    <mergeCell ref="A5:A6"/>
    <mergeCell ref="B5:B6"/>
    <mergeCell ref="A7:A8"/>
    <mergeCell ref="B7:B8"/>
    <mergeCell ref="B18:C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O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3" activeCellId="0" sqref="E23"/>
    </sheetView>
  </sheetViews>
  <sheetFormatPr defaultColWidth="9" defaultRowHeight="16.5" zeroHeight="false" outlineLevelRow="0" outlineLevelCol="0"/>
  <cols>
    <col collapsed="false" customWidth="true" hidden="false" outlineLevel="0" max="1" min="1" style="39" width="1.63"/>
    <col collapsed="false" customWidth="true" hidden="false" outlineLevel="0" max="2" min="2" style="40" width="21.25"/>
    <col collapsed="false" customWidth="true" hidden="false" outlineLevel="0" max="3" min="3" style="40" width="11.37"/>
    <col collapsed="false" customWidth="true" hidden="false" outlineLevel="0" max="11" min="4" style="40" width="16.88"/>
    <col collapsed="false" customWidth="true" hidden="false" outlineLevel="0" max="12" min="12" style="39" width="15.5"/>
    <col collapsed="false" customWidth="true" hidden="false" outlineLevel="0" max="13" min="13" style="39" width="15.37"/>
    <col collapsed="false" customWidth="false" hidden="false" outlineLevel="0" max="16384" min="14" style="39" width="9"/>
  </cols>
  <sheetData>
    <row r="1" customFormat="false" ht="16.5" hidden="false" customHeight="false" outlineLevel="0" collapsed="false">
      <c r="B1" s="41"/>
      <c r="C1" s="41"/>
    </row>
    <row r="2" customFormat="false" ht="16.5" hidden="false" customHeight="false" outlineLevel="0" collapsed="false">
      <c r="B2" s="39" t="s">
        <v>1</v>
      </c>
      <c r="C2" s="41"/>
      <c r="L2" s="42" t="s">
        <v>47</v>
      </c>
    </row>
    <row r="3" customFormat="false" ht="16.5" hidden="false" customHeight="false" outlineLevel="0" collapsed="false">
      <c r="B3" s="43" t="s">
        <v>48</v>
      </c>
      <c r="C3" s="43" t="s">
        <v>49</v>
      </c>
      <c r="D3" s="43" t="s">
        <v>50</v>
      </c>
      <c r="E3" s="43" t="s">
        <v>51</v>
      </c>
      <c r="F3" s="43" t="s">
        <v>52</v>
      </c>
      <c r="G3" s="43" t="s">
        <v>53</v>
      </c>
      <c r="H3" s="43" t="s">
        <v>54</v>
      </c>
      <c r="I3" s="43" t="s">
        <v>55</v>
      </c>
      <c r="J3" s="43" t="s">
        <v>56</v>
      </c>
      <c r="K3" s="43" t="s">
        <v>57</v>
      </c>
      <c r="L3" s="43" t="s">
        <v>58</v>
      </c>
      <c r="O3" s="44" t="n">
        <v>0.1</v>
      </c>
    </row>
    <row r="4" customFormat="false" ht="16.5" hidden="false" customHeight="false" outlineLevel="0" collapsed="false">
      <c r="B4" s="45" t="s">
        <v>59</v>
      </c>
      <c r="C4" s="45"/>
      <c r="D4" s="46" t="n">
        <v>999.58</v>
      </c>
      <c r="E4" s="46" t="n">
        <v>999.58</v>
      </c>
      <c r="F4" s="46" t="n">
        <v>999.6</v>
      </c>
      <c r="G4" s="46" t="n">
        <v>999.6</v>
      </c>
      <c r="H4" s="46" t="n">
        <v>999.24</v>
      </c>
      <c r="I4" s="46" t="n">
        <v>999.24</v>
      </c>
      <c r="J4" s="46" t="n">
        <v>999.44</v>
      </c>
      <c r="K4" s="46" t="n">
        <v>999.44</v>
      </c>
      <c r="L4" s="46" t="n">
        <f aca="false">+SUM(E4:K4)</f>
        <v>6996.14</v>
      </c>
    </row>
    <row r="5" customFormat="false" ht="16.5" hidden="false" customHeight="false" outlineLevel="0" collapsed="false">
      <c r="B5" s="45" t="s">
        <v>60</v>
      </c>
      <c r="C5" s="45"/>
      <c r="D5" s="47" t="n">
        <v>210448.88</v>
      </c>
      <c r="E5" s="47" t="n">
        <v>210448.88</v>
      </c>
      <c r="F5" s="47" t="n">
        <v>210453.09</v>
      </c>
      <c r="G5" s="47" t="n">
        <v>210453.09</v>
      </c>
      <c r="H5" s="47" t="n">
        <v>211354.04</v>
      </c>
      <c r="I5" s="47" t="n">
        <v>210377.3</v>
      </c>
      <c r="J5" s="47" t="n">
        <v>210419.4</v>
      </c>
      <c r="K5" s="47" t="n">
        <v>210419.4</v>
      </c>
      <c r="L5" s="47" t="n">
        <f aca="false">+SUM(E5:K5)</f>
        <v>1473925.2</v>
      </c>
    </row>
    <row r="6" customFormat="false" ht="16.5" hidden="false" customHeight="false" outlineLevel="0" collapsed="false">
      <c r="B6" s="45" t="s">
        <v>61</v>
      </c>
      <c r="C6" s="45"/>
      <c r="D6" s="48" t="n">
        <f aca="false">+D7/$B$7</f>
        <v>549769000</v>
      </c>
      <c r="E6" s="48" t="n">
        <f aca="false">+E7/$B$7</f>
        <v>549769000</v>
      </c>
      <c r="F6" s="48" t="n">
        <f aca="false">+F7/$B$7</f>
        <v>549780000</v>
      </c>
      <c r="G6" s="48" t="n">
        <f aca="false">+G7/$B$7</f>
        <v>549780000</v>
      </c>
      <c r="H6" s="48" t="n">
        <f aca="false">+H4*550000000/1000</f>
        <v>549582000</v>
      </c>
      <c r="I6" s="48" t="n">
        <f aca="false">+I7/$B$7</f>
        <v>549582000</v>
      </c>
      <c r="J6" s="48" t="n">
        <f aca="false">+J7/$B$7</f>
        <v>549692000</v>
      </c>
      <c r="K6" s="48" t="n">
        <f aca="false">+K7/$B$7</f>
        <v>549692000</v>
      </c>
      <c r="L6" s="48" t="n">
        <f aca="false">+L7/$B$7</f>
        <v>3850428600</v>
      </c>
    </row>
    <row r="7" s="49" customFormat="true" ht="16.5" hidden="false" customHeight="false" outlineLevel="0" collapsed="false">
      <c r="B7" s="50" t="n">
        <v>0.55</v>
      </c>
      <c r="C7" s="50"/>
      <c r="D7" s="51" t="n">
        <v>302372950</v>
      </c>
      <c r="E7" s="51" t="n">
        <v>302372950</v>
      </c>
      <c r="F7" s="51" t="n">
        <v>302379000</v>
      </c>
      <c r="G7" s="51" t="n">
        <v>302379000</v>
      </c>
      <c r="H7" s="51" t="n">
        <v>303673480</v>
      </c>
      <c r="I7" s="51" t="n">
        <v>302270100</v>
      </c>
      <c r="J7" s="51" t="n">
        <v>302330600</v>
      </c>
      <c r="K7" s="51" t="n">
        <v>302330600</v>
      </c>
      <c r="L7" s="51" t="n">
        <f aca="false">+SUM(E7:K7)</f>
        <v>2117735730</v>
      </c>
    </row>
    <row r="8" customFormat="false" ht="16.5" hidden="false" customHeight="false" outlineLevel="0" collapsed="false">
      <c r="B8" s="52" t="s">
        <v>62</v>
      </c>
      <c r="C8" s="52"/>
      <c r="D8" s="48" t="n">
        <f aca="false">+D20*$O$3</f>
        <v>54976900</v>
      </c>
      <c r="E8" s="48" t="n">
        <f aca="false">+E20*$O$3</f>
        <v>54976900</v>
      </c>
      <c r="F8" s="48" t="n">
        <f aca="false">+F20*$O$3</f>
        <v>54978000</v>
      </c>
      <c r="G8" s="48" t="n">
        <f aca="false">+G20*$O$3</f>
        <v>54978000</v>
      </c>
      <c r="H8" s="48" t="n">
        <f aca="false">+H20*$O$3</f>
        <v>55213360</v>
      </c>
      <c r="I8" s="48" t="n">
        <f aca="false">+I20*$O$3</f>
        <v>54958200</v>
      </c>
      <c r="J8" s="48" t="n">
        <f aca="false">+J20*$O$3</f>
        <v>54969200</v>
      </c>
      <c r="K8" s="48" t="n">
        <f aca="false">+K20*$O$3</f>
        <v>54969200</v>
      </c>
      <c r="L8" s="48" t="n">
        <f aca="false">+SUM(E8:K8)</f>
        <v>385042860</v>
      </c>
    </row>
    <row r="9" s="49" customFormat="true" ht="16.5" hidden="false" customHeight="false" outlineLevel="0" collapsed="false">
      <c r="B9" s="53" t="s">
        <v>63</v>
      </c>
      <c r="C9" s="53"/>
      <c r="D9" s="54" t="n">
        <f aca="false">+$C$18/4</f>
        <v>51947500</v>
      </c>
      <c r="E9" s="54" t="n">
        <f aca="false">+$C$18/4</f>
        <v>51947500</v>
      </c>
      <c r="F9" s="54" t="n">
        <f aca="false">+$C$18/4</f>
        <v>51947500</v>
      </c>
      <c r="G9" s="54" t="n">
        <f aca="false">+$C$18/4</f>
        <v>51947500</v>
      </c>
      <c r="H9" s="54" t="n">
        <f aca="false">+$C$17/4</f>
        <v>52841250</v>
      </c>
      <c r="I9" s="54" t="n">
        <f aca="false">+$C$17/4</f>
        <v>52841250</v>
      </c>
      <c r="J9" s="54" t="n">
        <f aca="false">+$C$17/4</f>
        <v>52841250</v>
      </c>
      <c r="K9" s="54" t="n">
        <f aca="false">+$C$17/4</f>
        <v>52841250</v>
      </c>
      <c r="L9" s="54" t="n">
        <f aca="false">+SUM(E9:K9)</f>
        <v>367207500</v>
      </c>
    </row>
    <row r="10" customFormat="false" ht="16.5" hidden="false" customHeight="false" outlineLevel="0" collapsed="false">
      <c r="B10" s="55" t="s">
        <v>64</v>
      </c>
      <c r="C10" s="55"/>
      <c r="D10" s="56" t="n">
        <f aca="false">+D6-D7-D9</f>
        <v>195448550</v>
      </c>
      <c r="E10" s="56" t="n">
        <f aca="false">+E6-E7-E9</f>
        <v>195448550</v>
      </c>
      <c r="F10" s="56" t="n">
        <f aca="false">+F6-F7-F9</f>
        <v>195453500</v>
      </c>
      <c r="G10" s="56" t="n">
        <f aca="false">+G6-G7-G9</f>
        <v>195453500</v>
      </c>
      <c r="H10" s="56" t="n">
        <f aca="false">+H6-H7-H9</f>
        <v>193067270</v>
      </c>
      <c r="I10" s="56" t="n">
        <f aca="false">+I6-I7-I9</f>
        <v>194470650</v>
      </c>
      <c r="J10" s="56" t="n">
        <f aca="false">+J6-J7-J9</f>
        <v>194520150</v>
      </c>
      <c r="K10" s="56" t="n">
        <f aca="false">+K6-K7-K9</f>
        <v>194520150</v>
      </c>
      <c r="L10" s="56" t="n">
        <f aca="false">+L6-L7-L9</f>
        <v>1365485370</v>
      </c>
    </row>
    <row r="11" customFormat="false" ht="16.5" hidden="false" customHeight="false" outlineLevel="0" collapsed="false">
      <c r="B11" s="45" t="s">
        <v>65</v>
      </c>
      <c r="C11" s="45"/>
      <c r="D11" s="57" t="s">
        <v>66</v>
      </c>
      <c r="E11" s="57" t="s">
        <v>66</v>
      </c>
      <c r="F11" s="57" t="s">
        <v>66</v>
      </c>
      <c r="G11" s="57" t="s">
        <v>66</v>
      </c>
      <c r="H11" s="57" t="s">
        <v>67</v>
      </c>
      <c r="I11" s="57" t="s">
        <v>68</v>
      </c>
      <c r="J11" s="57" t="s">
        <v>69</v>
      </c>
      <c r="K11" s="57" t="s">
        <v>70</v>
      </c>
      <c r="L11" s="57" t="s">
        <v>66</v>
      </c>
    </row>
    <row r="12" customFormat="false" ht="16.5" hidden="false" customHeight="false" outlineLevel="0" collapsed="false">
      <c r="B12" s="41"/>
      <c r="C12" s="41"/>
      <c r="D12" s="58" t="n">
        <f aca="false">+D9+D7</f>
        <v>354320450</v>
      </c>
      <c r="E12" s="58" t="n">
        <f aca="false">+E9+E7</f>
        <v>354320450</v>
      </c>
      <c r="F12" s="58" t="n">
        <f aca="false">+F9+F7</f>
        <v>354326500</v>
      </c>
      <c r="G12" s="58" t="n">
        <f aca="false">+G9+G7</f>
        <v>354326500</v>
      </c>
      <c r="H12" s="58" t="n">
        <f aca="false">+H9+H7</f>
        <v>356514730</v>
      </c>
      <c r="I12" s="58" t="n">
        <f aca="false">+I9+I7</f>
        <v>355111350</v>
      </c>
      <c r="J12" s="58" t="n">
        <f aca="false">+J9+J7</f>
        <v>355171850</v>
      </c>
      <c r="K12" s="58" t="n">
        <f aca="false">+K9+K7</f>
        <v>355171850</v>
      </c>
      <c r="L12" s="59"/>
    </row>
    <row r="13" customFormat="false" ht="16.5" hidden="false" customHeight="false" outlineLevel="0" collapsed="false">
      <c r="B13" s="41"/>
      <c r="C13" s="41"/>
      <c r="D13" s="60" t="s">
        <v>9</v>
      </c>
      <c r="E13" s="60" t="s">
        <v>9</v>
      </c>
      <c r="F13" s="60" t="s">
        <v>9</v>
      </c>
      <c r="G13" s="60" t="s">
        <v>9</v>
      </c>
      <c r="H13" s="60" t="s">
        <v>4</v>
      </c>
      <c r="I13" s="60" t="s">
        <v>4</v>
      </c>
      <c r="J13" s="60" t="s">
        <v>4</v>
      </c>
      <c r="K13" s="60" t="s">
        <v>4</v>
      </c>
    </row>
    <row r="14" customFormat="false" ht="16.5" hidden="false" customHeight="false" outlineLevel="0" collapsed="false">
      <c r="B14" s="61" t="n">
        <v>0.05</v>
      </c>
      <c r="C14" s="41"/>
      <c r="D14" s="62" t="n">
        <f aca="false">+D6*$B$14</f>
        <v>27488450</v>
      </c>
      <c r="E14" s="62" t="n">
        <f aca="false">+E6*$B$14</f>
        <v>27488450</v>
      </c>
      <c r="F14" s="62" t="n">
        <f aca="false">+F6*$B$14</f>
        <v>27489000</v>
      </c>
      <c r="G14" s="62" t="n">
        <f aca="false">+G6*$B$14</f>
        <v>27489000</v>
      </c>
      <c r="H14" s="62" t="n">
        <f aca="false">+H6*$B$14</f>
        <v>27479100</v>
      </c>
      <c r="I14" s="62" t="n">
        <f aca="false">+I6*$B$14</f>
        <v>27479100</v>
      </c>
      <c r="J14" s="62" t="n">
        <f aca="false">+J6*$B$14</f>
        <v>27484600</v>
      </c>
      <c r="K14" s="62" t="n">
        <f aca="false">+K6*$B$14</f>
        <v>27484600</v>
      </c>
    </row>
    <row r="15" customFormat="false" ht="16.5" hidden="false" customHeight="false" outlineLevel="0" collapsed="false">
      <c r="B15" s="61" t="n">
        <v>0.3</v>
      </c>
      <c r="C15" s="41"/>
      <c r="D15" s="62" t="n">
        <f aca="false">+D6*$B$15</f>
        <v>164930700</v>
      </c>
      <c r="E15" s="62" t="n">
        <f aca="false">+E6*$B$15</f>
        <v>164930700</v>
      </c>
      <c r="F15" s="62" t="n">
        <f aca="false">+F6*$B$15</f>
        <v>164934000</v>
      </c>
      <c r="G15" s="62" t="n">
        <f aca="false">+G6*$B$15</f>
        <v>164934000</v>
      </c>
      <c r="H15" s="62" t="n">
        <f aca="false">+H6*$B$15</f>
        <v>164874600</v>
      </c>
      <c r="I15" s="62" t="n">
        <f aca="false">+I6*$B$15</f>
        <v>164874600</v>
      </c>
      <c r="J15" s="62" t="n">
        <f aca="false">+J6*$B$15</f>
        <v>164907600</v>
      </c>
      <c r="K15" s="62" t="n">
        <f aca="false">+K6*$B$15</f>
        <v>164907600</v>
      </c>
    </row>
    <row r="16" customFormat="false" ht="16.5" hidden="false" customHeight="false" outlineLevel="0" collapsed="false">
      <c r="B16" s="41"/>
      <c r="C16" s="41"/>
      <c r="D16" s="63" t="n">
        <f aca="false">+D4*550000000/1000-D6</f>
        <v>0</v>
      </c>
      <c r="E16" s="63" t="n">
        <f aca="false">+E4*550000000/1000-E6</f>
        <v>0</v>
      </c>
      <c r="F16" s="63" t="n">
        <f aca="false">+F4*550000000/1000-F6</f>
        <v>0</v>
      </c>
      <c r="G16" s="63" t="n">
        <f aca="false">+G4*550000000/1000-G6</f>
        <v>0</v>
      </c>
      <c r="H16" s="63" t="n">
        <f aca="false">+H4*550000000/1000-H6</f>
        <v>0</v>
      </c>
      <c r="I16" s="63" t="n">
        <f aca="false">+I4*550000000/1000-I6</f>
        <v>0</v>
      </c>
      <c r="J16" s="63" t="n">
        <f aca="false">+J4*550000000/1000-J6</f>
        <v>0</v>
      </c>
      <c r="K16" s="63" t="n">
        <f aca="false">+K4*550000000/1000-K6</f>
        <v>0</v>
      </c>
    </row>
    <row r="17" customFormat="false" ht="16.5" hidden="false" customHeight="false" outlineLevel="0" collapsed="false">
      <c r="B17" s="41" t="s">
        <v>4</v>
      </c>
      <c r="C17" s="64" t="n">
        <f aca="false">+'ref.Phase 1 (2)'!C33</f>
        <v>211365000</v>
      </c>
      <c r="D17" s="60"/>
      <c r="E17" s="60"/>
      <c r="F17" s="60"/>
      <c r="G17" s="60"/>
      <c r="H17" s="60"/>
      <c r="I17" s="60" t="s">
        <v>71</v>
      </c>
      <c r="J17" s="60"/>
      <c r="K17" s="60"/>
    </row>
    <row r="18" customFormat="false" ht="16.5" hidden="false" customHeight="false" outlineLevel="0" collapsed="false">
      <c r="B18" s="41" t="s">
        <v>9</v>
      </c>
      <c r="C18" s="64" t="n">
        <f aca="false">+'ref.Phase 1 (2)'!C34</f>
        <v>207790000</v>
      </c>
      <c r="D18" s="60"/>
      <c r="E18" s="60" t="n">
        <f aca="false">+C18/4</f>
        <v>51947500</v>
      </c>
      <c r="F18" s="60"/>
      <c r="G18" s="60"/>
      <c r="H18" s="60"/>
      <c r="I18" s="60"/>
      <c r="J18" s="60"/>
      <c r="K18" s="60"/>
    </row>
    <row r="19" customFormat="false" ht="16.5" hidden="false" customHeight="false" outlineLevel="0" collapsed="false">
      <c r="B19" s="41"/>
      <c r="C19" s="41"/>
      <c r="D19" s="60"/>
      <c r="E19" s="60"/>
      <c r="F19" s="60"/>
      <c r="G19" s="60"/>
      <c r="H19" s="60"/>
      <c r="I19" s="60"/>
      <c r="J19" s="60"/>
      <c r="K19" s="60"/>
    </row>
    <row r="20" customFormat="false" ht="16.5" hidden="false" customHeight="false" outlineLevel="0" collapsed="false">
      <c r="B20" s="41" t="s">
        <v>61</v>
      </c>
      <c r="C20" s="41"/>
      <c r="D20" s="62" t="n">
        <f aca="false">+D7/$B$7</f>
        <v>549769000</v>
      </c>
      <c r="E20" s="62" t="n">
        <f aca="false">+E7/$B$7</f>
        <v>549769000</v>
      </c>
      <c r="F20" s="62" t="n">
        <f aca="false">+F7/$B$7</f>
        <v>549780000</v>
      </c>
      <c r="G20" s="62" t="n">
        <f aca="false">+G7/$B$7</f>
        <v>549780000</v>
      </c>
      <c r="H20" s="62" t="n">
        <f aca="false">+H7/$B$7</f>
        <v>552133600</v>
      </c>
      <c r="I20" s="62" t="n">
        <f aca="false">+I7/$B$7</f>
        <v>549582000</v>
      </c>
      <c r="J20" s="62" t="n">
        <f aca="false">+J7/$B$7</f>
        <v>549692000</v>
      </c>
      <c r="K20" s="62" t="n">
        <f aca="false">+K7/$B$7</f>
        <v>549692000</v>
      </c>
    </row>
    <row r="21" customFormat="false" ht="16.5" hidden="false" customHeight="false" outlineLevel="0" collapsed="false">
      <c r="B21" s="65" t="n">
        <v>0.55</v>
      </c>
      <c r="C21" s="65"/>
      <c r="D21" s="66" t="b">
        <f aca="false">+D20*$B$21=D7</f>
        <v>1</v>
      </c>
      <c r="E21" s="66" t="b">
        <f aca="false">+E20*$B$21=E7</f>
        <v>1</v>
      </c>
      <c r="F21" s="66" t="b">
        <f aca="false">+F20*$B$21=F7</f>
        <v>1</v>
      </c>
      <c r="G21" s="66" t="b">
        <f aca="false">+G20*$B$21=G7</f>
        <v>1</v>
      </c>
      <c r="H21" s="66" t="b">
        <f aca="false">+H20*$B$21=H7</f>
        <v>1</v>
      </c>
      <c r="I21" s="66" t="b">
        <f aca="false">+I20*$B$21=I7</f>
        <v>1</v>
      </c>
      <c r="J21" s="66" t="b">
        <f aca="false">+J20*$B$21=J7</f>
        <v>1</v>
      </c>
      <c r="K21" s="66" t="b">
        <f aca="false">+K20*$B$21=K7</f>
        <v>1</v>
      </c>
    </row>
    <row r="22" customFormat="false" ht="16.5" hidden="false" customHeight="false" outlineLevel="0" collapsed="false">
      <c r="B22" s="41"/>
      <c r="C22" s="41"/>
      <c r="D22" s="67" t="n">
        <f aca="false">+D7/D6</f>
        <v>0.55</v>
      </c>
      <c r="E22" s="67" t="n">
        <f aca="false">+E7/E6</f>
        <v>0.55</v>
      </c>
      <c r="F22" s="67" t="n">
        <f aca="false">+F7/F6</f>
        <v>0.55</v>
      </c>
      <c r="G22" s="67" t="n">
        <f aca="false">+G7/G6</f>
        <v>0.55</v>
      </c>
      <c r="H22" s="67" t="n">
        <f aca="false">+H7/H6</f>
        <v>0.552553540690925</v>
      </c>
      <c r="I22" s="67" t="n">
        <f aca="false">+I7/I6</f>
        <v>0.55</v>
      </c>
      <c r="J22" s="67" t="n">
        <f aca="false">+J7/J6</f>
        <v>0.55</v>
      </c>
      <c r="K22" s="67" t="n">
        <f aca="false">+K7/K6</f>
        <v>0.55</v>
      </c>
    </row>
    <row r="23" customFormat="false" ht="16.5" hidden="false" customHeight="false" outlineLevel="0" collapsed="false">
      <c r="B23" s="41"/>
      <c r="C23" s="41"/>
    </row>
    <row r="24" customFormat="false" ht="16.5" hidden="false" customHeight="false" outlineLevel="0" collapsed="false">
      <c r="B24" s="41"/>
      <c r="C24" s="41"/>
    </row>
    <row r="25" s="39" customFormat="true" ht="16.5" hidden="false" customHeight="false" outlineLevel="0" collapsed="false">
      <c r="B25" s="39" t="s">
        <v>14</v>
      </c>
      <c r="C25" s="41"/>
      <c r="M25" s="68" t="s">
        <v>47</v>
      </c>
    </row>
    <row r="26" customFormat="false" ht="16.5" hidden="false" customHeight="false" outlineLevel="0" collapsed="false">
      <c r="B26" s="43" t="s">
        <v>48</v>
      </c>
      <c r="C26" s="43" t="s">
        <v>49</v>
      </c>
      <c r="D26" s="43" t="s">
        <v>72</v>
      </c>
      <c r="E26" s="43" t="s">
        <v>73</v>
      </c>
      <c r="F26" s="43" t="s">
        <v>74</v>
      </c>
      <c r="G26" s="43" t="s">
        <v>75</v>
      </c>
      <c r="H26" s="43" t="s">
        <v>76</v>
      </c>
      <c r="I26" s="43" t="s">
        <v>77</v>
      </c>
      <c r="J26" s="43" t="s">
        <v>78</v>
      </c>
      <c r="K26" s="43" t="s">
        <v>79</v>
      </c>
      <c r="L26" s="43" t="s">
        <v>80</v>
      </c>
      <c r="M26" s="43" t="s">
        <v>81</v>
      </c>
      <c r="N26" s="69"/>
      <c r="O26" s="44" t="n">
        <v>0.1</v>
      </c>
    </row>
    <row r="27" customFormat="false" ht="16.5" hidden="false" customHeight="false" outlineLevel="0" collapsed="false">
      <c r="B27" s="45" t="s">
        <v>59</v>
      </c>
      <c r="C27" s="45"/>
      <c r="D27" s="70"/>
      <c r="E27" s="70"/>
      <c r="F27" s="70"/>
      <c r="G27" s="70"/>
      <c r="H27" s="70"/>
      <c r="I27" s="70"/>
      <c r="J27" s="70"/>
      <c r="K27" s="70"/>
      <c r="L27" s="70"/>
      <c r="M27" s="70"/>
    </row>
    <row r="28" customFormat="false" ht="16.5" hidden="false" customHeight="false" outlineLevel="0" collapsed="false">
      <c r="B28" s="45" t="s">
        <v>60</v>
      </c>
      <c r="C28" s="45"/>
      <c r="D28" s="47" t="n">
        <v>38418.78</v>
      </c>
      <c r="E28" s="47" t="n">
        <v>25112.57</v>
      </c>
      <c r="F28" s="47" t="n">
        <v>38418.78</v>
      </c>
      <c r="G28" s="47" t="n">
        <v>4922.53</v>
      </c>
      <c r="H28" s="47" t="n">
        <v>38418.78</v>
      </c>
      <c r="I28" s="47" t="n">
        <v>7691.45</v>
      </c>
      <c r="J28" s="47" t="n">
        <v>24843.37</v>
      </c>
      <c r="K28" s="47" t="n">
        <v>38418.78</v>
      </c>
      <c r="L28" s="47" t="n">
        <v>38418.78</v>
      </c>
      <c r="M28" s="47" t="n">
        <v>38418.78</v>
      </c>
      <c r="N28" s="71"/>
    </row>
    <row r="29" customFormat="false" ht="16.5" hidden="false" customHeight="false" outlineLevel="0" collapsed="false">
      <c r="B29" s="52" t="n">
        <v>0.1</v>
      </c>
      <c r="C29" s="52"/>
      <c r="D29" s="48" t="n">
        <v>54945000</v>
      </c>
      <c r="E29" s="48" t="n">
        <v>35915000</v>
      </c>
      <c r="F29" s="48" t="n">
        <v>54945000</v>
      </c>
      <c r="G29" s="48" t="n">
        <v>7040000</v>
      </c>
      <c r="H29" s="48" t="n">
        <v>54945000</v>
      </c>
      <c r="I29" s="48" t="n">
        <v>11000000</v>
      </c>
      <c r="J29" s="48" t="n">
        <v>35530000</v>
      </c>
      <c r="K29" s="48" t="n">
        <v>54945000</v>
      </c>
      <c r="L29" s="48" t="n">
        <v>54945000</v>
      </c>
      <c r="M29" s="48" t="n">
        <v>54945000</v>
      </c>
      <c r="N29" s="72" t="n">
        <f aca="false">SUM(E29:M29)</f>
        <v>364210000</v>
      </c>
    </row>
    <row r="30" customFormat="false" ht="16.5" hidden="false" customHeight="false" outlineLevel="0" collapsed="false">
      <c r="B30" s="52"/>
      <c r="C30" s="52"/>
      <c r="D30" s="48"/>
      <c r="E30" s="48"/>
      <c r="F30" s="48"/>
      <c r="G30" s="48"/>
      <c r="H30" s="48"/>
      <c r="I30" s="48"/>
      <c r="J30" s="48"/>
      <c r="K30" s="48"/>
      <c r="L30" s="48"/>
      <c r="M30" s="48"/>
      <c r="N30" s="72"/>
    </row>
    <row r="31" customFormat="false" ht="16.5" hidden="false" customHeight="false" outlineLevel="0" collapsed="false">
      <c r="B31" s="45" t="s">
        <v>65</v>
      </c>
      <c r="C31" s="45"/>
      <c r="D31" s="57" t="s">
        <v>66</v>
      </c>
      <c r="E31" s="57" t="s">
        <v>66</v>
      </c>
      <c r="F31" s="57" t="s">
        <v>82</v>
      </c>
      <c r="G31" s="57" t="s">
        <v>82</v>
      </c>
      <c r="H31" s="57" t="s">
        <v>67</v>
      </c>
      <c r="I31" s="57" t="s">
        <v>67</v>
      </c>
      <c r="J31" s="57" t="s">
        <v>67</v>
      </c>
      <c r="K31" s="57" t="s">
        <v>67</v>
      </c>
      <c r="L31" s="57" t="s">
        <v>83</v>
      </c>
      <c r="M31" s="57" t="s">
        <v>66</v>
      </c>
      <c r="N31" s="71"/>
    </row>
    <row r="32" customFormat="false" ht="16.5" hidden="false" customHeight="false" outlineLevel="0" collapsed="false">
      <c r="B32" s="69"/>
      <c r="C32" s="41"/>
      <c r="D32" s="71" t="s">
        <v>9</v>
      </c>
      <c r="E32" s="71" t="s">
        <v>9</v>
      </c>
      <c r="F32" s="71" t="s">
        <v>9</v>
      </c>
      <c r="G32" s="71" t="s">
        <v>9</v>
      </c>
      <c r="H32" s="71" t="s">
        <v>4</v>
      </c>
      <c r="I32" s="71" t="s">
        <v>4</v>
      </c>
      <c r="J32" s="71" t="s">
        <v>4</v>
      </c>
      <c r="K32" s="71" t="s">
        <v>4</v>
      </c>
      <c r="L32" s="71" t="s">
        <v>4</v>
      </c>
      <c r="M32" s="71" t="s">
        <v>9</v>
      </c>
      <c r="N32" s="71"/>
    </row>
    <row r="33" s="39" customFormat="true" ht="16.5" hidden="false" customHeight="false" outlineLevel="0" collapsed="false">
      <c r="B33" s="69" t="s">
        <v>4</v>
      </c>
      <c r="C33" s="64" t="n">
        <f aca="false">+H29+I29+J29+K29+L29</f>
        <v>211365000</v>
      </c>
      <c r="D33" s="71"/>
      <c r="F33" s="71"/>
      <c r="G33" s="71"/>
      <c r="H33" s="71"/>
      <c r="I33" s="71"/>
      <c r="J33" s="71"/>
      <c r="K33" s="71"/>
      <c r="L33" s="71"/>
      <c r="M33" s="71"/>
      <c r="N33" s="71"/>
    </row>
    <row r="34" s="73" customFormat="true" ht="16.5" hidden="false" customHeight="false" outlineLevel="0" collapsed="false">
      <c r="B34" s="74" t="s">
        <v>9</v>
      </c>
      <c r="C34" s="75" t="n">
        <f aca="false">+E29+F29+G29+D29+M29</f>
        <v>207790000</v>
      </c>
      <c r="D34" s="60"/>
      <c r="E34" s="60"/>
      <c r="F34" s="60"/>
      <c r="G34" s="60"/>
      <c r="H34" s="60"/>
      <c r="I34" s="60"/>
      <c r="J34" s="60"/>
      <c r="K34" s="60"/>
      <c r="L34" s="60"/>
      <c r="M34" s="60"/>
      <c r="N34" s="60"/>
    </row>
    <row r="35" s="73" customFormat="true" ht="16.5" hidden="false" customHeight="false" outlineLevel="0" collapsed="false">
      <c r="B35" s="74"/>
      <c r="C35" s="76" t="b">
        <f aca="false">+C33+C34=N29</f>
        <v>0</v>
      </c>
      <c r="D35" s="60"/>
      <c r="E35" s="60"/>
      <c r="F35" s="60"/>
      <c r="G35" s="60"/>
      <c r="H35" s="60"/>
      <c r="I35" s="60"/>
      <c r="J35" s="60"/>
      <c r="K35" s="60"/>
      <c r="L35" s="60"/>
      <c r="M35" s="60"/>
      <c r="N35" s="60"/>
    </row>
    <row r="36" s="73" customFormat="true" ht="13.5" hidden="false" customHeight="false" outlineLevel="0" collapsed="false">
      <c r="B36" s="74"/>
      <c r="C36" s="74"/>
      <c r="D36" s="60"/>
      <c r="E36" s="60"/>
      <c r="F36" s="60"/>
      <c r="G36" s="60"/>
      <c r="H36" s="60"/>
      <c r="I36" s="60"/>
      <c r="J36" s="60"/>
      <c r="K36" s="60"/>
      <c r="L36" s="60"/>
      <c r="M36" s="60"/>
      <c r="N36" s="60"/>
    </row>
    <row r="37" s="73" customFormat="true" ht="13.5" hidden="false" customHeight="false" outlineLevel="0" collapsed="false">
      <c r="B37" s="74"/>
      <c r="C37" s="74"/>
      <c r="D37" s="62"/>
      <c r="E37" s="62"/>
      <c r="F37" s="62"/>
      <c r="G37" s="62"/>
      <c r="H37" s="62"/>
      <c r="I37" s="62"/>
      <c r="J37" s="62"/>
      <c r="K37" s="62"/>
      <c r="L37" s="62"/>
      <c r="M37" s="62"/>
      <c r="N37" s="62"/>
    </row>
    <row r="38" s="73" customFormat="true" ht="13.5" hidden="false" customHeight="false" outlineLevel="0" collapsed="false">
      <c r="B38" s="65"/>
      <c r="C38" s="65"/>
    </row>
    <row r="39" s="73" customFormat="true" ht="13.5" hidden="false" customHeight="false" outlineLevel="0" collapsed="false">
      <c r="B39" s="74"/>
      <c r="C39" s="74"/>
    </row>
    <row r="40" s="73" customFormat="true" ht="13.5" hidden="false" customHeight="false" outlineLevel="0" collapsed="false">
      <c r="B40" s="74"/>
      <c r="C40" s="74"/>
    </row>
    <row r="41" s="73" customFormat="true" ht="13.5" hidden="false" customHeight="false" outlineLevel="0" collapsed="false">
      <c r="C41" s="74"/>
    </row>
    <row r="42" customFormat="false" ht="16.5" hidden="false" customHeight="false" outlineLevel="0" collapsed="false">
      <c r="B42" s="39"/>
      <c r="D42" s="77"/>
      <c r="E42" s="77"/>
      <c r="F42" s="77"/>
      <c r="G42" s="77"/>
      <c r="H42" s="77"/>
      <c r="I42" s="77"/>
      <c r="J42" s="77"/>
      <c r="K42" s="77"/>
      <c r="L42" s="77"/>
      <c r="M42" s="77"/>
    </row>
    <row r="43" s="39" customFormat="true" ht="16.5" hidden="false" customHeight="false" outlineLevel="0" collapsed="false">
      <c r="C43" s="40"/>
    </row>
    <row r="44" s="39" customFormat="true" ht="16.5" hidden="false" customHeight="false" outlineLevel="0" collapsed="false">
      <c r="C44" s="40"/>
    </row>
    <row r="45" s="39" customFormat="true" ht="16.5" hidden="false" customHeight="false" outlineLevel="0" collapsed="false">
      <c r="C45" s="4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57421875" defaultRowHeight="16.5" zeroHeight="false" outlineLevelRow="0" outlineLevelCol="0"/>
  <sheetData>
    <row r="3" customFormat="false" ht="16.5" hidden="false" customHeight="false" outlineLevel="0" collapsed="false">
      <c r="B3" s="0" t="s">
        <v>84</v>
      </c>
    </row>
    <row r="4" customFormat="false" ht="16.5" hidden="false" customHeight="false" outlineLevel="0" collapsed="false">
      <c r="B4" s="0" t="s">
        <v>85</v>
      </c>
    </row>
    <row r="5" customFormat="false" ht="16.5" hidden="false" customHeight="false" outlineLevel="0" collapsed="false">
      <c r="B5" s="0" t="s">
        <v>86</v>
      </c>
    </row>
    <row r="6" customFormat="false" ht="16.5" hidden="false" customHeight="false" outlineLevel="0" collapsed="false">
      <c r="B6" s="0" t="s">
        <v>87</v>
      </c>
    </row>
    <row r="8" customFormat="false" ht="16.5" hidden="false" customHeight="false" outlineLevel="0" collapsed="false">
      <c r="B8" s="0" t="s">
        <v>88</v>
      </c>
    </row>
    <row r="9" customFormat="false" ht="16.5" hidden="false" customHeight="false" outlineLevel="0" collapsed="false">
      <c r="B9" s="0" t="s">
        <v>89</v>
      </c>
    </row>
    <row r="10" customFormat="false" ht="16.5" hidden="false" customHeight="false" outlineLevel="0" collapsed="false">
      <c r="B10" s="0" t="s">
        <v>90</v>
      </c>
    </row>
    <row r="12" customFormat="false" ht="16.5" hidden="false" customHeight="false" outlineLevel="0" collapsed="false">
      <c r="B12" s="0" t="s">
        <v>91</v>
      </c>
    </row>
    <row r="13" customFormat="false" ht="16.5" hidden="false" customHeight="false" outlineLevel="0" collapsed="false">
      <c r="B13" s="0" t="s">
        <v>92</v>
      </c>
    </row>
    <row r="14" customFormat="false" ht="16.5" hidden="false" customHeight="false" outlineLevel="0" collapsed="false">
      <c r="B14" s="0" t="s">
        <v>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7" activeCellId="0" sqref="K17"/>
    </sheetView>
  </sheetViews>
  <sheetFormatPr defaultColWidth="8" defaultRowHeight="12.75" zeroHeight="false" outlineLevelRow="0" outlineLevelCol="0"/>
  <cols>
    <col collapsed="false" customWidth="true" hidden="false" outlineLevel="0" max="1" min="1" style="78" width="1.5"/>
    <col collapsed="false" customWidth="true" hidden="false" outlineLevel="0" max="2" min="2" style="78" width="27.37"/>
    <col collapsed="false" customWidth="true" hidden="false" outlineLevel="0" max="3" min="3" style="79" width="14.37"/>
    <col collapsed="false" customWidth="true" hidden="false" outlineLevel="0" max="8" min="4" style="78" width="14.37"/>
    <col collapsed="false" customWidth="true" hidden="false" outlineLevel="0" max="9" min="9" style="78" width="61.25"/>
    <col collapsed="false" customWidth="true" hidden="false" outlineLevel="0" max="10" min="10" style="78" width="13.37"/>
    <col collapsed="false" customWidth="true" hidden="false" outlineLevel="0" max="11" min="11" style="78" width="12.37"/>
    <col collapsed="false" customWidth="false" hidden="false" outlineLevel="0" max="16384" min="12" style="78" width="8"/>
  </cols>
  <sheetData>
    <row r="1" customFormat="false" ht="12.75" hidden="false" customHeight="false" outlineLevel="0" collapsed="false">
      <c r="J1" s="80"/>
    </row>
    <row r="2" customFormat="false" ht="12.75" hidden="false" customHeight="false" outlineLevel="0" collapsed="false">
      <c r="B2" s="81" t="s">
        <v>94</v>
      </c>
    </row>
    <row r="3" customFormat="false" ht="12.75" hidden="false" customHeight="false" outlineLevel="0" collapsed="false">
      <c r="E3" s="82"/>
      <c r="F3" s="82"/>
      <c r="G3" s="82"/>
      <c r="H3" s="82"/>
      <c r="I3" s="83" t="s">
        <v>95</v>
      </c>
    </row>
    <row r="4" s="84" customFormat="true" ht="61.5" hidden="false" customHeight="true" outlineLevel="0" collapsed="false">
      <c r="B4" s="85" t="s">
        <v>96</v>
      </c>
      <c r="C4" s="85" t="s">
        <v>97</v>
      </c>
      <c r="D4" s="85" t="str">
        <f aca="false">+[1]자금현황!E5</f>
        <v>Balance</v>
      </c>
      <c r="E4" s="85" t="s">
        <v>98</v>
      </c>
      <c r="F4" s="86" t="s">
        <v>99</v>
      </c>
      <c r="G4" s="86" t="s">
        <v>100</v>
      </c>
      <c r="H4" s="86" t="s">
        <v>101</v>
      </c>
      <c r="I4" s="86" t="s">
        <v>102</v>
      </c>
      <c r="K4" s="78"/>
      <c r="L4" s="78"/>
      <c r="M4" s="78"/>
      <c r="N4" s="78"/>
      <c r="O4" s="78"/>
      <c r="P4" s="78"/>
      <c r="Q4" s="78"/>
      <c r="R4" s="78"/>
    </row>
    <row r="5" customFormat="false" ht="12.75" hidden="false" customHeight="false" outlineLevel="0" collapsed="false">
      <c r="B5" s="87" t="s">
        <v>103</v>
      </c>
      <c r="C5" s="87" t="s">
        <v>104</v>
      </c>
      <c r="D5" s="88" t="n">
        <v>115042926</v>
      </c>
      <c r="E5" s="88" t="n">
        <f aca="false">+D5</f>
        <v>115042926</v>
      </c>
      <c r="F5" s="88"/>
      <c r="G5" s="88"/>
      <c r="H5" s="88"/>
      <c r="I5" s="89" t="s">
        <v>105</v>
      </c>
      <c r="J5" s="90"/>
      <c r="K5" s="80"/>
    </row>
    <row r="6" customFormat="false" ht="12.75" hidden="false" customHeight="false" outlineLevel="0" collapsed="false">
      <c r="B6" s="87"/>
      <c r="C6" s="87" t="s">
        <v>106</v>
      </c>
      <c r="D6" s="91" t="n">
        <v>299993.87</v>
      </c>
      <c r="E6" s="88" t="n">
        <f aca="false">+D6*$E$15</f>
        <v>440990988.9</v>
      </c>
      <c r="F6" s="88"/>
      <c r="G6" s="88"/>
      <c r="H6" s="88"/>
      <c r="I6" s="89"/>
    </row>
    <row r="7" customFormat="false" ht="13.5" hidden="false" customHeight="true" outlineLevel="0" collapsed="false">
      <c r="B7" s="87"/>
      <c r="C7" s="92" t="s">
        <v>107</v>
      </c>
      <c r="D7" s="93"/>
      <c r="E7" s="94" t="n">
        <f aca="false">SUM(E5:E6)</f>
        <v>556033914.9</v>
      </c>
      <c r="F7" s="94" t="n">
        <f aca="false">+'Amount to be paid in 2025(1004)'!P52</f>
        <v>2497132990</v>
      </c>
      <c r="G7" s="94" t="n">
        <f aca="false">+F7-E7</f>
        <v>1941099075.1</v>
      </c>
      <c r="H7" s="95" t="n">
        <f aca="false">+G7/$E$15</f>
        <v>1320475.56129252</v>
      </c>
      <c r="I7" s="89"/>
    </row>
    <row r="8" customFormat="false" ht="12.75" hidden="false" customHeight="false" outlineLevel="0" collapsed="false">
      <c r="B8" s="87" t="s">
        <v>108</v>
      </c>
      <c r="C8" s="87" t="s">
        <v>104</v>
      </c>
      <c r="D8" s="88" t="n">
        <v>5130070</v>
      </c>
      <c r="E8" s="88" t="n">
        <f aca="false">+D8</f>
        <v>5130070</v>
      </c>
      <c r="F8" s="88"/>
      <c r="G8" s="88"/>
      <c r="H8" s="88"/>
      <c r="I8" s="89" t="s">
        <v>105</v>
      </c>
    </row>
    <row r="9" customFormat="false" ht="12.75" hidden="false" customHeight="false" outlineLevel="0" collapsed="false">
      <c r="B9" s="87"/>
      <c r="C9" s="87" t="s">
        <v>106</v>
      </c>
      <c r="D9" s="91" t="n">
        <v>0</v>
      </c>
      <c r="E9" s="88" t="n">
        <f aca="false">+D9*$E$15</f>
        <v>0</v>
      </c>
      <c r="F9" s="88"/>
      <c r="G9" s="88"/>
      <c r="H9" s="88"/>
      <c r="I9" s="89"/>
    </row>
    <row r="10" customFormat="false" ht="12.75" hidden="false" customHeight="false" outlineLevel="0" collapsed="false">
      <c r="B10" s="87"/>
      <c r="C10" s="92" t="s">
        <v>107</v>
      </c>
      <c r="D10" s="93"/>
      <c r="E10" s="94" t="n">
        <f aca="false">SUM(E8:E9)</f>
        <v>5130070</v>
      </c>
      <c r="F10" s="94" t="n">
        <f aca="false">+D21+D22+D23</f>
        <v>1242149643</v>
      </c>
      <c r="G10" s="94" t="n">
        <f aca="false">+F10-E10</f>
        <v>1237019573</v>
      </c>
      <c r="H10" s="95" t="n">
        <f aca="false">+G10/$E$15</f>
        <v>841509.913605442</v>
      </c>
      <c r="I10" s="89"/>
    </row>
    <row r="11" customFormat="false" ht="12.75" hidden="true" customHeight="false" outlineLevel="0" collapsed="false">
      <c r="B11" s="96" t="s">
        <v>109</v>
      </c>
      <c r="C11" s="96" t="s">
        <v>104</v>
      </c>
      <c r="D11" s="97" t="n">
        <f aca="false">+D5</f>
        <v>115042926</v>
      </c>
      <c r="E11" s="97" t="n">
        <f aca="false">+E5</f>
        <v>115042926</v>
      </c>
      <c r="F11" s="97"/>
      <c r="G11" s="97"/>
      <c r="H11" s="97"/>
      <c r="I11" s="97"/>
    </row>
    <row r="12" customFormat="false" ht="12.75" hidden="true" customHeight="false" outlineLevel="0" collapsed="false">
      <c r="B12" s="96"/>
      <c r="C12" s="96" t="s">
        <v>106</v>
      </c>
      <c r="D12" s="98" t="n">
        <f aca="false">+D6</f>
        <v>299993.87</v>
      </c>
      <c r="E12" s="97" t="n">
        <f aca="false">+D12*$E$15</f>
        <v>440990988.9</v>
      </c>
      <c r="F12" s="97"/>
      <c r="G12" s="97"/>
      <c r="H12" s="97"/>
      <c r="I12" s="97"/>
    </row>
    <row r="13" customFormat="false" ht="12.75" hidden="true" customHeight="false" outlineLevel="0" collapsed="false">
      <c r="B13" s="96"/>
      <c r="C13" s="99" t="s">
        <v>107</v>
      </c>
      <c r="D13" s="96"/>
      <c r="E13" s="97" t="n">
        <f aca="false">SUM(E11:E12)</f>
        <v>556033914.9</v>
      </c>
      <c r="F13" s="97"/>
      <c r="G13" s="97"/>
      <c r="H13" s="97"/>
      <c r="I13" s="97"/>
    </row>
    <row r="14" customFormat="false" ht="12.75" hidden="false" customHeight="false" outlineLevel="0" collapsed="false">
      <c r="D14" s="100"/>
    </row>
    <row r="15" customFormat="false" ht="12.75" hidden="false" customHeight="false" outlineLevel="0" collapsed="false">
      <c r="D15" s="96" t="s">
        <v>110</v>
      </c>
      <c r="E15" s="101" t="n">
        <v>1470</v>
      </c>
      <c r="F15" s="102"/>
      <c r="G15" s="102"/>
      <c r="H15" s="102"/>
      <c r="I15" s="102"/>
    </row>
    <row r="16" customFormat="false" ht="12.75" hidden="false" customHeight="false" outlineLevel="0" collapsed="false">
      <c r="D16" s="100"/>
    </row>
    <row r="18" customFormat="false" ht="28.35" hidden="false" customHeight="true" outlineLevel="0" collapsed="false">
      <c r="B18" s="85" t="s">
        <v>96</v>
      </c>
      <c r="C18" s="85" t="s">
        <v>111</v>
      </c>
      <c r="D18" s="86" t="s">
        <v>100</v>
      </c>
      <c r="E18" s="86" t="s">
        <v>101</v>
      </c>
      <c r="F18" s="103" t="s">
        <v>102</v>
      </c>
      <c r="G18" s="103"/>
      <c r="H18" s="103"/>
      <c r="I18" s="103"/>
    </row>
    <row r="19" customFormat="false" ht="33" hidden="false" customHeight="true" outlineLevel="0" collapsed="false">
      <c r="B19" s="87" t="s">
        <v>103</v>
      </c>
      <c r="C19" s="87" t="s">
        <v>112</v>
      </c>
      <c r="D19" s="88" t="n">
        <f aca="false">+'Amount to be paid in 2025(1004)'!P30</f>
        <v>2430003290</v>
      </c>
      <c r="E19" s="98" t="n">
        <f aca="false">+D19/$E$15</f>
        <v>1653063.46258503</v>
      </c>
      <c r="F19" s="104" t="s">
        <v>113</v>
      </c>
      <c r="G19" s="104"/>
      <c r="H19" s="104"/>
      <c r="I19" s="104"/>
    </row>
    <row r="20" customFormat="false" ht="33" hidden="false" customHeight="true" outlineLevel="0" collapsed="false">
      <c r="B20" s="87"/>
      <c r="C20" s="87" t="s">
        <v>114</v>
      </c>
      <c r="D20" s="88" t="n">
        <f aca="false">+'Amount to be paid in 2025(1004)'!P50</f>
        <v>67129700</v>
      </c>
      <c r="E20" s="98" t="n">
        <f aca="false">+D20/$E$15</f>
        <v>45666.462585034</v>
      </c>
      <c r="F20" s="104" t="s">
        <v>115</v>
      </c>
      <c r="G20" s="104"/>
      <c r="H20" s="104"/>
      <c r="I20" s="104"/>
    </row>
    <row r="21" customFormat="false" ht="33" hidden="false" customHeight="true" outlineLevel="0" collapsed="false">
      <c r="B21" s="87" t="s">
        <v>108</v>
      </c>
      <c r="C21" s="87" t="s">
        <v>112</v>
      </c>
      <c r="D21" s="88" t="n">
        <f aca="false">+'Amount to be paid_POSN2HO'!D28+'Amount to be paid_POSN2HO'!D29+'Amount to be paid_POSN2HO'!D30</f>
        <v>931349470</v>
      </c>
      <c r="E21" s="98" t="n">
        <f aca="false">+D21/$E$15</f>
        <v>633571.068027211</v>
      </c>
      <c r="F21" s="105" t="s">
        <v>116</v>
      </c>
      <c r="G21" s="105"/>
      <c r="H21" s="105"/>
      <c r="I21" s="105"/>
    </row>
    <row r="22" customFormat="false" ht="33" hidden="false" customHeight="true" outlineLevel="0" collapsed="false">
      <c r="B22" s="87"/>
      <c r="C22" s="87" t="s">
        <v>114</v>
      </c>
      <c r="D22" s="88" t="n">
        <f aca="false">+'Amount to be paid_POSN2HO'!O22</f>
        <v>123494400</v>
      </c>
      <c r="E22" s="98" t="n">
        <f aca="false">+D22/$E$15</f>
        <v>84009.7959183674</v>
      </c>
      <c r="F22" s="104" t="s">
        <v>117</v>
      </c>
      <c r="G22" s="104"/>
      <c r="H22" s="104"/>
      <c r="I22" s="104"/>
    </row>
    <row r="23" customFormat="false" ht="33" hidden="false" customHeight="true" outlineLevel="0" collapsed="false">
      <c r="B23" s="87"/>
      <c r="C23" s="87" t="s">
        <v>118</v>
      </c>
      <c r="D23" s="88" t="n">
        <f aca="false">+'Amount to be paid_POSN2HO'!D31+'Amount to be paid_POSN2HO'!D32</f>
        <v>187305773</v>
      </c>
      <c r="E23" s="98" t="n">
        <f aca="false">+D23/$E$15</f>
        <v>127418.893197279</v>
      </c>
      <c r="F23" s="104" t="s">
        <v>119</v>
      </c>
      <c r="G23" s="104"/>
      <c r="H23" s="104"/>
      <c r="I23" s="104"/>
    </row>
    <row r="25" customFormat="false" ht="12.75" hidden="false" customHeight="false" outlineLevel="0" collapsed="false">
      <c r="D25" s="100"/>
      <c r="E25" s="106"/>
    </row>
    <row r="26" customFormat="false" ht="12.75" hidden="false" customHeight="false" outlineLevel="0" collapsed="false">
      <c r="D26" s="100"/>
      <c r="E26" s="106"/>
    </row>
  </sheetData>
  <mergeCells count="13">
    <mergeCell ref="B5:B7"/>
    <mergeCell ref="I5:I7"/>
    <mergeCell ref="B8:B10"/>
    <mergeCell ref="I8:I10"/>
    <mergeCell ref="B11:B13"/>
    <mergeCell ref="F18:I18"/>
    <mergeCell ref="B19:B20"/>
    <mergeCell ref="F19:I19"/>
    <mergeCell ref="F20:I20"/>
    <mergeCell ref="B21:B23"/>
    <mergeCell ref="F21:I21"/>
    <mergeCell ref="F22:I22"/>
    <mergeCell ref="F23:I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7" activeCellId="0" sqref="K17"/>
    </sheetView>
  </sheetViews>
  <sheetFormatPr defaultColWidth="9" defaultRowHeight="16.5" zeroHeight="false" outlineLevelRow="0" outlineLevelCol="0"/>
  <cols>
    <col collapsed="false" customWidth="true" hidden="false" outlineLevel="0" max="1" min="1" style="107" width="1.63"/>
    <col collapsed="false" customWidth="true" hidden="false" outlineLevel="0" max="2" min="2" style="107" width="18.88"/>
    <col collapsed="false" customWidth="true" hidden="false" outlineLevel="0" max="3" min="3" style="108" width="3.75"/>
    <col collapsed="false" customWidth="true" hidden="false" outlineLevel="0" max="4" min="4" style="108" width="17.38"/>
    <col collapsed="false" customWidth="true" hidden="false" outlineLevel="0" max="5" min="5" style="108" width="11.75"/>
    <col collapsed="false" customWidth="true" hidden="false" outlineLevel="0" max="6" min="6" style="107" width="10.37"/>
    <col collapsed="false" customWidth="true" hidden="false" outlineLevel="0" max="7" min="7" style="107" width="16.25"/>
    <col collapsed="false" customWidth="true" hidden="false" outlineLevel="0" max="8" min="8" style="107" width="8.37"/>
    <col collapsed="false" customWidth="true" hidden="false" outlineLevel="0" max="9" min="9" style="107" width="11.5"/>
    <col collapsed="false" customWidth="true" hidden="false" outlineLevel="0" max="10" min="10" style="107" width="11.37"/>
    <col collapsed="false" customWidth="true" hidden="false" outlineLevel="0" max="11" min="11" style="107" width="11.5"/>
    <col collapsed="false" customWidth="true" hidden="false" outlineLevel="0" max="12" min="12" style="107" width="9.5"/>
    <col collapsed="false" customWidth="false" hidden="false" outlineLevel="0" max="15" min="13" style="107" width="9"/>
    <col collapsed="false" customWidth="true" hidden="false" outlineLevel="0" max="16" min="16" style="107" width="10.12"/>
    <col collapsed="false" customWidth="false" hidden="false" outlineLevel="0" max="17" min="17" style="107" width="9"/>
    <col collapsed="false" customWidth="true" hidden="false" outlineLevel="0" max="18" min="18" style="107" width="11.5"/>
    <col collapsed="false" customWidth="true" hidden="false" outlineLevel="0" max="19" min="19" style="107" width="10.12"/>
    <col collapsed="false" customWidth="false" hidden="false" outlineLevel="0" max="36" min="20" style="107" width="9"/>
    <col collapsed="false" customWidth="true" hidden="false" outlineLevel="0" max="37" min="37" style="0" width="8.57"/>
    <col collapsed="false" customWidth="false" hidden="false" outlineLevel="0" max="16384" min="38" style="107" width="9"/>
  </cols>
  <sheetData>
    <row r="2" customFormat="false" ht="16.5" hidden="false" customHeight="false" outlineLevel="0" collapsed="false">
      <c r="B2" s="109" t="s">
        <v>120</v>
      </c>
    </row>
    <row r="4" customFormat="false" ht="16.5" hidden="false" customHeight="true" outlineLevel="0" collapsed="false">
      <c r="B4" s="110" t="s">
        <v>96</v>
      </c>
      <c r="C4" s="110" t="s">
        <v>121</v>
      </c>
      <c r="D4" s="110" t="s">
        <v>122</v>
      </c>
      <c r="E4" s="111" t="s">
        <v>123</v>
      </c>
      <c r="F4" s="111" t="s">
        <v>124</v>
      </c>
      <c r="G4" s="111" t="s">
        <v>125</v>
      </c>
      <c r="H4" s="111" t="s">
        <v>126</v>
      </c>
      <c r="I4" s="111" t="s">
        <v>109</v>
      </c>
      <c r="J4" s="111" t="s">
        <v>127</v>
      </c>
      <c r="K4" s="112" t="s">
        <v>128</v>
      </c>
      <c r="L4" s="112" t="n">
        <v>45688</v>
      </c>
      <c r="M4" s="112" t="n">
        <v>45716</v>
      </c>
      <c r="N4" s="112" t="n">
        <v>45747</v>
      </c>
      <c r="O4" s="112" t="n">
        <v>45777</v>
      </c>
      <c r="P4" s="112" t="n">
        <v>45808</v>
      </c>
      <c r="Q4" s="112" t="n">
        <v>45838</v>
      </c>
      <c r="R4" s="112" t="n">
        <v>45869</v>
      </c>
      <c r="S4" s="112" t="n">
        <v>45900</v>
      </c>
      <c r="T4" s="112" t="n">
        <v>45930</v>
      </c>
      <c r="U4" s="112" t="n">
        <v>45961</v>
      </c>
      <c r="V4" s="112" t="n">
        <v>45991</v>
      </c>
      <c r="W4" s="112" t="n">
        <v>46022</v>
      </c>
      <c r="X4" s="112" t="s">
        <v>129</v>
      </c>
      <c r="Y4" s="112" t="n">
        <v>46053</v>
      </c>
      <c r="Z4" s="112" t="n">
        <v>46081</v>
      </c>
      <c r="AA4" s="112" t="n">
        <v>46112</v>
      </c>
      <c r="AB4" s="112" t="n">
        <v>46142</v>
      </c>
      <c r="AC4" s="112" t="n">
        <v>46173</v>
      </c>
      <c r="AD4" s="112" t="n">
        <v>46203</v>
      </c>
      <c r="AE4" s="112" t="n">
        <v>46234</v>
      </c>
      <c r="AF4" s="112" t="n">
        <v>46265</v>
      </c>
      <c r="AG4" s="112" t="n">
        <v>46295</v>
      </c>
      <c r="AH4" s="112" t="n">
        <v>46326</v>
      </c>
      <c r="AI4" s="112" t="n">
        <v>46356</v>
      </c>
      <c r="AJ4" s="112" t="n">
        <v>46387</v>
      </c>
    </row>
    <row r="5" customFormat="false" ht="16.5" hidden="false" customHeight="false" outlineLevel="0" collapsed="false">
      <c r="B5" s="110"/>
      <c r="C5" s="110"/>
      <c r="D5" s="110"/>
      <c r="E5" s="111"/>
      <c r="F5" s="111"/>
      <c r="G5" s="111"/>
      <c r="H5" s="111"/>
      <c r="I5" s="111"/>
      <c r="J5" s="111"/>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row>
    <row r="6" s="113" customFormat="true" ht="16.5" hidden="false" customHeight="true" outlineLevel="0" collapsed="false">
      <c r="B6" s="114" t="s">
        <v>109</v>
      </c>
      <c r="C6" s="114" t="n">
        <f aca="false">+C7+C8+C9+C10+C11+C12</f>
        <v>22</v>
      </c>
      <c r="D6" s="114"/>
      <c r="E6" s="115" t="n">
        <f aca="false">+SUM(E13:E34)</f>
        <v>15912.58</v>
      </c>
      <c r="F6" s="116"/>
      <c r="G6" s="117" t="n">
        <f aca="false">+SUM(G13:G34)</f>
        <v>7955636000</v>
      </c>
      <c r="H6" s="118" t="n">
        <f aca="false">+I6/G6</f>
        <v>0.617396710960632</v>
      </c>
      <c r="I6" s="117" t="n">
        <f aca="false">+J6+K6+X6</f>
        <v>4911783500</v>
      </c>
      <c r="J6" s="117" t="n">
        <f aca="false">+SUM(J13:J34)</f>
        <v>2837860300</v>
      </c>
      <c r="K6" s="117" t="n">
        <f aca="false">+SUM(K13:K34)</f>
        <v>2073923200</v>
      </c>
      <c r="L6" s="117" t="n">
        <f aca="false">+SUM(L13:L34)</f>
        <v>0</v>
      </c>
      <c r="M6" s="117" t="n">
        <f aca="false">+SUM(M13:M34)</f>
        <v>0</v>
      </c>
      <c r="N6" s="117" t="n">
        <f aca="false">+SUM(N13:N34)</f>
        <v>0</v>
      </c>
      <c r="O6" s="117" t="n">
        <f aca="false">+SUM(O13:O34)</f>
        <v>0</v>
      </c>
      <c r="P6" s="117" t="n">
        <f aca="false">+SUM(P13:P34)</f>
        <v>740251200</v>
      </c>
      <c r="Q6" s="117" t="n">
        <f aca="false">+SUM(Q13:Q34)</f>
        <v>0</v>
      </c>
      <c r="R6" s="117" t="n">
        <f aca="false">+SUM(R13:R34)</f>
        <v>1333672000</v>
      </c>
      <c r="S6" s="117" t="n">
        <f aca="false">+SUM(S13:S34)</f>
        <v>0</v>
      </c>
      <c r="T6" s="117" t="n">
        <f aca="false">+SUM(T13:T34)</f>
        <v>0</v>
      </c>
      <c r="U6" s="117" t="n">
        <f aca="false">+SUM(U13:U34)</f>
        <v>0</v>
      </c>
      <c r="V6" s="117" t="n">
        <f aca="false">+SUM(V13:V34)</f>
        <v>0</v>
      </c>
      <c r="W6" s="117" t="n">
        <f aca="false">+SUM(W13:W34)</f>
        <v>0</v>
      </c>
      <c r="X6" s="117" t="n">
        <f aca="false">+SUM(X13:X34)</f>
        <v>0</v>
      </c>
      <c r="Y6" s="117" t="n">
        <f aca="false">+SUM(Y13:Y34)</f>
        <v>0</v>
      </c>
      <c r="Z6" s="117" t="n">
        <f aca="false">+SUM(Z13:Z34)</f>
        <v>0</v>
      </c>
      <c r="AA6" s="117" t="n">
        <f aca="false">+SUM(AA13:AA34)</f>
        <v>0</v>
      </c>
      <c r="AB6" s="117" t="n">
        <f aca="false">+SUM(AB13:AB34)</f>
        <v>0</v>
      </c>
      <c r="AC6" s="117" t="n">
        <f aca="false">+SUM(AC13:AC34)</f>
        <v>0</v>
      </c>
      <c r="AD6" s="117" t="n">
        <f aca="false">+SUM(AD13:AD34)</f>
        <v>0</v>
      </c>
      <c r="AE6" s="117" t="n">
        <f aca="false">+SUM(AE13:AE34)</f>
        <v>0</v>
      </c>
      <c r="AF6" s="117" t="n">
        <f aca="false">+SUM(AF13:AF34)</f>
        <v>0</v>
      </c>
      <c r="AG6" s="117" t="n">
        <f aca="false">+SUM(AG13:AG34)</f>
        <v>0</v>
      </c>
      <c r="AH6" s="117" t="n">
        <f aca="false">+SUM(AH13:AH34)</f>
        <v>0</v>
      </c>
      <c r="AI6" s="117" t="n">
        <f aca="false">+SUM(AI13:AI34)</f>
        <v>0</v>
      </c>
      <c r="AJ6" s="117" t="n">
        <f aca="false">+SUM(AJ13:AJ34)</f>
        <v>0</v>
      </c>
    </row>
    <row r="7" s="113" customFormat="true" ht="16.5" hidden="false" customHeight="true" outlineLevel="0" collapsed="false">
      <c r="B7" s="119" t="s">
        <v>130</v>
      </c>
      <c r="C7" s="119" t="n">
        <f aca="false">+C26</f>
        <v>14</v>
      </c>
      <c r="D7" s="119"/>
      <c r="E7" s="120" t="n">
        <f aca="false">+SUM(E13:E26)</f>
        <v>10394.64</v>
      </c>
      <c r="F7" s="121"/>
      <c r="G7" s="122" t="n">
        <f aca="false">+SUM(G13:G26)</f>
        <v>6436728000</v>
      </c>
      <c r="H7" s="123" t="n">
        <f aca="false">+I7/G7</f>
        <v>0.555889809232268</v>
      </c>
      <c r="I7" s="122" t="n">
        <f aca="false">+SUM(I13:I26)</f>
        <v>3578111500</v>
      </c>
      <c r="J7" s="122" t="n">
        <f aca="false">+SUM(J13:J26)</f>
        <v>2837860300</v>
      </c>
      <c r="K7" s="122" t="n">
        <f aca="false">+SUM(K13:K26)</f>
        <v>740251200</v>
      </c>
      <c r="L7" s="122" t="n">
        <f aca="false">+SUM(L13:L26)</f>
        <v>0</v>
      </c>
      <c r="M7" s="122" t="n">
        <f aca="false">+SUM(M13:M26)</f>
        <v>0</v>
      </c>
      <c r="N7" s="122" t="n">
        <f aca="false">+SUM(N13:N26)</f>
        <v>0</v>
      </c>
      <c r="O7" s="122" t="n">
        <f aca="false">+SUM(O13:O26)</f>
        <v>0</v>
      </c>
      <c r="P7" s="122" t="n">
        <f aca="false">+SUM(P13:P26)</f>
        <v>740251200</v>
      </c>
      <c r="Q7" s="122" t="n">
        <f aca="false">+SUM(Q13:Q26)</f>
        <v>0</v>
      </c>
      <c r="R7" s="122" t="n">
        <f aca="false">+SUM(R13:R26)</f>
        <v>0</v>
      </c>
      <c r="S7" s="122" t="n">
        <f aca="false">+SUM(S13:S26)</f>
        <v>0</v>
      </c>
      <c r="T7" s="122" t="n">
        <f aca="false">+SUM(T13:T26)</f>
        <v>0</v>
      </c>
      <c r="U7" s="122" t="n">
        <f aca="false">+SUM(U13:U26)</f>
        <v>0</v>
      </c>
      <c r="V7" s="122" t="n">
        <f aca="false">+SUM(V13:V26)</f>
        <v>0</v>
      </c>
      <c r="W7" s="122" t="n">
        <f aca="false">+SUM(W13:W26)</f>
        <v>0</v>
      </c>
      <c r="X7" s="122" t="n">
        <f aca="false">+SUM(X13:X26)</f>
        <v>0</v>
      </c>
      <c r="Y7" s="122" t="n">
        <f aca="false">+SUM(Y13:Y26)</f>
        <v>0</v>
      </c>
      <c r="Z7" s="122" t="n">
        <f aca="false">+SUM(Z13:Z26)</f>
        <v>0</v>
      </c>
      <c r="AA7" s="122" t="n">
        <f aca="false">+SUM(AA13:AA26)</f>
        <v>0</v>
      </c>
      <c r="AB7" s="122" t="n">
        <f aca="false">+SUM(AB13:AB26)</f>
        <v>0</v>
      </c>
      <c r="AC7" s="122" t="n">
        <f aca="false">+SUM(AC13:AC26)</f>
        <v>0</v>
      </c>
      <c r="AD7" s="122" t="n">
        <f aca="false">+SUM(AD13:AD26)</f>
        <v>0</v>
      </c>
      <c r="AE7" s="122" t="n">
        <f aca="false">+SUM(AE13:AE26)</f>
        <v>0</v>
      </c>
      <c r="AF7" s="122" t="n">
        <f aca="false">+SUM(AF13:AF26)</f>
        <v>0</v>
      </c>
      <c r="AG7" s="122" t="n">
        <f aca="false">+SUM(AG13:AG26)</f>
        <v>0</v>
      </c>
      <c r="AH7" s="122" t="n">
        <f aca="false">+SUM(AH13:AH26)</f>
        <v>0</v>
      </c>
      <c r="AI7" s="122" t="n">
        <f aca="false">+SUM(AI13:AI26)</f>
        <v>0</v>
      </c>
      <c r="AJ7" s="122" t="n">
        <f aca="false">+SUM(AJ13:AJ26)</f>
        <v>0</v>
      </c>
    </row>
    <row r="8" s="113" customFormat="true" ht="16.5" hidden="false" customHeight="true" outlineLevel="0" collapsed="false">
      <c r="B8" s="119" t="s">
        <v>131</v>
      </c>
      <c r="C8" s="119" t="n">
        <f aca="false">+C27</f>
        <v>1</v>
      </c>
      <c r="D8" s="119"/>
      <c r="E8" s="120" t="n">
        <f aca="false">+E27</f>
        <v>993.6</v>
      </c>
      <c r="F8" s="121"/>
      <c r="G8" s="122" t="n">
        <f aca="false">+G27</f>
        <v>223820970</v>
      </c>
      <c r="H8" s="123" t="n">
        <f aca="false">+I8/G8</f>
        <v>1</v>
      </c>
      <c r="I8" s="122" t="n">
        <f aca="false">+I27</f>
        <v>223820970</v>
      </c>
      <c r="J8" s="122" t="n">
        <f aca="false">+J27</f>
        <v>0</v>
      </c>
      <c r="K8" s="122" t="n">
        <f aca="false">+K27</f>
        <v>223820970</v>
      </c>
      <c r="L8" s="122" t="n">
        <f aca="false">+L27</f>
        <v>0</v>
      </c>
      <c r="M8" s="122" t="n">
        <f aca="false">+M27</f>
        <v>0</v>
      </c>
      <c r="N8" s="122" t="n">
        <f aca="false">+N27</f>
        <v>0</v>
      </c>
      <c r="O8" s="122" t="n">
        <f aca="false">+O27</f>
        <v>0</v>
      </c>
      <c r="P8" s="122" t="n">
        <f aca="false">+P27</f>
        <v>0</v>
      </c>
      <c r="Q8" s="122" t="n">
        <f aca="false">+Q27</f>
        <v>0</v>
      </c>
      <c r="R8" s="122" t="n">
        <f aca="false">+R27</f>
        <v>223820970</v>
      </c>
      <c r="S8" s="122" t="n">
        <f aca="false">+S27</f>
        <v>0</v>
      </c>
      <c r="T8" s="122" t="n">
        <f aca="false">+T27</f>
        <v>0</v>
      </c>
      <c r="U8" s="122" t="n">
        <f aca="false">+U27</f>
        <v>0</v>
      </c>
      <c r="V8" s="122" t="n">
        <f aca="false">+V27</f>
        <v>0</v>
      </c>
      <c r="W8" s="122" t="n">
        <f aca="false">+W27</f>
        <v>0</v>
      </c>
      <c r="X8" s="122" t="n">
        <f aca="false">+X27</f>
        <v>0</v>
      </c>
      <c r="Y8" s="122" t="n">
        <f aca="false">+Y27</f>
        <v>0</v>
      </c>
      <c r="Z8" s="122" t="n">
        <f aca="false">+Z27</f>
        <v>0</v>
      </c>
      <c r="AA8" s="122" t="n">
        <f aca="false">+AA27</f>
        <v>0</v>
      </c>
      <c r="AB8" s="122" t="n">
        <f aca="false">+AB27</f>
        <v>0</v>
      </c>
      <c r="AC8" s="122" t="n">
        <f aca="false">+AC27</f>
        <v>0</v>
      </c>
      <c r="AD8" s="122" t="n">
        <f aca="false">+AD27</f>
        <v>0</v>
      </c>
      <c r="AE8" s="122" t="n">
        <f aca="false">+AE27</f>
        <v>0</v>
      </c>
      <c r="AF8" s="122" t="n">
        <f aca="false">+AF27</f>
        <v>0</v>
      </c>
      <c r="AG8" s="122" t="n">
        <f aca="false">+AG27</f>
        <v>0</v>
      </c>
      <c r="AH8" s="122" t="n">
        <f aca="false">+AH27</f>
        <v>0</v>
      </c>
      <c r="AI8" s="122" t="n">
        <f aca="false">+AI27</f>
        <v>0</v>
      </c>
      <c r="AJ8" s="122" t="n">
        <f aca="false">+AJ27</f>
        <v>0</v>
      </c>
    </row>
    <row r="9" s="113" customFormat="true" ht="16.5" hidden="false" customHeight="true" outlineLevel="0" collapsed="false">
      <c r="B9" s="119" t="s">
        <v>132</v>
      </c>
      <c r="C9" s="119" t="n">
        <f aca="false">+C28</f>
        <v>1</v>
      </c>
      <c r="D9" s="119"/>
      <c r="E9" s="120" t="n">
        <f aca="false">+E28</f>
        <v>993.6</v>
      </c>
      <c r="F9" s="121"/>
      <c r="G9" s="122" t="n">
        <f aca="false">+G28</f>
        <v>110418040</v>
      </c>
      <c r="H9" s="123" t="n">
        <f aca="false">+I9/G9</f>
        <v>1</v>
      </c>
      <c r="I9" s="122" t="n">
        <f aca="false">+I28</f>
        <v>110418040</v>
      </c>
      <c r="J9" s="122" t="n">
        <f aca="false">+J28</f>
        <v>0</v>
      </c>
      <c r="K9" s="122" t="n">
        <f aca="false">+K28</f>
        <v>110418040</v>
      </c>
      <c r="L9" s="122" t="n">
        <f aca="false">+L28</f>
        <v>0</v>
      </c>
      <c r="M9" s="122" t="n">
        <f aca="false">+M28</f>
        <v>0</v>
      </c>
      <c r="N9" s="122" t="n">
        <f aca="false">+N28</f>
        <v>0</v>
      </c>
      <c r="O9" s="122" t="n">
        <f aca="false">+O28</f>
        <v>0</v>
      </c>
      <c r="P9" s="122" t="n">
        <f aca="false">+P28</f>
        <v>0</v>
      </c>
      <c r="Q9" s="122" t="n">
        <f aca="false">+Q28</f>
        <v>0</v>
      </c>
      <c r="R9" s="122" t="n">
        <f aca="false">+R28</f>
        <v>110418040</v>
      </c>
      <c r="S9" s="122" t="n">
        <f aca="false">+S28</f>
        <v>0</v>
      </c>
      <c r="T9" s="122" t="n">
        <f aca="false">+T28</f>
        <v>0</v>
      </c>
      <c r="U9" s="122" t="n">
        <f aca="false">+U28</f>
        <v>0</v>
      </c>
      <c r="V9" s="122" t="n">
        <f aca="false">+V28</f>
        <v>0</v>
      </c>
      <c r="W9" s="122" t="n">
        <f aca="false">+W28</f>
        <v>0</v>
      </c>
      <c r="X9" s="122" t="n">
        <f aca="false">+X28</f>
        <v>0</v>
      </c>
      <c r="Y9" s="122" t="n">
        <f aca="false">+Y28</f>
        <v>0</v>
      </c>
      <c r="Z9" s="122" t="n">
        <f aca="false">+Z28</f>
        <v>0</v>
      </c>
      <c r="AA9" s="122" t="n">
        <f aca="false">+AA28</f>
        <v>0</v>
      </c>
      <c r="AB9" s="122" t="n">
        <f aca="false">+AB28</f>
        <v>0</v>
      </c>
      <c r="AC9" s="122" t="n">
        <f aca="false">+AC28</f>
        <v>0</v>
      </c>
      <c r="AD9" s="122" t="n">
        <f aca="false">+AD28</f>
        <v>0</v>
      </c>
      <c r="AE9" s="122" t="n">
        <f aca="false">+AE28</f>
        <v>0</v>
      </c>
      <c r="AF9" s="122" t="n">
        <f aca="false">+AF28</f>
        <v>0</v>
      </c>
      <c r="AG9" s="122" t="n">
        <f aca="false">+AG28</f>
        <v>0</v>
      </c>
      <c r="AH9" s="122" t="n">
        <f aca="false">+AH28</f>
        <v>0</v>
      </c>
      <c r="AI9" s="122" t="n">
        <f aca="false">+AI28</f>
        <v>0</v>
      </c>
      <c r="AJ9" s="122" t="n">
        <f aca="false">+AJ28</f>
        <v>0</v>
      </c>
    </row>
    <row r="10" s="113" customFormat="true" ht="16.5" hidden="false" customHeight="true" outlineLevel="0" collapsed="false">
      <c r="B10" s="119" t="s">
        <v>133</v>
      </c>
      <c r="C10" s="119" t="n">
        <f aca="false">+C29</f>
        <v>1</v>
      </c>
      <c r="D10" s="119"/>
      <c r="E10" s="120" t="n">
        <f aca="false">+E29</f>
        <v>993.6</v>
      </c>
      <c r="F10" s="121"/>
      <c r="G10" s="122" t="n">
        <f aca="false">+G29</f>
        <v>108773270</v>
      </c>
      <c r="H10" s="123" t="n">
        <f aca="false">+I10/G10</f>
        <v>1</v>
      </c>
      <c r="I10" s="122" t="n">
        <f aca="false">+I29</f>
        <v>108773270</v>
      </c>
      <c r="J10" s="122" t="n">
        <f aca="false">+J29</f>
        <v>0</v>
      </c>
      <c r="K10" s="122" t="n">
        <f aca="false">+K29</f>
        <v>108773270</v>
      </c>
      <c r="L10" s="122" t="n">
        <f aca="false">+L29</f>
        <v>0</v>
      </c>
      <c r="M10" s="122" t="n">
        <f aca="false">+M29</f>
        <v>0</v>
      </c>
      <c r="N10" s="122" t="n">
        <f aca="false">+N29</f>
        <v>0</v>
      </c>
      <c r="O10" s="122" t="n">
        <f aca="false">+O29</f>
        <v>0</v>
      </c>
      <c r="P10" s="122" t="n">
        <f aca="false">+P29</f>
        <v>0</v>
      </c>
      <c r="Q10" s="122" t="n">
        <f aca="false">+Q29</f>
        <v>0</v>
      </c>
      <c r="R10" s="122" t="n">
        <f aca="false">+R29</f>
        <v>108773270</v>
      </c>
      <c r="S10" s="122" t="n">
        <f aca="false">+S29</f>
        <v>0</v>
      </c>
      <c r="T10" s="122" t="n">
        <f aca="false">+T29</f>
        <v>0</v>
      </c>
      <c r="U10" s="122" t="n">
        <f aca="false">+U29</f>
        <v>0</v>
      </c>
      <c r="V10" s="122" t="n">
        <f aca="false">+V29</f>
        <v>0</v>
      </c>
      <c r="W10" s="122" t="n">
        <f aca="false">+W29</f>
        <v>0</v>
      </c>
      <c r="X10" s="122" t="n">
        <f aca="false">+X29</f>
        <v>0</v>
      </c>
      <c r="Y10" s="122" t="n">
        <f aca="false">+Y29</f>
        <v>0</v>
      </c>
      <c r="Z10" s="122" t="n">
        <f aca="false">+Z29</f>
        <v>0</v>
      </c>
      <c r="AA10" s="122" t="n">
        <f aca="false">+AA29</f>
        <v>0</v>
      </c>
      <c r="AB10" s="122" t="n">
        <f aca="false">+AB29</f>
        <v>0</v>
      </c>
      <c r="AC10" s="122" t="n">
        <f aca="false">+AC29</f>
        <v>0</v>
      </c>
      <c r="AD10" s="122" t="n">
        <f aca="false">+AD29</f>
        <v>0</v>
      </c>
      <c r="AE10" s="122" t="n">
        <f aca="false">+AE29</f>
        <v>0</v>
      </c>
      <c r="AF10" s="122" t="n">
        <f aca="false">+AF29</f>
        <v>0</v>
      </c>
      <c r="AG10" s="122" t="n">
        <f aca="false">+AG29</f>
        <v>0</v>
      </c>
      <c r="AH10" s="122" t="n">
        <f aca="false">+AH29</f>
        <v>0</v>
      </c>
      <c r="AI10" s="122" t="n">
        <f aca="false">+AI29</f>
        <v>0</v>
      </c>
      <c r="AJ10" s="122" t="n">
        <f aca="false">+AJ29</f>
        <v>0</v>
      </c>
    </row>
    <row r="11" s="113" customFormat="true" ht="16.5" hidden="false" customHeight="true" outlineLevel="0" collapsed="false">
      <c r="B11" s="119" t="s">
        <v>134</v>
      </c>
      <c r="C11" s="119" t="n">
        <f aca="false">+C30</f>
        <v>1</v>
      </c>
      <c r="D11" s="119"/>
      <c r="E11" s="120" t="n">
        <f aca="false">+E30</f>
        <v>993.6</v>
      </c>
      <c r="F11" s="121"/>
      <c r="G11" s="122" t="n">
        <f aca="false">+G30</f>
        <v>458479720</v>
      </c>
      <c r="H11" s="123" t="n">
        <f aca="false">+I11/G11</f>
        <v>1</v>
      </c>
      <c r="I11" s="122" t="n">
        <f aca="false">+I30</f>
        <v>458479720</v>
      </c>
      <c r="J11" s="122" t="n">
        <f aca="false">+J30</f>
        <v>0</v>
      </c>
      <c r="K11" s="122" t="n">
        <f aca="false">+K30</f>
        <v>458479720</v>
      </c>
      <c r="L11" s="122" t="n">
        <f aca="false">+L30</f>
        <v>0</v>
      </c>
      <c r="M11" s="122" t="n">
        <f aca="false">+M30</f>
        <v>0</v>
      </c>
      <c r="N11" s="122" t="n">
        <f aca="false">+N30</f>
        <v>0</v>
      </c>
      <c r="O11" s="122" t="n">
        <f aca="false">+O30</f>
        <v>0</v>
      </c>
      <c r="P11" s="122" t="n">
        <f aca="false">+P30</f>
        <v>0</v>
      </c>
      <c r="Q11" s="122" t="n">
        <f aca="false">+Q30</f>
        <v>0</v>
      </c>
      <c r="R11" s="122" t="n">
        <f aca="false">+R30</f>
        <v>458479720</v>
      </c>
      <c r="S11" s="122" t="n">
        <f aca="false">+S30</f>
        <v>0</v>
      </c>
      <c r="T11" s="122" t="n">
        <f aca="false">+T30</f>
        <v>0</v>
      </c>
      <c r="U11" s="122" t="n">
        <f aca="false">+U30</f>
        <v>0</v>
      </c>
      <c r="V11" s="122" t="n">
        <f aca="false">+V30</f>
        <v>0</v>
      </c>
      <c r="W11" s="122" t="n">
        <f aca="false">+W30</f>
        <v>0</v>
      </c>
      <c r="X11" s="122" t="n">
        <f aca="false">+X30</f>
        <v>0</v>
      </c>
      <c r="Y11" s="122" t="n">
        <f aca="false">+Y30</f>
        <v>0</v>
      </c>
      <c r="Z11" s="122" t="n">
        <f aca="false">+Z30</f>
        <v>0</v>
      </c>
      <c r="AA11" s="122" t="n">
        <f aca="false">+AA30</f>
        <v>0</v>
      </c>
      <c r="AB11" s="122" t="n">
        <f aca="false">+AB30</f>
        <v>0</v>
      </c>
      <c r="AC11" s="122" t="n">
        <f aca="false">+AC30</f>
        <v>0</v>
      </c>
      <c r="AD11" s="122" t="n">
        <f aca="false">+AD30</f>
        <v>0</v>
      </c>
      <c r="AE11" s="122" t="n">
        <f aca="false">+AE30</f>
        <v>0</v>
      </c>
      <c r="AF11" s="122" t="n">
        <f aca="false">+AF30</f>
        <v>0</v>
      </c>
      <c r="AG11" s="122" t="n">
        <f aca="false">+AG30</f>
        <v>0</v>
      </c>
      <c r="AH11" s="122" t="n">
        <f aca="false">+AH30</f>
        <v>0</v>
      </c>
      <c r="AI11" s="122" t="n">
        <f aca="false">+AI30</f>
        <v>0</v>
      </c>
      <c r="AJ11" s="122" t="n">
        <f aca="false">+AJ30</f>
        <v>0</v>
      </c>
    </row>
    <row r="12" s="113" customFormat="true" ht="16.5" hidden="false" customHeight="true" outlineLevel="0" collapsed="false">
      <c r="B12" s="119" t="s">
        <v>135</v>
      </c>
      <c r="C12" s="119" t="n">
        <v>4</v>
      </c>
      <c r="D12" s="119"/>
      <c r="E12" s="120" t="n">
        <f aca="false">+SUM(E31:E34)</f>
        <v>1543.54</v>
      </c>
      <c r="F12" s="121"/>
      <c r="G12" s="122" t="n">
        <f aca="false">+SUM(G31:G34)</f>
        <v>617416000</v>
      </c>
      <c r="H12" s="123" t="n">
        <f aca="false">+I12/G12</f>
        <v>0.699981859880534</v>
      </c>
      <c r="I12" s="122" t="n">
        <f aca="false">+SUM(I31:I34)</f>
        <v>432180000</v>
      </c>
      <c r="J12" s="122" t="n">
        <f aca="false">+SUM(J31:J34)</f>
        <v>0</v>
      </c>
      <c r="K12" s="122" t="n">
        <f aca="false">+SUM(K31:K34)</f>
        <v>432180000</v>
      </c>
      <c r="L12" s="122" t="n">
        <f aca="false">+SUM(L31:L34)</f>
        <v>0</v>
      </c>
      <c r="M12" s="122" t="n">
        <f aca="false">+SUM(M31:M34)</f>
        <v>0</v>
      </c>
      <c r="N12" s="122" t="n">
        <f aca="false">+SUM(N31:N34)</f>
        <v>0</v>
      </c>
      <c r="O12" s="122" t="n">
        <f aca="false">+SUM(O31:O34)</f>
        <v>0</v>
      </c>
      <c r="P12" s="122" t="n">
        <f aca="false">+SUM(P31:P34)</f>
        <v>0</v>
      </c>
      <c r="Q12" s="122" t="n">
        <f aca="false">+SUM(Q31:Q34)</f>
        <v>0</v>
      </c>
      <c r="R12" s="122" t="n">
        <f aca="false">+SUM(R31:R34)</f>
        <v>432180000</v>
      </c>
      <c r="S12" s="122" t="n">
        <f aca="false">+SUM(S31:S34)</f>
        <v>0</v>
      </c>
      <c r="T12" s="122" t="n">
        <f aca="false">+SUM(T31:T34)</f>
        <v>0</v>
      </c>
      <c r="U12" s="122" t="n">
        <f aca="false">+SUM(U31:U34)</f>
        <v>0</v>
      </c>
      <c r="V12" s="122" t="n">
        <f aca="false">+SUM(V31:V34)</f>
        <v>0</v>
      </c>
      <c r="W12" s="122" t="n">
        <f aca="false">+SUM(W31:W34)</f>
        <v>0</v>
      </c>
      <c r="X12" s="122" t="n">
        <f aca="false">+SUM(X31:X34)</f>
        <v>0</v>
      </c>
      <c r="Y12" s="122" t="n">
        <f aca="false">+SUM(Y31:Y34)</f>
        <v>0</v>
      </c>
      <c r="Z12" s="122" t="n">
        <f aca="false">+SUM(Z31:Z34)</f>
        <v>0</v>
      </c>
      <c r="AA12" s="122" t="n">
        <f aca="false">+SUM(AA31:AA34)</f>
        <v>0</v>
      </c>
      <c r="AB12" s="122" t="n">
        <f aca="false">+SUM(AB31:AB34)</f>
        <v>0</v>
      </c>
      <c r="AC12" s="122" t="n">
        <f aca="false">+SUM(AC31:AC34)</f>
        <v>0</v>
      </c>
      <c r="AD12" s="122" t="n">
        <f aca="false">+SUM(AD31:AD34)</f>
        <v>0</v>
      </c>
      <c r="AE12" s="122" t="n">
        <f aca="false">+SUM(AE31:AE34)</f>
        <v>0</v>
      </c>
      <c r="AF12" s="122" t="n">
        <f aca="false">+SUM(AF31:AF34)</f>
        <v>0</v>
      </c>
      <c r="AG12" s="122" t="n">
        <f aca="false">+SUM(AG31:AG34)</f>
        <v>0</v>
      </c>
      <c r="AH12" s="122" t="n">
        <f aca="false">+SUM(AH31:AH34)</f>
        <v>0</v>
      </c>
      <c r="AI12" s="122" t="n">
        <f aca="false">+SUM(AI31:AI34)</f>
        <v>0</v>
      </c>
      <c r="AJ12" s="122" t="n">
        <f aca="false">+SUM(AJ31:AJ34)</f>
        <v>0</v>
      </c>
    </row>
    <row r="13" customFormat="false" ht="16.5" hidden="false" customHeight="true" outlineLevel="0" collapsed="false">
      <c r="B13" s="124" t="s">
        <v>103</v>
      </c>
      <c r="C13" s="125" t="n">
        <v>1</v>
      </c>
      <c r="D13" s="126" t="str">
        <f aca="false">+'GM Batch1'!C11</f>
        <v>YJ NANSAN 1</v>
      </c>
      <c r="E13" s="126" t="n">
        <f aca="false">+'GM Batch1'!D11</f>
        <v>999.58</v>
      </c>
      <c r="F13" s="127" t="n">
        <v>550000000</v>
      </c>
      <c r="G13" s="127" t="n">
        <f aca="false">+E13*F13/1000</f>
        <v>549769000</v>
      </c>
      <c r="H13" s="128" t="n">
        <f aca="false">+I13/G13</f>
        <v>0.669475179575422</v>
      </c>
      <c r="I13" s="127" t="n">
        <f aca="false">+J13+K13+X13</f>
        <v>368056700</v>
      </c>
      <c r="J13" s="127" t="n">
        <f aca="false">+'GM Batch1'!Q12+'GM Batch1'!X12</f>
        <v>368056700</v>
      </c>
      <c r="K13" s="127" t="n">
        <f aca="false">+SUM(L13:W13)</f>
        <v>0</v>
      </c>
      <c r="L13" s="127"/>
      <c r="M13" s="127"/>
      <c r="N13" s="127"/>
      <c r="O13" s="127"/>
      <c r="P13" s="127"/>
      <c r="Q13" s="127"/>
      <c r="R13" s="127"/>
      <c r="S13" s="127"/>
      <c r="T13" s="127"/>
      <c r="U13" s="127"/>
      <c r="V13" s="127"/>
      <c r="W13" s="127"/>
      <c r="X13" s="127" t="n">
        <f aca="false">+SUM(Y13:AJ13)</f>
        <v>0</v>
      </c>
      <c r="Y13" s="127"/>
      <c r="Z13" s="127"/>
      <c r="AA13" s="127"/>
      <c r="AB13" s="127"/>
      <c r="AC13" s="127"/>
      <c r="AD13" s="127"/>
      <c r="AE13" s="127"/>
      <c r="AF13" s="127"/>
      <c r="AG13" s="127"/>
      <c r="AH13" s="127"/>
      <c r="AI13" s="127"/>
      <c r="AJ13" s="127"/>
    </row>
    <row r="14" customFormat="false" ht="16.5" hidden="false" customHeight="true" outlineLevel="0" collapsed="false">
      <c r="B14" s="124"/>
      <c r="C14" s="129" t="n">
        <f aca="false">+C13+1</f>
        <v>2</v>
      </c>
      <c r="D14" s="130" t="str">
        <f aca="false">+'GM Batch1'!C17</f>
        <v>YJ NANSAN 2</v>
      </c>
      <c r="E14" s="130" t="n">
        <f aca="false">+'GM Batch1'!D17</f>
        <v>999.58</v>
      </c>
      <c r="F14" s="131" t="n">
        <v>550000000</v>
      </c>
      <c r="G14" s="131" t="n">
        <f aca="false">+E14*F14/1000</f>
        <v>549769000</v>
      </c>
      <c r="H14" s="132" t="n">
        <f aca="false">+I14/G14</f>
        <v>0.669475179575422</v>
      </c>
      <c r="I14" s="131" t="n">
        <f aca="false">+J14+K14+X14</f>
        <v>368056700</v>
      </c>
      <c r="J14" s="131" t="n">
        <f aca="false">+'GM Batch1'!Q18+'GM Batch1'!X18</f>
        <v>368056700</v>
      </c>
      <c r="K14" s="131" t="n">
        <f aca="false">+SUM(L14:W14)</f>
        <v>0</v>
      </c>
      <c r="L14" s="131"/>
      <c r="M14" s="131"/>
      <c r="N14" s="131"/>
      <c r="O14" s="131"/>
      <c r="P14" s="131"/>
      <c r="Q14" s="131"/>
      <c r="R14" s="131"/>
      <c r="S14" s="131"/>
      <c r="T14" s="131"/>
      <c r="U14" s="131"/>
      <c r="V14" s="131"/>
      <c r="W14" s="131"/>
      <c r="X14" s="131" t="n">
        <f aca="false">+SUM(Y14:AJ14)</f>
        <v>0</v>
      </c>
      <c r="Y14" s="131"/>
      <c r="Z14" s="131"/>
      <c r="AA14" s="131"/>
      <c r="AB14" s="131"/>
      <c r="AC14" s="131"/>
      <c r="AD14" s="131"/>
      <c r="AE14" s="131"/>
      <c r="AF14" s="131"/>
      <c r="AG14" s="131"/>
      <c r="AH14" s="131"/>
      <c r="AI14" s="131"/>
      <c r="AJ14" s="131"/>
    </row>
    <row r="15" customFormat="false" ht="16.5" hidden="false" customHeight="true" outlineLevel="0" collapsed="false">
      <c r="B15" s="124"/>
      <c r="C15" s="129" t="n">
        <f aca="false">+C14+1</f>
        <v>3</v>
      </c>
      <c r="D15" s="130" t="str">
        <f aca="false">+'GM Batch1'!C23</f>
        <v>YJ GASI 1</v>
      </c>
      <c r="E15" s="130" t="n">
        <f aca="false">+'GM Batch1'!D23</f>
        <v>999.6</v>
      </c>
      <c r="F15" s="131" t="n">
        <v>550000000</v>
      </c>
      <c r="G15" s="131" t="n">
        <f aca="false">+E15*F15/1000</f>
        <v>549780000</v>
      </c>
      <c r="H15" s="132" t="n">
        <f aca="false">+I15/G15</f>
        <v>0.669472789115646</v>
      </c>
      <c r="I15" s="131" t="n">
        <f aca="false">+J15+K15+X15</f>
        <v>368062750</v>
      </c>
      <c r="J15" s="131" t="n">
        <f aca="false">+'GM Batch1'!Q24+'GM Batch1'!X24</f>
        <v>368062750</v>
      </c>
      <c r="K15" s="131" t="n">
        <f aca="false">+SUM(L15:W15)</f>
        <v>0</v>
      </c>
      <c r="L15" s="131"/>
      <c r="M15" s="131"/>
      <c r="N15" s="131"/>
      <c r="O15" s="131"/>
      <c r="P15" s="131"/>
      <c r="Q15" s="131"/>
      <c r="R15" s="131"/>
      <c r="S15" s="131"/>
      <c r="T15" s="131"/>
      <c r="U15" s="131"/>
      <c r="V15" s="131"/>
      <c r="W15" s="131"/>
      <c r="X15" s="131" t="n">
        <f aca="false">+SUM(Y15:AJ15)</f>
        <v>0</v>
      </c>
      <c r="Y15" s="131"/>
      <c r="Z15" s="131"/>
      <c r="AA15" s="131"/>
      <c r="AB15" s="131"/>
      <c r="AC15" s="131"/>
      <c r="AD15" s="131"/>
      <c r="AE15" s="131"/>
      <c r="AF15" s="131"/>
      <c r="AG15" s="131"/>
      <c r="AH15" s="131"/>
      <c r="AI15" s="131"/>
      <c r="AJ15" s="131"/>
    </row>
    <row r="16" customFormat="false" ht="16.5" hidden="false" customHeight="true" outlineLevel="0" collapsed="false">
      <c r="B16" s="124"/>
      <c r="C16" s="129" t="n">
        <f aca="false">+C15+1</f>
        <v>4</v>
      </c>
      <c r="D16" s="130" t="str">
        <f aca="false">+'GM Batch1'!C29</f>
        <v>YJ GASI 2</v>
      </c>
      <c r="E16" s="130" t="n">
        <f aca="false">+'GM Batch1'!D29</f>
        <v>999.6</v>
      </c>
      <c r="F16" s="131" t="n">
        <v>550000000</v>
      </c>
      <c r="G16" s="131" t="n">
        <f aca="false">+E16*F16/1000</f>
        <v>549780000</v>
      </c>
      <c r="H16" s="132" t="n">
        <f aca="false">+I16/G16</f>
        <v>0.669472789115646</v>
      </c>
      <c r="I16" s="131" t="n">
        <f aca="false">+J16+K16+X16</f>
        <v>368062750</v>
      </c>
      <c r="J16" s="131" t="n">
        <f aca="false">+'GM Batch1'!Q30+'GM Batch1'!X30</f>
        <v>368062750</v>
      </c>
      <c r="K16" s="131" t="n">
        <f aca="false">+SUM(L16:W16)</f>
        <v>0</v>
      </c>
      <c r="L16" s="131"/>
      <c r="M16" s="131"/>
      <c r="N16" s="131"/>
      <c r="O16" s="131"/>
      <c r="P16" s="131"/>
      <c r="Q16" s="131"/>
      <c r="R16" s="131"/>
      <c r="S16" s="131"/>
      <c r="T16" s="131"/>
      <c r="U16" s="131"/>
      <c r="V16" s="131"/>
      <c r="W16" s="131"/>
      <c r="X16" s="131" t="n">
        <f aca="false">+SUM(Y16:AJ16)</f>
        <v>0</v>
      </c>
      <c r="Y16" s="131"/>
      <c r="Z16" s="131"/>
      <c r="AA16" s="131"/>
      <c r="AB16" s="131"/>
      <c r="AC16" s="131"/>
      <c r="AD16" s="131"/>
      <c r="AE16" s="131"/>
      <c r="AF16" s="131"/>
      <c r="AG16" s="131"/>
      <c r="AH16" s="131"/>
      <c r="AI16" s="131"/>
      <c r="AJ16" s="131"/>
    </row>
    <row r="17" customFormat="false" ht="16.5" hidden="false" customHeight="true" outlineLevel="0" collapsed="false">
      <c r="B17" s="124"/>
      <c r="C17" s="129" t="n">
        <f aca="false">+C16+1</f>
        <v>5</v>
      </c>
      <c r="D17" s="130" t="str">
        <f aca="false">+'GM Batch1'!C35</f>
        <v>Dream 1</v>
      </c>
      <c r="E17" s="130" t="n">
        <f aca="false">+'GM Batch1'!D35</f>
        <v>999.24</v>
      </c>
      <c r="F17" s="131" t="n">
        <v>550000000</v>
      </c>
      <c r="G17" s="131" t="n">
        <f aca="false">+E17*F17/1000</f>
        <v>549582000</v>
      </c>
      <c r="H17" s="132" t="n">
        <f aca="false">+I17/G17</f>
        <v>0.621154077098595</v>
      </c>
      <c r="I17" s="131" t="n">
        <f aca="false">+J17+K17+X17</f>
        <v>341375100</v>
      </c>
      <c r="J17" s="131" t="n">
        <f aca="false">+'GM Batch1'!Q36+'GM Batch1'!X36</f>
        <v>341375100</v>
      </c>
      <c r="K17" s="131" t="n">
        <f aca="false">+SUM(L17:W17)</f>
        <v>0</v>
      </c>
      <c r="L17" s="131"/>
      <c r="M17" s="131"/>
      <c r="N17" s="131"/>
      <c r="O17" s="131"/>
      <c r="P17" s="131"/>
      <c r="Q17" s="131"/>
      <c r="R17" s="131"/>
      <c r="S17" s="131"/>
      <c r="T17" s="131"/>
      <c r="U17" s="131"/>
      <c r="V17" s="131"/>
      <c r="W17" s="131"/>
      <c r="X17" s="131" t="n">
        <f aca="false">+SUM(Y17:AJ17)</f>
        <v>0</v>
      </c>
      <c r="Y17" s="131"/>
      <c r="Z17" s="131"/>
      <c r="AA17" s="131"/>
      <c r="AB17" s="131"/>
      <c r="AC17" s="131"/>
      <c r="AD17" s="131"/>
      <c r="AE17" s="131"/>
      <c r="AF17" s="131"/>
      <c r="AG17" s="131"/>
      <c r="AH17" s="131"/>
      <c r="AI17" s="131"/>
      <c r="AJ17" s="131"/>
    </row>
    <row r="18" customFormat="false" ht="16.5" hidden="false" customHeight="true" outlineLevel="0" collapsed="false">
      <c r="B18" s="124"/>
      <c r="C18" s="129" t="n">
        <f aca="false">+C17+1</f>
        <v>6</v>
      </c>
      <c r="D18" s="130" t="str">
        <f aca="false">+'GM Batch1'!C41</f>
        <v>Dream 2</v>
      </c>
      <c r="E18" s="130" t="n">
        <f aca="false">+'GM Batch1'!D41</f>
        <v>999.24</v>
      </c>
      <c r="F18" s="131" t="n">
        <v>550000000</v>
      </c>
      <c r="G18" s="131" t="n">
        <f aca="false">+E18*F18/1000</f>
        <v>549582000</v>
      </c>
      <c r="H18" s="132" t="n">
        <f aca="false">+I18/G18</f>
        <v>0.621154077098595</v>
      </c>
      <c r="I18" s="131" t="n">
        <f aca="false">+J18+K18+X18</f>
        <v>341375100</v>
      </c>
      <c r="J18" s="131" t="n">
        <f aca="false">+'GM Batch1'!Q42+'GM Batch1'!X42</f>
        <v>341375100</v>
      </c>
      <c r="K18" s="131" t="n">
        <f aca="false">+SUM(L18:W18)</f>
        <v>0</v>
      </c>
      <c r="L18" s="131"/>
      <c r="M18" s="131"/>
      <c r="N18" s="131"/>
      <c r="O18" s="131"/>
      <c r="P18" s="131"/>
      <c r="Q18" s="131"/>
      <c r="R18" s="131"/>
      <c r="S18" s="131"/>
      <c r="T18" s="131"/>
      <c r="U18" s="131"/>
      <c r="V18" s="131"/>
      <c r="W18" s="131"/>
      <c r="X18" s="131" t="n">
        <f aca="false">+SUM(Y18:AJ18)</f>
        <v>0</v>
      </c>
      <c r="Y18" s="131"/>
      <c r="Z18" s="131"/>
      <c r="AA18" s="131"/>
      <c r="AB18" s="131"/>
      <c r="AC18" s="131"/>
      <c r="AD18" s="131"/>
      <c r="AE18" s="131"/>
      <c r="AF18" s="131"/>
      <c r="AG18" s="131"/>
      <c r="AH18" s="131"/>
      <c r="AI18" s="131"/>
      <c r="AJ18" s="131"/>
    </row>
    <row r="19" customFormat="false" ht="16.5" hidden="false" customHeight="true" outlineLevel="0" collapsed="false">
      <c r="B19" s="124"/>
      <c r="C19" s="129" t="n">
        <f aca="false">+C18+1</f>
        <v>7</v>
      </c>
      <c r="D19" s="130" t="str">
        <f aca="false">+'GM Batch1'!C47</f>
        <v>JEIL TECH 1</v>
      </c>
      <c r="E19" s="130" t="n">
        <f aca="false">+'GM Batch1'!D47</f>
        <v>999.44</v>
      </c>
      <c r="F19" s="131" t="n">
        <v>550000000</v>
      </c>
      <c r="G19" s="131" t="n">
        <f aca="false">+E19*F19/1000</f>
        <v>549692000</v>
      </c>
      <c r="H19" s="132" t="n">
        <f aca="false">+I19/G19</f>
        <v>0.621139838309453</v>
      </c>
      <c r="I19" s="131" t="n">
        <f aca="false">+J19+K19+X19</f>
        <v>341435600</v>
      </c>
      <c r="J19" s="131" t="n">
        <f aca="false">+'GM Batch1'!Q48+'GM Batch1'!X48</f>
        <v>341435600</v>
      </c>
      <c r="K19" s="131" t="n">
        <f aca="false">+SUM(L19:W19)</f>
        <v>0</v>
      </c>
      <c r="L19" s="131"/>
      <c r="M19" s="131"/>
      <c r="N19" s="131"/>
      <c r="O19" s="131"/>
      <c r="P19" s="131"/>
      <c r="Q19" s="131"/>
      <c r="R19" s="131"/>
      <c r="S19" s="131"/>
      <c r="T19" s="131"/>
      <c r="U19" s="131"/>
      <c r="V19" s="131"/>
      <c r="W19" s="131"/>
      <c r="X19" s="131" t="n">
        <f aca="false">+SUM(Y19:AJ19)</f>
        <v>0</v>
      </c>
      <c r="Y19" s="131"/>
      <c r="Z19" s="131"/>
      <c r="AA19" s="131"/>
      <c r="AB19" s="131"/>
      <c r="AC19" s="131"/>
      <c r="AD19" s="131"/>
      <c r="AE19" s="131"/>
      <c r="AF19" s="131"/>
      <c r="AG19" s="131"/>
      <c r="AH19" s="131"/>
      <c r="AI19" s="131"/>
      <c r="AJ19" s="131"/>
    </row>
    <row r="20" customFormat="false" ht="16.5" hidden="false" customHeight="true" outlineLevel="0" collapsed="false">
      <c r="B20" s="124"/>
      <c r="C20" s="129" t="n">
        <f aca="false">+C19+1</f>
        <v>8</v>
      </c>
      <c r="D20" s="130" t="str">
        <f aca="false">+'GM Batch1'!C53</f>
        <v>JEIL TECH 2</v>
      </c>
      <c r="E20" s="130" t="n">
        <f aca="false">+'GM Batch1'!D53</f>
        <v>999.44</v>
      </c>
      <c r="F20" s="131" t="n">
        <v>550000000</v>
      </c>
      <c r="G20" s="131" t="n">
        <f aca="false">+E20*F20/1000</f>
        <v>549692000</v>
      </c>
      <c r="H20" s="132" t="n">
        <f aca="false">+I20/G20</f>
        <v>0.621139838309453</v>
      </c>
      <c r="I20" s="131" t="n">
        <f aca="false">+J20+K20+X20</f>
        <v>341435600</v>
      </c>
      <c r="J20" s="131" t="n">
        <f aca="false">+'GM Batch1'!Q54+'GM Batch1'!X54</f>
        <v>341435600</v>
      </c>
      <c r="K20" s="131" t="n">
        <f aca="false">+SUM(L20:W20)</f>
        <v>0</v>
      </c>
      <c r="L20" s="131"/>
      <c r="M20" s="131"/>
      <c r="N20" s="131"/>
      <c r="O20" s="131"/>
      <c r="P20" s="131"/>
      <c r="Q20" s="131"/>
      <c r="R20" s="131"/>
      <c r="S20" s="131"/>
      <c r="T20" s="131"/>
      <c r="U20" s="131"/>
      <c r="V20" s="131"/>
      <c r="W20" s="131"/>
      <c r="X20" s="131" t="n">
        <f aca="false">+SUM(Y20:AJ20)</f>
        <v>0</v>
      </c>
      <c r="Y20" s="131"/>
      <c r="Z20" s="131"/>
      <c r="AA20" s="131"/>
      <c r="AB20" s="131"/>
      <c r="AC20" s="131"/>
      <c r="AD20" s="131"/>
      <c r="AE20" s="131"/>
      <c r="AF20" s="131"/>
      <c r="AG20" s="131"/>
      <c r="AH20" s="131"/>
      <c r="AI20" s="131"/>
      <c r="AJ20" s="131"/>
    </row>
    <row r="21" customFormat="false" ht="16.5" hidden="false" customHeight="true" outlineLevel="0" collapsed="false">
      <c r="B21" s="124"/>
      <c r="C21" s="129" t="n">
        <f aca="false">+C20+1</f>
        <v>9</v>
      </c>
      <c r="D21" s="130" t="str">
        <f aca="false">+'GM Batch2-APA'!C11</f>
        <v>Jangchon 1 (APA)</v>
      </c>
      <c r="E21" s="130" t="n">
        <f aca="false">+'GM Batch2-APA'!D11</f>
        <v>551.04</v>
      </c>
      <c r="F21" s="131" t="n">
        <v>850000000</v>
      </c>
      <c r="G21" s="131" t="n">
        <f aca="false">+E21*F21/1000</f>
        <v>468384000</v>
      </c>
      <c r="H21" s="132" t="n">
        <f aca="false">+I21/G21</f>
        <v>0.554678212748514</v>
      </c>
      <c r="I21" s="131" t="n">
        <f aca="false">+J21+K21+X21</f>
        <v>259802400</v>
      </c>
      <c r="J21" s="131"/>
      <c r="K21" s="131" t="n">
        <f aca="false">+SUM(L21:W21)</f>
        <v>259802400</v>
      </c>
      <c r="L21" s="131"/>
      <c r="M21" s="131"/>
      <c r="N21" s="131"/>
      <c r="O21" s="131"/>
      <c r="P21" s="131" t="n">
        <f aca="false">+'GM Batch2-APA'!Q12+'GM Batch2-APA'!Q13+'GM Batch2-APA'!Q14</f>
        <v>259802400</v>
      </c>
      <c r="Q21" s="131"/>
      <c r="R21" s="131"/>
      <c r="S21" s="131"/>
      <c r="T21" s="131"/>
      <c r="U21" s="131"/>
      <c r="V21" s="131"/>
      <c r="W21" s="131"/>
      <c r="X21" s="131" t="n">
        <f aca="false">+SUM(Y21:AJ21)</f>
        <v>0</v>
      </c>
      <c r="Y21" s="131"/>
      <c r="Z21" s="131"/>
      <c r="AA21" s="131"/>
      <c r="AB21" s="131"/>
      <c r="AC21" s="131"/>
      <c r="AD21" s="131"/>
      <c r="AE21" s="131"/>
      <c r="AF21" s="131"/>
      <c r="AG21" s="131"/>
      <c r="AH21" s="131"/>
      <c r="AI21" s="131"/>
      <c r="AJ21" s="131"/>
    </row>
    <row r="22" customFormat="false" ht="16.5" hidden="false" customHeight="true" outlineLevel="0" collapsed="false">
      <c r="B22" s="124"/>
      <c r="C22" s="129" t="n">
        <f aca="false">+C21+1</f>
        <v>10</v>
      </c>
      <c r="D22" s="130" t="str">
        <f aca="false">+'GM Batch2-APA'!C17</f>
        <v>Soltop Masan 1 (APA)</v>
      </c>
      <c r="E22" s="130" t="n">
        <f aca="false">+'GM Batch2-APA'!D17</f>
        <v>399.04</v>
      </c>
      <c r="F22" s="131" t="n">
        <v>850000000</v>
      </c>
      <c r="G22" s="131" t="n">
        <f aca="false">+E22*F22/1000</f>
        <v>339184000</v>
      </c>
      <c r="H22" s="132" t="n">
        <f aca="false">+I22/G22</f>
        <v>0.305882352941177</v>
      </c>
      <c r="I22" s="131" t="n">
        <f aca="false">+J22+K22+X22</f>
        <v>103750400</v>
      </c>
      <c r="J22" s="131"/>
      <c r="K22" s="131" t="n">
        <f aca="false">+SUM(L22:W22)</f>
        <v>103750400</v>
      </c>
      <c r="L22" s="131"/>
      <c r="M22" s="131"/>
      <c r="N22" s="131"/>
      <c r="O22" s="131"/>
      <c r="P22" s="131" t="n">
        <f aca="false">+'GM Batch2-APA'!Q18+'GM Batch2-APA'!Q19+'GM Batch2-APA'!Q20</f>
        <v>103750400</v>
      </c>
      <c r="Q22" s="131"/>
      <c r="R22" s="131"/>
      <c r="S22" s="131"/>
      <c r="T22" s="131"/>
      <c r="U22" s="131"/>
      <c r="V22" s="131"/>
      <c r="W22" s="131"/>
      <c r="X22" s="131" t="n">
        <f aca="false">+SUM(Y22:AJ22)</f>
        <v>0</v>
      </c>
      <c r="Y22" s="131"/>
      <c r="Z22" s="131"/>
      <c r="AA22" s="131"/>
      <c r="AB22" s="131"/>
      <c r="AC22" s="131"/>
      <c r="AD22" s="131"/>
      <c r="AE22" s="131"/>
      <c r="AF22" s="131"/>
      <c r="AG22" s="131"/>
      <c r="AH22" s="131"/>
      <c r="AI22" s="131"/>
      <c r="AJ22" s="131"/>
    </row>
    <row r="23" customFormat="false" ht="16.5" hidden="false" customHeight="true" outlineLevel="0" collapsed="false">
      <c r="B23" s="124"/>
      <c r="C23" s="129" t="n">
        <f aca="false">+C22+1</f>
        <v>11</v>
      </c>
      <c r="D23" s="130" t="str">
        <f aca="false">+'GM Batch2-APA'!C23</f>
        <v>Hanil Mugok 15 (APA)</v>
      </c>
      <c r="E23" s="130" t="n">
        <f aca="false">+'GM Batch2-APA'!D23</f>
        <v>499.96</v>
      </c>
      <c r="F23" s="131" t="n">
        <v>850000000</v>
      </c>
      <c r="G23" s="131" t="n">
        <f aca="false">+E23*F23/1000</f>
        <v>424966000</v>
      </c>
      <c r="H23" s="132" t="n">
        <f aca="false">+I23/G23</f>
        <v>0.305882352941177</v>
      </c>
      <c r="I23" s="131" t="n">
        <f aca="false">+J23+K23+X23</f>
        <v>129989600</v>
      </c>
      <c r="J23" s="131"/>
      <c r="K23" s="131" t="n">
        <f aca="false">+SUM(L23:W23)</f>
        <v>129989600</v>
      </c>
      <c r="L23" s="131"/>
      <c r="M23" s="131"/>
      <c r="N23" s="131"/>
      <c r="O23" s="131"/>
      <c r="P23" s="131" t="n">
        <f aca="false">+'GM Batch2-APA'!Q24+'GM Batch2-APA'!Q25+'GM Batch2-APA'!Q26</f>
        <v>129989600</v>
      </c>
      <c r="Q23" s="131"/>
      <c r="R23" s="131"/>
      <c r="S23" s="131"/>
      <c r="T23" s="131"/>
      <c r="U23" s="131"/>
      <c r="V23" s="131"/>
      <c r="W23" s="131"/>
      <c r="X23" s="131" t="n">
        <f aca="false">+SUM(Y23:AJ23)</f>
        <v>0</v>
      </c>
      <c r="Y23" s="131"/>
      <c r="Z23" s="131"/>
      <c r="AA23" s="131"/>
      <c r="AB23" s="131"/>
      <c r="AC23" s="131"/>
      <c r="AD23" s="131"/>
      <c r="AE23" s="131"/>
      <c r="AF23" s="131"/>
      <c r="AG23" s="131"/>
      <c r="AH23" s="131"/>
      <c r="AI23" s="131"/>
      <c r="AJ23" s="131"/>
    </row>
    <row r="24" customFormat="false" ht="16.5" hidden="false" customHeight="true" outlineLevel="0" collapsed="false">
      <c r="B24" s="124"/>
      <c r="C24" s="129" t="n">
        <f aca="false">+C23+1</f>
        <v>12</v>
      </c>
      <c r="D24" s="130" t="str">
        <f aca="false">+'GM Batch2-APA'!C29</f>
        <v>Hanil Jigyeong 1 (APA)</v>
      </c>
      <c r="E24" s="130" t="n">
        <f aca="false">+'GM Batch2-APA'!D29</f>
        <v>499.96</v>
      </c>
      <c r="F24" s="131" t="n">
        <v>850000000</v>
      </c>
      <c r="G24" s="131" t="n">
        <f aca="false">+E24*F24/1000</f>
        <v>424966000</v>
      </c>
      <c r="H24" s="132" t="n">
        <f aca="false">+I24/G24</f>
        <v>0.305882352941177</v>
      </c>
      <c r="I24" s="131" t="n">
        <f aca="false">+J24+K24+X24</f>
        <v>129989600</v>
      </c>
      <c r="J24" s="131"/>
      <c r="K24" s="131" t="n">
        <f aca="false">+SUM(L24:W24)</f>
        <v>129989600</v>
      </c>
      <c r="L24" s="131"/>
      <c r="M24" s="131"/>
      <c r="N24" s="131"/>
      <c r="O24" s="131"/>
      <c r="P24" s="131" t="n">
        <f aca="false">+'GM Batch2-APA'!Q30+'GM Batch2-APA'!Q31+'GM Batch2-APA'!Q32</f>
        <v>129989600</v>
      </c>
      <c r="Q24" s="131"/>
      <c r="R24" s="131"/>
      <c r="S24" s="131"/>
      <c r="T24" s="131"/>
      <c r="U24" s="131"/>
      <c r="V24" s="131"/>
      <c r="W24" s="131"/>
      <c r="X24" s="131" t="n">
        <f aca="false">+SUM(Y24:AJ24)</f>
        <v>0</v>
      </c>
      <c r="Y24" s="131"/>
      <c r="Z24" s="131"/>
      <c r="AA24" s="131"/>
      <c r="AB24" s="131"/>
      <c r="AC24" s="131"/>
      <c r="AD24" s="131"/>
      <c r="AE24" s="131"/>
      <c r="AF24" s="131"/>
      <c r="AG24" s="131"/>
      <c r="AH24" s="131"/>
      <c r="AI24" s="131"/>
      <c r="AJ24" s="131"/>
    </row>
    <row r="25" customFormat="false" ht="16.5" hidden="false" customHeight="true" outlineLevel="0" collapsed="false">
      <c r="B25" s="124"/>
      <c r="C25" s="129" t="n">
        <f aca="false">+C24+1</f>
        <v>13</v>
      </c>
      <c r="D25" s="130" t="str">
        <f aca="false">+'GM Batch2-APA'!C35</f>
        <v>Hanil Jigyeong 2 (APA)</v>
      </c>
      <c r="E25" s="130" t="n">
        <f aca="false">+'GM Batch2-APA'!D35</f>
        <v>149.64</v>
      </c>
      <c r="F25" s="131" t="n">
        <v>850000000</v>
      </c>
      <c r="G25" s="131" t="n">
        <f aca="false">+E25*F25/1000</f>
        <v>127194000</v>
      </c>
      <c r="H25" s="132" t="n">
        <f aca="false">+I25/G25</f>
        <v>0.305882352941177</v>
      </c>
      <c r="I25" s="131" t="n">
        <f aca="false">+J25+K25+X25</f>
        <v>38906400</v>
      </c>
      <c r="J25" s="131"/>
      <c r="K25" s="131" t="n">
        <f aca="false">+SUM(L25:W25)</f>
        <v>38906400</v>
      </c>
      <c r="L25" s="131"/>
      <c r="M25" s="131"/>
      <c r="N25" s="131"/>
      <c r="O25" s="131"/>
      <c r="P25" s="131" t="n">
        <f aca="false">+'GM Batch2-APA'!Q36+'GM Batch2-APA'!Q37+'GM Batch2-APA'!Q38</f>
        <v>38906400</v>
      </c>
      <c r="Q25" s="131"/>
      <c r="R25" s="131"/>
      <c r="S25" s="131"/>
      <c r="T25" s="131"/>
      <c r="U25" s="131"/>
      <c r="V25" s="131"/>
      <c r="W25" s="131"/>
      <c r="X25" s="131" t="n">
        <f aca="false">+SUM(Y25:AJ25)</f>
        <v>0</v>
      </c>
      <c r="Y25" s="131"/>
      <c r="Z25" s="131"/>
      <c r="AA25" s="131"/>
      <c r="AB25" s="131"/>
      <c r="AC25" s="131"/>
      <c r="AD25" s="131"/>
      <c r="AE25" s="131"/>
      <c r="AF25" s="131"/>
      <c r="AG25" s="131"/>
      <c r="AH25" s="131"/>
      <c r="AI25" s="131"/>
      <c r="AJ25" s="131"/>
    </row>
    <row r="26" customFormat="false" ht="16.5" hidden="false" customHeight="true" outlineLevel="0" collapsed="false">
      <c r="B26" s="124"/>
      <c r="C26" s="133" t="n">
        <f aca="false">+C25+1</f>
        <v>14</v>
      </c>
      <c r="D26" s="134" t="str">
        <f aca="false">+'GM Batch2-APA'!C41</f>
        <v>Ho Duck4 (APA)</v>
      </c>
      <c r="E26" s="134" t="n">
        <f aca="false">+'GM Batch2-APA'!D41</f>
        <v>299.28</v>
      </c>
      <c r="F26" s="135" t="n">
        <v>850000000</v>
      </c>
      <c r="G26" s="135" t="n">
        <f aca="false">+E26*F26/1000</f>
        <v>254388000</v>
      </c>
      <c r="H26" s="136" t="n">
        <f aca="false">+I26/G26</f>
        <v>0.305882352941177</v>
      </c>
      <c r="I26" s="135" t="n">
        <f aca="false">+J26+K26+X26</f>
        <v>77812800</v>
      </c>
      <c r="J26" s="135"/>
      <c r="K26" s="135" t="n">
        <f aca="false">+SUM(L26:W26)</f>
        <v>77812800</v>
      </c>
      <c r="L26" s="135"/>
      <c r="M26" s="135"/>
      <c r="N26" s="135"/>
      <c r="O26" s="135"/>
      <c r="P26" s="135" t="n">
        <f aca="false">+'GM Batch2-APA'!Q42+'GM Batch2-APA'!Q43+'GM Batch2-APA'!Q44</f>
        <v>77812800</v>
      </c>
      <c r="Q26" s="135"/>
      <c r="R26" s="135"/>
      <c r="S26" s="135"/>
      <c r="T26" s="135"/>
      <c r="U26" s="135"/>
      <c r="V26" s="135"/>
      <c r="W26" s="135"/>
      <c r="X26" s="135" t="n">
        <f aca="false">+SUM(Y26:AJ26)</f>
        <v>0</v>
      </c>
      <c r="Y26" s="135"/>
      <c r="Z26" s="135"/>
      <c r="AA26" s="135"/>
      <c r="AB26" s="135"/>
      <c r="AC26" s="135"/>
      <c r="AD26" s="135"/>
      <c r="AE26" s="135"/>
      <c r="AF26" s="135"/>
      <c r="AG26" s="135"/>
      <c r="AH26" s="135"/>
      <c r="AI26" s="135"/>
      <c r="AJ26" s="135"/>
    </row>
    <row r="27" customFormat="false" ht="16.5" hidden="false" customHeight="true" outlineLevel="0" collapsed="false">
      <c r="B27" s="124" t="s">
        <v>136</v>
      </c>
      <c r="C27" s="124" t="n">
        <v>1</v>
      </c>
      <c r="D27" s="137" t="str">
        <f aca="false">+'GM Batch2-SPA'!C11</f>
        <v>Galsan (SPA)</v>
      </c>
      <c r="E27" s="137" t="n">
        <f aca="false">+'GM Batch2-SPA'!D11</f>
        <v>993.6</v>
      </c>
      <c r="F27" s="138" t="n">
        <f aca="false">+G27/E27*1000</f>
        <v>225262650.966184</v>
      </c>
      <c r="G27" s="138" t="n">
        <v>223820970</v>
      </c>
      <c r="H27" s="139" t="n">
        <f aca="false">+I27/G27</f>
        <v>1</v>
      </c>
      <c r="I27" s="138" t="n">
        <f aca="false">+J27+K27+X27</f>
        <v>223820970</v>
      </c>
      <c r="J27" s="138"/>
      <c r="K27" s="138" t="n">
        <f aca="false">+SUM(L27:W27)</f>
        <v>223820970</v>
      </c>
      <c r="L27" s="138"/>
      <c r="M27" s="138"/>
      <c r="N27" s="138"/>
      <c r="O27" s="138"/>
      <c r="P27" s="138"/>
      <c r="Q27" s="138"/>
      <c r="R27" s="138" t="n">
        <f aca="false">+'GM Batch2-SPA'!Q12</f>
        <v>223820970</v>
      </c>
      <c r="S27" s="138"/>
      <c r="T27" s="138"/>
      <c r="U27" s="138"/>
      <c r="V27" s="138"/>
      <c r="W27" s="138"/>
      <c r="X27" s="138" t="n">
        <f aca="false">+SUM(Y27:AJ27)</f>
        <v>0</v>
      </c>
      <c r="Y27" s="138"/>
      <c r="Z27" s="138"/>
      <c r="AA27" s="138"/>
      <c r="AB27" s="138"/>
      <c r="AC27" s="138"/>
      <c r="AD27" s="138"/>
      <c r="AE27" s="138"/>
      <c r="AF27" s="138"/>
      <c r="AG27" s="138"/>
      <c r="AH27" s="138"/>
      <c r="AI27" s="138"/>
      <c r="AJ27" s="138"/>
    </row>
    <row r="28" customFormat="false" ht="16.5" hidden="false" customHeight="true" outlineLevel="0" collapsed="false">
      <c r="B28" s="124" t="s">
        <v>137</v>
      </c>
      <c r="C28" s="124" t="n">
        <v>1</v>
      </c>
      <c r="D28" s="137" t="str">
        <f aca="false">+'GM Batch2-SPA'!C17</f>
        <v>Mineuri (SPA)</v>
      </c>
      <c r="E28" s="137" t="n">
        <f aca="false">+'GM Batch2-SPA'!D17</f>
        <v>993.6</v>
      </c>
      <c r="F28" s="138" t="n">
        <f aca="false">+G28/E28*1000</f>
        <v>111129267.310789</v>
      </c>
      <c r="G28" s="138" t="n">
        <v>110418040</v>
      </c>
      <c r="H28" s="139" t="n">
        <f aca="false">+I28/G28</f>
        <v>1</v>
      </c>
      <c r="I28" s="138" t="n">
        <f aca="false">+J28+K28+X28</f>
        <v>110418040</v>
      </c>
      <c r="J28" s="138"/>
      <c r="K28" s="138" t="n">
        <f aca="false">+SUM(L28:W28)</f>
        <v>110418040</v>
      </c>
      <c r="L28" s="138"/>
      <c r="M28" s="138"/>
      <c r="N28" s="138"/>
      <c r="O28" s="138"/>
      <c r="P28" s="138"/>
      <c r="Q28" s="138"/>
      <c r="R28" s="138" t="n">
        <f aca="false">+'GM Batch2-SPA'!Q18</f>
        <v>110418040</v>
      </c>
      <c r="S28" s="138"/>
      <c r="T28" s="138"/>
      <c r="U28" s="138"/>
      <c r="V28" s="138"/>
      <c r="W28" s="138"/>
      <c r="X28" s="138" t="n">
        <f aca="false">+SUM(Y28:AJ28)</f>
        <v>0</v>
      </c>
      <c r="Y28" s="138"/>
      <c r="Z28" s="138"/>
      <c r="AA28" s="138"/>
      <c r="AB28" s="138"/>
      <c r="AC28" s="138"/>
      <c r="AD28" s="138"/>
      <c r="AE28" s="138"/>
      <c r="AF28" s="138"/>
      <c r="AG28" s="138"/>
      <c r="AH28" s="138"/>
      <c r="AI28" s="138"/>
      <c r="AJ28" s="138"/>
    </row>
    <row r="29" customFormat="false" ht="16.5" hidden="false" customHeight="true" outlineLevel="0" collapsed="false">
      <c r="B29" s="124" t="s">
        <v>138</v>
      </c>
      <c r="C29" s="124" t="n">
        <v>1</v>
      </c>
      <c r="D29" s="137" t="str">
        <f aca="false">+'GM Batch2-SPA'!C23</f>
        <v>Seagol(SPA)</v>
      </c>
      <c r="E29" s="137" t="n">
        <f aca="false">+'GM Batch2-SPA'!D23</f>
        <v>993.6</v>
      </c>
      <c r="F29" s="138" t="n">
        <f aca="false">+G29/E29*1000</f>
        <v>109473902.979066</v>
      </c>
      <c r="G29" s="138" t="n">
        <v>108773270</v>
      </c>
      <c r="H29" s="139" t="n">
        <f aca="false">+I29/G29</f>
        <v>1</v>
      </c>
      <c r="I29" s="138" t="n">
        <f aca="false">+J29+K29+X29</f>
        <v>108773270</v>
      </c>
      <c r="J29" s="138"/>
      <c r="K29" s="138" t="n">
        <f aca="false">+SUM(L29:W29)</f>
        <v>108773270</v>
      </c>
      <c r="L29" s="138"/>
      <c r="M29" s="138"/>
      <c r="N29" s="138"/>
      <c r="O29" s="138"/>
      <c r="P29" s="138"/>
      <c r="Q29" s="138"/>
      <c r="R29" s="138" t="n">
        <f aca="false">+'GM Batch2-SPA'!Q24</f>
        <v>108773270</v>
      </c>
      <c r="S29" s="138"/>
      <c r="T29" s="138"/>
      <c r="U29" s="138"/>
      <c r="V29" s="138"/>
      <c r="W29" s="138"/>
      <c r="X29" s="138" t="n">
        <f aca="false">+SUM(Y29:AJ29)</f>
        <v>0</v>
      </c>
      <c r="Y29" s="138"/>
      <c r="Z29" s="138"/>
      <c r="AA29" s="138"/>
      <c r="AB29" s="138"/>
      <c r="AC29" s="138"/>
      <c r="AD29" s="138"/>
      <c r="AE29" s="138"/>
      <c r="AF29" s="138"/>
      <c r="AG29" s="138"/>
      <c r="AH29" s="138"/>
      <c r="AI29" s="138"/>
      <c r="AJ29" s="138"/>
    </row>
    <row r="30" customFormat="false" ht="16.5" hidden="false" customHeight="true" outlineLevel="0" collapsed="false">
      <c r="B30" s="124" t="s">
        <v>139</v>
      </c>
      <c r="C30" s="124" t="n">
        <v>1</v>
      </c>
      <c r="D30" s="137" t="str">
        <f aca="false">+'GM Batch2-SPA'!C29</f>
        <v>Jaesan (SPA)</v>
      </c>
      <c r="E30" s="137" t="n">
        <f aca="false">+'GM Batch2-SPA'!D29</f>
        <v>993.6</v>
      </c>
      <c r="F30" s="138" t="n">
        <f aca="false">+G30/E30*1000</f>
        <v>461432890.499195</v>
      </c>
      <c r="G30" s="138" t="n">
        <v>458479720</v>
      </c>
      <c r="H30" s="139" t="n">
        <f aca="false">+I30/G30</f>
        <v>1</v>
      </c>
      <c r="I30" s="138" t="n">
        <f aca="false">+J30+K30+X30</f>
        <v>458479720</v>
      </c>
      <c r="J30" s="138"/>
      <c r="K30" s="138" t="n">
        <f aca="false">+SUM(L30:W30)</f>
        <v>458479720</v>
      </c>
      <c r="L30" s="138"/>
      <c r="M30" s="138"/>
      <c r="N30" s="138"/>
      <c r="O30" s="138"/>
      <c r="P30" s="138"/>
      <c r="Q30" s="138"/>
      <c r="R30" s="138" t="n">
        <f aca="false">+'GM Batch2-SPA'!Q30</f>
        <v>458479720</v>
      </c>
      <c r="S30" s="138"/>
      <c r="T30" s="138"/>
      <c r="U30" s="138"/>
      <c r="V30" s="138"/>
      <c r="W30" s="138"/>
      <c r="X30" s="138" t="n">
        <f aca="false">+SUM(Y30:AJ30)</f>
        <v>0</v>
      </c>
      <c r="Y30" s="138"/>
      <c r="Z30" s="138"/>
      <c r="AA30" s="138"/>
      <c r="AB30" s="138"/>
      <c r="AC30" s="138"/>
      <c r="AD30" s="138"/>
      <c r="AE30" s="138"/>
      <c r="AF30" s="138"/>
      <c r="AG30" s="138"/>
      <c r="AH30" s="138"/>
      <c r="AI30" s="138"/>
      <c r="AJ30" s="138"/>
    </row>
    <row r="31" customFormat="false" ht="16.5" hidden="false" customHeight="true" outlineLevel="0" collapsed="false">
      <c r="B31" s="140" t="s">
        <v>108</v>
      </c>
      <c r="C31" s="141" t="n">
        <v>1</v>
      </c>
      <c r="D31" s="142" t="str">
        <f aca="false">+'DG M&amp;A-SPA_POSN'!C11</f>
        <v>POS-1</v>
      </c>
      <c r="E31" s="142" t="n">
        <f aca="false">+'DG M&amp;A-SPA_POSN'!D11</f>
        <v>340.8</v>
      </c>
      <c r="F31" s="143" t="n">
        <v>400000000</v>
      </c>
      <c r="G31" s="143" t="n">
        <f aca="false">+E31*F31/1000</f>
        <v>136320000</v>
      </c>
      <c r="H31" s="144" t="n">
        <f aca="false">+I31/G31</f>
        <v>0.745352112676056</v>
      </c>
      <c r="I31" s="143" t="n">
        <f aca="false">+J31+K31+X31</f>
        <v>101606400</v>
      </c>
      <c r="J31" s="143"/>
      <c r="K31" s="143" t="n">
        <f aca="false">+SUM(L31:W31)</f>
        <v>101606400</v>
      </c>
      <c r="L31" s="143"/>
      <c r="M31" s="143"/>
      <c r="N31" s="143"/>
      <c r="O31" s="143"/>
      <c r="P31" s="143"/>
      <c r="Q31" s="143"/>
      <c r="R31" s="143" t="n">
        <f aca="false">+'DG M&amp;A-SPA_POSN'!Q12</f>
        <v>101606400</v>
      </c>
      <c r="S31" s="143"/>
      <c r="T31" s="143"/>
      <c r="U31" s="143"/>
      <c r="V31" s="143"/>
      <c r="W31" s="143"/>
      <c r="X31" s="143" t="n">
        <f aca="false">+SUM(Y31:AJ31)</f>
        <v>0</v>
      </c>
      <c r="Y31" s="143"/>
      <c r="Z31" s="143"/>
      <c r="AA31" s="143"/>
      <c r="AB31" s="143"/>
      <c r="AC31" s="143"/>
      <c r="AD31" s="143"/>
      <c r="AE31" s="143"/>
      <c r="AF31" s="143"/>
      <c r="AG31" s="143"/>
      <c r="AH31" s="143"/>
      <c r="AI31" s="143"/>
      <c r="AJ31" s="143"/>
    </row>
    <row r="32" customFormat="false" ht="16.5" hidden="false" customHeight="true" outlineLevel="0" collapsed="false">
      <c r="B32" s="140"/>
      <c r="C32" s="129" t="n">
        <f aca="false">+C31+1</f>
        <v>2</v>
      </c>
      <c r="D32" s="130" t="str">
        <f aca="false">+'DG M&amp;A-SPA_POSN'!C17</f>
        <v>POS-3</v>
      </c>
      <c r="E32" s="130" t="n">
        <f aca="false">+'DG M&amp;A-SPA_POSN'!D17</f>
        <v>144.84</v>
      </c>
      <c r="F32" s="131" t="n">
        <v>400000000</v>
      </c>
      <c r="G32" s="131" t="n">
        <f aca="false">+E32*F32/1000</f>
        <v>57936000</v>
      </c>
      <c r="H32" s="132" t="n">
        <f aca="false">+I32/G32</f>
        <v>0.682021541010771</v>
      </c>
      <c r="I32" s="131" t="n">
        <f aca="false">+J32+K32+X32</f>
        <v>39513600</v>
      </c>
      <c r="J32" s="131"/>
      <c r="K32" s="131" t="n">
        <f aca="false">+SUM(L32:W32)</f>
        <v>39513600</v>
      </c>
      <c r="L32" s="131"/>
      <c r="M32" s="131"/>
      <c r="N32" s="131"/>
      <c r="O32" s="131"/>
      <c r="P32" s="131"/>
      <c r="Q32" s="131"/>
      <c r="R32" s="131" t="n">
        <f aca="false">+'DG M&amp;A-SPA_POSN'!Q18</f>
        <v>39513600</v>
      </c>
      <c r="S32" s="131"/>
      <c r="T32" s="131"/>
      <c r="U32" s="131"/>
      <c r="V32" s="131"/>
      <c r="W32" s="131"/>
      <c r="X32" s="131" t="n">
        <f aca="false">+SUM(Y32:AJ32)</f>
        <v>0</v>
      </c>
      <c r="Y32" s="131"/>
      <c r="Z32" s="131"/>
      <c r="AA32" s="131"/>
      <c r="AB32" s="131"/>
      <c r="AC32" s="131"/>
      <c r="AD32" s="131"/>
      <c r="AE32" s="131"/>
      <c r="AF32" s="131"/>
      <c r="AG32" s="131"/>
      <c r="AH32" s="131"/>
      <c r="AI32" s="131"/>
      <c r="AJ32" s="131"/>
    </row>
    <row r="33" customFormat="false" ht="16.5" hidden="false" customHeight="true" outlineLevel="0" collapsed="false">
      <c r="B33" s="140"/>
      <c r="C33" s="129" t="n">
        <f aca="false">+C32+1</f>
        <v>3</v>
      </c>
      <c r="D33" s="130" t="str">
        <f aca="false">+'DG M&amp;A-SPA_POSN'!C23</f>
        <v>POS-4</v>
      </c>
      <c r="E33" s="130" t="n">
        <f aca="false">+'DG M&amp;A-SPA_POSN'!D23</f>
        <v>807.98</v>
      </c>
      <c r="F33" s="131" t="n">
        <v>400000000</v>
      </c>
      <c r="G33" s="131" t="n">
        <f aca="false">+E33*F33/1000</f>
        <v>323192000</v>
      </c>
      <c r="H33" s="132" t="n">
        <f aca="false">+I33/G33</f>
        <v>0.68498601450531</v>
      </c>
      <c r="I33" s="131" t="n">
        <f aca="false">+J33+K33+X33</f>
        <v>221382000</v>
      </c>
      <c r="J33" s="131"/>
      <c r="K33" s="131" t="n">
        <f aca="false">+SUM(L33:W33)</f>
        <v>221382000</v>
      </c>
      <c r="L33" s="131"/>
      <c r="M33" s="131"/>
      <c r="N33" s="131"/>
      <c r="O33" s="131"/>
      <c r="P33" s="131"/>
      <c r="Q33" s="131"/>
      <c r="R33" s="131" t="n">
        <f aca="false">+'DG M&amp;A-SPA_POSN'!Q24</f>
        <v>221382000</v>
      </c>
      <c r="S33" s="131"/>
      <c r="T33" s="131"/>
      <c r="U33" s="131"/>
      <c r="V33" s="131"/>
      <c r="W33" s="131"/>
      <c r="X33" s="131" t="n">
        <f aca="false">+SUM(Y33:AJ33)</f>
        <v>0</v>
      </c>
      <c r="Y33" s="131"/>
      <c r="Z33" s="131"/>
      <c r="AA33" s="131"/>
      <c r="AB33" s="131"/>
      <c r="AC33" s="131"/>
      <c r="AD33" s="131"/>
      <c r="AE33" s="131"/>
      <c r="AF33" s="131"/>
      <c r="AG33" s="131"/>
      <c r="AH33" s="131"/>
      <c r="AI33" s="131"/>
      <c r="AJ33" s="131"/>
    </row>
    <row r="34" customFormat="false" ht="16.5" hidden="false" customHeight="true" outlineLevel="0" collapsed="false">
      <c r="B34" s="140"/>
      <c r="C34" s="133" t="n">
        <f aca="false">+C33+1</f>
        <v>4</v>
      </c>
      <c r="D34" s="134" t="str">
        <f aca="false">+'DG M&amp;A-SPA_POSN'!C29</f>
        <v>POS-8</v>
      </c>
      <c r="E34" s="134" t="n">
        <f aca="false">+'DG M&amp;A-SPA_POSN'!D29</f>
        <v>249.92</v>
      </c>
      <c r="F34" s="135" t="n">
        <v>400000000</v>
      </c>
      <c r="G34" s="135" t="n">
        <f aca="false">+E34*F34/1000</f>
        <v>99968000</v>
      </c>
      <c r="H34" s="136" t="n">
        <f aca="false">+I34/G34</f>
        <v>0.697003040973111</v>
      </c>
      <c r="I34" s="135" t="n">
        <f aca="false">+J34+K34+X34</f>
        <v>69678000</v>
      </c>
      <c r="J34" s="135"/>
      <c r="K34" s="135" t="n">
        <f aca="false">+SUM(L34:W34)</f>
        <v>69678000</v>
      </c>
      <c r="L34" s="135"/>
      <c r="M34" s="135"/>
      <c r="N34" s="135"/>
      <c r="O34" s="135"/>
      <c r="P34" s="135"/>
      <c r="Q34" s="135"/>
      <c r="R34" s="135" t="n">
        <f aca="false">+'DG M&amp;A-SPA_POSN'!Q30</f>
        <v>69678000</v>
      </c>
      <c r="S34" s="135"/>
      <c r="T34" s="135"/>
      <c r="U34" s="135"/>
      <c r="V34" s="135"/>
      <c r="W34" s="135"/>
      <c r="X34" s="135" t="n">
        <f aca="false">+SUM(Y34:AJ34)</f>
        <v>0</v>
      </c>
      <c r="Y34" s="135"/>
      <c r="Z34" s="135"/>
      <c r="AA34" s="135"/>
      <c r="AB34" s="135"/>
      <c r="AC34" s="135"/>
      <c r="AD34" s="135"/>
      <c r="AE34" s="135"/>
      <c r="AF34" s="135"/>
      <c r="AG34" s="135"/>
      <c r="AH34" s="135"/>
      <c r="AI34" s="135"/>
      <c r="AJ34" s="135"/>
    </row>
  </sheetData>
  <mergeCells count="37">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B13:B26"/>
    <mergeCell ref="B31:B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AB64"/>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6" ySplit="10" topLeftCell="P11" activePane="bottomRight" state="frozen"/>
      <selection pane="topLeft" activeCell="A1" activeCellId="0" sqref="A1"/>
      <selection pane="topRight" activeCell="P1" activeCellId="0" sqref="P1"/>
      <selection pane="bottomLeft" activeCell="A11" activeCellId="0" sqref="A11"/>
      <selection pane="bottomRight" activeCell="K17" activeCellId="0" sqref="K17"/>
    </sheetView>
  </sheetViews>
  <sheetFormatPr defaultColWidth="8" defaultRowHeight="12.75" zeroHeight="false" outlineLevelRow="0" outlineLevelCol="0"/>
  <cols>
    <col collapsed="false" customWidth="true" hidden="false" outlineLevel="0" max="1" min="1" style="145" width="1.5"/>
    <col collapsed="false" customWidth="true" hidden="false" outlineLevel="0" max="2" min="2" style="145" width="11"/>
    <col collapsed="false" customWidth="true" hidden="false" outlineLevel="0" max="3" min="3" style="145" width="22.5"/>
    <col collapsed="false" customWidth="true" hidden="false" outlineLevel="0" max="5" min="4" style="145" width="12.25"/>
    <col collapsed="false" customWidth="true" hidden="false" outlineLevel="0" max="7" min="6" style="146" width="13"/>
    <col collapsed="false" customWidth="true" hidden="true" outlineLevel="0" max="8" min="8" style="145" width="17"/>
    <col collapsed="false" customWidth="true" hidden="true" outlineLevel="0" max="9" min="9" style="145" width="15.37"/>
    <col collapsed="false" customWidth="true" hidden="false" outlineLevel="0" max="13" min="10" style="145" width="12.75"/>
    <col collapsed="false" customWidth="true" hidden="false" outlineLevel="0" max="14" min="14" style="145" width="19.5"/>
    <col collapsed="false" customWidth="true" hidden="false" outlineLevel="0" max="15" min="15" style="146" width="7.88"/>
    <col collapsed="false" customWidth="true" hidden="false" outlineLevel="0" max="16" min="16" style="145" width="14.25"/>
    <col collapsed="false" customWidth="true" hidden="false" outlineLevel="0" max="17" min="17" style="145" width="19.5"/>
    <col collapsed="false" customWidth="true" hidden="false" outlineLevel="0" max="18" min="18" style="146" width="7.88"/>
    <col collapsed="false" customWidth="true" hidden="false" outlineLevel="0" max="19" min="19" style="145" width="14.88"/>
    <col collapsed="false" customWidth="true" hidden="false" outlineLevel="0" max="20" min="20" style="146" width="7.88"/>
    <col collapsed="false" customWidth="true" hidden="false" outlineLevel="0" max="21" min="21" style="145" width="14.88"/>
    <col collapsed="false" customWidth="true" hidden="false" outlineLevel="0" max="22" min="22" style="146" width="7.88"/>
    <col collapsed="false" customWidth="true" hidden="false" outlineLevel="0" max="23" min="23" style="145" width="14.88"/>
    <col collapsed="false" customWidth="true" hidden="false" outlineLevel="0" max="24" min="24" style="146" width="7.88"/>
    <col collapsed="false" customWidth="true" hidden="false" outlineLevel="0" max="25" min="25" style="145" width="14.88"/>
    <col collapsed="false" customWidth="true" hidden="false" outlineLevel="0" max="26" min="26" style="145" width="1.5"/>
    <col collapsed="false" customWidth="true" hidden="false" outlineLevel="0" max="27" min="27" style="145" width="9.88"/>
    <col collapsed="false" customWidth="true" hidden="false" outlineLevel="0" max="28" min="28" style="145" width="11.62"/>
    <col collapsed="false" customWidth="true" hidden="false" outlineLevel="0" max="29" min="29" style="145" width="9.37"/>
    <col collapsed="false" customWidth="false" hidden="false" outlineLevel="0" max="16384" min="30" style="145" width="8"/>
  </cols>
  <sheetData>
    <row r="1" customFormat="false" ht="12.75" hidden="false" customHeight="false" outlineLevel="0" collapsed="false">
      <c r="I1" s="147"/>
      <c r="Y1" s="148"/>
    </row>
    <row r="2" customFormat="false" ht="12.75" hidden="false" customHeight="false" outlineLevel="0" collapsed="false">
      <c r="B2" s="149" t="s">
        <v>140</v>
      </c>
      <c r="C2" s="149"/>
      <c r="D2" s="149" t="s">
        <v>103</v>
      </c>
      <c r="E2" s="149"/>
      <c r="F2" s="150"/>
      <c r="I2" s="147"/>
      <c r="Y2" s="148"/>
    </row>
    <row r="3" customFormat="false" ht="14.9" hidden="false" customHeight="false" outlineLevel="0" collapsed="false">
      <c r="B3" s="151" t="s">
        <v>141</v>
      </c>
      <c r="C3" s="149"/>
      <c r="D3" s="149" t="s">
        <v>142</v>
      </c>
      <c r="E3" s="149"/>
      <c r="F3" s="150"/>
      <c r="I3" s="147"/>
      <c r="Y3" s="148"/>
    </row>
    <row r="4" customFormat="false" ht="14.9" hidden="false" customHeight="false" outlineLevel="0" collapsed="false">
      <c r="B4" s="151" t="s">
        <v>143</v>
      </c>
      <c r="C4" s="149"/>
      <c r="D4" s="149" t="s">
        <v>144</v>
      </c>
      <c r="E4" s="149"/>
      <c r="F4" s="150"/>
      <c r="I4" s="147"/>
      <c r="Y4" s="148"/>
    </row>
    <row r="5" customFormat="false" ht="12.75" hidden="false" customHeight="false" outlineLevel="0" collapsed="false">
      <c r="B5" s="149" t="s">
        <v>145</v>
      </c>
      <c r="C5" s="149"/>
      <c r="D5" s="149" t="s">
        <v>146</v>
      </c>
      <c r="E5" s="149"/>
      <c r="F5" s="150"/>
      <c r="I5" s="147"/>
      <c r="P5" s="152" t="n">
        <f aca="false">+P11+P12</f>
        <v>1214989490</v>
      </c>
      <c r="Y5" s="148"/>
    </row>
    <row r="6" customFormat="false" ht="14.9" hidden="false" customHeight="false" outlineLevel="0" collapsed="false">
      <c r="B6" s="151" t="s">
        <v>147</v>
      </c>
      <c r="C6" s="149"/>
      <c r="D6" s="149" t="s">
        <v>148</v>
      </c>
      <c r="E6" s="149"/>
      <c r="F6" s="150"/>
      <c r="I6" s="147"/>
      <c r="P6" s="145" t="n">
        <f aca="false">+P5/1470</f>
        <v>826523.462585034</v>
      </c>
      <c r="Y6" s="148"/>
    </row>
    <row r="7" customFormat="false" ht="14.9" hidden="false" customHeight="false" outlineLevel="0" collapsed="false">
      <c r="B7" s="151" t="s">
        <v>149</v>
      </c>
      <c r="C7" s="149"/>
      <c r="D7" s="149" t="s">
        <v>150</v>
      </c>
      <c r="E7" s="149"/>
      <c r="F7" s="150"/>
      <c r="I7" s="147"/>
      <c r="Y7" s="148"/>
    </row>
    <row r="8" customFormat="false" ht="12.75" hidden="false" customHeight="false" outlineLevel="0" collapsed="false">
      <c r="I8" s="147"/>
      <c r="Y8" s="153" t="s">
        <v>151</v>
      </c>
    </row>
    <row r="9" customFormat="false" ht="27" hidden="false" customHeight="true" outlineLevel="0" collapsed="false">
      <c r="B9" s="154" t="s">
        <v>96</v>
      </c>
      <c r="C9" s="154" t="s">
        <v>122</v>
      </c>
      <c r="D9" s="154" t="s">
        <v>152</v>
      </c>
      <c r="E9" s="154" t="s">
        <v>153</v>
      </c>
      <c r="F9" s="154" t="s">
        <v>123</v>
      </c>
      <c r="G9" s="155" t="s">
        <v>154</v>
      </c>
      <c r="H9" s="155" t="s">
        <v>155</v>
      </c>
      <c r="I9" s="156" t="s">
        <v>156</v>
      </c>
      <c r="J9" s="154" t="s">
        <v>109</v>
      </c>
      <c r="K9" s="155" t="s">
        <v>157</v>
      </c>
      <c r="L9" s="157" t="s">
        <v>158</v>
      </c>
      <c r="M9" s="157" t="s">
        <v>159</v>
      </c>
      <c r="N9" s="157" t="s">
        <v>160</v>
      </c>
      <c r="O9" s="158" t="s">
        <v>161</v>
      </c>
      <c r="P9" s="158"/>
      <c r="Q9" s="159" t="s">
        <v>162</v>
      </c>
      <c r="R9" s="160" t="s">
        <v>163</v>
      </c>
      <c r="S9" s="160"/>
      <c r="T9" s="161" t="s">
        <v>164</v>
      </c>
      <c r="U9" s="161"/>
      <c r="V9" s="161" t="s">
        <v>165</v>
      </c>
      <c r="W9" s="161"/>
      <c r="X9" s="154" t="s">
        <v>166</v>
      </c>
      <c r="Y9" s="154"/>
      <c r="AA9" s="154" t="s">
        <v>167</v>
      </c>
    </row>
    <row r="10" customFormat="false" ht="27" hidden="false" customHeight="true" outlineLevel="0" collapsed="false">
      <c r="B10" s="154"/>
      <c r="C10" s="154"/>
      <c r="D10" s="154"/>
      <c r="E10" s="154"/>
      <c r="F10" s="154"/>
      <c r="G10" s="155"/>
      <c r="H10" s="155"/>
      <c r="I10" s="156"/>
      <c r="J10" s="156"/>
      <c r="K10" s="155"/>
      <c r="L10" s="157"/>
      <c r="M10" s="157"/>
      <c r="N10" s="157"/>
      <c r="O10" s="162" t="s">
        <v>168</v>
      </c>
      <c r="P10" s="163" t="s">
        <v>169</v>
      </c>
      <c r="Q10" s="159"/>
      <c r="R10" s="164" t="s">
        <v>168</v>
      </c>
      <c r="S10" s="165" t="s">
        <v>169</v>
      </c>
      <c r="T10" s="165" t="s">
        <v>168</v>
      </c>
      <c r="U10" s="165" t="s">
        <v>169</v>
      </c>
      <c r="V10" s="165" t="s">
        <v>168</v>
      </c>
      <c r="W10" s="165" t="s">
        <v>169</v>
      </c>
      <c r="X10" s="154"/>
      <c r="Y10" s="154"/>
      <c r="AA10" s="154"/>
    </row>
    <row r="11" customFormat="false" ht="16.5" hidden="false" customHeight="true" outlineLevel="0" collapsed="false">
      <c r="B11" s="166" t="s">
        <v>103</v>
      </c>
      <c r="C11" s="167" t="s">
        <v>170</v>
      </c>
      <c r="D11" s="168" t="n">
        <f aca="false">1050000+$D$64/1000</f>
        <v>1077500</v>
      </c>
      <c r="E11" s="168"/>
      <c r="F11" s="169" t="n">
        <v>999.58</v>
      </c>
      <c r="G11" s="170" t="n">
        <f aca="false">D11*F11*1.1/1470</f>
        <v>805953.87414966</v>
      </c>
      <c r="H11" s="171" t="n">
        <f aca="false">+P11+S11</f>
        <v>896123470</v>
      </c>
      <c r="I11" s="171" t="n">
        <f aca="false">+F11*D11*1.1</f>
        <v>1184752195</v>
      </c>
      <c r="J11" s="171" t="n">
        <f aca="false">+K11+P11+S11+U11+Y11+W11</f>
        <v>1184752195</v>
      </c>
      <c r="K11" s="171" t="n">
        <f aca="false">+'GM Batch1'!AE11</f>
        <v>231000000</v>
      </c>
      <c r="L11" s="172"/>
      <c r="M11" s="173"/>
      <c r="N11" s="174" t="n">
        <f aca="false">+P11</f>
        <v>607494745</v>
      </c>
      <c r="O11" s="175" t="n">
        <f aca="false">+'GM Batch1'!AO11</f>
        <v>45950</v>
      </c>
      <c r="P11" s="176" t="n">
        <f aca="false">+'GM Batch1'!AR11</f>
        <v>607494745</v>
      </c>
      <c r="Q11" s="177" t="n">
        <f aca="false">+S11</f>
        <v>288628725</v>
      </c>
      <c r="R11" s="178" t="n">
        <f aca="false">+'GM Batch1'!BC11</f>
        <v>45991</v>
      </c>
      <c r="S11" s="171" t="n">
        <f aca="false">+'GM Batch1'!BF11</f>
        <v>288628725</v>
      </c>
      <c r="T11" s="179" t="n">
        <f aca="false">+'GM Batch1'!BJ11</f>
        <v>46022</v>
      </c>
      <c r="U11" s="171" t="n">
        <f aca="false">+'GM Batch1'!BM11+'GM Batch1'!AF11</f>
        <v>57628725.0000001</v>
      </c>
      <c r="V11" s="179"/>
      <c r="W11" s="171"/>
      <c r="X11" s="179"/>
      <c r="Y11" s="171"/>
      <c r="AA11" s="180" t="n">
        <f aca="false">+I11=J11</f>
        <v>1</v>
      </c>
      <c r="AB11" s="152"/>
    </row>
    <row r="12" customFormat="false" ht="12.75" hidden="false" customHeight="false" outlineLevel="0" collapsed="false">
      <c r="B12" s="166"/>
      <c r="C12" s="181" t="s">
        <v>171</v>
      </c>
      <c r="D12" s="182" t="n">
        <f aca="false">1050000+$D$64/1000</f>
        <v>1077500</v>
      </c>
      <c r="E12" s="182"/>
      <c r="F12" s="183" t="n">
        <v>999.58</v>
      </c>
      <c r="G12" s="184" t="n">
        <f aca="false">D12*F12*1.1/1470</f>
        <v>805953.87414966</v>
      </c>
      <c r="H12" s="185" t="n">
        <f aca="false">+P12+S12</f>
        <v>896123470</v>
      </c>
      <c r="I12" s="185" t="n">
        <f aca="false">+F12*D12*1.1</f>
        <v>1184752195</v>
      </c>
      <c r="J12" s="185" t="n">
        <f aca="false">+K12+P12+S12+U12+Y12+W12</f>
        <v>1184752195</v>
      </c>
      <c r="K12" s="185" t="n">
        <f aca="false">+'GM Batch1'!AE17</f>
        <v>231000000</v>
      </c>
      <c r="L12" s="172"/>
      <c r="M12" s="186"/>
      <c r="N12" s="187" t="n">
        <f aca="false">+P12</f>
        <v>607494745</v>
      </c>
      <c r="O12" s="188" t="n">
        <f aca="false">+'GM Batch1'!AO17</f>
        <v>45950</v>
      </c>
      <c r="P12" s="189" t="n">
        <f aca="false">+'GM Batch1'!AR17</f>
        <v>607494745</v>
      </c>
      <c r="Q12" s="190" t="n">
        <f aca="false">+S12</f>
        <v>288628725</v>
      </c>
      <c r="R12" s="191" t="n">
        <f aca="false">+'GM Batch1'!BC17</f>
        <v>45991</v>
      </c>
      <c r="S12" s="185" t="n">
        <f aca="false">+'GM Batch1'!BF17</f>
        <v>288628725</v>
      </c>
      <c r="T12" s="192" t="n">
        <f aca="false">+'GM Batch1'!BJ17</f>
        <v>46022</v>
      </c>
      <c r="U12" s="185" t="n">
        <f aca="false">+'GM Batch1'!BM17+'GM Batch1'!AF17</f>
        <v>57628725.0000001</v>
      </c>
      <c r="V12" s="192"/>
      <c r="W12" s="185"/>
      <c r="X12" s="192"/>
      <c r="Y12" s="185"/>
      <c r="AA12" s="193" t="n">
        <f aca="false">+I12=J12</f>
        <v>1</v>
      </c>
    </row>
    <row r="13" customFormat="false" ht="12.75" hidden="false" customHeight="false" outlineLevel="0" collapsed="false">
      <c r="B13" s="166"/>
      <c r="C13" s="181" t="s">
        <v>172</v>
      </c>
      <c r="D13" s="182" t="n">
        <f aca="false">1050000+$D$64/1000</f>
        <v>1077500</v>
      </c>
      <c r="E13" s="182"/>
      <c r="F13" s="183" t="n">
        <v>999.6</v>
      </c>
      <c r="G13" s="184" t="n">
        <f aca="false">D13*F13*1.1/1470</f>
        <v>805970</v>
      </c>
      <c r="H13" s="185" t="n">
        <f aca="false">+P13+S13</f>
        <v>896141400</v>
      </c>
      <c r="I13" s="185" t="n">
        <f aca="false">+F13*D13*1.1</f>
        <v>1184775900</v>
      </c>
      <c r="J13" s="185" t="n">
        <f aca="false">+K13+P13+S13+U13+Y13+W13</f>
        <v>1184775900</v>
      </c>
      <c r="K13" s="185" t="n">
        <f aca="false">+'GM Batch1'!AE23</f>
        <v>231000000</v>
      </c>
      <c r="L13" s="172"/>
      <c r="M13" s="186"/>
      <c r="N13" s="187" t="n">
        <f aca="false">+P13</f>
        <v>607506900</v>
      </c>
      <c r="O13" s="188" t="n">
        <f aca="false">+'GM Batch1'!AO23</f>
        <v>45950</v>
      </c>
      <c r="P13" s="189" t="n">
        <f aca="false">+'GM Batch1'!AR23</f>
        <v>607506900</v>
      </c>
      <c r="Q13" s="190" t="n">
        <f aca="false">+S13</f>
        <v>288634500</v>
      </c>
      <c r="R13" s="191" t="n">
        <f aca="false">+'GM Batch1'!BC23</f>
        <v>45991</v>
      </c>
      <c r="S13" s="185" t="n">
        <f aca="false">+'GM Batch1'!BF23</f>
        <v>288634500</v>
      </c>
      <c r="T13" s="192" t="n">
        <f aca="false">+'GM Batch1'!BJ23</f>
        <v>46022</v>
      </c>
      <c r="U13" s="185" t="n">
        <f aca="false">+'GM Batch1'!BM23+'GM Batch1'!AF23</f>
        <v>57634500.0000001</v>
      </c>
      <c r="V13" s="192"/>
      <c r="W13" s="185"/>
      <c r="X13" s="192"/>
      <c r="Y13" s="185"/>
      <c r="AA13" s="194" t="b">
        <f aca="false">+I13=J13</f>
        <v>1</v>
      </c>
    </row>
    <row r="14" customFormat="false" ht="12.75" hidden="false" customHeight="false" outlineLevel="0" collapsed="false">
      <c r="B14" s="166"/>
      <c r="C14" s="181" t="s">
        <v>173</v>
      </c>
      <c r="D14" s="182" t="n">
        <f aca="false">1050000+$D$64/1000</f>
        <v>1077500</v>
      </c>
      <c r="E14" s="182"/>
      <c r="F14" s="195" t="n">
        <v>999.6</v>
      </c>
      <c r="G14" s="184" t="n">
        <f aca="false">D14*F14*1.1/1470</f>
        <v>805970</v>
      </c>
      <c r="H14" s="185" t="n">
        <f aca="false">+P14+S14</f>
        <v>896141400</v>
      </c>
      <c r="I14" s="185" t="n">
        <f aca="false">+F14*D14*1.1</f>
        <v>1184775900</v>
      </c>
      <c r="J14" s="185" t="n">
        <f aca="false">+K14+P14+S14+U14+Y14+W14</f>
        <v>1184775900</v>
      </c>
      <c r="K14" s="185" t="n">
        <f aca="false">+'GM Batch1'!AE29</f>
        <v>231000000</v>
      </c>
      <c r="L14" s="172"/>
      <c r="M14" s="186"/>
      <c r="N14" s="187" t="n">
        <f aca="false">+P14</f>
        <v>607506900</v>
      </c>
      <c r="O14" s="188" t="n">
        <f aca="false">+'GM Batch1'!AO29</f>
        <v>45950</v>
      </c>
      <c r="P14" s="189" t="n">
        <f aca="false">+'GM Batch1'!AR29</f>
        <v>607506900</v>
      </c>
      <c r="Q14" s="190" t="n">
        <f aca="false">+S14</f>
        <v>288634500</v>
      </c>
      <c r="R14" s="191" t="n">
        <f aca="false">+'GM Batch1'!BC29</f>
        <v>45991</v>
      </c>
      <c r="S14" s="196" t="n">
        <f aca="false">+'GM Batch1'!BF29</f>
        <v>288634500</v>
      </c>
      <c r="T14" s="192" t="n">
        <f aca="false">+'GM Batch1'!BJ29</f>
        <v>46022</v>
      </c>
      <c r="U14" s="185" t="n">
        <f aca="false">+'GM Batch1'!BM29+'GM Batch1'!AF29</f>
        <v>57634500.0000001</v>
      </c>
      <c r="V14" s="192"/>
      <c r="W14" s="185"/>
      <c r="X14" s="192"/>
      <c r="Y14" s="185"/>
      <c r="AA14" s="194" t="b">
        <f aca="false">+I14=J14</f>
        <v>1</v>
      </c>
    </row>
    <row r="15" customFormat="false" ht="12.75" hidden="false" customHeight="false" outlineLevel="0" collapsed="false">
      <c r="B15" s="166"/>
      <c r="C15" s="181" t="s">
        <v>174</v>
      </c>
      <c r="D15" s="182" t="n">
        <f aca="false">1050000+$D$64/1000</f>
        <v>1077500</v>
      </c>
      <c r="E15" s="182"/>
      <c r="F15" s="195" t="n">
        <v>999.24</v>
      </c>
      <c r="G15" s="184" t="n">
        <f aca="false">D15*F15*1.1/1470</f>
        <v>805679.734693878</v>
      </c>
      <c r="H15" s="185" t="n">
        <f aca="false">+P15+S15</f>
        <v>0</v>
      </c>
      <c r="I15" s="185" t="n">
        <f aca="false">+F15*D15*1.1</f>
        <v>1184349210</v>
      </c>
      <c r="J15" s="185" t="n">
        <f aca="false">+K15+P15+S15+U15+Y15+W15</f>
        <v>1184349210</v>
      </c>
      <c r="K15" s="185" t="n">
        <v>0</v>
      </c>
      <c r="L15" s="172"/>
      <c r="M15" s="186"/>
      <c r="N15" s="187" t="n">
        <f aca="false">+P15</f>
        <v>0</v>
      </c>
      <c r="O15" s="188"/>
      <c r="P15" s="197"/>
      <c r="Q15" s="190" t="n">
        <f aca="false">+S15</f>
        <v>0</v>
      </c>
      <c r="R15" s="191"/>
      <c r="S15" s="196"/>
      <c r="T15" s="192"/>
      <c r="U15" s="196"/>
      <c r="V15" s="192" t="n">
        <f aca="false">+'GM Batch1'!AA35</f>
        <v>46052</v>
      </c>
      <c r="W15" s="185" t="n">
        <f aca="false">+'GM Batch1'!AD35</f>
        <v>230824440</v>
      </c>
      <c r="X15" s="192"/>
      <c r="Y15" s="185" t="n">
        <f aca="false">+'GM Batch1'!I35-'GM Batch1'!AD35</f>
        <v>953524770</v>
      </c>
      <c r="AA15" s="194" t="b">
        <f aca="false">+I15=J15</f>
        <v>1</v>
      </c>
      <c r="AB15" s="152"/>
    </row>
    <row r="16" customFormat="false" ht="12.75" hidden="false" customHeight="false" outlineLevel="0" collapsed="false">
      <c r="B16" s="166"/>
      <c r="C16" s="181" t="s">
        <v>175</v>
      </c>
      <c r="D16" s="182" t="n">
        <f aca="false">1050000+$D$64/1000</f>
        <v>1077500</v>
      </c>
      <c r="E16" s="182"/>
      <c r="F16" s="195" t="n">
        <v>999.24</v>
      </c>
      <c r="G16" s="184" t="n">
        <f aca="false">D16*F16*1.1/1470</f>
        <v>805679.734693878</v>
      </c>
      <c r="H16" s="185" t="n">
        <f aca="false">+P16+S16</f>
        <v>0</v>
      </c>
      <c r="I16" s="185" t="n">
        <f aca="false">+F16*D16*1.1</f>
        <v>1184349210</v>
      </c>
      <c r="J16" s="185" t="n">
        <f aca="false">+K16+P16+S16+U16+Y16+W16</f>
        <v>1184349210</v>
      </c>
      <c r="K16" s="185" t="n">
        <v>0</v>
      </c>
      <c r="L16" s="172"/>
      <c r="M16" s="186"/>
      <c r="N16" s="187" t="n">
        <f aca="false">+P16</f>
        <v>0</v>
      </c>
      <c r="O16" s="188"/>
      <c r="P16" s="197"/>
      <c r="Q16" s="190" t="n">
        <f aca="false">+S16</f>
        <v>0</v>
      </c>
      <c r="R16" s="191"/>
      <c r="S16" s="185"/>
      <c r="T16" s="192"/>
      <c r="U16" s="196"/>
      <c r="V16" s="192" t="n">
        <f aca="false">+'GM Batch1'!AA41</f>
        <v>46052</v>
      </c>
      <c r="W16" s="185" t="n">
        <f aca="false">+'GM Batch1'!AD41</f>
        <v>230824440</v>
      </c>
      <c r="X16" s="192"/>
      <c r="Y16" s="185" t="n">
        <f aca="false">+'GM Batch1'!I41-'GM Batch1'!AD41</f>
        <v>953524770</v>
      </c>
      <c r="AA16" s="194" t="b">
        <f aca="false">+I16=J16</f>
        <v>1</v>
      </c>
      <c r="AB16" s="152"/>
    </row>
    <row r="17" customFormat="false" ht="12.75" hidden="false" customHeight="false" outlineLevel="0" collapsed="false">
      <c r="B17" s="166"/>
      <c r="C17" s="181" t="s">
        <v>176</v>
      </c>
      <c r="D17" s="182" t="n">
        <f aca="false">1050000+$D$64/1000</f>
        <v>1077500</v>
      </c>
      <c r="E17" s="182"/>
      <c r="F17" s="195" t="n">
        <v>999.44</v>
      </c>
      <c r="G17" s="184" t="n">
        <f aca="false">D17*F17*1.1/1470</f>
        <v>805840.993197279</v>
      </c>
      <c r="H17" s="185" t="n">
        <f aca="false">+P17+S17</f>
        <v>0</v>
      </c>
      <c r="I17" s="185" t="n">
        <f aca="false">+F17*D17*1.1</f>
        <v>1184586260</v>
      </c>
      <c r="J17" s="185" t="n">
        <f aca="false">+K17+P17+S17+U17+Y17+W17</f>
        <v>1184586260</v>
      </c>
      <c r="K17" s="185" t="n">
        <v>0</v>
      </c>
      <c r="L17" s="172"/>
      <c r="M17" s="186"/>
      <c r="N17" s="187" t="n">
        <f aca="false">+P17</f>
        <v>0</v>
      </c>
      <c r="O17" s="188"/>
      <c r="P17" s="197"/>
      <c r="Q17" s="190" t="n">
        <f aca="false">+S17</f>
        <v>0</v>
      </c>
      <c r="R17" s="191"/>
      <c r="S17" s="185"/>
      <c r="T17" s="192"/>
      <c r="U17" s="196"/>
      <c r="V17" s="192" t="n">
        <f aca="false">+'GM Batch1'!AA47</f>
        <v>46052</v>
      </c>
      <c r="W17" s="185" t="n">
        <f aca="false">+'GM Batch1'!AD47</f>
        <v>230870640</v>
      </c>
      <c r="X17" s="192"/>
      <c r="Y17" s="185" t="n">
        <f aca="false">+'GM Batch1'!I47-'GM Batch1'!AD47</f>
        <v>953715620</v>
      </c>
      <c r="AA17" s="194" t="b">
        <f aca="false">+I17=J17</f>
        <v>1</v>
      </c>
      <c r="AB17" s="152"/>
    </row>
    <row r="18" customFormat="false" ht="12.75" hidden="false" customHeight="false" outlineLevel="0" collapsed="false">
      <c r="B18" s="166"/>
      <c r="C18" s="181" t="s">
        <v>177</v>
      </c>
      <c r="D18" s="182" t="n">
        <f aca="false">1050000+$D$64/1000</f>
        <v>1077500</v>
      </c>
      <c r="E18" s="182"/>
      <c r="F18" s="195" t="n">
        <v>999.44</v>
      </c>
      <c r="G18" s="184" t="n">
        <f aca="false">D18*F18*1.1/1470</f>
        <v>805840.993197279</v>
      </c>
      <c r="H18" s="185" t="n">
        <f aca="false">+P18+S18</f>
        <v>0</v>
      </c>
      <c r="I18" s="185" t="n">
        <f aca="false">+F18*D18*1.1</f>
        <v>1184586260</v>
      </c>
      <c r="J18" s="185" t="n">
        <f aca="false">+K18+P18+S18+U18+Y18+W18</f>
        <v>1184586260</v>
      </c>
      <c r="K18" s="185" t="n">
        <v>0</v>
      </c>
      <c r="L18" s="172"/>
      <c r="M18" s="186"/>
      <c r="N18" s="187" t="n">
        <f aca="false">+P18</f>
        <v>0</v>
      </c>
      <c r="O18" s="188"/>
      <c r="P18" s="197"/>
      <c r="Q18" s="190" t="n">
        <f aca="false">+S18</f>
        <v>0</v>
      </c>
      <c r="R18" s="191"/>
      <c r="S18" s="196"/>
      <c r="T18" s="192"/>
      <c r="U18" s="196"/>
      <c r="V18" s="192" t="n">
        <f aca="false">+'GM Batch1'!AA53</f>
        <v>46052</v>
      </c>
      <c r="W18" s="196" t="n">
        <f aca="false">+'GM Batch1'!AD53</f>
        <v>230870640</v>
      </c>
      <c r="X18" s="192"/>
      <c r="Y18" s="185" t="n">
        <f aca="false">+'GM Batch1'!I53-'GM Batch1'!AD53</f>
        <v>953715620</v>
      </c>
      <c r="AA18" s="198" t="n">
        <f aca="false">+I18=J18</f>
        <v>1</v>
      </c>
      <c r="AB18" s="152"/>
    </row>
    <row r="19" customFormat="false" ht="12.75" hidden="false" customHeight="false" outlineLevel="0" collapsed="false">
      <c r="B19" s="166"/>
      <c r="C19" s="181" t="s">
        <v>178</v>
      </c>
      <c r="D19" s="182" t="n">
        <f aca="false">1050000+$D$64/1000</f>
        <v>1077500</v>
      </c>
      <c r="E19" s="182"/>
      <c r="F19" s="195" t="n">
        <v>999.24</v>
      </c>
      <c r="G19" s="184" t="n">
        <f aca="false">D19*F19*1.1/1470</f>
        <v>805679.734693878</v>
      </c>
      <c r="H19" s="185" t="n">
        <f aca="false">+P19+S19</f>
        <v>0</v>
      </c>
      <c r="I19" s="185" t="n">
        <f aca="false">+F19*D19*1.1</f>
        <v>1184349210</v>
      </c>
      <c r="J19" s="185" t="n">
        <f aca="false">+K19+P19+S19+U19+Y19+W19</f>
        <v>0</v>
      </c>
      <c r="K19" s="185"/>
      <c r="L19" s="172"/>
      <c r="M19" s="186"/>
      <c r="N19" s="187" t="n">
        <f aca="false">+P19</f>
        <v>0</v>
      </c>
      <c r="O19" s="188"/>
      <c r="P19" s="197"/>
      <c r="Q19" s="190" t="n">
        <f aca="false">+S19</f>
        <v>0</v>
      </c>
      <c r="R19" s="191"/>
      <c r="S19" s="196"/>
      <c r="T19" s="192"/>
      <c r="U19" s="185"/>
      <c r="V19" s="192"/>
      <c r="W19" s="185"/>
      <c r="X19" s="192"/>
      <c r="Y19" s="185"/>
      <c r="AA19" s="198" t="n">
        <f aca="false">+I19=J19</f>
        <v>0</v>
      </c>
      <c r="AB19" s="152"/>
    </row>
    <row r="20" customFormat="false" ht="12.75" hidden="false" customHeight="false" outlineLevel="0" collapsed="false">
      <c r="B20" s="166"/>
      <c r="C20" s="199" t="s">
        <v>179</v>
      </c>
      <c r="D20" s="182" t="n">
        <f aca="false">1050000+$D$64/1000</f>
        <v>1077500</v>
      </c>
      <c r="E20" s="182"/>
      <c r="F20" s="195" t="n">
        <v>399.04</v>
      </c>
      <c r="G20" s="184" t="n">
        <f aca="false">D20*F20*1.1/1470</f>
        <v>321742.965986395</v>
      </c>
      <c r="H20" s="185" t="n">
        <f aca="false">+P20+S20</f>
        <v>0</v>
      </c>
      <c r="I20" s="185" t="n">
        <f aca="false">+F20*D20*1.1</f>
        <v>472962160</v>
      </c>
      <c r="J20" s="185" t="n">
        <f aca="false">+K20+P20+S20+U20+Y20+W20</f>
        <v>0</v>
      </c>
      <c r="K20" s="200"/>
      <c r="L20" s="172"/>
      <c r="M20" s="186"/>
      <c r="N20" s="187" t="n">
        <f aca="false">+P20</f>
        <v>0</v>
      </c>
      <c r="O20" s="201"/>
      <c r="P20" s="202"/>
      <c r="Q20" s="190" t="n">
        <f aca="false">+S20</f>
        <v>0</v>
      </c>
      <c r="R20" s="203"/>
      <c r="S20" s="204"/>
      <c r="T20" s="205"/>
      <c r="U20" s="200"/>
      <c r="V20" s="205"/>
      <c r="W20" s="200"/>
      <c r="X20" s="205"/>
      <c r="Y20" s="200"/>
      <c r="AA20" s="198" t="n">
        <f aca="false">+I20=J20</f>
        <v>0</v>
      </c>
      <c r="AB20" s="152"/>
    </row>
    <row r="21" customFormat="false" ht="12.75" hidden="false" customHeight="false" outlineLevel="0" collapsed="false">
      <c r="B21" s="166"/>
      <c r="C21" s="199" t="s">
        <v>180</v>
      </c>
      <c r="D21" s="182" t="n">
        <f aca="false">1050000+$D$64/1000</f>
        <v>1077500</v>
      </c>
      <c r="E21" s="182"/>
      <c r="F21" s="206" t="n">
        <v>499.96</v>
      </c>
      <c r="G21" s="184" t="n">
        <f aca="false">D21*F21*1.1/1470</f>
        <v>403114.006802721</v>
      </c>
      <c r="H21" s="185" t="n">
        <f aca="false">+P21+S21</f>
        <v>0</v>
      </c>
      <c r="I21" s="185" t="n">
        <f aca="false">+F21*D21*1.1</f>
        <v>592577590</v>
      </c>
      <c r="J21" s="185" t="n">
        <f aca="false">+K21+P21+S21+U21+Y21+W21</f>
        <v>0</v>
      </c>
      <c r="K21" s="200"/>
      <c r="L21" s="172"/>
      <c r="M21" s="186"/>
      <c r="N21" s="187" t="n">
        <f aca="false">+P21</f>
        <v>0</v>
      </c>
      <c r="O21" s="201"/>
      <c r="P21" s="207"/>
      <c r="Q21" s="190" t="n">
        <f aca="false">+S21</f>
        <v>0</v>
      </c>
      <c r="R21" s="203"/>
      <c r="S21" s="204"/>
      <c r="T21" s="205"/>
      <c r="U21" s="200"/>
      <c r="V21" s="205"/>
      <c r="W21" s="200"/>
      <c r="X21" s="205"/>
      <c r="Y21" s="200"/>
      <c r="AA21" s="198" t="n">
        <f aca="false">+I21=J21</f>
        <v>0</v>
      </c>
      <c r="AB21" s="152"/>
    </row>
    <row r="22" customFormat="false" ht="12.75" hidden="false" customHeight="false" outlineLevel="0" collapsed="false">
      <c r="B22" s="166"/>
      <c r="C22" s="199" t="s">
        <v>181</v>
      </c>
      <c r="D22" s="182" t="n">
        <f aca="false">1050000+$D$64/1000</f>
        <v>1077500</v>
      </c>
      <c r="E22" s="182"/>
      <c r="F22" s="206" t="n">
        <v>499.96</v>
      </c>
      <c r="G22" s="184" t="n">
        <f aca="false">D22*F22*1.1/1470</f>
        <v>403114.006802721</v>
      </c>
      <c r="H22" s="185" t="n">
        <f aca="false">+P22+S22</f>
        <v>0</v>
      </c>
      <c r="I22" s="185" t="n">
        <f aca="false">+F22*D22*1.1</f>
        <v>592577590</v>
      </c>
      <c r="J22" s="185" t="n">
        <f aca="false">+K22+P22+S22+U22+Y22+W22</f>
        <v>0</v>
      </c>
      <c r="K22" s="200"/>
      <c r="L22" s="172"/>
      <c r="M22" s="186"/>
      <c r="N22" s="187" t="n">
        <f aca="false">+P22</f>
        <v>0</v>
      </c>
      <c r="O22" s="201"/>
      <c r="P22" s="207"/>
      <c r="Q22" s="190" t="n">
        <f aca="false">+S22</f>
        <v>0</v>
      </c>
      <c r="R22" s="203"/>
      <c r="S22" s="204"/>
      <c r="T22" s="205"/>
      <c r="U22" s="200"/>
      <c r="V22" s="205"/>
      <c r="W22" s="200"/>
      <c r="X22" s="205"/>
      <c r="Y22" s="200"/>
      <c r="AA22" s="198"/>
      <c r="AB22" s="152"/>
    </row>
    <row r="23" customFormat="false" ht="12.75" hidden="false" customHeight="false" outlineLevel="0" collapsed="false">
      <c r="B23" s="166"/>
      <c r="C23" s="199" t="s">
        <v>182</v>
      </c>
      <c r="D23" s="182" t="n">
        <f aca="false">1050000+$D$64/1000</f>
        <v>1077500</v>
      </c>
      <c r="E23" s="182"/>
      <c r="F23" s="206" t="n">
        <v>149.64</v>
      </c>
      <c r="G23" s="184" t="n">
        <f aca="false">D23*F23*1.1/1470</f>
        <v>120653.612244898</v>
      </c>
      <c r="H23" s="185" t="n">
        <f aca="false">+P23+S23</f>
        <v>0</v>
      </c>
      <c r="I23" s="185" t="n">
        <f aca="false">+F23*D23*1.1</f>
        <v>177360810</v>
      </c>
      <c r="J23" s="185" t="n">
        <f aca="false">+K23+P23+S23+U23+Y23+W23</f>
        <v>0</v>
      </c>
      <c r="K23" s="200"/>
      <c r="L23" s="172"/>
      <c r="M23" s="186"/>
      <c r="N23" s="187" t="n">
        <f aca="false">+P23</f>
        <v>0</v>
      </c>
      <c r="O23" s="201"/>
      <c r="P23" s="207"/>
      <c r="Q23" s="190" t="n">
        <f aca="false">+S23</f>
        <v>0</v>
      </c>
      <c r="R23" s="203"/>
      <c r="S23" s="204"/>
      <c r="T23" s="205"/>
      <c r="U23" s="200"/>
      <c r="V23" s="205"/>
      <c r="W23" s="200"/>
      <c r="X23" s="205"/>
      <c r="Y23" s="200"/>
      <c r="AA23" s="198"/>
      <c r="AB23" s="152"/>
    </row>
    <row r="24" customFormat="false" ht="12.75" hidden="false" customHeight="false" outlineLevel="0" collapsed="false">
      <c r="B24" s="166"/>
      <c r="C24" s="199" t="s">
        <v>183</v>
      </c>
      <c r="D24" s="182" t="n">
        <f aca="false">1050000+$D$64/1000</f>
        <v>1077500</v>
      </c>
      <c r="E24" s="182"/>
      <c r="F24" s="206" t="n">
        <v>299.28</v>
      </c>
      <c r="G24" s="184" t="n">
        <f aca="false">D24*F24*1.1/1470</f>
        <v>241307.224489796</v>
      </c>
      <c r="H24" s="185" t="n">
        <f aca="false">+P24+S24</f>
        <v>0</v>
      </c>
      <c r="I24" s="185" t="n">
        <f aca="false">+F24*D24*1.1</f>
        <v>354721620</v>
      </c>
      <c r="J24" s="185" t="n">
        <f aca="false">+K24+P24+S24+U24+Y24+W24</f>
        <v>0</v>
      </c>
      <c r="K24" s="200"/>
      <c r="L24" s="172"/>
      <c r="M24" s="186"/>
      <c r="N24" s="187" t="n">
        <f aca="false">+P24</f>
        <v>0</v>
      </c>
      <c r="O24" s="201"/>
      <c r="P24" s="207"/>
      <c r="Q24" s="190" t="n">
        <f aca="false">+S24</f>
        <v>0</v>
      </c>
      <c r="R24" s="203"/>
      <c r="S24" s="204"/>
      <c r="T24" s="205"/>
      <c r="U24" s="200"/>
      <c r="V24" s="205"/>
      <c r="W24" s="200"/>
      <c r="X24" s="205"/>
      <c r="Y24" s="200"/>
      <c r="AA24" s="198"/>
      <c r="AB24" s="152"/>
    </row>
    <row r="25" customFormat="false" ht="12.75" hidden="false" customHeight="false" outlineLevel="0" collapsed="false">
      <c r="B25" s="166"/>
      <c r="C25" s="199" t="s">
        <v>184</v>
      </c>
      <c r="D25" s="182" t="n">
        <f aca="false">1050000+$D$64/1000</f>
        <v>1077500</v>
      </c>
      <c r="E25" s="182"/>
      <c r="F25" s="206" t="n">
        <v>993.6</v>
      </c>
      <c r="G25" s="184" t="n">
        <f aca="false">D25*F25*1.1/1470</f>
        <v>801132.244897959</v>
      </c>
      <c r="H25" s="185" t="n">
        <f aca="false">+P25+S25</f>
        <v>0</v>
      </c>
      <c r="I25" s="185" t="n">
        <f aca="false">+F25*D25*1.1</f>
        <v>1177664400</v>
      </c>
      <c r="J25" s="185" t="n">
        <f aca="false">+K25+P25+S25+U25+Y25+W25</f>
        <v>0</v>
      </c>
      <c r="K25" s="200"/>
      <c r="L25" s="172"/>
      <c r="M25" s="186"/>
      <c r="N25" s="187" t="n">
        <f aca="false">+P25</f>
        <v>0</v>
      </c>
      <c r="O25" s="201"/>
      <c r="P25" s="207"/>
      <c r="Q25" s="190" t="n">
        <f aca="false">+S25</f>
        <v>0</v>
      </c>
      <c r="R25" s="203"/>
      <c r="S25" s="204"/>
      <c r="T25" s="205"/>
      <c r="U25" s="200"/>
      <c r="V25" s="205"/>
      <c r="W25" s="200"/>
      <c r="X25" s="205"/>
      <c r="Y25" s="200"/>
      <c r="AA25" s="198"/>
      <c r="AB25" s="152"/>
    </row>
    <row r="26" customFormat="false" ht="12.75" hidden="false" customHeight="false" outlineLevel="0" collapsed="false">
      <c r="B26" s="166"/>
      <c r="C26" s="199" t="s">
        <v>185</v>
      </c>
      <c r="D26" s="182" t="n">
        <f aca="false">1050000+$D$64/1000</f>
        <v>1077500</v>
      </c>
      <c r="E26" s="182"/>
      <c r="F26" s="206" t="n">
        <v>993.6</v>
      </c>
      <c r="G26" s="184" t="n">
        <f aca="false">D26*F26*1.1/1470</f>
        <v>801132.244897959</v>
      </c>
      <c r="H26" s="185" t="n">
        <f aca="false">+P26+S26</f>
        <v>0</v>
      </c>
      <c r="I26" s="185" t="n">
        <f aca="false">+F26*D26*1.1</f>
        <v>1177664400</v>
      </c>
      <c r="J26" s="185" t="n">
        <f aca="false">+K26+P26+S26+U26+Y26+W26</f>
        <v>0</v>
      </c>
      <c r="K26" s="200"/>
      <c r="L26" s="172"/>
      <c r="M26" s="186"/>
      <c r="N26" s="187" t="n">
        <f aca="false">+P26</f>
        <v>0</v>
      </c>
      <c r="O26" s="201"/>
      <c r="P26" s="207"/>
      <c r="Q26" s="190" t="n">
        <f aca="false">+S26</f>
        <v>0</v>
      </c>
      <c r="R26" s="203"/>
      <c r="S26" s="204"/>
      <c r="T26" s="205"/>
      <c r="U26" s="200"/>
      <c r="V26" s="205"/>
      <c r="W26" s="200"/>
      <c r="X26" s="205"/>
      <c r="Y26" s="200"/>
      <c r="AA26" s="198"/>
      <c r="AB26" s="152"/>
    </row>
    <row r="27" customFormat="false" ht="12.75" hidden="false" customHeight="false" outlineLevel="0" collapsed="false">
      <c r="B27" s="166"/>
      <c r="C27" s="199" t="s">
        <v>186</v>
      </c>
      <c r="D27" s="182" t="n">
        <f aca="false">1050000+$D$64/1000</f>
        <v>1077500</v>
      </c>
      <c r="E27" s="182"/>
      <c r="F27" s="206" t="n">
        <v>993.6</v>
      </c>
      <c r="G27" s="184" t="n">
        <f aca="false">D27*F27*1.1/1470</f>
        <v>801132.244897959</v>
      </c>
      <c r="H27" s="185" t="n">
        <f aca="false">+P27+S27</f>
        <v>0</v>
      </c>
      <c r="I27" s="185" t="n">
        <f aca="false">+F27*D27*1.1</f>
        <v>1177664400</v>
      </c>
      <c r="J27" s="185" t="n">
        <f aca="false">+K27+P27+S27+U27+Y27+W27</f>
        <v>0</v>
      </c>
      <c r="K27" s="200"/>
      <c r="L27" s="172"/>
      <c r="M27" s="186"/>
      <c r="N27" s="187" t="n">
        <f aca="false">+P27</f>
        <v>0</v>
      </c>
      <c r="O27" s="201"/>
      <c r="P27" s="207"/>
      <c r="Q27" s="190" t="n">
        <f aca="false">+S27</f>
        <v>0</v>
      </c>
      <c r="R27" s="203"/>
      <c r="S27" s="204"/>
      <c r="T27" s="205"/>
      <c r="U27" s="200"/>
      <c r="V27" s="205"/>
      <c r="W27" s="200"/>
      <c r="X27" s="205"/>
      <c r="Y27" s="200"/>
      <c r="AA27" s="198"/>
      <c r="AB27" s="152"/>
    </row>
    <row r="28" customFormat="false" ht="12.75" hidden="false" customHeight="false" outlineLevel="0" collapsed="false">
      <c r="B28" s="166"/>
      <c r="C28" s="208" t="s">
        <v>187</v>
      </c>
      <c r="D28" s="209" t="n">
        <f aca="false">1050000+$D$64/1000</f>
        <v>1077500</v>
      </c>
      <c r="E28" s="209"/>
      <c r="F28" s="210" t="n">
        <v>993.6</v>
      </c>
      <c r="G28" s="211" t="n">
        <f aca="false">D28*F28*1.1/1470</f>
        <v>801132.244897959</v>
      </c>
      <c r="H28" s="212" t="n">
        <f aca="false">+P28+S28</f>
        <v>0</v>
      </c>
      <c r="I28" s="212" t="n">
        <f aca="false">+F28*D28*1.1</f>
        <v>1177664400</v>
      </c>
      <c r="J28" s="212" t="n">
        <f aca="false">+K28+P28+S28+U28+Y28+W28</f>
        <v>0</v>
      </c>
      <c r="K28" s="212"/>
      <c r="L28" s="172"/>
      <c r="M28" s="213"/>
      <c r="N28" s="214" t="n">
        <f aca="false">+P28</f>
        <v>0</v>
      </c>
      <c r="O28" s="215"/>
      <c r="P28" s="216"/>
      <c r="Q28" s="217" t="n">
        <f aca="false">+S28</f>
        <v>0</v>
      </c>
      <c r="R28" s="218"/>
      <c r="S28" s="219"/>
      <c r="T28" s="220"/>
      <c r="U28" s="212"/>
      <c r="V28" s="220"/>
      <c r="W28" s="212"/>
      <c r="X28" s="220"/>
      <c r="Y28" s="212"/>
      <c r="AA28" s="198" t="n">
        <f aca="false">+I28=J28</f>
        <v>0</v>
      </c>
      <c r="AB28" s="152"/>
    </row>
    <row r="29" customFormat="false" ht="16.5" hidden="false" customHeight="true" outlineLevel="0" collapsed="false">
      <c r="B29" s="166"/>
      <c r="C29" s="221" t="s">
        <v>188</v>
      </c>
      <c r="D29" s="221"/>
      <c r="E29" s="221"/>
      <c r="F29" s="221" t="n">
        <f aca="false">+SUM(F11:F28)</f>
        <v>14817.24</v>
      </c>
      <c r="G29" s="222" t="n">
        <f aca="false">SUM(G11:G28)</f>
        <v>11947029.7346939</v>
      </c>
      <c r="H29" s="223" t="n">
        <f aca="false">H30/1470</f>
        <v>2438455.60544218</v>
      </c>
      <c r="I29" s="223" t="n">
        <f aca="false">I30/1470</f>
        <v>6446889.20408163</v>
      </c>
      <c r="J29" s="223" t="n">
        <f aca="false">J30/1470</f>
        <v>6446889.20408163</v>
      </c>
      <c r="K29" s="223" t="n">
        <f aca="false">K30/1470</f>
        <v>628571.428571429</v>
      </c>
      <c r="L29" s="224"/>
      <c r="M29" s="224"/>
      <c r="N29" s="225" t="n">
        <f aca="false">N30/1470</f>
        <v>1653063.46258503</v>
      </c>
      <c r="O29" s="226"/>
      <c r="P29" s="227" t="n">
        <f aca="false">P30/1470</f>
        <v>1653063.46258503</v>
      </c>
      <c r="Q29" s="228" t="n">
        <f aca="false">Q30/1470</f>
        <v>785392.142857143</v>
      </c>
      <c r="R29" s="229"/>
      <c r="S29" s="223" t="n">
        <f aca="false">S30/1470</f>
        <v>785392.142857143</v>
      </c>
      <c r="T29" s="230"/>
      <c r="U29" s="223" t="n">
        <f aca="false">U30/1470</f>
        <v>156820.714285715</v>
      </c>
      <c r="V29" s="230"/>
      <c r="W29" s="223" t="n">
        <f aca="false">W30/1470</f>
        <v>628156.571428572</v>
      </c>
      <c r="X29" s="230"/>
      <c r="Y29" s="223" t="n">
        <f aca="false">Y30/1470</f>
        <v>2594884.88435374</v>
      </c>
      <c r="AA29" s="231"/>
      <c r="AB29" s="152"/>
    </row>
    <row r="30" customFormat="false" ht="16.5" hidden="false" customHeight="true" outlineLevel="0" collapsed="false">
      <c r="B30" s="166"/>
      <c r="C30" s="221"/>
      <c r="D30" s="221"/>
      <c r="E30" s="221"/>
      <c r="F30" s="221"/>
      <c r="G30" s="222"/>
      <c r="H30" s="232" t="n">
        <f aca="false">+SUM(H11:H18)</f>
        <v>3584529740</v>
      </c>
      <c r="I30" s="232" t="n">
        <f aca="false">+SUM(I11:I18)</f>
        <v>9476927130</v>
      </c>
      <c r="J30" s="232" t="n">
        <f aca="false">+SUM(J11:J18)</f>
        <v>9476927130</v>
      </c>
      <c r="K30" s="232" t="n">
        <f aca="false">+SUM(K11:K18)</f>
        <v>924000000</v>
      </c>
      <c r="L30" s="224"/>
      <c r="M30" s="224"/>
      <c r="N30" s="233" t="n">
        <f aca="false">+SUM(N11:N18)</f>
        <v>2430003290</v>
      </c>
      <c r="O30" s="234" t="n">
        <f aca="false">+SUM(O11:O18)</f>
        <v>183800</v>
      </c>
      <c r="P30" s="235" t="n">
        <f aca="false">+SUM(P11:P18)</f>
        <v>2430003290</v>
      </c>
      <c r="Q30" s="236" t="n">
        <f aca="false">+SUM(Q11:Q18)</f>
        <v>1154526450</v>
      </c>
      <c r="R30" s="237" t="n">
        <f aca="false">+SUM(R11:R18)</f>
        <v>183964</v>
      </c>
      <c r="S30" s="232" t="n">
        <f aca="false">+SUM(S11:S18)</f>
        <v>1154526450</v>
      </c>
      <c r="T30" s="238" t="n">
        <f aca="false">+SUM(T11:T18)</f>
        <v>184088</v>
      </c>
      <c r="U30" s="232" t="n">
        <f aca="false">+SUM(U11:U18)</f>
        <v>230526450</v>
      </c>
      <c r="V30" s="238" t="n">
        <f aca="false">+SUM(V11:V18)</f>
        <v>184208</v>
      </c>
      <c r="W30" s="232" t="n">
        <f aca="false">+SUM(W11:W18)</f>
        <v>923390160</v>
      </c>
      <c r="X30" s="238" t="n">
        <f aca="false">+SUM(X11:X18)</f>
        <v>0</v>
      </c>
      <c r="Y30" s="232" t="n">
        <f aca="false">+SUM(Y11:Y18)</f>
        <v>3814480780</v>
      </c>
      <c r="AA30" s="231"/>
      <c r="AB30" s="152"/>
    </row>
    <row r="31" customFormat="false" ht="12.75" hidden="false" customHeight="true" outlineLevel="0" collapsed="false">
      <c r="B31" s="166"/>
      <c r="C31" s="239" t="s">
        <v>170</v>
      </c>
      <c r="D31" s="240"/>
      <c r="E31" s="240" t="n">
        <v>550000</v>
      </c>
      <c r="F31" s="169" t="n">
        <v>999.58</v>
      </c>
      <c r="G31" s="170" t="n">
        <f aca="false">E31*F31*1.1/1470</f>
        <v>411391.768707483</v>
      </c>
      <c r="H31" s="171" t="n">
        <f aca="false">+P31+S31</f>
        <v>16781600</v>
      </c>
      <c r="I31" s="171" t="n">
        <f aca="false">+E31*F31</f>
        <v>549769000</v>
      </c>
      <c r="J31" s="171" t="n">
        <f aca="false">+K31+P31+S31+U31+Y31+W31</f>
        <v>549769000</v>
      </c>
      <c r="K31" s="171" t="n">
        <f aca="false">+'GM Batch1'!K12</f>
        <v>368056700</v>
      </c>
      <c r="L31" s="173"/>
      <c r="M31" s="186"/>
      <c r="N31" s="187" t="n">
        <f aca="false">+P31</f>
        <v>16781600</v>
      </c>
      <c r="O31" s="175" t="n">
        <f aca="false">+'GM Batch1'!AA12</f>
        <v>45950</v>
      </c>
      <c r="P31" s="176" t="n">
        <f aca="false">+'GM Batch1'!AD12</f>
        <v>16781600</v>
      </c>
      <c r="Q31" s="190" t="n">
        <f aca="false">+S31</f>
        <v>0</v>
      </c>
      <c r="R31" s="178"/>
      <c r="S31" s="171"/>
      <c r="T31" s="179" t="n">
        <f aca="false">+'GM Batch1'!BJ12</f>
        <v>46022</v>
      </c>
      <c r="U31" s="171" t="n">
        <f aca="false">+'GM Batch1'!BM12</f>
        <v>164930700</v>
      </c>
      <c r="V31" s="179"/>
      <c r="W31" s="171"/>
      <c r="X31" s="179"/>
      <c r="Y31" s="171"/>
      <c r="AA31" s="241" t="b">
        <f aca="false">+I31=J31</f>
        <v>1</v>
      </c>
      <c r="AB31" s="152"/>
    </row>
    <row r="32" customFormat="false" ht="12.75" hidden="false" customHeight="false" outlineLevel="0" collapsed="false">
      <c r="B32" s="166"/>
      <c r="C32" s="239" t="s">
        <v>171</v>
      </c>
      <c r="D32" s="182"/>
      <c r="E32" s="182" t="n">
        <v>550000</v>
      </c>
      <c r="F32" s="183" t="n">
        <v>999.58</v>
      </c>
      <c r="G32" s="184" t="n">
        <f aca="false">E32*F32*1.1/1470</f>
        <v>411391.768707483</v>
      </c>
      <c r="H32" s="185" t="n">
        <f aca="false">+P32+S32</f>
        <v>16781600</v>
      </c>
      <c r="I32" s="185" t="n">
        <f aca="false">+E32*F32</f>
        <v>549769000</v>
      </c>
      <c r="J32" s="185" t="n">
        <f aca="false">+K32+P32+S32+U32+Y32+W32</f>
        <v>549769000</v>
      </c>
      <c r="K32" s="185" t="n">
        <f aca="false">+'GM Batch1'!K18</f>
        <v>368056700</v>
      </c>
      <c r="L32" s="173"/>
      <c r="M32" s="186"/>
      <c r="N32" s="187" t="n">
        <f aca="false">+P32</f>
        <v>16781600</v>
      </c>
      <c r="O32" s="188" t="n">
        <f aca="false">+'GM Batch1'!AA18</f>
        <v>45950</v>
      </c>
      <c r="P32" s="242" t="n">
        <f aca="false">+'GM Batch1'!AD18</f>
        <v>16781600</v>
      </c>
      <c r="Q32" s="190" t="n">
        <f aca="false">+S32</f>
        <v>0</v>
      </c>
      <c r="R32" s="191"/>
      <c r="S32" s="185"/>
      <c r="T32" s="192" t="n">
        <f aca="false">+'GM Batch1'!BJ18</f>
        <v>46022</v>
      </c>
      <c r="U32" s="185" t="n">
        <f aca="false">+'GM Batch1'!BM18</f>
        <v>164930700</v>
      </c>
      <c r="V32" s="192"/>
      <c r="W32" s="185"/>
      <c r="X32" s="192"/>
      <c r="Y32" s="185"/>
      <c r="AA32" s="193" t="n">
        <f aca="false">+I32=J32</f>
        <v>1</v>
      </c>
    </row>
    <row r="33" customFormat="false" ht="12.75" hidden="false" customHeight="false" outlineLevel="0" collapsed="false">
      <c r="B33" s="166"/>
      <c r="C33" s="239" t="s">
        <v>172</v>
      </c>
      <c r="D33" s="182"/>
      <c r="E33" s="182" t="n">
        <v>550000</v>
      </c>
      <c r="F33" s="183" t="n">
        <v>999.6</v>
      </c>
      <c r="G33" s="184" t="n">
        <f aca="false">E33*F33*1.1/1470</f>
        <v>411400</v>
      </c>
      <c r="H33" s="185" t="n">
        <f aca="false">+P33+S33</f>
        <v>16783250</v>
      </c>
      <c r="I33" s="185" t="n">
        <f aca="false">+E33*F33</f>
        <v>549780000</v>
      </c>
      <c r="J33" s="185" t="n">
        <f aca="false">+K33+P33+S33+U33+Y33+W33</f>
        <v>549780000</v>
      </c>
      <c r="K33" s="185" t="n">
        <f aca="false">+'GM Batch1'!K24</f>
        <v>368062750</v>
      </c>
      <c r="L33" s="173"/>
      <c r="M33" s="186"/>
      <c r="N33" s="187" t="n">
        <f aca="false">+P33</f>
        <v>16783250</v>
      </c>
      <c r="O33" s="188" t="n">
        <f aca="false">+'GM Batch1'!AA24</f>
        <v>45950</v>
      </c>
      <c r="P33" s="242" t="n">
        <f aca="false">+'GM Batch1'!AD24</f>
        <v>16783250</v>
      </c>
      <c r="Q33" s="190" t="n">
        <f aca="false">+S33</f>
        <v>0</v>
      </c>
      <c r="R33" s="191"/>
      <c r="S33" s="185"/>
      <c r="T33" s="192" t="n">
        <f aca="false">+'GM Batch1'!BJ24</f>
        <v>46022</v>
      </c>
      <c r="U33" s="185" t="n">
        <f aca="false">+'GM Batch1'!BM24</f>
        <v>164934000</v>
      </c>
      <c r="V33" s="192"/>
      <c r="W33" s="185"/>
      <c r="X33" s="192"/>
      <c r="Y33" s="185"/>
      <c r="AA33" s="194" t="b">
        <f aca="false">+I33=J33</f>
        <v>1</v>
      </c>
    </row>
    <row r="34" customFormat="false" ht="12.75" hidden="false" customHeight="false" outlineLevel="0" collapsed="false">
      <c r="B34" s="166"/>
      <c r="C34" s="239" t="s">
        <v>173</v>
      </c>
      <c r="D34" s="182"/>
      <c r="E34" s="182" t="n">
        <v>550000</v>
      </c>
      <c r="F34" s="195" t="n">
        <v>999.6</v>
      </c>
      <c r="G34" s="184" t="n">
        <f aca="false">E34*F34*1.1/1470</f>
        <v>411400</v>
      </c>
      <c r="H34" s="185" t="n">
        <f aca="false">+P34+S34</f>
        <v>16783250</v>
      </c>
      <c r="I34" s="185" t="n">
        <f aca="false">+E34*F34</f>
        <v>549780000</v>
      </c>
      <c r="J34" s="185" t="n">
        <f aca="false">+K34+P34+S34+U34+Y34+W34</f>
        <v>549780000</v>
      </c>
      <c r="K34" s="185" t="n">
        <f aca="false">+'GM Batch1'!K30</f>
        <v>368062750</v>
      </c>
      <c r="L34" s="173"/>
      <c r="M34" s="186"/>
      <c r="N34" s="187" t="n">
        <f aca="false">+P34</f>
        <v>16783250</v>
      </c>
      <c r="O34" s="188" t="n">
        <f aca="false">+'GM Batch1'!AA30</f>
        <v>45950</v>
      </c>
      <c r="P34" s="242" t="n">
        <f aca="false">+'GM Batch1'!AD30</f>
        <v>16783250</v>
      </c>
      <c r="Q34" s="190" t="n">
        <f aca="false">+S34</f>
        <v>0</v>
      </c>
      <c r="R34" s="191"/>
      <c r="S34" s="196"/>
      <c r="T34" s="192" t="n">
        <f aca="false">+'GM Batch1'!BJ30</f>
        <v>46022</v>
      </c>
      <c r="U34" s="185" t="n">
        <f aca="false">+'GM Batch1'!BM30</f>
        <v>164934000</v>
      </c>
      <c r="V34" s="192"/>
      <c r="W34" s="185"/>
      <c r="X34" s="192"/>
      <c r="Y34" s="185"/>
      <c r="AA34" s="194" t="b">
        <f aca="false">+I34=J34</f>
        <v>1</v>
      </c>
    </row>
    <row r="35" customFormat="false" ht="12.75" hidden="false" customHeight="false" outlineLevel="0" collapsed="false">
      <c r="B35" s="166"/>
      <c r="C35" s="239" t="s">
        <v>174</v>
      </c>
      <c r="D35" s="182"/>
      <c r="E35" s="182" t="n">
        <v>550000</v>
      </c>
      <c r="F35" s="195" t="n">
        <v>999.24</v>
      </c>
      <c r="G35" s="184" t="n">
        <f aca="false">E35*F35*1.1/1470</f>
        <v>411251.836734694</v>
      </c>
      <c r="H35" s="185" t="n">
        <f aca="false">+P35+S35</f>
        <v>0</v>
      </c>
      <c r="I35" s="185" t="n">
        <f aca="false">+E35*F35</f>
        <v>549582000</v>
      </c>
      <c r="J35" s="185" t="n">
        <f aca="false">+K35+P35+S35+U35+Y35+W35</f>
        <v>549582000</v>
      </c>
      <c r="K35" s="185" t="n">
        <f aca="false">+'GM Batch1'!K36</f>
        <v>341375100</v>
      </c>
      <c r="L35" s="173"/>
      <c r="M35" s="186"/>
      <c r="N35" s="187" t="n">
        <f aca="false">+P35</f>
        <v>0</v>
      </c>
      <c r="O35" s="188"/>
      <c r="P35" s="197"/>
      <c r="Q35" s="190" t="n">
        <f aca="false">+S35</f>
        <v>0</v>
      </c>
      <c r="R35" s="191"/>
      <c r="S35" s="196"/>
      <c r="T35" s="192" t="n">
        <f aca="false">+'GM Batch1'!AA36</f>
        <v>46022</v>
      </c>
      <c r="U35" s="196" t="n">
        <f aca="false">+'GM Batch1'!AD36</f>
        <v>43332300</v>
      </c>
      <c r="V35" s="192"/>
      <c r="W35" s="185"/>
      <c r="X35" s="192"/>
      <c r="Y35" s="185" t="n">
        <f aca="false">+'GM Batch1'!BM36</f>
        <v>164874600</v>
      </c>
      <c r="AA35" s="194" t="b">
        <f aca="false">+I35=J35</f>
        <v>1</v>
      </c>
      <c r="AB35" s="152"/>
    </row>
    <row r="36" customFormat="false" ht="12.75" hidden="false" customHeight="false" outlineLevel="0" collapsed="false">
      <c r="B36" s="166"/>
      <c r="C36" s="239" t="s">
        <v>175</v>
      </c>
      <c r="D36" s="182"/>
      <c r="E36" s="182" t="n">
        <v>550000</v>
      </c>
      <c r="F36" s="195" t="n">
        <v>999.24</v>
      </c>
      <c r="G36" s="184" t="n">
        <f aca="false">E36*F36*1.1/1470</f>
        <v>411251.836734694</v>
      </c>
      <c r="H36" s="185" t="n">
        <f aca="false">+P36+S36</f>
        <v>0</v>
      </c>
      <c r="I36" s="185" t="n">
        <f aca="false">+E36*F36</f>
        <v>549582000</v>
      </c>
      <c r="J36" s="185" t="n">
        <f aca="false">+K36+P36+S36+U36+Y36+W36</f>
        <v>549582000</v>
      </c>
      <c r="K36" s="185" t="n">
        <f aca="false">+'GM Batch1'!K42</f>
        <v>341375100</v>
      </c>
      <c r="L36" s="173"/>
      <c r="M36" s="186"/>
      <c r="N36" s="187" t="n">
        <f aca="false">+P36</f>
        <v>0</v>
      </c>
      <c r="O36" s="188"/>
      <c r="P36" s="197"/>
      <c r="Q36" s="190" t="n">
        <f aca="false">+S36</f>
        <v>0</v>
      </c>
      <c r="R36" s="191"/>
      <c r="S36" s="185"/>
      <c r="T36" s="192" t="n">
        <f aca="false">+'GM Batch1'!AA42</f>
        <v>46022</v>
      </c>
      <c r="U36" s="196" t="n">
        <f aca="false">+'GM Batch1'!AD42</f>
        <v>43332300</v>
      </c>
      <c r="V36" s="192"/>
      <c r="W36" s="185"/>
      <c r="X36" s="192"/>
      <c r="Y36" s="185" t="n">
        <f aca="false">+'GM Batch1'!BM42</f>
        <v>164874600</v>
      </c>
      <c r="AA36" s="194" t="b">
        <f aca="false">+I36=J36</f>
        <v>1</v>
      </c>
      <c r="AB36" s="152"/>
    </row>
    <row r="37" customFormat="false" ht="12.75" hidden="false" customHeight="false" outlineLevel="0" collapsed="false">
      <c r="B37" s="166"/>
      <c r="C37" s="239" t="s">
        <v>176</v>
      </c>
      <c r="D37" s="182"/>
      <c r="E37" s="182" t="n">
        <v>550000</v>
      </c>
      <c r="F37" s="195" t="n">
        <v>999.44</v>
      </c>
      <c r="G37" s="184" t="n">
        <f aca="false">E37*F37*1.1/1470</f>
        <v>411334.149659864</v>
      </c>
      <c r="H37" s="185" t="n">
        <f aca="false">+P37+S37</f>
        <v>0</v>
      </c>
      <c r="I37" s="185" t="n">
        <f aca="false">+E37*F37</f>
        <v>549692000</v>
      </c>
      <c r="J37" s="185" t="n">
        <f aca="false">+K37+P37+S37+U37+Y37+W37</f>
        <v>549692000</v>
      </c>
      <c r="K37" s="185" t="n">
        <f aca="false">+'GM Batch1'!K48</f>
        <v>341435600</v>
      </c>
      <c r="L37" s="173"/>
      <c r="M37" s="186"/>
      <c r="N37" s="187" t="n">
        <f aca="false">+P37</f>
        <v>0</v>
      </c>
      <c r="O37" s="188"/>
      <c r="P37" s="197"/>
      <c r="Q37" s="190" t="n">
        <f aca="false">+S37</f>
        <v>0</v>
      </c>
      <c r="R37" s="191"/>
      <c r="S37" s="185"/>
      <c r="T37" s="192" t="n">
        <f aca="false">+'GM Batch1'!AA48</f>
        <v>46022</v>
      </c>
      <c r="U37" s="196" t="n">
        <f aca="false">+'GM Batch1'!AD48</f>
        <v>43348800</v>
      </c>
      <c r="V37" s="192"/>
      <c r="W37" s="185"/>
      <c r="X37" s="192"/>
      <c r="Y37" s="185" t="n">
        <f aca="false">+'GM Batch1'!BM48</f>
        <v>164907600</v>
      </c>
      <c r="AA37" s="194" t="b">
        <f aca="false">+I37=J37</f>
        <v>1</v>
      </c>
      <c r="AB37" s="152"/>
    </row>
    <row r="38" customFormat="false" ht="12.75" hidden="false" customHeight="false" outlineLevel="0" collapsed="false">
      <c r="B38" s="166"/>
      <c r="C38" s="239" t="s">
        <v>177</v>
      </c>
      <c r="D38" s="182"/>
      <c r="E38" s="182" t="n">
        <v>550000</v>
      </c>
      <c r="F38" s="195" t="n">
        <v>999.44</v>
      </c>
      <c r="G38" s="184" t="n">
        <f aca="false">E38*F38*1.1/1470</f>
        <v>411334.149659864</v>
      </c>
      <c r="H38" s="185" t="n">
        <f aca="false">+P38+S38</f>
        <v>0</v>
      </c>
      <c r="I38" s="185" t="n">
        <f aca="false">+E38*F38</f>
        <v>549692000</v>
      </c>
      <c r="J38" s="185" t="n">
        <f aca="false">+K38+P38+S38+U38+Y38+W38</f>
        <v>549692000</v>
      </c>
      <c r="K38" s="185" t="n">
        <f aca="false">+'GM Batch1'!K54</f>
        <v>341435600</v>
      </c>
      <c r="L38" s="173"/>
      <c r="M38" s="186"/>
      <c r="N38" s="187" t="n">
        <f aca="false">+P38</f>
        <v>0</v>
      </c>
      <c r="O38" s="188"/>
      <c r="P38" s="197"/>
      <c r="Q38" s="190" t="n">
        <f aca="false">+S38</f>
        <v>0</v>
      </c>
      <c r="R38" s="191"/>
      <c r="S38" s="196"/>
      <c r="T38" s="192" t="n">
        <f aca="false">+'GM Batch1'!AA54</f>
        <v>46022</v>
      </c>
      <c r="U38" s="196" t="n">
        <f aca="false">+'GM Batch1'!AD54</f>
        <v>43348800</v>
      </c>
      <c r="V38" s="192"/>
      <c r="W38" s="196"/>
      <c r="X38" s="192"/>
      <c r="Y38" s="185" t="n">
        <f aca="false">+'GM Batch1'!BM54</f>
        <v>164907600</v>
      </c>
      <c r="AA38" s="198" t="n">
        <f aca="false">+I38=J38</f>
        <v>1</v>
      </c>
      <c r="AB38" s="152"/>
    </row>
    <row r="39" customFormat="false" ht="12.75" hidden="true" customHeight="false" outlineLevel="0" collapsed="false">
      <c r="B39" s="166"/>
      <c r="C39" s="239" t="s">
        <v>178</v>
      </c>
      <c r="D39" s="182"/>
      <c r="E39" s="182" t="n">
        <v>850000</v>
      </c>
      <c r="F39" s="195" t="n">
        <v>999.24</v>
      </c>
      <c r="G39" s="184" t="n">
        <f aca="false">E39*F39*1.1/1470</f>
        <v>635571.020408163</v>
      </c>
      <c r="H39" s="185" t="n">
        <f aca="false">+P39+S39</f>
        <v>0</v>
      </c>
      <c r="I39" s="185" t="n">
        <f aca="false">+E39*F39</f>
        <v>849354000</v>
      </c>
      <c r="J39" s="185" t="n">
        <f aca="false">+K39+P39+S39+U39+Y39+W39</f>
        <v>0</v>
      </c>
      <c r="K39" s="185"/>
      <c r="L39" s="173"/>
      <c r="M39" s="186"/>
      <c r="N39" s="187" t="n">
        <f aca="false">+P39</f>
        <v>0</v>
      </c>
      <c r="O39" s="188"/>
      <c r="P39" s="197"/>
      <c r="Q39" s="190" t="n">
        <f aca="false">+S39</f>
        <v>0</v>
      </c>
      <c r="R39" s="191"/>
      <c r="S39" s="196"/>
      <c r="T39" s="192"/>
      <c r="U39" s="185"/>
      <c r="V39" s="192"/>
      <c r="W39" s="185"/>
      <c r="X39" s="192"/>
      <c r="Y39" s="185"/>
      <c r="AA39" s="198" t="n">
        <f aca="false">+I39=J39</f>
        <v>0</v>
      </c>
      <c r="AB39" s="152"/>
    </row>
    <row r="40" customFormat="false" ht="12.75" hidden="true" customHeight="false" outlineLevel="0" collapsed="false">
      <c r="B40" s="166"/>
      <c r="C40" s="243" t="s">
        <v>179</v>
      </c>
      <c r="D40" s="182"/>
      <c r="E40" s="182" t="n">
        <v>850000</v>
      </c>
      <c r="F40" s="195" t="n">
        <v>399.04</v>
      </c>
      <c r="G40" s="184" t="n">
        <f aca="false">E40*F40*1.1/1470</f>
        <v>253811.156462585</v>
      </c>
      <c r="H40" s="185" t="n">
        <f aca="false">+P40+S40</f>
        <v>0</v>
      </c>
      <c r="I40" s="185" t="n">
        <f aca="false">+E40*F40</f>
        <v>339184000</v>
      </c>
      <c r="J40" s="185" t="n">
        <f aca="false">+K40+P40+S40+U40+Y40+W40</f>
        <v>0</v>
      </c>
      <c r="K40" s="200"/>
      <c r="L40" s="173"/>
      <c r="M40" s="186"/>
      <c r="N40" s="187" t="n">
        <f aca="false">+P40</f>
        <v>0</v>
      </c>
      <c r="O40" s="201"/>
      <c r="P40" s="202"/>
      <c r="Q40" s="190" t="n">
        <f aca="false">+S40</f>
        <v>0</v>
      </c>
      <c r="R40" s="203"/>
      <c r="S40" s="204"/>
      <c r="T40" s="205"/>
      <c r="U40" s="200"/>
      <c r="V40" s="205"/>
      <c r="W40" s="200"/>
      <c r="X40" s="205"/>
      <c r="Y40" s="200"/>
      <c r="AA40" s="198" t="n">
        <f aca="false">+I40=J40</f>
        <v>0</v>
      </c>
      <c r="AB40" s="152"/>
    </row>
    <row r="41" customFormat="false" ht="12.75" hidden="true" customHeight="false" outlineLevel="0" collapsed="false">
      <c r="B41" s="166"/>
      <c r="C41" s="243" t="s">
        <v>180</v>
      </c>
      <c r="D41" s="182"/>
      <c r="E41" s="182" t="n">
        <v>850000</v>
      </c>
      <c r="F41" s="206" t="n">
        <v>499.96</v>
      </c>
      <c r="G41" s="184" t="n">
        <f aca="false">E41*F41*1.1/1470</f>
        <v>318001.768707483</v>
      </c>
      <c r="H41" s="185" t="n">
        <f aca="false">+P41+S41</f>
        <v>0</v>
      </c>
      <c r="I41" s="185" t="n">
        <f aca="false">+E41*F41</f>
        <v>424966000</v>
      </c>
      <c r="J41" s="185" t="n">
        <f aca="false">+K41+P41+S41+U41+Y41+W41</f>
        <v>0</v>
      </c>
      <c r="K41" s="200"/>
      <c r="L41" s="173"/>
      <c r="M41" s="186"/>
      <c r="N41" s="187" t="n">
        <f aca="false">+P41</f>
        <v>0</v>
      </c>
      <c r="O41" s="201"/>
      <c r="P41" s="207"/>
      <c r="Q41" s="190" t="n">
        <f aca="false">+S41</f>
        <v>0</v>
      </c>
      <c r="R41" s="203"/>
      <c r="S41" s="204"/>
      <c r="T41" s="205"/>
      <c r="U41" s="200"/>
      <c r="V41" s="205"/>
      <c r="W41" s="200"/>
      <c r="X41" s="205"/>
      <c r="Y41" s="200"/>
      <c r="AA41" s="198" t="n">
        <f aca="false">+I41=J41</f>
        <v>0</v>
      </c>
      <c r="AB41" s="152"/>
    </row>
    <row r="42" customFormat="false" ht="12.75" hidden="true" customHeight="false" outlineLevel="0" collapsed="false">
      <c r="B42" s="166"/>
      <c r="C42" s="243" t="s">
        <v>181</v>
      </c>
      <c r="D42" s="182"/>
      <c r="E42" s="182" t="n">
        <v>850000</v>
      </c>
      <c r="F42" s="206" t="n">
        <v>499.96</v>
      </c>
      <c r="G42" s="184" t="n">
        <f aca="false">E42*F42*1.1/1470</f>
        <v>318001.768707483</v>
      </c>
      <c r="H42" s="185" t="n">
        <f aca="false">+P42+S42</f>
        <v>0</v>
      </c>
      <c r="I42" s="185" t="n">
        <f aca="false">+E42*F42</f>
        <v>424966000</v>
      </c>
      <c r="J42" s="185" t="n">
        <f aca="false">+K42+P42+S42+U42+Y42+W42</f>
        <v>0</v>
      </c>
      <c r="K42" s="200"/>
      <c r="L42" s="173"/>
      <c r="M42" s="186"/>
      <c r="N42" s="187" t="n">
        <f aca="false">+P42</f>
        <v>0</v>
      </c>
      <c r="O42" s="201"/>
      <c r="P42" s="207"/>
      <c r="Q42" s="190" t="n">
        <f aca="false">+S42</f>
        <v>0</v>
      </c>
      <c r="R42" s="203"/>
      <c r="S42" s="204"/>
      <c r="T42" s="205"/>
      <c r="U42" s="200"/>
      <c r="V42" s="205"/>
      <c r="W42" s="200"/>
      <c r="X42" s="205"/>
      <c r="Y42" s="200"/>
      <c r="AA42" s="198"/>
      <c r="AB42" s="152"/>
    </row>
    <row r="43" customFormat="false" ht="12.75" hidden="true" customHeight="false" outlineLevel="0" collapsed="false">
      <c r="B43" s="166"/>
      <c r="C43" s="243" t="s">
        <v>182</v>
      </c>
      <c r="D43" s="182"/>
      <c r="E43" s="182" t="n">
        <v>850000</v>
      </c>
      <c r="F43" s="206" t="n">
        <v>149.64</v>
      </c>
      <c r="G43" s="184" t="n">
        <f aca="false">E43*F43*1.1/1470</f>
        <v>95179.1836734694</v>
      </c>
      <c r="H43" s="185" t="n">
        <f aca="false">+P43+S43</f>
        <v>0</v>
      </c>
      <c r="I43" s="185" t="n">
        <f aca="false">+E43*F43</f>
        <v>127194000</v>
      </c>
      <c r="J43" s="185" t="n">
        <f aca="false">+K43+P43+S43+U43+Y43+W43</f>
        <v>0</v>
      </c>
      <c r="K43" s="200"/>
      <c r="L43" s="173"/>
      <c r="M43" s="186"/>
      <c r="N43" s="187" t="n">
        <f aca="false">+P43</f>
        <v>0</v>
      </c>
      <c r="O43" s="201"/>
      <c r="P43" s="207"/>
      <c r="Q43" s="190" t="n">
        <f aca="false">+S43</f>
        <v>0</v>
      </c>
      <c r="R43" s="203"/>
      <c r="S43" s="204"/>
      <c r="T43" s="205"/>
      <c r="U43" s="200"/>
      <c r="V43" s="205"/>
      <c r="W43" s="200"/>
      <c r="X43" s="205"/>
      <c r="Y43" s="200"/>
      <c r="AA43" s="198"/>
      <c r="AB43" s="152"/>
    </row>
    <row r="44" customFormat="false" ht="12.75" hidden="true" customHeight="false" outlineLevel="0" collapsed="false">
      <c r="B44" s="166"/>
      <c r="C44" s="243" t="s">
        <v>183</v>
      </c>
      <c r="D44" s="182"/>
      <c r="E44" s="182" t="n">
        <v>850000</v>
      </c>
      <c r="F44" s="206" t="n">
        <v>299.28</v>
      </c>
      <c r="G44" s="184" t="n">
        <f aca="false">E44*F44*1.1/1470</f>
        <v>190358.367346939</v>
      </c>
      <c r="H44" s="185" t="n">
        <f aca="false">+P44+S44</f>
        <v>0</v>
      </c>
      <c r="I44" s="185" t="n">
        <f aca="false">+E44*F44</f>
        <v>254388000</v>
      </c>
      <c r="J44" s="185" t="n">
        <f aca="false">+K44+P44+S44+U44+Y44+W44</f>
        <v>0</v>
      </c>
      <c r="K44" s="200"/>
      <c r="L44" s="173"/>
      <c r="M44" s="186"/>
      <c r="N44" s="187" t="n">
        <f aca="false">+P44</f>
        <v>0</v>
      </c>
      <c r="O44" s="201"/>
      <c r="P44" s="207"/>
      <c r="Q44" s="190" t="n">
        <f aca="false">+S44</f>
        <v>0</v>
      </c>
      <c r="R44" s="203"/>
      <c r="S44" s="204"/>
      <c r="T44" s="205"/>
      <c r="U44" s="200"/>
      <c r="V44" s="205"/>
      <c r="W44" s="200"/>
      <c r="X44" s="205"/>
      <c r="Y44" s="200"/>
      <c r="AA44" s="198"/>
      <c r="AB44" s="152"/>
    </row>
    <row r="45" customFormat="false" ht="12.75" hidden="true" customHeight="false" outlineLevel="0" collapsed="false">
      <c r="B45" s="166"/>
      <c r="C45" s="243" t="s">
        <v>184</v>
      </c>
      <c r="D45" s="182"/>
      <c r="E45" s="182" t="n">
        <v>650000</v>
      </c>
      <c r="F45" s="206" t="n">
        <v>993.6</v>
      </c>
      <c r="G45" s="184" t="n">
        <f aca="false">E45*F45*1.1/1470</f>
        <v>483281.632653061</v>
      </c>
      <c r="H45" s="185" t="n">
        <f aca="false">+P45+S45</f>
        <v>0</v>
      </c>
      <c r="I45" s="185" t="n">
        <f aca="false">+E45*F45</f>
        <v>645840000</v>
      </c>
      <c r="J45" s="185" t="n">
        <f aca="false">+K45+P45+S45+U45+Y45+W45</f>
        <v>0</v>
      </c>
      <c r="K45" s="200"/>
      <c r="L45" s="173"/>
      <c r="M45" s="186"/>
      <c r="N45" s="187" t="n">
        <f aca="false">+P45</f>
        <v>0</v>
      </c>
      <c r="O45" s="201"/>
      <c r="P45" s="207"/>
      <c r="Q45" s="190" t="n">
        <f aca="false">+S45</f>
        <v>0</v>
      </c>
      <c r="R45" s="203"/>
      <c r="S45" s="204"/>
      <c r="T45" s="205"/>
      <c r="U45" s="200"/>
      <c r="V45" s="205"/>
      <c r="W45" s="200"/>
      <c r="X45" s="205"/>
      <c r="Y45" s="200"/>
      <c r="AA45" s="198"/>
      <c r="AB45" s="152"/>
    </row>
    <row r="46" customFormat="false" ht="12.75" hidden="true" customHeight="false" outlineLevel="0" collapsed="false">
      <c r="B46" s="166"/>
      <c r="C46" s="243" t="s">
        <v>185</v>
      </c>
      <c r="D46" s="182"/>
      <c r="E46" s="182" t="n">
        <v>650000</v>
      </c>
      <c r="F46" s="206" t="n">
        <v>993.6</v>
      </c>
      <c r="G46" s="184" t="n">
        <f aca="false">E46*F46*1.1/1470</f>
        <v>483281.632653061</v>
      </c>
      <c r="H46" s="185" t="n">
        <f aca="false">+P46+S46</f>
        <v>0</v>
      </c>
      <c r="I46" s="185" t="n">
        <f aca="false">+E46*F46</f>
        <v>645840000</v>
      </c>
      <c r="J46" s="185" t="n">
        <f aca="false">+K46+P46+S46+U46+Y46+W46</f>
        <v>0</v>
      </c>
      <c r="K46" s="200"/>
      <c r="L46" s="173"/>
      <c r="M46" s="186"/>
      <c r="N46" s="187" t="n">
        <f aca="false">+P46</f>
        <v>0</v>
      </c>
      <c r="O46" s="201"/>
      <c r="P46" s="207"/>
      <c r="Q46" s="190" t="n">
        <f aca="false">+S46</f>
        <v>0</v>
      </c>
      <c r="R46" s="203"/>
      <c r="S46" s="204"/>
      <c r="T46" s="205"/>
      <c r="U46" s="200"/>
      <c r="V46" s="205"/>
      <c r="W46" s="200"/>
      <c r="X46" s="205"/>
      <c r="Y46" s="200"/>
      <c r="AA46" s="198"/>
      <c r="AB46" s="152"/>
    </row>
    <row r="47" customFormat="false" ht="12.75" hidden="true" customHeight="false" outlineLevel="0" collapsed="false">
      <c r="B47" s="166"/>
      <c r="C47" s="243" t="s">
        <v>186</v>
      </c>
      <c r="D47" s="182"/>
      <c r="E47" s="182" t="n">
        <v>650000</v>
      </c>
      <c r="F47" s="206" t="n">
        <v>993.6</v>
      </c>
      <c r="G47" s="184" t="n">
        <f aca="false">E47*F47*1.1/1470</f>
        <v>483281.632653061</v>
      </c>
      <c r="H47" s="185" t="n">
        <f aca="false">+P47+S47</f>
        <v>0</v>
      </c>
      <c r="I47" s="185" t="n">
        <f aca="false">+E47*F47</f>
        <v>645840000</v>
      </c>
      <c r="J47" s="185" t="n">
        <f aca="false">+K47+P47+S47+U47+Y47+W47</f>
        <v>0</v>
      </c>
      <c r="K47" s="200"/>
      <c r="L47" s="173"/>
      <c r="M47" s="186"/>
      <c r="N47" s="187" t="n">
        <f aca="false">+P47</f>
        <v>0</v>
      </c>
      <c r="O47" s="201"/>
      <c r="P47" s="207"/>
      <c r="Q47" s="190" t="n">
        <f aca="false">+S47</f>
        <v>0</v>
      </c>
      <c r="R47" s="203"/>
      <c r="S47" s="204"/>
      <c r="T47" s="205"/>
      <c r="U47" s="200"/>
      <c r="V47" s="205"/>
      <c r="W47" s="200"/>
      <c r="X47" s="205"/>
      <c r="Y47" s="200"/>
      <c r="AA47" s="198"/>
      <c r="AB47" s="152"/>
    </row>
    <row r="48" customFormat="false" ht="12.75" hidden="true" customHeight="false" outlineLevel="0" collapsed="false">
      <c r="B48" s="166"/>
      <c r="C48" s="243" t="s">
        <v>187</v>
      </c>
      <c r="D48" s="182"/>
      <c r="E48" s="182" t="n">
        <v>650000</v>
      </c>
      <c r="F48" s="206" t="n">
        <v>993.6</v>
      </c>
      <c r="G48" s="184" t="n">
        <f aca="false">E48*F48*1.1/1470</f>
        <v>483281.632653061</v>
      </c>
      <c r="H48" s="185" t="n">
        <f aca="false">+P48+S48</f>
        <v>0</v>
      </c>
      <c r="I48" s="185" t="n">
        <f aca="false">+E48*F48</f>
        <v>645840000</v>
      </c>
      <c r="J48" s="185" t="n">
        <f aca="false">+K48+P48+S48+U48+Y48+W48</f>
        <v>0</v>
      </c>
      <c r="K48" s="200"/>
      <c r="L48" s="173"/>
      <c r="M48" s="186"/>
      <c r="N48" s="187" t="n">
        <f aca="false">+P48</f>
        <v>0</v>
      </c>
      <c r="O48" s="201"/>
      <c r="P48" s="207"/>
      <c r="Q48" s="190" t="n">
        <f aca="false">+S48</f>
        <v>0</v>
      </c>
      <c r="R48" s="203"/>
      <c r="S48" s="204"/>
      <c r="T48" s="205"/>
      <c r="U48" s="200"/>
      <c r="V48" s="205"/>
      <c r="W48" s="200"/>
      <c r="X48" s="205"/>
      <c r="Y48" s="200"/>
      <c r="AA48" s="198" t="n">
        <f aca="false">+I48=J48</f>
        <v>0</v>
      </c>
      <c r="AB48" s="152"/>
    </row>
    <row r="49" customFormat="false" ht="12.75" hidden="false" customHeight="false" outlineLevel="0" collapsed="false">
      <c r="B49" s="166"/>
      <c r="C49" s="244" t="s">
        <v>189</v>
      </c>
      <c r="D49" s="244"/>
      <c r="E49" s="244"/>
      <c r="F49" s="245" t="n">
        <f aca="false">SUM(F31:F48)</f>
        <v>14817.24</v>
      </c>
      <c r="G49" s="222" t="n">
        <f aca="false">SUM(G31:G48)</f>
        <v>7034805.30612245</v>
      </c>
      <c r="H49" s="223" t="n">
        <f aca="false">H50/1470</f>
        <v>45666.462585034</v>
      </c>
      <c r="I49" s="246"/>
      <c r="J49" s="223" t="n">
        <f aca="false">J50/1470</f>
        <v>2991595.91836735</v>
      </c>
      <c r="K49" s="223" t="n">
        <f aca="false">K50/1470</f>
        <v>1930517.21088435</v>
      </c>
      <c r="L49" s="225" t="n">
        <f aca="false">L50/1470</f>
        <v>378254.363945578</v>
      </c>
      <c r="M49" s="225"/>
      <c r="N49" s="247" t="n">
        <f aca="false">N50/1470</f>
        <v>45666.462585034</v>
      </c>
      <c r="O49" s="248"/>
      <c r="P49" s="227" t="n">
        <f aca="false">P50/1470</f>
        <v>45666.462585034</v>
      </c>
      <c r="Q49" s="249" t="n">
        <f aca="false">Q50/1470</f>
        <v>0</v>
      </c>
      <c r="R49" s="250"/>
      <c r="S49" s="223" t="n">
        <f aca="false">S50/1470</f>
        <v>0</v>
      </c>
      <c r="T49" s="251"/>
      <c r="U49" s="223" t="n">
        <f aca="false">U50/1470</f>
        <v>566728.979591837</v>
      </c>
      <c r="V49" s="251"/>
      <c r="W49" s="223" t="n">
        <f aca="false">W50/1470</f>
        <v>0</v>
      </c>
      <c r="X49" s="251"/>
      <c r="Y49" s="223" t="n">
        <f aca="false">Y50/1470</f>
        <v>448683.265306122</v>
      </c>
      <c r="AA49" s="252"/>
    </row>
    <row r="50" customFormat="false" ht="12.75" hidden="false" customHeight="false" outlineLevel="0" collapsed="false">
      <c r="B50" s="166"/>
      <c r="C50" s="244"/>
      <c r="D50" s="244"/>
      <c r="E50" s="244"/>
      <c r="F50" s="245"/>
      <c r="G50" s="222"/>
      <c r="H50" s="232" t="n">
        <f aca="false">+SUM(H31:H38)</f>
        <v>67129700</v>
      </c>
      <c r="I50" s="232" t="n">
        <f aca="false">+SUM(I31:I38)</f>
        <v>4397646000</v>
      </c>
      <c r="J50" s="232" t="n">
        <f aca="false">+SUM(J31:J38)</f>
        <v>4397646000</v>
      </c>
      <c r="K50" s="232" t="n">
        <f aca="false">+SUM(K31:K38)</f>
        <v>2837860300</v>
      </c>
      <c r="L50" s="233" t="n">
        <f aca="false">+[2]Bolt1ho!$M$8</f>
        <v>556033915</v>
      </c>
      <c r="M50" s="233"/>
      <c r="N50" s="233" t="n">
        <f aca="false">+SUM(N31:N38)</f>
        <v>67129700</v>
      </c>
      <c r="O50" s="253" t="n">
        <f aca="false">+SUM(O31:O38)</f>
        <v>183800</v>
      </c>
      <c r="P50" s="235" t="n">
        <f aca="false">+SUM(P31:P38)</f>
        <v>67129700</v>
      </c>
      <c r="Q50" s="236" t="n">
        <f aca="false">+SUM(Q31:Q38)</f>
        <v>0</v>
      </c>
      <c r="R50" s="254" t="n">
        <f aca="false">+SUM(R31:R38)</f>
        <v>0</v>
      </c>
      <c r="S50" s="232" t="n">
        <f aca="false">+SUM(S31:S38)</f>
        <v>0</v>
      </c>
      <c r="T50" s="255" t="n">
        <f aca="false">+SUM(T31:T38)</f>
        <v>368176</v>
      </c>
      <c r="U50" s="232" t="n">
        <f aca="false">+SUM(U31:U38)</f>
        <v>833091600</v>
      </c>
      <c r="V50" s="255" t="n">
        <f aca="false">+SUM(V31:V38)</f>
        <v>0</v>
      </c>
      <c r="W50" s="232" t="n">
        <f aca="false">+SUM(W31:W38)</f>
        <v>0</v>
      </c>
      <c r="X50" s="255" t="n">
        <f aca="false">+SUM(X31:X38)</f>
        <v>0</v>
      </c>
      <c r="Y50" s="232" t="n">
        <f aca="false">+SUM(Y31:Y38)</f>
        <v>659564400</v>
      </c>
      <c r="Z50" s="152"/>
      <c r="AA50" s="256"/>
      <c r="AB50" s="152"/>
    </row>
    <row r="51" s="257" customFormat="true" ht="16.5" hidden="false" customHeight="true" outlineLevel="0" collapsed="false">
      <c r="B51" s="258" t="s">
        <v>109</v>
      </c>
      <c r="C51" s="258"/>
      <c r="D51" s="258"/>
      <c r="E51" s="258"/>
      <c r="F51" s="259" t="n">
        <f aca="false">+F49</f>
        <v>14817.24</v>
      </c>
      <c r="G51" s="260" t="n">
        <f aca="false">+G49+G29</f>
        <v>18981835.0408163</v>
      </c>
      <c r="H51" s="261" t="n">
        <f aca="false">+H43+H49</f>
        <v>45666.462585034</v>
      </c>
      <c r="I51" s="262" t="n">
        <f aca="false">I52/1470</f>
        <v>3164648.97959184</v>
      </c>
      <c r="J51" s="262" t="n">
        <f aca="false">J52/1470</f>
        <v>9438485.12244898</v>
      </c>
      <c r="K51" s="262" t="n">
        <f aca="false">K52/1470</f>
        <v>2559088.63945578</v>
      </c>
      <c r="L51" s="263" t="n">
        <f aca="false">L52/1470</f>
        <v>378254.363945578</v>
      </c>
      <c r="M51" s="264" t="n">
        <f aca="false">M52/1470</f>
        <v>1320475.56122449</v>
      </c>
      <c r="N51" s="265" t="n">
        <f aca="false">N52/1470</f>
        <v>1698729.92517007</v>
      </c>
      <c r="O51" s="266"/>
      <c r="P51" s="267" t="n">
        <f aca="false">P52/1470</f>
        <v>1698729.92517007</v>
      </c>
      <c r="Q51" s="268" t="n">
        <f aca="false">Q52/1470</f>
        <v>785392.142857143</v>
      </c>
      <c r="R51" s="269" t="n">
        <f aca="false">R52/1470</f>
        <v>0</v>
      </c>
      <c r="S51" s="270" t="n">
        <f aca="false">S52/1470</f>
        <v>785392.142857143</v>
      </c>
      <c r="T51" s="269" t="n">
        <f aca="false">T52/1470</f>
        <v>0</v>
      </c>
      <c r="U51" s="270" t="n">
        <f aca="false">U52/1470</f>
        <v>723549.693877551</v>
      </c>
      <c r="V51" s="269" t="n">
        <f aca="false">V52/1470</f>
        <v>0</v>
      </c>
      <c r="W51" s="270" t="n">
        <f aca="false">W52/1470</f>
        <v>628156.571428572</v>
      </c>
      <c r="X51" s="269" t="n">
        <f aca="false">X52/1470</f>
        <v>0</v>
      </c>
      <c r="Y51" s="270" t="n">
        <f aca="false">Y52/1470</f>
        <v>3043568.14965986</v>
      </c>
    </row>
    <row r="52" s="257" customFormat="true" ht="16.5" hidden="false" customHeight="true" outlineLevel="0" collapsed="false">
      <c r="B52" s="258"/>
      <c r="C52" s="258"/>
      <c r="D52" s="258"/>
      <c r="E52" s="258"/>
      <c r="F52" s="259"/>
      <c r="G52" s="260"/>
      <c r="H52" s="261"/>
      <c r="I52" s="271" t="n">
        <f aca="false">+I44+I50</f>
        <v>4652034000</v>
      </c>
      <c r="J52" s="271" t="n">
        <f aca="false">+J50+J30</f>
        <v>13874573130</v>
      </c>
      <c r="K52" s="271" t="n">
        <f aca="false">+K50+K30</f>
        <v>3761860300</v>
      </c>
      <c r="L52" s="272" t="n">
        <f aca="false">+L50+L30</f>
        <v>556033915</v>
      </c>
      <c r="M52" s="273" t="n">
        <f aca="false">+N52-L52</f>
        <v>1941099075</v>
      </c>
      <c r="N52" s="274" t="n">
        <f aca="false">+N50+N30</f>
        <v>2497132990</v>
      </c>
      <c r="O52" s="275"/>
      <c r="P52" s="273" t="n">
        <f aca="false">+P50+P30</f>
        <v>2497132990</v>
      </c>
      <c r="Q52" s="276" t="n">
        <f aca="false">+Q50+Q30</f>
        <v>1154526450</v>
      </c>
      <c r="R52" s="271" t="n">
        <f aca="false">+R44</f>
        <v>0</v>
      </c>
      <c r="S52" s="271" t="n">
        <f aca="false">+S50+S30</f>
        <v>1154526450</v>
      </c>
      <c r="T52" s="271" t="n">
        <f aca="false">+T44</f>
        <v>0</v>
      </c>
      <c r="U52" s="271" t="n">
        <f aca="false">+U50+U30</f>
        <v>1063618050</v>
      </c>
      <c r="V52" s="271" t="n">
        <f aca="false">+V44</f>
        <v>0</v>
      </c>
      <c r="W52" s="271" t="n">
        <f aca="false">+W50+W30</f>
        <v>923390160</v>
      </c>
      <c r="X52" s="271" t="n">
        <f aca="false">+X44</f>
        <v>0</v>
      </c>
      <c r="Y52" s="271" t="n">
        <f aca="false">+Y50+Y30</f>
        <v>4474045180</v>
      </c>
    </row>
    <row r="53" s="145" customFormat="true" ht="12.75" hidden="false" customHeight="false" outlineLevel="0" collapsed="false">
      <c r="L53" s="152"/>
      <c r="M53" s="152"/>
      <c r="V53" s="146"/>
    </row>
    <row r="54" customFormat="false" ht="14.9" hidden="false" customHeight="false" outlineLevel="0" collapsed="false">
      <c r="B54" s="277" t="s">
        <v>190</v>
      </c>
      <c r="J54" s="278" t="n">
        <f aca="false">+J29-K29</f>
        <v>5818317.7755102</v>
      </c>
      <c r="K54" s="145" t="n">
        <v>942471</v>
      </c>
    </row>
    <row r="55" customFormat="false" ht="27" hidden="true" customHeight="true" outlineLevel="0" collapsed="false">
      <c r="B55" s="154" t="s">
        <v>96</v>
      </c>
      <c r="C55" s="154" t="s">
        <v>122</v>
      </c>
      <c r="D55" s="154" t="s">
        <v>153</v>
      </c>
      <c r="E55" s="154" t="s">
        <v>153</v>
      </c>
      <c r="F55" s="154" t="s">
        <v>123</v>
      </c>
      <c r="G55" s="155" t="s">
        <v>154</v>
      </c>
      <c r="H55" s="155" t="s">
        <v>191</v>
      </c>
      <c r="I55" s="156" t="s">
        <v>156</v>
      </c>
      <c r="J55" s="154" t="s">
        <v>109</v>
      </c>
      <c r="K55" s="154" t="s">
        <v>192</v>
      </c>
      <c r="L55" s="155" t="s">
        <v>193</v>
      </c>
      <c r="M55" s="279"/>
      <c r="N55" s="155" t="s">
        <v>194</v>
      </c>
      <c r="O55" s="161" t="s">
        <v>195</v>
      </c>
      <c r="P55" s="161"/>
      <c r="Q55" s="155" t="s">
        <v>194</v>
      </c>
      <c r="R55" s="161" t="s">
        <v>196</v>
      </c>
      <c r="S55" s="161"/>
      <c r="T55" s="161" t="s">
        <v>197</v>
      </c>
      <c r="U55" s="161"/>
      <c r="V55" s="161" t="s">
        <v>161</v>
      </c>
      <c r="W55" s="161"/>
      <c r="X55" s="154" t="s">
        <v>198</v>
      </c>
      <c r="Y55" s="154"/>
      <c r="AA55" s="154" t="s">
        <v>167</v>
      </c>
    </row>
    <row r="56" customFormat="false" ht="27" hidden="true" customHeight="true" outlineLevel="0" collapsed="false">
      <c r="B56" s="154"/>
      <c r="C56" s="154"/>
      <c r="D56" s="154"/>
      <c r="E56" s="154"/>
      <c r="F56" s="154"/>
      <c r="G56" s="155"/>
      <c r="H56" s="155"/>
      <c r="I56" s="156"/>
      <c r="J56" s="156"/>
      <c r="K56" s="156"/>
      <c r="L56" s="155"/>
      <c r="M56" s="280"/>
      <c r="N56" s="155"/>
      <c r="O56" s="165" t="s">
        <v>168</v>
      </c>
      <c r="P56" s="165" t="s">
        <v>169</v>
      </c>
      <c r="Q56" s="155"/>
      <c r="R56" s="165" t="s">
        <v>168</v>
      </c>
      <c r="S56" s="165" t="s">
        <v>169</v>
      </c>
      <c r="T56" s="165" t="s">
        <v>168</v>
      </c>
      <c r="U56" s="165" t="s">
        <v>169</v>
      </c>
      <c r="V56" s="165" t="s">
        <v>168</v>
      </c>
      <c r="W56" s="165" t="s">
        <v>169</v>
      </c>
      <c r="X56" s="154"/>
      <c r="Y56" s="154"/>
      <c r="AA56" s="154"/>
    </row>
    <row r="57" customFormat="false" ht="12.75" hidden="true" customHeight="false" outlineLevel="0" collapsed="false">
      <c r="B57" s="281"/>
      <c r="C57" s="239" t="s">
        <v>199</v>
      </c>
      <c r="D57" s="168" t="n">
        <v>400000</v>
      </c>
      <c r="E57" s="168" t="n">
        <v>400000</v>
      </c>
      <c r="F57" s="169" t="n">
        <f aca="false">+'DG M&amp;A-SPA_POSN'!D11</f>
        <v>340.8</v>
      </c>
      <c r="G57" s="170" t="n">
        <f aca="false">E57*F57*1.1/1470</f>
        <v>102008.163265306</v>
      </c>
      <c r="H57" s="171" t="n">
        <f aca="false">+P57+S57</f>
        <v>0</v>
      </c>
      <c r="I57" s="171" t="n">
        <f aca="false">+F57*550000000/1000</f>
        <v>187440000</v>
      </c>
      <c r="J57" s="171" t="n">
        <f aca="false">+K57+P57+S57+U57+Y57+W57</f>
        <v>0</v>
      </c>
      <c r="K57" s="171"/>
      <c r="L57" s="282"/>
      <c r="M57" s="283"/>
      <c r="N57" s="185" t="n">
        <f aca="false">S57+U57</f>
        <v>0</v>
      </c>
      <c r="O57" s="179"/>
      <c r="P57" s="284"/>
      <c r="Q57" s="185" t="n">
        <f aca="false">V57+X57</f>
        <v>0</v>
      </c>
      <c r="R57" s="179"/>
      <c r="S57" s="171"/>
      <c r="T57" s="179"/>
      <c r="U57" s="285"/>
      <c r="V57" s="179"/>
      <c r="W57" s="171"/>
      <c r="X57" s="179"/>
      <c r="Y57" s="171"/>
      <c r="AA57" s="241" t="b">
        <f aca="false">+I57=J57</f>
        <v>0</v>
      </c>
      <c r="AB57" s="152"/>
    </row>
    <row r="58" customFormat="false" ht="12.75" hidden="true" customHeight="false" outlineLevel="0" collapsed="false">
      <c r="B58" s="281"/>
      <c r="C58" s="239" t="s">
        <v>200</v>
      </c>
      <c r="D58" s="182" t="n">
        <v>400000</v>
      </c>
      <c r="E58" s="182" t="n">
        <v>400000</v>
      </c>
      <c r="F58" s="183" t="n">
        <f aca="false">+'DG M&amp;A-SPA_POSN'!D17</f>
        <v>144.84</v>
      </c>
      <c r="G58" s="184" t="n">
        <f aca="false">E58*F58*1.1/1470</f>
        <v>43353.4693877551</v>
      </c>
      <c r="H58" s="185" t="n">
        <f aca="false">+P58+S58</f>
        <v>0</v>
      </c>
      <c r="I58" s="185" t="n">
        <f aca="false">+F58*550000000/1000</f>
        <v>79662000</v>
      </c>
      <c r="J58" s="185" t="n">
        <f aca="false">+K58+P58+S58+U58+Y58+W58</f>
        <v>0</v>
      </c>
      <c r="K58" s="185"/>
      <c r="L58" s="282"/>
      <c r="M58" s="283"/>
      <c r="N58" s="185" t="n">
        <f aca="false">S58+U58</f>
        <v>0</v>
      </c>
      <c r="O58" s="192"/>
      <c r="P58" s="286"/>
      <c r="Q58" s="185" t="n">
        <f aca="false">V58+X58</f>
        <v>0</v>
      </c>
      <c r="R58" s="192"/>
      <c r="S58" s="185"/>
      <c r="T58" s="192"/>
      <c r="U58" s="287"/>
      <c r="V58" s="192"/>
      <c r="W58" s="185"/>
      <c r="X58" s="192"/>
      <c r="Y58" s="185"/>
      <c r="AA58" s="193" t="n">
        <f aca="false">+I58=J58</f>
        <v>0</v>
      </c>
    </row>
    <row r="59" customFormat="false" ht="12.75" hidden="true" customHeight="false" outlineLevel="0" collapsed="false">
      <c r="B59" s="281"/>
      <c r="C59" s="239" t="s">
        <v>201</v>
      </c>
      <c r="D59" s="182" t="n">
        <v>400000</v>
      </c>
      <c r="E59" s="182" t="n">
        <v>400000</v>
      </c>
      <c r="F59" s="183" t="n">
        <f aca="false">+'DG M&amp;A-SPA_POSN'!D23</f>
        <v>807.98</v>
      </c>
      <c r="G59" s="184" t="n">
        <f aca="false">E59*F59*1.1/1470</f>
        <v>241844.353741497</v>
      </c>
      <c r="H59" s="185" t="n">
        <f aca="false">+P59+S59</f>
        <v>0</v>
      </c>
      <c r="I59" s="185" t="n">
        <f aca="false">+F59*550000000/1000</f>
        <v>444389000</v>
      </c>
      <c r="J59" s="185" t="n">
        <f aca="false">+K59+P59+S59+U59+Y59+W59</f>
        <v>0</v>
      </c>
      <c r="K59" s="185"/>
      <c r="L59" s="282"/>
      <c r="M59" s="283"/>
      <c r="N59" s="185" t="n">
        <f aca="false">S59+U59</f>
        <v>0</v>
      </c>
      <c r="O59" s="192"/>
      <c r="P59" s="286"/>
      <c r="Q59" s="185" t="n">
        <f aca="false">V59+X59</f>
        <v>0</v>
      </c>
      <c r="R59" s="192"/>
      <c r="S59" s="185"/>
      <c r="T59" s="192"/>
      <c r="U59" s="287"/>
      <c r="V59" s="192"/>
      <c r="W59" s="185"/>
      <c r="X59" s="192"/>
      <c r="Y59" s="185"/>
      <c r="AA59" s="194" t="b">
        <f aca="false">+I59=J59</f>
        <v>0</v>
      </c>
    </row>
    <row r="60" customFormat="false" ht="12.75" hidden="true" customHeight="false" outlineLevel="0" collapsed="false">
      <c r="B60" s="281"/>
      <c r="C60" s="239" t="s">
        <v>202</v>
      </c>
      <c r="D60" s="182" t="n">
        <v>400000</v>
      </c>
      <c r="E60" s="182" t="n">
        <v>400000</v>
      </c>
      <c r="F60" s="195" t="n">
        <f aca="false">+'DG M&amp;A-SPA_POSN'!D29</f>
        <v>249.92</v>
      </c>
      <c r="G60" s="184" t="n">
        <f aca="false">E60*F60*1.1/1470</f>
        <v>74805.9863945578</v>
      </c>
      <c r="H60" s="185" t="n">
        <f aca="false">+P60+S60</f>
        <v>0</v>
      </c>
      <c r="I60" s="185" t="n">
        <f aca="false">+F60*550000000/1000</f>
        <v>137456000</v>
      </c>
      <c r="J60" s="185" t="n">
        <f aca="false">+K60+P60+S60+U60+Y60+W60</f>
        <v>0</v>
      </c>
      <c r="K60" s="185"/>
      <c r="L60" s="282"/>
      <c r="M60" s="283"/>
      <c r="N60" s="185" t="n">
        <f aca="false">S60+U60</f>
        <v>0</v>
      </c>
      <c r="O60" s="192"/>
      <c r="P60" s="288"/>
      <c r="Q60" s="185" t="n">
        <f aca="false">V60+X60</f>
        <v>0</v>
      </c>
      <c r="R60" s="192"/>
      <c r="S60" s="196"/>
      <c r="T60" s="192"/>
      <c r="U60" s="287"/>
      <c r="V60" s="192"/>
      <c r="W60" s="185"/>
      <c r="X60" s="192"/>
      <c r="Y60" s="185"/>
      <c r="AA60" s="194" t="b">
        <f aca="false">+I60=J60</f>
        <v>0</v>
      </c>
    </row>
    <row r="61" customFormat="false" ht="12.75" hidden="true" customHeight="false" outlineLevel="0" collapsed="false">
      <c r="B61" s="281"/>
      <c r="C61" s="244" t="s">
        <v>109</v>
      </c>
      <c r="D61" s="244"/>
      <c r="E61" s="244"/>
      <c r="F61" s="245" t="n">
        <f aca="false">SUM(F57:F60)</f>
        <v>1543.54</v>
      </c>
      <c r="G61" s="222" t="n">
        <f aca="false">SUM(G57:G60)</f>
        <v>462011.972789116</v>
      </c>
      <c r="H61" s="223" t="n">
        <f aca="false">H62/1470</f>
        <v>0</v>
      </c>
      <c r="I61" s="200"/>
      <c r="J61" s="200"/>
      <c r="K61" s="223" t="n">
        <f aca="false">K62/1470</f>
        <v>0</v>
      </c>
      <c r="L61" s="223" t="n">
        <f aca="false">L62/1470</f>
        <v>0</v>
      </c>
      <c r="M61" s="223"/>
      <c r="N61" s="289" t="n">
        <f aca="false">N62/1470</f>
        <v>0</v>
      </c>
      <c r="O61" s="205"/>
      <c r="P61" s="223" t="n">
        <f aca="false">P62/1470</f>
        <v>0</v>
      </c>
      <c r="Q61" s="289" t="n">
        <f aca="false">Q62/1470</f>
        <v>0</v>
      </c>
      <c r="R61" s="205"/>
      <c r="S61" s="223" t="n">
        <f aca="false">S62/1470</f>
        <v>0</v>
      </c>
      <c r="T61" s="205"/>
      <c r="U61" s="223" t="n">
        <f aca="false">U62/1470</f>
        <v>0</v>
      </c>
      <c r="V61" s="205"/>
      <c r="W61" s="223" t="n">
        <f aca="false">W62/1470</f>
        <v>0</v>
      </c>
      <c r="X61" s="205"/>
      <c r="Y61" s="223" t="n">
        <f aca="false">Y62/1470</f>
        <v>0</v>
      </c>
      <c r="AA61" s="252"/>
    </row>
    <row r="62" customFormat="false" ht="12.75" hidden="true" customHeight="false" outlineLevel="0" collapsed="false">
      <c r="B62" s="281"/>
      <c r="C62" s="244"/>
      <c r="D62" s="244"/>
      <c r="E62" s="244"/>
      <c r="F62" s="245"/>
      <c r="G62" s="222"/>
      <c r="H62" s="232" t="n">
        <f aca="false">+SUM(H57:H60)</f>
        <v>0</v>
      </c>
      <c r="I62" s="232" t="n">
        <f aca="false">+SUM(I57:I60)</f>
        <v>848947000</v>
      </c>
      <c r="J62" s="232" t="n">
        <f aca="false">+SUM(J57:J60)</f>
        <v>0</v>
      </c>
      <c r="K62" s="232" t="n">
        <f aca="false">+SUM(K57:K60)</f>
        <v>0</v>
      </c>
      <c r="L62" s="232"/>
      <c r="M62" s="232"/>
      <c r="N62" s="232" t="n">
        <f aca="false">+SUM(N57:N60)</f>
        <v>0</v>
      </c>
      <c r="O62" s="290"/>
      <c r="P62" s="232" t="n">
        <f aca="false">+SUM(P57:P60)</f>
        <v>0</v>
      </c>
      <c r="Q62" s="232" t="n">
        <f aca="false">+SUM(Q57:Q60)</f>
        <v>0</v>
      </c>
      <c r="R62" s="290"/>
      <c r="S62" s="232" t="n">
        <f aca="false">+SUM(S57:S60)</f>
        <v>0</v>
      </c>
      <c r="T62" s="290"/>
      <c r="U62" s="232" t="n">
        <f aca="false">+SUM(U57:U60)</f>
        <v>0</v>
      </c>
      <c r="V62" s="290"/>
      <c r="W62" s="232" t="n">
        <f aca="false">+SUM(W57:W60)</f>
        <v>0</v>
      </c>
      <c r="X62" s="290"/>
      <c r="Y62" s="232" t="n">
        <f aca="false">+SUM(Y57:Y60)</f>
        <v>0</v>
      </c>
      <c r="AA62" s="291" t="b">
        <f aca="false">+I62=J62</f>
        <v>0</v>
      </c>
      <c r="AB62" s="152"/>
    </row>
    <row r="63" customFormat="false" ht="12.75" hidden="false" customHeight="false" outlineLevel="0" collapsed="false">
      <c r="B63" s="239" t="s">
        <v>203</v>
      </c>
      <c r="K63" s="145" t="n">
        <v>1630.78</v>
      </c>
    </row>
    <row r="64" customFormat="false" ht="14.9" hidden="false" customHeight="false" outlineLevel="0" collapsed="false">
      <c r="C64" s="292" t="s">
        <v>204</v>
      </c>
      <c r="D64" s="293" t="n">
        <v>27500000</v>
      </c>
      <c r="K64" s="294" t="n">
        <f aca="false">+K54*K63</f>
        <v>1536962857.38</v>
      </c>
    </row>
  </sheetData>
  <mergeCells count="57">
    <mergeCell ref="B9:B10"/>
    <mergeCell ref="C9:C10"/>
    <mergeCell ref="D9:D10"/>
    <mergeCell ref="E9:E10"/>
    <mergeCell ref="F9:F10"/>
    <mergeCell ref="G9:G10"/>
    <mergeCell ref="H9:H10"/>
    <mergeCell ref="I9:I10"/>
    <mergeCell ref="J9:J10"/>
    <mergeCell ref="K9:K10"/>
    <mergeCell ref="L9:L10"/>
    <mergeCell ref="M9:M10"/>
    <mergeCell ref="N9:N10"/>
    <mergeCell ref="O9:P9"/>
    <mergeCell ref="Q9:Q10"/>
    <mergeCell ref="R9:S9"/>
    <mergeCell ref="T9:U9"/>
    <mergeCell ref="V9:W9"/>
    <mergeCell ref="X9:Y10"/>
    <mergeCell ref="AA9:AA10"/>
    <mergeCell ref="B11:B50"/>
    <mergeCell ref="L11:L28"/>
    <mergeCell ref="C29:E30"/>
    <mergeCell ref="F29:F30"/>
    <mergeCell ref="G29:G30"/>
    <mergeCell ref="L31:L48"/>
    <mergeCell ref="C49:E50"/>
    <mergeCell ref="F49:F50"/>
    <mergeCell ref="G49:G50"/>
    <mergeCell ref="B51:E52"/>
    <mergeCell ref="F51:F52"/>
    <mergeCell ref="G51:G52"/>
    <mergeCell ref="H51:H52"/>
    <mergeCell ref="B55:B56"/>
    <mergeCell ref="C55:C56"/>
    <mergeCell ref="D55:D56"/>
    <mergeCell ref="E55:E56"/>
    <mergeCell ref="F55:F56"/>
    <mergeCell ref="G55:G56"/>
    <mergeCell ref="H55:H56"/>
    <mergeCell ref="I55:I56"/>
    <mergeCell ref="J55:J56"/>
    <mergeCell ref="K55:K56"/>
    <mergeCell ref="L55:L56"/>
    <mergeCell ref="N55:N56"/>
    <mergeCell ref="O55:P55"/>
    <mergeCell ref="Q55:Q56"/>
    <mergeCell ref="R55:S55"/>
    <mergeCell ref="T55:U55"/>
    <mergeCell ref="V55:W55"/>
    <mergeCell ref="X55:Y56"/>
    <mergeCell ref="AA55:AA56"/>
    <mergeCell ref="B57:B62"/>
    <mergeCell ref="L57:L60"/>
    <mergeCell ref="C61:E62"/>
    <mergeCell ref="F61:F62"/>
    <mergeCell ref="G61:G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2:Z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10" topLeftCell="H11" activePane="bottomRight" state="frozen"/>
      <selection pane="topLeft" activeCell="A1" activeCellId="0" sqref="A1"/>
      <selection pane="topRight" activeCell="H1" activeCellId="0" sqref="H1"/>
      <selection pane="bottomLeft" activeCell="A11" activeCellId="0" sqref="A11"/>
      <selection pane="bottomRight" activeCell="K17" activeCellId="0" sqref="K17"/>
    </sheetView>
  </sheetViews>
  <sheetFormatPr defaultColWidth="8" defaultRowHeight="12.75" zeroHeight="false" outlineLevelRow="0" outlineLevelCol="0"/>
  <cols>
    <col collapsed="false" customWidth="true" hidden="false" outlineLevel="0" max="1" min="1" style="257" width="1.5"/>
    <col collapsed="false" customWidth="true" hidden="false" outlineLevel="0" max="2" min="2" style="257" width="14.63"/>
    <col collapsed="false" customWidth="true" hidden="false" outlineLevel="0" max="6" min="3" style="257" width="13.63"/>
    <col collapsed="false" customWidth="true" hidden="false" outlineLevel="0" max="8" min="7" style="150" width="13"/>
    <col collapsed="false" customWidth="true" hidden="false" outlineLevel="0" max="9" min="9" style="257" width="15.37"/>
    <col collapsed="false" customWidth="true" hidden="false" outlineLevel="0" max="12" min="10" style="257" width="12.75"/>
    <col collapsed="false" customWidth="true" hidden="false" outlineLevel="0" max="13" min="13" style="257" width="19.25"/>
    <col collapsed="false" customWidth="true" hidden="false" outlineLevel="0" max="14" min="14" style="150" width="7.88"/>
    <col collapsed="false" customWidth="true" hidden="false" outlineLevel="0" max="15" min="15" style="257" width="14.88"/>
    <col collapsed="false" customWidth="true" hidden="false" outlineLevel="0" max="16" min="16" style="257" width="18.75"/>
    <col collapsed="false" customWidth="true" hidden="false" outlineLevel="0" max="17" min="17" style="150" width="7.88"/>
    <col collapsed="false" customWidth="true" hidden="false" outlineLevel="0" max="18" min="18" style="257" width="14.88"/>
    <col collapsed="false" customWidth="true" hidden="false" outlineLevel="0" max="19" min="19" style="150" width="7.88"/>
    <col collapsed="false" customWidth="true" hidden="false" outlineLevel="0" max="20" min="20" style="257" width="14.88"/>
    <col collapsed="false" customWidth="true" hidden="false" outlineLevel="0" max="21" min="21" style="150" width="6.88"/>
    <col collapsed="false" customWidth="true" hidden="false" outlineLevel="0" max="22" min="22" style="257" width="14.88"/>
    <col collapsed="false" customWidth="true" hidden="false" outlineLevel="0" max="23" min="23" style="257" width="1.5"/>
    <col collapsed="false" customWidth="true" hidden="false" outlineLevel="0" max="24" min="24" style="257" width="11"/>
    <col collapsed="false" customWidth="true" hidden="false" outlineLevel="0" max="25" min="25" style="257" width="11.62"/>
    <col collapsed="false" customWidth="true" hidden="false" outlineLevel="0" max="26" min="26" style="257" width="9.37"/>
    <col collapsed="false" customWidth="false" hidden="false" outlineLevel="0" max="16384" min="27" style="257" width="8"/>
  </cols>
  <sheetData>
    <row r="2" customFormat="false" ht="12.75" hidden="false" customHeight="false" outlineLevel="0" collapsed="false">
      <c r="B2" s="149" t="s">
        <v>140</v>
      </c>
      <c r="C2" s="149"/>
      <c r="D2" s="149" t="s">
        <v>108</v>
      </c>
      <c r="E2" s="149"/>
      <c r="F2" s="149"/>
    </row>
    <row r="3" customFormat="false" ht="14.9" hidden="false" customHeight="false" outlineLevel="0" collapsed="false">
      <c r="B3" s="151" t="s">
        <v>141</v>
      </c>
      <c r="C3" s="149"/>
      <c r="D3" s="149" t="s">
        <v>205</v>
      </c>
      <c r="E3" s="149"/>
      <c r="F3" s="149"/>
    </row>
    <row r="4" customFormat="false" ht="28.35" hidden="false" customHeight="false" outlineLevel="0" collapsed="false">
      <c r="B4" s="151" t="s">
        <v>143</v>
      </c>
      <c r="C4" s="149"/>
      <c r="D4" s="149" t="s">
        <v>206</v>
      </c>
      <c r="E4" s="149"/>
      <c r="F4" s="149"/>
    </row>
    <row r="5" customFormat="false" ht="12.75" hidden="false" customHeight="false" outlineLevel="0" collapsed="false">
      <c r="B5" s="149" t="s">
        <v>145</v>
      </c>
      <c r="C5" s="149"/>
      <c r="D5" s="149" t="s">
        <v>207</v>
      </c>
      <c r="E5" s="149"/>
      <c r="F5" s="149"/>
    </row>
    <row r="6" customFormat="false" ht="14.9" hidden="false" customHeight="false" outlineLevel="0" collapsed="false">
      <c r="B6" s="151" t="s">
        <v>147</v>
      </c>
      <c r="C6" s="149"/>
      <c r="D6" s="149" t="s">
        <v>208</v>
      </c>
      <c r="E6" s="149"/>
      <c r="F6" s="149"/>
    </row>
    <row r="7" customFormat="false" ht="28.35" hidden="false" customHeight="false" outlineLevel="0" collapsed="false">
      <c r="B7" s="151" t="s">
        <v>149</v>
      </c>
      <c r="C7" s="149"/>
      <c r="D7" s="149" t="s">
        <v>209</v>
      </c>
      <c r="E7" s="149"/>
      <c r="F7" s="149"/>
    </row>
    <row r="8" customFormat="false" ht="12.75" hidden="false" customHeight="false" outlineLevel="0" collapsed="false">
      <c r="O8" s="295"/>
      <c r="R8" s="295"/>
      <c r="V8" s="296" t="s">
        <v>210</v>
      </c>
    </row>
    <row r="9" customFormat="false" ht="27" hidden="false" customHeight="true" outlineLevel="0" collapsed="false">
      <c r="B9" s="297" t="s">
        <v>96</v>
      </c>
      <c r="C9" s="298" t="s">
        <v>211</v>
      </c>
      <c r="D9" s="298" t="s">
        <v>122</v>
      </c>
      <c r="E9" s="297" t="s">
        <v>152</v>
      </c>
      <c r="F9" s="297" t="s">
        <v>153</v>
      </c>
      <c r="G9" s="297" t="s">
        <v>123</v>
      </c>
      <c r="H9" s="299" t="s">
        <v>154</v>
      </c>
      <c r="I9" s="297" t="s">
        <v>109</v>
      </c>
      <c r="J9" s="299" t="s">
        <v>212</v>
      </c>
      <c r="K9" s="299" t="s">
        <v>158</v>
      </c>
      <c r="L9" s="157" t="s">
        <v>159</v>
      </c>
      <c r="M9" s="300" t="s">
        <v>160</v>
      </c>
      <c r="N9" s="301" t="s">
        <v>161</v>
      </c>
      <c r="O9" s="301"/>
      <c r="P9" s="299" t="s">
        <v>213</v>
      </c>
      <c r="Q9" s="302" t="s">
        <v>163</v>
      </c>
      <c r="R9" s="302"/>
      <c r="S9" s="303" t="s">
        <v>164</v>
      </c>
      <c r="T9" s="303"/>
      <c r="U9" s="297" t="s">
        <v>165</v>
      </c>
      <c r="V9" s="297"/>
      <c r="X9" s="297" t="s">
        <v>167</v>
      </c>
    </row>
    <row r="10" customFormat="false" ht="27" hidden="false" customHeight="true" outlineLevel="0" collapsed="false">
      <c r="B10" s="297"/>
      <c r="C10" s="298"/>
      <c r="D10" s="298"/>
      <c r="E10" s="297"/>
      <c r="F10" s="297"/>
      <c r="G10" s="297"/>
      <c r="H10" s="299"/>
      <c r="I10" s="297"/>
      <c r="J10" s="299"/>
      <c r="K10" s="299"/>
      <c r="L10" s="157"/>
      <c r="M10" s="300"/>
      <c r="N10" s="304" t="s">
        <v>168</v>
      </c>
      <c r="O10" s="305" t="s">
        <v>169</v>
      </c>
      <c r="P10" s="299"/>
      <c r="Q10" s="306" t="s">
        <v>168</v>
      </c>
      <c r="R10" s="307" t="s">
        <v>169</v>
      </c>
      <c r="S10" s="307" t="s">
        <v>168</v>
      </c>
      <c r="T10" s="307" t="s">
        <v>169</v>
      </c>
      <c r="U10" s="297"/>
      <c r="V10" s="297"/>
      <c r="X10" s="297"/>
    </row>
    <row r="11" customFormat="false" ht="16.5" hidden="false" customHeight="true" outlineLevel="0" collapsed="false">
      <c r="B11" s="308" t="s">
        <v>108</v>
      </c>
      <c r="C11" s="308" t="s">
        <v>208</v>
      </c>
      <c r="D11" s="309" t="s">
        <v>199</v>
      </c>
      <c r="E11" s="310" t="n">
        <v>1100000</v>
      </c>
      <c r="F11" s="310"/>
      <c r="G11" s="311" t="n">
        <f aca="false">+'DG M&amp;A-SPA_POSN'!D11</f>
        <v>340.8</v>
      </c>
      <c r="H11" s="312" t="n">
        <f aca="false">+E11*G11*1.1/1470</f>
        <v>280522.448979592</v>
      </c>
      <c r="I11" s="313" t="n">
        <f aca="false">+J11+M11+P11</f>
        <v>206184000</v>
      </c>
      <c r="J11" s="313"/>
      <c r="K11" s="314"/>
      <c r="L11" s="314"/>
      <c r="M11" s="315" t="n">
        <f aca="false">+O11</f>
        <v>206184000</v>
      </c>
      <c r="N11" s="316" t="n">
        <f aca="false">+'DG M&amp;A-SPA_POSN'!AA11</f>
        <v>45960</v>
      </c>
      <c r="O11" s="317" t="n">
        <f aca="false">+'DG M&amp;A-SPA_POSN'!AD11</f>
        <v>206184000</v>
      </c>
      <c r="P11" s="318" t="n">
        <f aca="false">+R11</f>
        <v>0</v>
      </c>
      <c r="Q11" s="319"/>
      <c r="R11" s="313"/>
      <c r="S11" s="320"/>
      <c r="T11" s="321"/>
      <c r="U11" s="320"/>
      <c r="V11" s="313" t="n">
        <f aca="false">+'DG M&amp;A-SPA_POSN'!BM11</f>
        <v>206184000</v>
      </c>
      <c r="X11" s="322" t="n">
        <f aca="false">+J11+M11+P11+V11=G11*E11*1.1</f>
        <v>1</v>
      </c>
      <c r="Y11" s="323"/>
    </row>
    <row r="12" customFormat="false" ht="16.5" hidden="false" customHeight="true" outlineLevel="0" collapsed="false">
      <c r="B12" s="308"/>
      <c r="C12" s="308"/>
      <c r="D12" s="309" t="s">
        <v>200</v>
      </c>
      <c r="E12" s="324" t="n">
        <v>1100000</v>
      </c>
      <c r="F12" s="324"/>
      <c r="G12" s="325" t="n">
        <f aca="false">+'DG M&amp;A-SPA_POSN'!D17</f>
        <v>144.84</v>
      </c>
      <c r="H12" s="326" t="n">
        <f aca="false">+E12*G12*1.1/1470</f>
        <v>119222.040816327</v>
      </c>
      <c r="I12" s="318" t="n">
        <f aca="false">+J12+M12+P12</f>
        <v>87628200</v>
      </c>
      <c r="J12" s="318"/>
      <c r="K12" s="314"/>
      <c r="L12" s="327"/>
      <c r="M12" s="315" t="n">
        <f aca="false">+O12</f>
        <v>87628200</v>
      </c>
      <c r="N12" s="328" t="n">
        <f aca="false">+'DG M&amp;A-SPA_POSN'!AA17</f>
        <v>45960</v>
      </c>
      <c r="O12" s="329" t="n">
        <f aca="false">+'DG M&amp;A-SPA_POSN'!AD17</f>
        <v>87628200</v>
      </c>
      <c r="P12" s="318" t="n">
        <f aca="false">+R12</f>
        <v>0</v>
      </c>
      <c r="Q12" s="330"/>
      <c r="R12" s="318"/>
      <c r="S12" s="331"/>
      <c r="T12" s="332"/>
      <c r="U12" s="333"/>
      <c r="V12" s="318" t="n">
        <f aca="false">+'DG M&amp;A-SPA_POSN'!BM17</f>
        <v>87628200</v>
      </c>
      <c r="X12" s="334" t="n">
        <f aca="false">+J12+M12+P12+V12=G12*E12*1.1</f>
        <v>1</v>
      </c>
      <c r="Y12" s="323"/>
    </row>
    <row r="13" customFormat="false" ht="16.5" hidden="false" customHeight="true" outlineLevel="0" collapsed="false">
      <c r="B13" s="308"/>
      <c r="C13" s="308"/>
      <c r="D13" s="309" t="s">
        <v>201</v>
      </c>
      <c r="E13" s="324" t="n">
        <v>1100000</v>
      </c>
      <c r="F13" s="324"/>
      <c r="G13" s="325" t="n">
        <f aca="false">+'DG M&amp;A-SPA_POSN'!D23</f>
        <v>807.98</v>
      </c>
      <c r="H13" s="326" t="n">
        <f aca="false">+E13*G13*1.1/1470</f>
        <v>665071.972789116</v>
      </c>
      <c r="I13" s="318" t="n">
        <f aca="false">+J13+M13+P13</f>
        <v>488827900</v>
      </c>
      <c r="J13" s="318"/>
      <c r="K13" s="314"/>
      <c r="L13" s="327"/>
      <c r="M13" s="315" t="n">
        <f aca="false">+O13</f>
        <v>488827900</v>
      </c>
      <c r="N13" s="328" t="n">
        <f aca="false">+'DG M&amp;A-SPA_POSN'!AA23</f>
        <v>45960</v>
      </c>
      <c r="O13" s="329" t="n">
        <f aca="false">+'DG M&amp;A-SPA_POSN'!AD23</f>
        <v>488827900</v>
      </c>
      <c r="P13" s="318" t="n">
        <f aca="false">+R13</f>
        <v>0</v>
      </c>
      <c r="Q13" s="330"/>
      <c r="R13" s="318"/>
      <c r="S13" s="331"/>
      <c r="T13" s="332"/>
      <c r="U13" s="333"/>
      <c r="V13" s="318" t="n">
        <f aca="false">+'DG M&amp;A-SPA_POSN'!BM23</f>
        <v>488827900</v>
      </c>
      <c r="X13" s="334" t="n">
        <f aca="false">+J13+M13+P13+V13=G13*E13*1.1</f>
        <v>1</v>
      </c>
      <c r="Y13" s="323"/>
    </row>
    <row r="14" customFormat="false" ht="16.5" hidden="false" customHeight="true" outlineLevel="0" collapsed="false">
      <c r="B14" s="308"/>
      <c r="C14" s="308"/>
      <c r="D14" s="309" t="s">
        <v>202</v>
      </c>
      <c r="E14" s="324" t="n">
        <v>1100000</v>
      </c>
      <c r="F14" s="324"/>
      <c r="G14" s="335" t="n">
        <f aca="false">+'DG M&amp;A-SPA_POSN'!D29</f>
        <v>249.92</v>
      </c>
      <c r="H14" s="326" t="n">
        <f aca="false">+E14*G14*1.1/1470</f>
        <v>205716.462585034</v>
      </c>
      <c r="I14" s="318" t="n">
        <f aca="false">+J14+M14+P14</f>
        <v>151201600</v>
      </c>
      <c r="J14" s="318"/>
      <c r="K14" s="314"/>
      <c r="L14" s="327"/>
      <c r="M14" s="315" t="n">
        <f aca="false">+O14</f>
        <v>151201600</v>
      </c>
      <c r="N14" s="328" t="n">
        <f aca="false">+'DG M&amp;A-SPA_POSN'!AA29</f>
        <v>45960</v>
      </c>
      <c r="O14" s="336" t="n">
        <f aca="false">+'DG M&amp;A-SPA_POSN'!AD29</f>
        <v>151201600</v>
      </c>
      <c r="P14" s="318" t="n">
        <f aca="false">+R14</f>
        <v>0</v>
      </c>
      <c r="Q14" s="330"/>
      <c r="R14" s="318"/>
      <c r="S14" s="331"/>
      <c r="T14" s="332"/>
      <c r="U14" s="333"/>
      <c r="V14" s="318" t="n">
        <f aca="false">+'DG M&amp;A-SPA_POSN'!BM29</f>
        <v>151201600</v>
      </c>
      <c r="X14" s="334" t="n">
        <f aca="false">+J14+M14+P14+V14=G14*E14*1.1</f>
        <v>1</v>
      </c>
      <c r="Y14" s="323"/>
    </row>
    <row r="15" customFormat="false" ht="16.5" hidden="false" customHeight="true" outlineLevel="0" collapsed="false">
      <c r="B15" s="308"/>
      <c r="C15" s="308"/>
      <c r="D15" s="337" t="s">
        <v>109</v>
      </c>
      <c r="E15" s="337"/>
      <c r="F15" s="338"/>
      <c r="G15" s="339" t="n">
        <f aca="false">SUM(G11:G14)</f>
        <v>1543.54</v>
      </c>
      <c r="H15" s="340" t="n">
        <f aca="false">SUM(H11:H14)</f>
        <v>1270532.92517007</v>
      </c>
      <c r="I15" s="341" t="n">
        <f aca="false">I16/1470</f>
        <v>635266.462585034</v>
      </c>
      <c r="J15" s="341" t="n">
        <f aca="false">J16/1470</f>
        <v>0</v>
      </c>
      <c r="K15" s="314"/>
      <c r="L15" s="327"/>
      <c r="M15" s="342" t="n">
        <f aca="false">M16/1470</f>
        <v>635266.462585034</v>
      </c>
      <c r="N15" s="343"/>
      <c r="O15" s="344" t="n">
        <f aca="false">O16/1470</f>
        <v>635266.462585034</v>
      </c>
      <c r="P15" s="345" t="n">
        <f aca="false">P16/1470</f>
        <v>0</v>
      </c>
      <c r="Q15" s="346"/>
      <c r="R15" s="345" t="n">
        <f aca="false">R16/1470</f>
        <v>0</v>
      </c>
      <c r="S15" s="347"/>
      <c r="T15" s="345" t="n">
        <f aca="false">T16/1470</f>
        <v>0</v>
      </c>
      <c r="U15" s="348"/>
      <c r="V15" s="345" t="n">
        <f aca="false">V16/1470</f>
        <v>635266.462585034</v>
      </c>
      <c r="X15" s="349"/>
      <c r="Y15" s="323"/>
    </row>
    <row r="16" customFormat="false" ht="16.5" hidden="false" customHeight="true" outlineLevel="0" collapsed="false">
      <c r="B16" s="308"/>
      <c r="C16" s="308"/>
      <c r="D16" s="337"/>
      <c r="E16" s="337"/>
      <c r="F16" s="350"/>
      <c r="G16" s="339"/>
      <c r="H16" s="340"/>
      <c r="I16" s="351" t="n">
        <f aca="false">+SUM(I11:I14)</f>
        <v>933841700</v>
      </c>
      <c r="J16" s="351" t="n">
        <f aca="false">+SUM(J11:J14)</f>
        <v>0</v>
      </c>
      <c r="K16" s="314"/>
      <c r="L16" s="327"/>
      <c r="M16" s="352" t="n">
        <f aca="false">+SUM(M11:M14)</f>
        <v>933841700</v>
      </c>
      <c r="N16" s="353"/>
      <c r="O16" s="354" t="n">
        <f aca="false">+SUM(O11:O14)</f>
        <v>933841700</v>
      </c>
      <c r="P16" s="351" t="n">
        <f aca="false">+SUM(P11:P14)</f>
        <v>0</v>
      </c>
      <c r="Q16" s="355"/>
      <c r="R16" s="351" t="n">
        <f aca="false">+SUM(R11:R14)</f>
        <v>0</v>
      </c>
      <c r="S16" s="356"/>
      <c r="T16" s="351" t="n">
        <f aca="false">+SUM(T11:T14)</f>
        <v>0</v>
      </c>
      <c r="U16" s="357"/>
      <c r="V16" s="351" t="n">
        <f aca="false">+SUM(V11:V14)</f>
        <v>933841700</v>
      </c>
      <c r="X16" s="357"/>
      <c r="Y16" s="323"/>
    </row>
    <row r="17" customFormat="false" ht="16.5" hidden="false" customHeight="true" outlineLevel="0" collapsed="false">
      <c r="B17" s="308"/>
      <c r="C17" s="308" t="s">
        <v>208</v>
      </c>
      <c r="D17" s="309" t="s">
        <v>199</v>
      </c>
      <c r="E17" s="310"/>
      <c r="F17" s="310" t="n">
        <v>400000</v>
      </c>
      <c r="G17" s="311" t="n">
        <f aca="false">+'DG M&amp;A-SPA_POSN'!D11</f>
        <v>340.8</v>
      </c>
      <c r="H17" s="312" t="n">
        <f aca="false">+F17*G17/1470</f>
        <v>92734.693877551</v>
      </c>
      <c r="I17" s="313" t="n">
        <f aca="false">+J17+M17+P17</f>
        <v>122688000</v>
      </c>
      <c r="J17" s="313" t="n">
        <f aca="false">+'DG M&amp;A-SPA_POSN'!Q12</f>
        <v>101606400</v>
      </c>
      <c r="K17" s="314"/>
      <c r="L17" s="327"/>
      <c r="M17" s="315" t="n">
        <f aca="false">+O17</f>
        <v>21081600</v>
      </c>
      <c r="N17" s="316" t="n">
        <f aca="false">+'DG M&amp;A-SPA_POSN'!AA17</f>
        <v>45960</v>
      </c>
      <c r="O17" s="317" t="n">
        <f aca="false">+'DG M&amp;A-SPA_POSN'!W12+'DG M&amp;A-SPA_POSN'!R12</f>
        <v>21081600</v>
      </c>
      <c r="P17" s="318" t="n">
        <f aca="false">+R17</f>
        <v>0</v>
      </c>
      <c r="Q17" s="319"/>
      <c r="R17" s="313"/>
      <c r="S17" s="320"/>
      <c r="T17" s="321"/>
      <c r="U17" s="320"/>
      <c r="V17" s="313" t="n">
        <f aca="false">+'DG M&amp;A-SPA_POSN'!BM12</f>
        <v>13632000</v>
      </c>
      <c r="X17" s="322" t="n">
        <f aca="false">+J17+M17+P17+V17=G17*F17</f>
        <v>1</v>
      </c>
      <c r="Y17" s="323"/>
    </row>
    <row r="18" customFormat="false" ht="16.5" hidden="false" customHeight="true" outlineLevel="0" collapsed="false">
      <c r="B18" s="308"/>
      <c r="C18" s="308"/>
      <c r="D18" s="309" t="s">
        <v>200</v>
      </c>
      <c r="E18" s="324"/>
      <c r="F18" s="324" t="n">
        <v>400000</v>
      </c>
      <c r="G18" s="325" t="n">
        <f aca="false">+'DG M&amp;A-SPA_POSN'!D17</f>
        <v>144.84</v>
      </c>
      <c r="H18" s="326" t="n">
        <f aca="false">+F18*G18/1470</f>
        <v>39412.2448979592</v>
      </c>
      <c r="I18" s="318" t="n">
        <f aca="false">+J18+M18+P18</f>
        <v>52142400</v>
      </c>
      <c r="J18" s="318" t="n">
        <f aca="false">+'DG M&amp;A-SPA_POSN'!Q18</f>
        <v>39513600</v>
      </c>
      <c r="K18" s="314"/>
      <c r="L18" s="327"/>
      <c r="M18" s="315" t="n">
        <f aca="false">+O18</f>
        <v>12628800</v>
      </c>
      <c r="N18" s="328" t="n">
        <f aca="false">+'DG M&amp;A-SPA_POSN'!AA23</f>
        <v>45960</v>
      </c>
      <c r="O18" s="329" t="n">
        <f aca="false">+'DG M&amp;A-SPA_POSN'!W18+'DG M&amp;A-SPA_POSN'!R18</f>
        <v>12628800</v>
      </c>
      <c r="P18" s="318" t="n">
        <f aca="false">+R18</f>
        <v>0</v>
      </c>
      <c r="Q18" s="330"/>
      <c r="R18" s="318"/>
      <c r="S18" s="331"/>
      <c r="T18" s="332"/>
      <c r="U18" s="333"/>
      <c r="V18" s="318" t="n">
        <f aca="false">+'DG M&amp;A-SPA_POSN'!BM18</f>
        <v>5793600</v>
      </c>
      <c r="X18" s="334" t="n">
        <f aca="false">+J18+M18+P18+V18=G18*F18</f>
        <v>1</v>
      </c>
      <c r="Y18" s="323"/>
    </row>
    <row r="19" customFormat="false" ht="16.5" hidden="false" customHeight="true" outlineLevel="0" collapsed="false">
      <c r="B19" s="308"/>
      <c r="C19" s="308"/>
      <c r="D19" s="309" t="s">
        <v>201</v>
      </c>
      <c r="E19" s="324"/>
      <c r="F19" s="324" t="n">
        <v>400000</v>
      </c>
      <c r="G19" s="325" t="n">
        <f aca="false">+'DG M&amp;A-SPA_POSN'!D23</f>
        <v>807.98</v>
      </c>
      <c r="H19" s="326" t="n">
        <f aca="false">+F19*G19/1470</f>
        <v>219858.503401361</v>
      </c>
      <c r="I19" s="318" t="n">
        <f aca="false">+J19+M19+P19</f>
        <v>290872800</v>
      </c>
      <c r="J19" s="318" t="n">
        <f aca="false">+'DG M&amp;A-SPA_POSN'!Q24</f>
        <v>221382000</v>
      </c>
      <c r="K19" s="314"/>
      <c r="L19" s="327"/>
      <c r="M19" s="315" t="n">
        <f aca="false">+O19</f>
        <v>69490800</v>
      </c>
      <c r="N19" s="328" t="n">
        <f aca="false">+'DG M&amp;A-SPA_POSN'!AA29</f>
        <v>45960</v>
      </c>
      <c r="O19" s="329" t="n">
        <f aca="false">+'DG M&amp;A-SPA_POSN'!W24+'DG M&amp;A-SPA_POSN'!R24</f>
        <v>69490800</v>
      </c>
      <c r="P19" s="318" t="n">
        <f aca="false">+R19</f>
        <v>0</v>
      </c>
      <c r="Q19" s="330"/>
      <c r="R19" s="318"/>
      <c r="S19" s="331"/>
      <c r="T19" s="332"/>
      <c r="U19" s="333"/>
      <c r="V19" s="318" t="n">
        <f aca="false">+'DG M&amp;A-SPA_POSN'!BM24</f>
        <v>32319200</v>
      </c>
      <c r="X19" s="334" t="n">
        <f aca="false">+J19+M19+P19+V19=G19*F19</f>
        <v>1</v>
      </c>
      <c r="Y19" s="323"/>
    </row>
    <row r="20" customFormat="false" ht="16.5" hidden="false" customHeight="true" outlineLevel="0" collapsed="false">
      <c r="B20" s="308"/>
      <c r="C20" s="308"/>
      <c r="D20" s="309" t="s">
        <v>202</v>
      </c>
      <c r="E20" s="324"/>
      <c r="F20" s="324" t="n">
        <v>400000</v>
      </c>
      <c r="G20" s="335" t="n">
        <f aca="false">+'DG M&amp;A-SPA_POSN'!D29</f>
        <v>249.92</v>
      </c>
      <c r="H20" s="326" t="n">
        <f aca="false">+F20*G20/1470</f>
        <v>68005.4421768708</v>
      </c>
      <c r="I20" s="318" t="n">
        <f aca="false">+J20+M20+P20</f>
        <v>89971200</v>
      </c>
      <c r="J20" s="318" t="n">
        <f aca="false">+'DG M&amp;A-SPA_POSN'!Q30</f>
        <v>69678000</v>
      </c>
      <c r="K20" s="314"/>
      <c r="L20" s="327"/>
      <c r="M20" s="315" t="n">
        <f aca="false">+O20</f>
        <v>20293200</v>
      </c>
      <c r="N20" s="328" t="n">
        <f aca="false">+'DG M&amp;A-SPA_POSN'!AA35</f>
        <v>45950</v>
      </c>
      <c r="O20" s="336" t="n">
        <f aca="false">+'DG M&amp;A-SPA_POSN'!W30+'DG M&amp;A-SPA_POSN'!R30</f>
        <v>20293200</v>
      </c>
      <c r="P20" s="318" t="n">
        <f aca="false">+R20</f>
        <v>0</v>
      </c>
      <c r="Q20" s="330"/>
      <c r="R20" s="318"/>
      <c r="S20" s="331"/>
      <c r="T20" s="332"/>
      <c r="U20" s="333"/>
      <c r="V20" s="318" t="n">
        <f aca="false">+'DG M&amp;A-SPA_POSN'!BM30</f>
        <v>9996800</v>
      </c>
      <c r="X20" s="334" t="n">
        <f aca="false">+J20+M20+P20+V20=G20*F20</f>
        <v>1</v>
      </c>
      <c r="Y20" s="323"/>
    </row>
    <row r="21" customFormat="false" ht="16.5" hidden="false" customHeight="true" outlineLevel="0" collapsed="false">
      <c r="B21" s="308"/>
      <c r="C21" s="308"/>
      <c r="D21" s="337" t="s">
        <v>109</v>
      </c>
      <c r="E21" s="337"/>
      <c r="F21" s="338"/>
      <c r="G21" s="339" t="n">
        <f aca="false">SUM(G17:G20)</f>
        <v>1543.54</v>
      </c>
      <c r="H21" s="340" t="n">
        <f aca="false">SUM(H17:H20)</f>
        <v>420010.884353742</v>
      </c>
      <c r="I21" s="341" t="n">
        <f aca="false">I22/1470</f>
        <v>378009.795918367</v>
      </c>
      <c r="J21" s="341" t="n">
        <f aca="false">J22/1470</f>
        <v>294000</v>
      </c>
      <c r="K21" s="314"/>
      <c r="L21" s="327"/>
      <c r="M21" s="342" t="n">
        <f aca="false">M22/1470</f>
        <v>84009.7959183674</v>
      </c>
      <c r="N21" s="343"/>
      <c r="O21" s="344" t="n">
        <f aca="false">O22/1470</f>
        <v>84009.7959183674</v>
      </c>
      <c r="P21" s="345" t="n">
        <f aca="false">P22/1470</f>
        <v>0</v>
      </c>
      <c r="Q21" s="346"/>
      <c r="R21" s="345" t="n">
        <f aca="false">R22/1470</f>
        <v>0</v>
      </c>
      <c r="S21" s="347"/>
      <c r="T21" s="345" t="n">
        <f aca="false">T22/1470</f>
        <v>0</v>
      </c>
      <c r="U21" s="348"/>
      <c r="V21" s="345" t="n">
        <f aca="false">V22/1470</f>
        <v>42001.0884353742</v>
      </c>
      <c r="X21" s="358"/>
      <c r="Y21" s="323"/>
    </row>
    <row r="22" customFormat="false" ht="16.5" hidden="false" customHeight="true" outlineLevel="0" collapsed="false">
      <c r="B22" s="308"/>
      <c r="C22" s="308"/>
      <c r="D22" s="337"/>
      <c r="E22" s="337"/>
      <c r="F22" s="350"/>
      <c r="G22" s="339"/>
      <c r="H22" s="340"/>
      <c r="I22" s="351" t="n">
        <f aca="false">+SUM(I17:I20)</f>
        <v>555674400</v>
      </c>
      <c r="J22" s="351" t="n">
        <f aca="false">+SUM(J17:J20)</f>
        <v>432180000</v>
      </c>
      <c r="K22" s="314"/>
      <c r="L22" s="359"/>
      <c r="M22" s="352" t="n">
        <f aca="false">+SUM(M17:M20)</f>
        <v>123494400</v>
      </c>
      <c r="N22" s="353"/>
      <c r="O22" s="354" t="n">
        <f aca="false">+SUM(O17:O20)</f>
        <v>123494400</v>
      </c>
      <c r="P22" s="351" t="n">
        <f aca="false">+SUM(P17:P20)</f>
        <v>0</v>
      </c>
      <c r="Q22" s="355"/>
      <c r="R22" s="351" t="n">
        <f aca="false">+SUM(R17:R20)</f>
        <v>0</v>
      </c>
      <c r="S22" s="356"/>
      <c r="T22" s="351" t="n">
        <f aca="false">+SUM(T17:T20)</f>
        <v>0</v>
      </c>
      <c r="U22" s="357"/>
      <c r="V22" s="351" t="n">
        <f aca="false">+SUM(V17:V20)</f>
        <v>61741600</v>
      </c>
      <c r="X22" s="360"/>
      <c r="Y22" s="323"/>
    </row>
    <row r="23" customFormat="false" ht="16.5" hidden="false" customHeight="true" outlineLevel="0" collapsed="false">
      <c r="B23" s="361" t="s">
        <v>109</v>
      </c>
      <c r="C23" s="361"/>
      <c r="D23" s="361"/>
      <c r="E23" s="361"/>
      <c r="F23" s="362"/>
      <c r="G23" s="363" t="n">
        <f aca="false">+G15</f>
        <v>1543.54</v>
      </c>
      <c r="H23" s="364" t="n">
        <f aca="false">+H15+H21</f>
        <v>1690543.80952381</v>
      </c>
      <c r="I23" s="270" t="n">
        <f aca="false">I24/1470</f>
        <v>1013276.2585034</v>
      </c>
      <c r="J23" s="270" t="n">
        <f aca="false">J24/1470</f>
        <v>294000</v>
      </c>
      <c r="K23" s="270" t="n">
        <f aca="false">K24/1470</f>
        <v>3489.84353741497</v>
      </c>
      <c r="L23" s="269" t="n">
        <f aca="false">L24/1470</f>
        <v>841509.913605442</v>
      </c>
      <c r="M23" s="365" t="n">
        <f aca="false">M24/1470</f>
        <v>719276.258503401</v>
      </c>
      <c r="N23" s="366"/>
      <c r="O23" s="367" t="n">
        <f aca="false">O24/1470</f>
        <v>719276.258503401</v>
      </c>
      <c r="P23" s="269" t="n">
        <f aca="false">P24/1470</f>
        <v>0</v>
      </c>
      <c r="Q23" s="368"/>
      <c r="R23" s="269" t="n">
        <f aca="false">R24/1470</f>
        <v>0</v>
      </c>
      <c r="S23" s="270"/>
      <c r="T23" s="269" t="n">
        <f aca="false">T24/1470</f>
        <v>0</v>
      </c>
      <c r="U23" s="270"/>
      <c r="V23" s="269" t="n">
        <f aca="false">V24/1470</f>
        <v>677267.551020408</v>
      </c>
      <c r="X23" s="369"/>
      <c r="Y23" s="323"/>
    </row>
    <row r="24" customFormat="false" ht="16.5" hidden="false" customHeight="true" outlineLevel="0" collapsed="false">
      <c r="B24" s="361"/>
      <c r="C24" s="361"/>
      <c r="D24" s="361"/>
      <c r="E24" s="361"/>
      <c r="F24" s="370"/>
      <c r="G24" s="363"/>
      <c r="H24" s="364"/>
      <c r="I24" s="271" t="n">
        <f aca="false">+I16+I22</f>
        <v>1489516100</v>
      </c>
      <c r="J24" s="271" t="n">
        <f aca="false">+J16+J22</f>
        <v>432180000</v>
      </c>
      <c r="K24" s="271" t="n">
        <v>5130070</v>
      </c>
      <c r="L24" s="371" t="n">
        <f aca="false">+D33+M22-K24</f>
        <v>1237019573</v>
      </c>
      <c r="M24" s="272" t="n">
        <f aca="false">+M16+M22</f>
        <v>1057336100</v>
      </c>
      <c r="N24" s="372"/>
      <c r="O24" s="373" t="n">
        <f aca="false">+O16+O22</f>
        <v>1057336100</v>
      </c>
      <c r="P24" s="271" t="n">
        <f aca="false">+P16</f>
        <v>0</v>
      </c>
      <c r="Q24" s="374"/>
      <c r="R24" s="271" t="n">
        <f aca="false">+R16</f>
        <v>0</v>
      </c>
      <c r="S24" s="271"/>
      <c r="T24" s="271" t="n">
        <f aca="false">+T16</f>
        <v>0</v>
      </c>
      <c r="U24" s="271"/>
      <c r="V24" s="271" t="n">
        <f aca="false">+V16+V22</f>
        <v>995583300</v>
      </c>
      <c r="X24" s="369"/>
      <c r="Y24" s="323"/>
    </row>
    <row r="25" s="257" customFormat="true" ht="16.5" hidden="false" customHeight="true" outlineLevel="0" collapsed="false">
      <c r="K25" s="323"/>
      <c r="L25" s="323"/>
      <c r="S25" s="150"/>
    </row>
    <row r="26" s="257" customFormat="true" ht="16.5" hidden="false" customHeight="true" outlineLevel="0" collapsed="false">
      <c r="B26" s="375" t="s">
        <v>214</v>
      </c>
      <c r="I26" s="323"/>
      <c r="J26" s="323"/>
      <c r="K26" s="375"/>
      <c r="L26" s="375"/>
      <c r="P26" s="376" t="n">
        <f aca="false">+G19</f>
        <v>807.98</v>
      </c>
      <c r="R26" s="150"/>
    </row>
    <row r="27" s="257" customFormat="true" ht="32.25" hidden="false" customHeight="true" outlineLevel="0" collapsed="false">
      <c r="B27" s="377" t="s">
        <v>111</v>
      </c>
      <c r="C27" s="377" t="s">
        <v>215</v>
      </c>
      <c r="D27" s="378" t="n">
        <v>45931</v>
      </c>
      <c r="E27" s="378"/>
      <c r="F27" s="378" t="n">
        <v>46022</v>
      </c>
      <c r="G27" s="378"/>
      <c r="H27" s="379" t="s">
        <v>216</v>
      </c>
      <c r="I27" s="379"/>
      <c r="K27" s="323" t="n">
        <v>818246865</v>
      </c>
      <c r="L27" s="323"/>
      <c r="M27" s="323"/>
      <c r="N27" s="294"/>
      <c r="P27" s="323"/>
      <c r="R27" s="323"/>
      <c r="T27" s="150"/>
      <c r="U27" s="323"/>
      <c r="W27" s="323"/>
      <c r="X27" s="323"/>
      <c r="Y27" s="323"/>
      <c r="Z27" s="323"/>
    </row>
    <row r="28" s="257" customFormat="true" ht="32.25" hidden="false" customHeight="true" outlineLevel="0" collapsed="false">
      <c r="B28" s="380" t="s">
        <v>112</v>
      </c>
      <c r="C28" s="381" t="n">
        <f aca="false">+H15*1470</f>
        <v>1867683400</v>
      </c>
      <c r="D28" s="381" t="n">
        <f aca="false">+C28*50%</f>
        <v>933841700</v>
      </c>
      <c r="E28" s="382" t="n">
        <f aca="false">+D28/1470</f>
        <v>635266.462585034</v>
      </c>
      <c r="F28" s="383" t="n">
        <f aca="false">+C28*50%</f>
        <v>933841700</v>
      </c>
      <c r="G28" s="384" t="n">
        <f aca="false">+F28/1470</f>
        <v>635266.462585034</v>
      </c>
      <c r="H28" s="385"/>
      <c r="I28" s="385"/>
      <c r="J28" s="309" t="n">
        <f aca="false">+G11/$G$15</f>
        <v>0.220791168353266</v>
      </c>
      <c r="K28" s="323" t="n">
        <f aca="false">+J28*$K$27</f>
        <v>180661681.324747</v>
      </c>
      <c r="L28" s="386" t="s">
        <v>217</v>
      </c>
      <c r="M28" s="387"/>
      <c r="N28" s="294"/>
      <c r="P28" s="323"/>
      <c r="T28" s="150"/>
      <c r="W28" s="323"/>
      <c r="X28" s="323"/>
      <c r="Y28" s="323"/>
      <c r="Z28" s="323"/>
    </row>
    <row r="29" s="257" customFormat="true" ht="32.25" hidden="false" customHeight="true" outlineLevel="0" collapsed="false">
      <c r="B29" s="388" t="s">
        <v>218</v>
      </c>
      <c r="C29" s="383" t="n">
        <v>-46492230</v>
      </c>
      <c r="D29" s="389" t="n">
        <f aca="false">+C29*100%</f>
        <v>-46492230</v>
      </c>
      <c r="E29" s="384" t="n">
        <f aca="false">+D29/1470</f>
        <v>-31627.3673469388</v>
      </c>
      <c r="F29" s="389"/>
      <c r="G29" s="384" t="n">
        <f aca="false">+F29/1470</f>
        <v>0</v>
      </c>
      <c r="H29" s="390" t="s">
        <v>219</v>
      </c>
      <c r="I29" s="390"/>
      <c r="J29" s="309" t="n">
        <f aca="false">+G12/$G$15</f>
        <v>0.093836246550138</v>
      </c>
      <c r="K29" s="323" t="n">
        <f aca="false">+J29*$K$27</f>
        <v>76781214.5630175</v>
      </c>
      <c r="L29" s="386" t="s">
        <v>220</v>
      </c>
      <c r="M29" s="387"/>
      <c r="P29" s="391"/>
      <c r="T29" s="150"/>
    </row>
    <row r="30" s="257" customFormat="true" ht="32.25" hidden="false" customHeight="true" outlineLevel="0" collapsed="false">
      <c r="B30" s="392" t="s">
        <v>221</v>
      </c>
      <c r="C30" s="381" t="n">
        <v>44000000</v>
      </c>
      <c r="D30" s="381" t="n">
        <f aca="false">+C30</f>
        <v>44000000</v>
      </c>
      <c r="E30" s="382" t="n">
        <f aca="false">+D30/1470</f>
        <v>29931.9727891156</v>
      </c>
      <c r="F30" s="383"/>
      <c r="G30" s="384" t="n">
        <f aca="false">+F30/1470</f>
        <v>0</v>
      </c>
      <c r="H30" s="393" t="s">
        <v>222</v>
      </c>
      <c r="I30" s="393"/>
      <c r="J30" s="309" t="n">
        <f aca="false">+G13/$G$15</f>
        <v>0.523459061637534</v>
      </c>
      <c r="K30" s="323" t="n">
        <f aca="false">+J30*$K$27</f>
        <v>428318736.140754</v>
      </c>
      <c r="L30" s="386" t="s">
        <v>223</v>
      </c>
      <c r="M30" s="386" t="s">
        <v>223</v>
      </c>
      <c r="T30" s="150"/>
    </row>
    <row r="31" s="257" customFormat="true" ht="32.25" hidden="false" customHeight="true" outlineLevel="0" collapsed="false">
      <c r="B31" s="388" t="s">
        <v>224</v>
      </c>
      <c r="C31" s="383" t="n">
        <v>182895773</v>
      </c>
      <c r="D31" s="383" t="n">
        <f aca="false">+C31</f>
        <v>182895773</v>
      </c>
      <c r="E31" s="384" t="n">
        <f aca="false">+D31/1470</f>
        <v>124418.893197279</v>
      </c>
      <c r="F31" s="383"/>
      <c r="G31" s="384" t="n">
        <f aca="false">+F31/1470</f>
        <v>0</v>
      </c>
      <c r="H31" s="394" t="s">
        <v>225</v>
      </c>
      <c r="I31" s="394"/>
      <c r="J31" s="309" t="n">
        <f aca="false">+G14/$G$15</f>
        <v>0.161913523459062</v>
      </c>
      <c r="K31" s="323" t="n">
        <f aca="false">+J31*$K$27</f>
        <v>132485232.971481</v>
      </c>
      <c r="L31" s="386" t="s">
        <v>226</v>
      </c>
      <c r="M31" s="395" t="s">
        <v>227</v>
      </c>
      <c r="T31" s="150"/>
    </row>
    <row r="32" s="257" customFormat="true" ht="32.25" hidden="false" customHeight="true" outlineLevel="0" collapsed="false">
      <c r="B32" s="392" t="s">
        <v>228</v>
      </c>
      <c r="C32" s="381" t="n">
        <v>4410000</v>
      </c>
      <c r="D32" s="381" t="n">
        <f aca="false">+C32</f>
        <v>4410000</v>
      </c>
      <c r="E32" s="382" t="n">
        <f aca="false">+D32/1470</f>
        <v>3000</v>
      </c>
      <c r="F32" s="383"/>
      <c r="G32" s="384" t="n">
        <f aca="false">+F32/1470</f>
        <v>0</v>
      </c>
      <c r="H32" s="393"/>
      <c r="I32" s="393"/>
      <c r="K32" s="323"/>
      <c r="L32" s="396" t="s">
        <v>229</v>
      </c>
      <c r="M32" s="375" t="s">
        <v>230</v>
      </c>
      <c r="T32" s="150"/>
    </row>
    <row r="33" s="257" customFormat="true" ht="32.25" hidden="false" customHeight="true" outlineLevel="0" collapsed="false">
      <c r="B33" s="308" t="s">
        <v>109</v>
      </c>
      <c r="C33" s="383" t="n">
        <f aca="false">+SUM(C28:C32)</f>
        <v>2052496943</v>
      </c>
      <c r="D33" s="397" t="n">
        <f aca="false">+SUM(D28:D32)</f>
        <v>1118655243</v>
      </c>
      <c r="E33" s="398" t="n">
        <f aca="false">+SUM(E28:E32)</f>
        <v>760989.96122449</v>
      </c>
      <c r="F33" s="397" t="n">
        <f aca="false">+SUM(F28:F32)</f>
        <v>933841700</v>
      </c>
      <c r="G33" s="398" t="n">
        <f aca="false">+SUM(G28:G32)</f>
        <v>635266.462585034</v>
      </c>
      <c r="H33" s="393"/>
      <c r="I33" s="393"/>
      <c r="K33" s="323"/>
      <c r="L33" s="323"/>
      <c r="O33" s="150"/>
      <c r="Q33" s="150"/>
      <c r="T33" s="150"/>
      <c r="V33" s="150"/>
    </row>
    <row r="34" s="257" customFormat="true" ht="16.5" hidden="false" customHeight="true" outlineLevel="0" collapsed="false">
      <c r="C34" s="294"/>
      <c r="D34" s="399" t="s">
        <v>109</v>
      </c>
      <c r="E34" s="398" t="n">
        <f aca="false">+E33+G33</f>
        <v>1396256.42380952</v>
      </c>
      <c r="F34" s="400" t="n">
        <f aca="false">1300464.9+124418.89+3000</f>
        <v>1427883.79</v>
      </c>
      <c r="G34" s="401" t="n">
        <f aca="false">1300464.9+124418.89</f>
        <v>1424883.79</v>
      </c>
      <c r="I34" s="402"/>
      <c r="M34" s="150"/>
      <c r="O34" s="150"/>
      <c r="R34" s="150"/>
      <c r="T34" s="150"/>
    </row>
    <row r="35" s="257" customFormat="true" ht="16.5" hidden="false" customHeight="true" outlineLevel="0" collapsed="false">
      <c r="B35" s="403"/>
      <c r="C35" s="404"/>
      <c r="D35" s="405"/>
      <c r="E35" s="406"/>
      <c r="F35" s="406"/>
      <c r="G35" s="406"/>
      <c r="H35" s="293"/>
      <c r="I35" s="407" t="e">
        <f aca="false">+F35/H35</f>
        <v>#DIV/0!</v>
      </c>
      <c r="J35" s="408"/>
      <c r="K35" s="408"/>
      <c r="L35" s="408"/>
      <c r="M35" s="150"/>
      <c r="O35" s="150"/>
      <c r="R35" s="150"/>
      <c r="T35" s="150"/>
    </row>
    <row r="36" s="257" customFormat="true" ht="15.65" hidden="false" customHeight="false" outlineLevel="0" collapsed="false">
      <c r="B36" s="409" t="s">
        <v>231</v>
      </c>
      <c r="C36" s="410"/>
      <c r="D36" s="410"/>
      <c r="E36" s="411" t="n">
        <f aca="false">+E37/F37</f>
        <v>0.731132486526545</v>
      </c>
      <c r="F36" s="412" t="n">
        <f aca="false">+E37+220000000</f>
        <v>818246865</v>
      </c>
      <c r="G36" s="413"/>
      <c r="H36" s="414"/>
      <c r="I36" s="415"/>
      <c r="J36" s="408"/>
      <c r="K36" s="408"/>
      <c r="L36" s="408"/>
      <c r="M36" s="150"/>
      <c r="O36" s="150"/>
      <c r="R36" s="150"/>
      <c r="T36" s="150"/>
    </row>
    <row r="37" s="257" customFormat="true" ht="16.5" hidden="false" customHeight="true" outlineLevel="0" collapsed="false">
      <c r="B37" s="416" t="n">
        <v>45975</v>
      </c>
      <c r="C37" s="417" t="s">
        <v>232</v>
      </c>
      <c r="E37" s="294" t="n">
        <v>598246865</v>
      </c>
      <c r="F37" s="404" t="n">
        <v>818246865</v>
      </c>
      <c r="G37" s="404"/>
      <c r="H37" s="404"/>
      <c r="I37" s="418"/>
      <c r="M37" s="150"/>
      <c r="O37" s="150"/>
      <c r="R37" s="150"/>
      <c r="T37" s="150"/>
    </row>
    <row r="38" s="257" customFormat="true" ht="16.5" hidden="true" customHeight="true" outlineLevel="0" collapsed="false">
      <c r="B38" s="375" t="s">
        <v>233</v>
      </c>
      <c r="C38" s="404"/>
      <c r="E38" s="405"/>
      <c r="F38" s="404"/>
      <c r="G38" s="419"/>
      <c r="H38" s="420"/>
      <c r="M38" s="150"/>
      <c r="O38" s="150"/>
      <c r="R38" s="150"/>
      <c r="T38" s="150"/>
    </row>
    <row r="39" s="257" customFormat="true" ht="16.5" hidden="true" customHeight="true" outlineLevel="0" collapsed="false">
      <c r="B39" s="421" t="s">
        <v>234</v>
      </c>
      <c r="C39" s="422"/>
      <c r="E39" s="422"/>
      <c r="F39" s="404"/>
      <c r="G39" s="419"/>
      <c r="H39" s="420"/>
      <c r="I39" s="294"/>
      <c r="M39" s="150"/>
      <c r="O39" s="150"/>
      <c r="R39" s="150"/>
      <c r="T39" s="150"/>
    </row>
    <row r="40" s="257" customFormat="true" ht="16.5" hidden="true" customHeight="true" outlineLevel="0" collapsed="false">
      <c r="B40" s="423" t="s">
        <v>235</v>
      </c>
      <c r="C40" s="424"/>
      <c r="E40" s="425"/>
      <c r="F40" s="404"/>
      <c r="G40" s="419"/>
      <c r="H40" s="420"/>
      <c r="I40" s="294"/>
      <c r="M40" s="150"/>
      <c r="O40" s="150"/>
      <c r="R40" s="150"/>
      <c r="T40" s="150"/>
    </row>
    <row r="41" s="150" customFormat="true" ht="16.5" hidden="true" customHeight="true" outlineLevel="0" collapsed="false">
      <c r="B41" s="423" t="s">
        <v>236</v>
      </c>
      <c r="C41" s="426"/>
      <c r="E41" s="425"/>
      <c r="F41" s="404"/>
      <c r="G41" s="420"/>
      <c r="H41" s="420"/>
      <c r="I41" s="294"/>
      <c r="J41" s="257"/>
      <c r="K41" s="257"/>
      <c r="L41" s="257"/>
      <c r="N41" s="257"/>
      <c r="P41" s="257"/>
      <c r="Q41" s="257"/>
      <c r="S41" s="257"/>
      <c r="U41" s="257"/>
      <c r="V41" s="257"/>
      <c r="W41" s="257"/>
      <c r="X41" s="257"/>
      <c r="Y41" s="257"/>
      <c r="Z41" s="257"/>
    </row>
    <row r="42" s="150" customFormat="true" ht="16.5" hidden="true" customHeight="true" outlineLevel="0" collapsed="false">
      <c r="B42" s="423" t="s">
        <v>237</v>
      </c>
      <c r="C42" s="426"/>
      <c r="E42" s="425"/>
      <c r="F42" s="404"/>
      <c r="G42" s="420"/>
      <c r="H42" s="420"/>
      <c r="I42" s="257"/>
      <c r="J42" s="257"/>
      <c r="K42" s="257"/>
      <c r="L42" s="257"/>
      <c r="N42" s="257"/>
      <c r="P42" s="257"/>
      <c r="Q42" s="257"/>
      <c r="S42" s="257"/>
      <c r="U42" s="257"/>
      <c r="V42" s="257"/>
      <c r="W42" s="257"/>
      <c r="X42" s="257"/>
      <c r="Y42" s="257"/>
      <c r="Z42" s="257"/>
    </row>
    <row r="43" s="150" customFormat="true" ht="16.5" hidden="true" customHeight="true" outlineLevel="0" collapsed="false">
      <c r="B43" s="423" t="s">
        <v>58</v>
      </c>
      <c r="C43" s="426"/>
      <c r="E43" s="425"/>
      <c r="F43" s="404"/>
      <c r="G43" s="420"/>
      <c r="H43" s="420"/>
      <c r="I43" s="257"/>
      <c r="J43" s="257"/>
      <c r="K43" s="257"/>
      <c r="L43" s="257"/>
      <c r="N43" s="257"/>
      <c r="P43" s="257"/>
      <c r="Q43" s="257"/>
      <c r="S43" s="257"/>
      <c r="U43" s="257"/>
      <c r="V43" s="257"/>
      <c r="W43" s="257"/>
      <c r="X43" s="257"/>
      <c r="Y43" s="257"/>
      <c r="Z43" s="257"/>
    </row>
    <row r="44" s="150" customFormat="true" ht="16.5" hidden="true" customHeight="true" outlineLevel="0" collapsed="false">
      <c r="B44" s="423" t="s">
        <v>238</v>
      </c>
      <c r="C44" s="427"/>
      <c r="E44" s="428"/>
      <c r="F44" s="404"/>
      <c r="G44" s="420"/>
      <c r="H44" s="420"/>
      <c r="I44" s="257"/>
      <c r="J44" s="257"/>
      <c r="K44" s="257"/>
      <c r="L44" s="257"/>
      <c r="N44" s="257"/>
      <c r="P44" s="257"/>
      <c r="Q44" s="257"/>
      <c r="S44" s="257"/>
      <c r="U44" s="257"/>
      <c r="V44" s="257"/>
      <c r="W44" s="257"/>
      <c r="X44" s="257"/>
      <c r="Y44" s="257"/>
      <c r="Z44" s="257"/>
    </row>
    <row r="45" s="150" customFormat="true" ht="16.5" hidden="true" customHeight="true" outlineLevel="0" collapsed="false">
      <c r="C45" s="419"/>
      <c r="E45" s="429"/>
      <c r="F45" s="419"/>
      <c r="G45" s="420"/>
      <c r="H45" s="420"/>
      <c r="I45" s="257"/>
      <c r="J45" s="257"/>
      <c r="K45" s="257"/>
      <c r="L45" s="257"/>
      <c r="N45" s="257"/>
      <c r="P45" s="257"/>
      <c r="Q45" s="257"/>
      <c r="S45" s="257"/>
      <c r="U45" s="257"/>
      <c r="V45" s="257"/>
      <c r="W45" s="257"/>
      <c r="X45" s="257"/>
      <c r="Y45" s="257"/>
      <c r="Z45" s="257"/>
    </row>
    <row r="46" s="150" customFormat="true" ht="16.5" hidden="true" customHeight="true" outlineLevel="0" collapsed="false">
      <c r="B46" s="430" t="s">
        <v>239</v>
      </c>
      <c r="C46" s="422"/>
      <c r="E46" s="422"/>
      <c r="F46" s="419"/>
      <c r="G46" s="420"/>
      <c r="H46" s="420"/>
      <c r="I46" s="257"/>
      <c r="J46" s="257"/>
      <c r="K46" s="257"/>
      <c r="L46" s="257"/>
      <c r="N46" s="257"/>
      <c r="P46" s="257"/>
      <c r="Q46" s="257"/>
      <c r="S46" s="257"/>
      <c r="U46" s="257"/>
      <c r="V46" s="257"/>
      <c r="W46" s="257"/>
      <c r="X46" s="257"/>
      <c r="Y46" s="257"/>
      <c r="Z46" s="257"/>
    </row>
    <row r="47" s="257" customFormat="true" ht="13.4" hidden="true" customHeight="false" outlineLevel="0" collapsed="false">
      <c r="B47" s="423" t="s">
        <v>237</v>
      </c>
      <c r="C47" s="424"/>
      <c r="E47" s="425"/>
      <c r="F47" s="419"/>
      <c r="G47" s="420"/>
      <c r="H47" s="420"/>
      <c r="M47" s="150"/>
      <c r="O47" s="150"/>
      <c r="R47" s="150"/>
      <c r="T47" s="150"/>
    </row>
    <row r="48" s="257" customFormat="true" ht="12.75" hidden="true" customHeight="false" outlineLevel="0" collapsed="false">
      <c r="B48" s="423" t="s">
        <v>240</v>
      </c>
      <c r="C48" s="424"/>
      <c r="E48" s="425"/>
      <c r="F48" s="419"/>
      <c r="G48" s="420"/>
      <c r="H48" s="420"/>
      <c r="M48" s="150"/>
      <c r="O48" s="150"/>
      <c r="R48" s="150"/>
      <c r="T48" s="150"/>
    </row>
    <row r="49" s="257" customFormat="true" ht="12.75" hidden="true" customHeight="false" outlineLevel="0" collapsed="false">
      <c r="B49" s="423" t="s">
        <v>58</v>
      </c>
      <c r="C49" s="427"/>
      <c r="E49" s="425"/>
      <c r="F49" s="419"/>
      <c r="G49" s="420"/>
      <c r="H49" s="420"/>
      <c r="M49" s="150"/>
      <c r="O49" s="150"/>
      <c r="R49" s="150"/>
      <c r="T49" s="150"/>
    </row>
    <row r="50" s="257" customFormat="true" ht="12.75" hidden="true" customHeight="false" outlineLevel="0" collapsed="false">
      <c r="C50" s="419"/>
      <c r="E50" s="419"/>
      <c r="F50" s="419"/>
      <c r="G50" s="420"/>
      <c r="H50" s="420"/>
      <c r="M50" s="150"/>
      <c r="O50" s="150"/>
      <c r="R50" s="150"/>
      <c r="T50" s="150"/>
    </row>
    <row r="51" s="257" customFormat="true" ht="14.9" hidden="true" customHeight="false" outlineLevel="0" collapsed="false">
      <c r="B51" s="430" t="s">
        <v>241</v>
      </c>
      <c r="C51" s="422"/>
      <c r="E51" s="422"/>
      <c r="F51" s="419"/>
      <c r="G51" s="420"/>
      <c r="H51" s="420"/>
      <c r="M51" s="150"/>
      <c r="O51" s="150"/>
      <c r="R51" s="150"/>
      <c r="T51" s="150"/>
    </row>
    <row r="52" s="257" customFormat="true" ht="12.75" hidden="true" customHeight="false" outlineLevel="0" collapsed="false">
      <c r="B52" s="423" t="s">
        <v>242</v>
      </c>
      <c r="C52" s="424"/>
      <c r="E52" s="425"/>
      <c r="F52" s="419"/>
      <c r="G52" s="420"/>
      <c r="H52" s="420"/>
      <c r="M52" s="150"/>
      <c r="O52" s="150"/>
      <c r="R52" s="150"/>
      <c r="T52" s="150"/>
    </row>
    <row r="53" s="257" customFormat="true" ht="12.75" hidden="true" customHeight="false" outlineLevel="0" collapsed="false">
      <c r="B53" s="423" t="s">
        <v>243</v>
      </c>
      <c r="C53" s="424"/>
      <c r="E53" s="425"/>
      <c r="F53" s="419"/>
      <c r="G53" s="420"/>
      <c r="H53" s="420"/>
      <c r="M53" s="150"/>
      <c r="O53" s="150"/>
      <c r="R53" s="150"/>
      <c r="T53" s="150"/>
    </row>
    <row r="54" s="257" customFormat="true" ht="12.75" hidden="true" customHeight="false" outlineLevel="0" collapsed="false">
      <c r="B54" s="423" t="s">
        <v>58</v>
      </c>
      <c r="C54" s="427"/>
      <c r="E54" s="425"/>
      <c r="F54" s="419"/>
      <c r="G54" s="420"/>
      <c r="H54" s="420"/>
      <c r="M54" s="150"/>
      <c r="O54" s="150"/>
      <c r="R54" s="150"/>
      <c r="T54" s="150"/>
    </row>
    <row r="55" s="257" customFormat="true" ht="12.75" hidden="true" customHeight="false" outlineLevel="0" collapsed="false">
      <c r="C55" s="419"/>
      <c r="E55" s="419"/>
      <c r="F55" s="419"/>
      <c r="G55" s="420"/>
      <c r="H55" s="420"/>
      <c r="M55" s="150"/>
      <c r="O55" s="150"/>
      <c r="R55" s="150"/>
      <c r="T55" s="150"/>
    </row>
    <row r="56" s="257" customFormat="true" ht="12.75" hidden="true" customHeight="false" outlineLevel="0" collapsed="false">
      <c r="C56" s="431"/>
      <c r="E56" s="419"/>
      <c r="F56" s="419"/>
      <c r="G56" s="420"/>
      <c r="H56" s="420"/>
      <c r="M56" s="150"/>
      <c r="O56" s="150"/>
      <c r="R56" s="150"/>
      <c r="T56" s="150"/>
    </row>
    <row r="57" s="257" customFormat="true" ht="12.75" hidden="true" customHeight="false" outlineLevel="0" collapsed="false">
      <c r="C57" s="419"/>
      <c r="E57" s="419"/>
      <c r="F57" s="419"/>
      <c r="G57" s="420"/>
      <c r="H57" s="420"/>
      <c r="M57" s="150"/>
      <c r="O57" s="150"/>
      <c r="R57" s="150"/>
      <c r="T57" s="150"/>
    </row>
    <row r="58" s="257" customFormat="true" ht="12.75" hidden="true" customHeight="false" outlineLevel="0" collapsed="false">
      <c r="C58" s="429"/>
      <c r="E58" s="419"/>
      <c r="F58" s="419"/>
      <c r="G58" s="420"/>
      <c r="H58" s="420"/>
      <c r="M58" s="150"/>
      <c r="O58" s="150"/>
      <c r="R58" s="150"/>
      <c r="T58" s="150"/>
    </row>
    <row r="59" s="257" customFormat="true" ht="12.75" hidden="true" customHeight="false" outlineLevel="0" collapsed="false">
      <c r="C59" s="429"/>
      <c r="E59" s="419"/>
      <c r="F59" s="419"/>
      <c r="G59" s="420"/>
      <c r="H59" s="420"/>
      <c r="M59" s="150"/>
      <c r="O59" s="150"/>
      <c r="R59" s="150"/>
      <c r="T59" s="150"/>
    </row>
    <row r="60" s="257" customFormat="true" ht="12.75" hidden="true" customHeight="false" outlineLevel="0" collapsed="false">
      <c r="C60" s="419"/>
      <c r="E60" s="419"/>
      <c r="F60" s="419"/>
      <c r="G60" s="420"/>
      <c r="H60" s="420"/>
      <c r="M60" s="150"/>
      <c r="O60" s="150"/>
      <c r="R60" s="150"/>
      <c r="T60" s="150"/>
    </row>
    <row r="61" s="257" customFormat="true" ht="14.9" hidden="false" customHeight="false" outlineLevel="0" collapsed="false">
      <c r="C61" s="432" t="s">
        <v>244</v>
      </c>
      <c r="E61" s="404" t="n">
        <v>8382528</v>
      </c>
      <c r="F61" s="419"/>
      <c r="G61" s="420"/>
      <c r="H61" s="420"/>
      <c r="M61" s="150"/>
      <c r="O61" s="150"/>
      <c r="R61" s="150"/>
      <c r="T61" s="150"/>
    </row>
    <row r="62" s="257" customFormat="true" ht="12.75" hidden="false" customHeight="false" outlineLevel="0" collapsed="false">
      <c r="C62" s="431" t="s">
        <v>245</v>
      </c>
      <c r="D62" s="432" t="s">
        <v>246</v>
      </c>
      <c r="E62" s="404" t="n">
        <f aca="false">+E66</f>
        <v>40344480</v>
      </c>
      <c r="F62" s="420"/>
      <c r="G62" s="420"/>
      <c r="M62" s="150"/>
      <c r="O62" s="150"/>
      <c r="R62" s="150"/>
      <c r="T62" s="150"/>
    </row>
    <row r="63" s="257" customFormat="true" ht="12.75" hidden="false" customHeight="false" outlineLevel="0" collapsed="false">
      <c r="C63" s="419" t="str">
        <f aca="false">+C62</f>
        <v>잔여 선납임차료</v>
      </c>
      <c r="D63" s="432" t="s">
        <v>247</v>
      </c>
      <c r="E63" s="404" t="n">
        <f aca="false">+E68</f>
        <v>96502725</v>
      </c>
      <c r="F63" s="420"/>
      <c r="G63" s="420"/>
      <c r="M63" s="150"/>
      <c r="O63" s="150"/>
      <c r="R63" s="150"/>
      <c r="T63" s="150"/>
    </row>
    <row r="64" s="257" customFormat="true" ht="12.75" hidden="false" customHeight="false" outlineLevel="0" collapsed="false">
      <c r="C64" s="419"/>
      <c r="D64" s="419"/>
      <c r="E64" s="419"/>
      <c r="F64" s="420"/>
      <c r="G64" s="420"/>
      <c r="M64" s="150"/>
      <c r="O64" s="150"/>
      <c r="R64" s="150"/>
      <c r="T64" s="150"/>
    </row>
    <row r="65" s="257" customFormat="true" ht="12.75" hidden="false" customHeight="false" outlineLevel="0" collapsed="false">
      <c r="C65" s="419"/>
      <c r="D65" s="406"/>
      <c r="E65" s="404"/>
      <c r="F65" s="420"/>
      <c r="G65" s="420"/>
      <c r="M65" s="150"/>
      <c r="O65" s="150"/>
      <c r="R65" s="150"/>
      <c r="T65" s="150"/>
    </row>
    <row r="66" s="257" customFormat="true" ht="12.75" hidden="false" customHeight="false" outlineLevel="0" collapsed="false">
      <c r="C66" s="419"/>
      <c r="D66" s="432" t="s">
        <v>246</v>
      </c>
      <c r="E66" s="404" t="n">
        <v>40344480</v>
      </c>
      <c r="F66" s="420"/>
      <c r="G66" s="420"/>
      <c r="M66" s="150"/>
      <c r="O66" s="150"/>
      <c r="R66" s="150"/>
      <c r="T66" s="150"/>
    </row>
    <row r="67" s="257" customFormat="true" ht="12.75" hidden="false" customHeight="false" outlineLevel="0" collapsed="false">
      <c r="C67" s="419"/>
      <c r="D67" s="432" t="s">
        <v>248</v>
      </c>
      <c r="E67" s="404" t="n">
        <v>552420</v>
      </c>
      <c r="F67" s="420"/>
      <c r="G67" s="420"/>
      <c r="M67" s="150"/>
      <c r="O67" s="150"/>
      <c r="R67" s="150"/>
      <c r="T67" s="150"/>
    </row>
    <row r="68" s="257" customFormat="true" ht="12.75" hidden="false" customHeight="false" outlineLevel="0" collapsed="false">
      <c r="C68" s="419"/>
      <c r="D68" s="432" t="s">
        <v>247</v>
      </c>
      <c r="E68" s="404" t="n">
        <v>96502725</v>
      </c>
      <c r="F68" s="420"/>
      <c r="G68" s="420"/>
      <c r="M68" s="150"/>
      <c r="O68" s="150"/>
      <c r="R68" s="150"/>
      <c r="T68" s="150"/>
    </row>
    <row r="69" s="257" customFormat="true" ht="12.75" hidden="false" customHeight="false" outlineLevel="0" collapsed="false">
      <c r="C69" s="419"/>
      <c r="D69" s="432" t="s">
        <v>249</v>
      </c>
      <c r="E69" s="404" t="n">
        <v>37113120</v>
      </c>
      <c r="F69" s="420"/>
      <c r="G69" s="420"/>
      <c r="M69" s="150"/>
      <c r="O69" s="150"/>
      <c r="R69" s="150"/>
      <c r="T69" s="150"/>
    </row>
    <row r="70" s="257" customFormat="true" ht="12.75" hidden="false" customHeight="false" outlineLevel="0" collapsed="false">
      <c r="C70" s="419"/>
      <c r="D70" s="419"/>
      <c r="E70" s="404" t="n">
        <f aca="false">SUM(E66:E69)</f>
        <v>174512745</v>
      </c>
      <c r="F70" s="420"/>
      <c r="G70" s="420"/>
      <c r="M70" s="150"/>
      <c r="O70" s="150"/>
      <c r="R70" s="150"/>
      <c r="T70" s="150"/>
    </row>
    <row r="71" s="257" customFormat="true" ht="12.75" hidden="false" customHeight="false" outlineLevel="0" collapsed="false">
      <c r="C71" s="419"/>
      <c r="D71" s="419"/>
      <c r="E71" s="429" t="n">
        <f aca="false">+E70+E61</f>
        <v>182895273</v>
      </c>
      <c r="F71" s="418" t="n">
        <f aca="false">+E71-C31</f>
        <v>-500</v>
      </c>
      <c r="G71" s="420"/>
      <c r="M71" s="150"/>
      <c r="O71" s="150"/>
      <c r="R71" s="150"/>
      <c r="T71" s="150"/>
    </row>
    <row r="72" s="257" customFormat="true" ht="12.75" hidden="false" customHeight="false" outlineLevel="0" collapsed="false">
      <c r="F72" s="150"/>
      <c r="G72" s="150"/>
      <c r="M72" s="150"/>
      <c r="O72" s="150"/>
      <c r="R72" s="150"/>
      <c r="T72" s="150"/>
    </row>
    <row r="73" s="257" customFormat="true" ht="12.75" hidden="false" customHeight="false" outlineLevel="0" collapsed="false">
      <c r="F73" s="150"/>
      <c r="G73" s="150"/>
      <c r="M73" s="150"/>
      <c r="O73" s="150"/>
      <c r="R73" s="150"/>
      <c r="T73" s="150"/>
    </row>
    <row r="74" s="257" customFormat="true" ht="12.75" hidden="false" customHeight="false" outlineLevel="0" collapsed="false">
      <c r="E74" s="323" t="n">
        <f aca="false">+E62-30080160</f>
        <v>10264320</v>
      </c>
      <c r="F74" s="150"/>
      <c r="G74" s="150"/>
      <c r="M74" s="150"/>
      <c r="O74" s="150"/>
      <c r="R74" s="150"/>
      <c r="T74" s="150"/>
    </row>
    <row r="75" s="257" customFormat="true" ht="12.75" hidden="false" customHeight="false" outlineLevel="0" collapsed="false">
      <c r="E75" s="257" t="n">
        <f aca="false">+E74*2</f>
        <v>20528640</v>
      </c>
      <c r="F75" s="150"/>
      <c r="G75" s="150"/>
      <c r="M75" s="150"/>
      <c r="O75" s="150"/>
      <c r="R75" s="150"/>
      <c r="T75" s="150"/>
    </row>
    <row r="76" s="257" customFormat="true" ht="12.75" hidden="false" customHeight="false" outlineLevel="0" collapsed="false">
      <c r="E76" s="257" t="n">
        <v>10264320</v>
      </c>
      <c r="F76" s="150"/>
      <c r="G76" s="150"/>
      <c r="M76" s="150"/>
      <c r="O76" s="150"/>
      <c r="R76" s="150"/>
      <c r="T76" s="150"/>
    </row>
    <row r="77" s="257" customFormat="true" ht="12.75" hidden="false" customHeight="false" outlineLevel="0" collapsed="false">
      <c r="E77" s="257" t="n">
        <v>20956320</v>
      </c>
      <c r="F77" s="150"/>
      <c r="G77" s="150"/>
      <c r="M77" s="150"/>
      <c r="O77" s="150"/>
      <c r="R77" s="150"/>
      <c r="T77" s="150"/>
    </row>
    <row r="78" s="257" customFormat="true" ht="12.75" hidden="false" customHeight="false" outlineLevel="0" collapsed="false">
      <c r="E78" s="257" t="n">
        <v>23482305</v>
      </c>
      <c r="F78" s="150"/>
      <c r="G78" s="150"/>
      <c r="M78" s="150"/>
      <c r="O78" s="150"/>
      <c r="R78" s="150"/>
      <c r="T78" s="150"/>
    </row>
    <row r="79" s="257" customFormat="true" ht="12.75" hidden="false" customHeight="false" outlineLevel="0" collapsed="false">
      <c r="E79" s="294" t="n">
        <f aca="false">SUM(E76:E78)</f>
        <v>54702945</v>
      </c>
      <c r="F79" s="150"/>
      <c r="G79" s="150"/>
      <c r="M79" s="150"/>
      <c r="O79" s="150"/>
      <c r="R79" s="150"/>
      <c r="T79" s="150"/>
    </row>
    <row r="80" s="257" customFormat="true" ht="12.75" hidden="false" customHeight="false" outlineLevel="0" collapsed="false">
      <c r="F80" s="150"/>
      <c r="G80" s="150"/>
      <c r="M80" s="150"/>
      <c r="O80" s="150"/>
      <c r="R80" s="150"/>
      <c r="T80" s="150"/>
    </row>
    <row r="81" s="257" customFormat="true" ht="12.75" hidden="false" customHeight="false" outlineLevel="0" collapsed="false">
      <c r="F81" s="150"/>
      <c r="G81" s="150"/>
      <c r="M81" s="150"/>
      <c r="O81" s="150"/>
      <c r="R81" s="150"/>
      <c r="T81" s="150"/>
    </row>
    <row r="82" s="257" customFormat="true" ht="12.75" hidden="false" customHeight="false" outlineLevel="0" collapsed="false">
      <c r="F82" s="150"/>
      <c r="G82" s="150"/>
      <c r="M82" s="150"/>
      <c r="O82" s="150"/>
      <c r="R82" s="150"/>
      <c r="T82" s="150"/>
    </row>
    <row r="83" s="257" customFormat="true" ht="12.75" hidden="false" customHeight="false" outlineLevel="0" collapsed="false">
      <c r="F83" s="150"/>
      <c r="G83" s="150"/>
      <c r="M83" s="150"/>
      <c r="O83" s="150"/>
      <c r="R83" s="150"/>
      <c r="T83" s="150"/>
    </row>
    <row r="84" s="257" customFormat="true" ht="12.75" hidden="false" customHeight="false" outlineLevel="0" collapsed="false">
      <c r="F84" s="150"/>
      <c r="G84" s="150"/>
      <c r="M84" s="150"/>
      <c r="O84" s="150"/>
      <c r="R84" s="150"/>
      <c r="T84" s="150"/>
    </row>
    <row r="85" s="257" customFormat="true" ht="12.75" hidden="false" customHeight="false" outlineLevel="0" collapsed="false">
      <c r="F85" s="150"/>
      <c r="G85" s="150"/>
      <c r="M85" s="150"/>
      <c r="O85" s="150"/>
      <c r="R85" s="150"/>
      <c r="T85" s="150"/>
    </row>
    <row r="86" s="257" customFormat="true" ht="12.75" hidden="false" customHeight="false" outlineLevel="0" collapsed="false">
      <c r="F86" s="150"/>
      <c r="G86" s="150"/>
      <c r="M86" s="150"/>
      <c r="O86" s="150"/>
      <c r="R86" s="150"/>
      <c r="T86" s="150"/>
    </row>
  </sheetData>
  <mergeCells count="41">
    <mergeCell ref="B9:B10"/>
    <mergeCell ref="C9:C10"/>
    <mergeCell ref="D9:D10"/>
    <mergeCell ref="E9:E10"/>
    <mergeCell ref="F9:F10"/>
    <mergeCell ref="G9:G10"/>
    <mergeCell ref="H9:H10"/>
    <mergeCell ref="I9:I10"/>
    <mergeCell ref="J9:J10"/>
    <mergeCell ref="K9:K10"/>
    <mergeCell ref="L9:L10"/>
    <mergeCell ref="M9:M10"/>
    <mergeCell ref="N9:O9"/>
    <mergeCell ref="P9:P10"/>
    <mergeCell ref="Q9:R9"/>
    <mergeCell ref="S9:T9"/>
    <mergeCell ref="U9:V10"/>
    <mergeCell ref="X9:X10"/>
    <mergeCell ref="B11:B22"/>
    <mergeCell ref="C11:C16"/>
    <mergeCell ref="K11:K16"/>
    <mergeCell ref="D15:E16"/>
    <mergeCell ref="G15:G16"/>
    <mergeCell ref="H15:H16"/>
    <mergeCell ref="C17:C22"/>
    <mergeCell ref="K17:K22"/>
    <mergeCell ref="D21:E22"/>
    <mergeCell ref="G21:G22"/>
    <mergeCell ref="H21:H22"/>
    <mergeCell ref="B23:E24"/>
    <mergeCell ref="G23:G24"/>
    <mergeCell ref="H23:H24"/>
    <mergeCell ref="D27:E27"/>
    <mergeCell ref="F27:G27"/>
    <mergeCell ref="H27:I27"/>
    <mergeCell ref="H28:I28"/>
    <mergeCell ref="H29:I29"/>
    <mergeCell ref="H30:I30"/>
    <mergeCell ref="H31:I31"/>
    <mergeCell ref="H32:I32"/>
    <mergeCell ref="H33:I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B2:W6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10" topLeftCell="G11" activePane="bottomRight" state="frozen"/>
      <selection pane="topLeft" activeCell="A1" activeCellId="0" sqref="A1"/>
      <selection pane="topRight" activeCell="G1" activeCellId="0" sqref="G1"/>
      <selection pane="bottomLeft" activeCell="A11" activeCellId="0" sqref="A11"/>
      <selection pane="bottomRight" activeCell="K17" activeCellId="0" sqref="K17"/>
    </sheetView>
  </sheetViews>
  <sheetFormatPr defaultColWidth="8" defaultRowHeight="12.75" zeroHeight="false" outlineLevelRow="0" outlineLevelCol="0"/>
  <cols>
    <col collapsed="false" customWidth="true" hidden="false" outlineLevel="0" max="1" min="1" style="257" width="1.5"/>
    <col collapsed="false" customWidth="true" hidden="false" outlineLevel="0" max="3" min="2" style="257" width="11"/>
    <col collapsed="false" customWidth="true" hidden="false" outlineLevel="0" max="4" min="4" style="257" width="22.5"/>
    <col collapsed="false" customWidth="true" hidden="false" outlineLevel="0" max="5" min="5" style="257" width="12.25"/>
    <col collapsed="false" customWidth="true" hidden="false" outlineLevel="0" max="7" min="6" style="150" width="13"/>
    <col collapsed="false" customWidth="true" hidden="false" outlineLevel="0" max="10" min="8" style="257" width="12.75"/>
    <col collapsed="false" customWidth="true" hidden="false" outlineLevel="0" max="11" min="11" style="257" width="19.25"/>
    <col collapsed="false" customWidth="true" hidden="false" outlineLevel="0" max="12" min="12" style="150" width="7.88"/>
    <col collapsed="false" customWidth="true" hidden="false" outlineLevel="0" max="13" min="13" style="257" width="14.88"/>
    <col collapsed="false" customWidth="true" hidden="false" outlineLevel="0" max="14" min="14" style="150" width="7.88"/>
    <col collapsed="false" customWidth="true" hidden="false" outlineLevel="0" max="15" min="15" style="257" width="14.88"/>
    <col collapsed="false" customWidth="true" hidden="false" outlineLevel="0" max="16" min="16" style="257" width="18.75"/>
    <col collapsed="false" customWidth="true" hidden="false" outlineLevel="0" max="17" min="17" style="150" width="7.88"/>
    <col collapsed="false" customWidth="true" hidden="false" outlineLevel="0" max="18" min="18" style="257" width="14.88"/>
    <col collapsed="false" customWidth="true" hidden="false" outlineLevel="0" max="19" min="19" style="150" width="5.75"/>
    <col collapsed="false" customWidth="true" hidden="false" outlineLevel="0" max="20" min="20" style="257" width="14.88"/>
    <col collapsed="false" customWidth="true" hidden="false" outlineLevel="0" max="21" min="21" style="257" width="1.5"/>
    <col collapsed="false" customWidth="true" hidden="false" outlineLevel="0" max="22" min="22" style="257" width="10.25"/>
    <col collapsed="false" customWidth="true" hidden="false" outlineLevel="0" max="23" min="23" style="257" width="11.62"/>
    <col collapsed="false" customWidth="true" hidden="false" outlineLevel="0" max="24" min="24" style="257" width="9.37"/>
    <col collapsed="false" customWidth="false" hidden="false" outlineLevel="0" max="16384" min="25" style="257" width="8"/>
  </cols>
  <sheetData>
    <row r="2" customFormat="false" ht="12.75" hidden="false" customHeight="false" outlineLevel="0" collapsed="false">
      <c r="B2" s="149" t="s">
        <v>140</v>
      </c>
      <c r="C2" s="149"/>
      <c r="D2" s="149" t="s">
        <v>103</v>
      </c>
      <c r="E2" s="149"/>
    </row>
    <row r="3" customFormat="false" ht="14.9" hidden="false" customHeight="false" outlineLevel="0" collapsed="false">
      <c r="B3" s="151" t="s">
        <v>141</v>
      </c>
      <c r="C3" s="149"/>
      <c r="D3" s="149" t="s">
        <v>142</v>
      </c>
      <c r="E3" s="149"/>
    </row>
    <row r="4" customFormat="false" ht="14.9" hidden="false" customHeight="false" outlineLevel="0" collapsed="false">
      <c r="B4" s="151" t="s">
        <v>143</v>
      </c>
      <c r="C4" s="149"/>
      <c r="D4" s="149" t="s">
        <v>144</v>
      </c>
      <c r="E4" s="149"/>
    </row>
    <row r="5" customFormat="false" ht="12.75" hidden="false" customHeight="false" outlineLevel="0" collapsed="false">
      <c r="B5" s="149" t="s">
        <v>145</v>
      </c>
      <c r="C5" s="149"/>
      <c r="D5" s="149" t="s">
        <v>146</v>
      </c>
      <c r="E5" s="149"/>
    </row>
    <row r="6" customFormat="false" ht="14.9" hidden="false" customHeight="false" outlineLevel="0" collapsed="false">
      <c r="B6" s="151" t="s">
        <v>147</v>
      </c>
      <c r="C6" s="149"/>
      <c r="D6" s="149" t="s">
        <v>148</v>
      </c>
      <c r="E6" s="149"/>
    </row>
    <row r="7" customFormat="false" ht="14.9" hidden="false" customHeight="false" outlineLevel="0" collapsed="false">
      <c r="B7" s="151" t="s">
        <v>149</v>
      </c>
      <c r="C7" s="149"/>
      <c r="D7" s="149" t="s">
        <v>250</v>
      </c>
      <c r="E7" s="149"/>
    </row>
    <row r="8" customFormat="false" ht="12.75" hidden="false" customHeight="false" outlineLevel="0" collapsed="false">
      <c r="T8" s="296" t="s">
        <v>210</v>
      </c>
    </row>
    <row r="9" customFormat="false" ht="27" hidden="false" customHeight="true" outlineLevel="0" collapsed="false">
      <c r="B9" s="297" t="s">
        <v>96</v>
      </c>
      <c r="C9" s="298" t="s">
        <v>211</v>
      </c>
      <c r="D9" s="298" t="s">
        <v>122</v>
      </c>
      <c r="E9" s="297" t="s">
        <v>152</v>
      </c>
      <c r="F9" s="297" t="s">
        <v>123</v>
      </c>
      <c r="G9" s="299" t="s">
        <v>154</v>
      </c>
      <c r="H9" s="297" t="s">
        <v>109</v>
      </c>
      <c r="I9" s="299" t="s">
        <v>251</v>
      </c>
      <c r="J9" s="299" t="s">
        <v>252</v>
      </c>
      <c r="K9" s="299" t="s">
        <v>194</v>
      </c>
      <c r="L9" s="303" t="s">
        <v>197</v>
      </c>
      <c r="M9" s="303"/>
      <c r="N9" s="303" t="s">
        <v>161</v>
      </c>
      <c r="O9" s="303"/>
      <c r="P9" s="299" t="s">
        <v>253</v>
      </c>
      <c r="Q9" s="303" t="s">
        <v>163</v>
      </c>
      <c r="R9" s="303"/>
      <c r="S9" s="297" t="s">
        <v>254</v>
      </c>
      <c r="T9" s="297"/>
      <c r="V9" s="297" t="s">
        <v>167</v>
      </c>
    </row>
    <row r="10" customFormat="false" ht="27" hidden="false" customHeight="true" outlineLevel="0" collapsed="false">
      <c r="B10" s="297"/>
      <c r="C10" s="298"/>
      <c r="D10" s="298"/>
      <c r="E10" s="297"/>
      <c r="F10" s="297"/>
      <c r="G10" s="299"/>
      <c r="H10" s="297"/>
      <c r="I10" s="299"/>
      <c r="J10" s="299"/>
      <c r="K10" s="299"/>
      <c r="L10" s="307" t="s">
        <v>168</v>
      </c>
      <c r="M10" s="307" t="s">
        <v>169</v>
      </c>
      <c r="N10" s="307" t="s">
        <v>168</v>
      </c>
      <c r="O10" s="307" t="s">
        <v>169</v>
      </c>
      <c r="P10" s="299"/>
      <c r="Q10" s="307" t="s">
        <v>168</v>
      </c>
      <c r="R10" s="307" t="s">
        <v>169</v>
      </c>
      <c r="S10" s="297"/>
      <c r="T10" s="297"/>
      <c r="V10" s="297"/>
    </row>
    <row r="11" customFormat="false" ht="16.5" hidden="false" customHeight="true" outlineLevel="0" collapsed="false">
      <c r="B11" s="433" t="s">
        <v>103</v>
      </c>
      <c r="C11" s="308" t="s">
        <v>255</v>
      </c>
      <c r="D11" s="309" t="str">
        <f aca="false">+'GM Batch1'!C11</f>
        <v>YJ NANSAN 1</v>
      </c>
      <c r="E11" s="310" t="n">
        <v>1050000</v>
      </c>
      <c r="F11" s="311" t="n">
        <f aca="false">+'GM Batch1'!D11</f>
        <v>999.58</v>
      </c>
      <c r="G11" s="312" t="n">
        <f aca="false">E11*F11*1.1/1470</f>
        <v>785384.285714286</v>
      </c>
      <c r="H11" s="313" t="n">
        <f aca="false">+I11+K11+P11</f>
        <v>0</v>
      </c>
      <c r="I11" s="313"/>
      <c r="J11" s="314"/>
      <c r="K11" s="318" t="n">
        <f aca="false">+M11+O11</f>
        <v>0</v>
      </c>
      <c r="L11" s="320"/>
      <c r="M11" s="313"/>
      <c r="N11" s="320"/>
      <c r="O11" s="321"/>
      <c r="P11" s="318" t="n">
        <f aca="false">+R11+T11</f>
        <v>0</v>
      </c>
      <c r="Q11" s="320"/>
      <c r="R11" s="321"/>
      <c r="S11" s="434"/>
      <c r="T11" s="313"/>
      <c r="V11" s="322"/>
      <c r="W11" s="323"/>
    </row>
    <row r="12" customFormat="false" ht="16.5" hidden="false" customHeight="true" outlineLevel="0" collapsed="false">
      <c r="B12" s="433"/>
      <c r="C12" s="433"/>
      <c r="D12" s="309" t="str">
        <f aca="false">+'GM Batch1'!C17</f>
        <v>YJ NANSAN 2</v>
      </c>
      <c r="E12" s="324" t="n">
        <v>1050000</v>
      </c>
      <c r="F12" s="325" t="n">
        <f aca="false">+'GM Batch1'!D17</f>
        <v>999.58</v>
      </c>
      <c r="G12" s="326" t="n">
        <f aca="false">E12*F12*1.1/1470</f>
        <v>785384.285714286</v>
      </c>
      <c r="H12" s="318" t="n">
        <f aca="false">+I12+K12+P12</f>
        <v>0</v>
      </c>
      <c r="I12" s="318"/>
      <c r="J12" s="314"/>
      <c r="K12" s="318" t="n">
        <f aca="false">+M12+O12</f>
        <v>0</v>
      </c>
      <c r="L12" s="331"/>
      <c r="M12" s="318"/>
      <c r="N12" s="331"/>
      <c r="O12" s="332"/>
      <c r="P12" s="318" t="n">
        <f aca="false">+R12+T12</f>
        <v>0</v>
      </c>
      <c r="Q12" s="331"/>
      <c r="R12" s="332"/>
      <c r="S12" s="333"/>
      <c r="T12" s="318"/>
      <c r="V12" s="322" t="n">
        <f aca="false">+I12+K12+P12=E12*F12*1.1</f>
        <v>0</v>
      </c>
      <c r="W12" s="323" t="n">
        <f aca="false">+E12*F12*1.1=I12+M12+O12+R12+T12</f>
        <v>0</v>
      </c>
    </row>
    <row r="13" customFormat="false" ht="16.5" hidden="false" customHeight="true" outlineLevel="0" collapsed="false">
      <c r="B13" s="433"/>
      <c r="C13" s="433"/>
      <c r="D13" s="309" t="str">
        <f aca="false">+'GM Batch1'!C23</f>
        <v>YJ GASI 1</v>
      </c>
      <c r="E13" s="324" t="n">
        <v>1050000</v>
      </c>
      <c r="F13" s="325" t="n">
        <f aca="false">+'GM Batch1'!D23</f>
        <v>999.6</v>
      </c>
      <c r="G13" s="326" t="n">
        <f aca="false">E13*F13*1.1/1470</f>
        <v>785400</v>
      </c>
      <c r="H13" s="318" t="n">
        <f aca="false">+I13+K13+P13</f>
        <v>0</v>
      </c>
      <c r="I13" s="318"/>
      <c r="J13" s="314"/>
      <c r="K13" s="318" t="n">
        <f aca="false">+M13+O13</f>
        <v>0</v>
      </c>
      <c r="L13" s="331"/>
      <c r="M13" s="318"/>
      <c r="N13" s="331"/>
      <c r="O13" s="332"/>
      <c r="P13" s="318" t="n">
        <f aca="false">+R13+T13</f>
        <v>0</v>
      </c>
      <c r="Q13" s="331"/>
      <c r="R13" s="332"/>
      <c r="S13" s="333"/>
      <c r="T13" s="318"/>
      <c r="V13" s="435" t="b">
        <f aca="false">+I13+K13+P13=E13*F13*1.1</f>
        <v>0</v>
      </c>
      <c r="W13" s="323" t="n">
        <f aca="false">+E13*F13*1.1=I13+M13+O13+R13+T13</f>
        <v>0</v>
      </c>
    </row>
    <row r="14" customFormat="false" ht="16.5" hidden="false" customHeight="true" outlineLevel="0" collapsed="false">
      <c r="B14" s="433"/>
      <c r="C14" s="433"/>
      <c r="D14" s="309" t="str">
        <f aca="false">+'GM Batch1'!C29</f>
        <v>YJ GASI 2</v>
      </c>
      <c r="E14" s="324" t="n">
        <v>1050000</v>
      </c>
      <c r="F14" s="335" t="n">
        <f aca="false">+'GM Batch1'!D29</f>
        <v>999.6</v>
      </c>
      <c r="G14" s="326" t="n">
        <f aca="false">E14*F14*1.1/1470</f>
        <v>785400</v>
      </c>
      <c r="H14" s="318" t="n">
        <f aca="false">+I14+K14+P14</f>
        <v>0</v>
      </c>
      <c r="I14" s="318"/>
      <c r="J14" s="314"/>
      <c r="K14" s="318" t="n">
        <f aca="false">+M14+O14</f>
        <v>0</v>
      </c>
      <c r="L14" s="331"/>
      <c r="M14" s="436"/>
      <c r="N14" s="331"/>
      <c r="O14" s="332"/>
      <c r="P14" s="318" t="n">
        <f aca="false">+R14+T14</f>
        <v>0</v>
      </c>
      <c r="Q14" s="331"/>
      <c r="R14" s="332"/>
      <c r="S14" s="333"/>
      <c r="T14" s="318"/>
      <c r="V14" s="435" t="b">
        <f aca="false">+I14+K14+P14=E14*F14*1.1</f>
        <v>0</v>
      </c>
      <c r="W14" s="323" t="n">
        <f aca="false">+E14*F14*1.1=I14+M14+O14+R14+T14</f>
        <v>0</v>
      </c>
    </row>
    <row r="15" customFormat="false" ht="16.5" hidden="false" customHeight="true" outlineLevel="0" collapsed="false">
      <c r="B15" s="433"/>
      <c r="C15" s="433"/>
      <c r="D15" s="309" t="str">
        <f aca="false">+'GM Batch1'!C35</f>
        <v>Dream 1</v>
      </c>
      <c r="E15" s="324" t="n">
        <v>1050000</v>
      </c>
      <c r="F15" s="335" t="n">
        <f aca="false">+'GM Batch1'!D35</f>
        <v>999.24</v>
      </c>
      <c r="G15" s="326" t="n">
        <f aca="false">E15*F15*1.1/1470</f>
        <v>785117.142857143</v>
      </c>
      <c r="H15" s="318" t="n">
        <f aca="false">+I15+K15+P15</f>
        <v>0</v>
      </c>
      <c r="I15" s="318"/>
      <c r="J15" s="314"/>
      <c r="K15" s="318" t="n">
        <f aca="false">+M15+O15</f>
        <v>0</v>
      </c>
      <c r="L15" s="331"/>
      <c r="M15" s="436"/>
      <c r="N15" s="331"/>
      <c r="O15" s="436"/>
      <c r="P15" s="318" t="n">
        <f aca="false">+R15+T15</f>
        <v>0</v>
      </c>
      <c r="Q15" s="331"/>
      <c r="R15" s="332"/>
      <c r="S15" s="333"/>
      <c r="T15" s="318"/>
      <c r="V15" s="435" t="b">
        <f aca="false">+I15+K15+P15=E15*F15*1.1</f>
        <v>0</v>
      </c>
      <c r="W15" s="323" t="n">
        <f aca="false">+E15*F15*1.1=I15+M15+O15+R15+T15</f>
        <v>0</v>
      </c>
    </row>
    <row r="16" customFormat="false" ht="16.5" hidden="false" customHeight="true" outlineLevel="0" collapsed="false">
      <c r="B16" s="433"/>
      <c r="C16" s="433"/>
      <c r="D16" s="309" t="str">
        <f aca="false">+'GM Batch1'!C41</f>
        <v>Dream 2</v>
      </c>
      <c r="E16" s="324" t="n">
        <v>1050000</v>
      </c>
      <c r="F16" s="335" t="n">
        <f aca="false">+'GM Batch1'!D41</f>
        <v>999.24</v>
      </c>
      <c r="G16" s="326" t="n">
        <f aca="false">E16*F16*1.1/1470</f>
        <v>785117.142857143</v>
      </c>
      <c r="H16" s="318" t="n">
        <f aca="false">+I16+K16+P16</f>
        <v>0</v>
      </c>
      <c r="I16" s="318"/>
      <c r="J16" s="314"/>
      <c r="K16" s="318" t="n">
        <f aca="false">+M16+O16</f>
        <v>0</v>
      </c>
      <c r="L16" s="331"/>
      <c r="M16" s="318"/>
      <c r="N16" s="331"/>
      <c r="O16" s="436"/>
      <c r="P16" s="318" t="n">
        <f aca="false">+R16+T16</f>
        <v>0</v>
      </c>
      <c r="Q16" s="331"/>
      <c r="R16" s="332"/>
      <c r="S16" s="333"/>
      <c r="T16" s="318"/>
      <c r="V16" s="435" t="b">
        <f aca="false">+I16+K16+P16=E16*F16*1.1</f>
        <v>0</v>
      </c>
      <c r="W16" s="323" t="n">
        <f aca="false">+E16*F16*1.1=I16+M16+O16+R16+T16</f>
        <v>0</v>
      </c>
    </row>
    <row r="17" customFormat="false" ht="16.5" hidden="false" customHeight="true" outlineLevel="0" collapsed="false">
      <c r="B17" s="433"/>
      <c r="C17" s="433"/>
      <c r="D17" s="309" t="str">
        <f aca="false">+'GM Batch1'!C47</f>
        <v>JEIL TECH 1</v>
      </c>
      <c r="E17" s="324" t="n">
        <v>1050000</v>
      </c>
      <c r="F17" s="335" t="n">
        <f aca="false">+'GM Batch1'!D47</f>
        <v>999.44</v>
      </c>
      <c r="G17" s="326" t="n">
        <f aca="false">E17*F17*1.1/1470</f>
        <v>785274.285714286</v>
      </c>
      <c r="H17" s="318" t="n">
        <f aca="false">+I17+K17+P17</f>
        <v>0</v>
      </c>
      <c r="I17" s="318"/>
      <c r="J17" s="314"/>
      <c r="K17" s="318" t="n">
        <f aca="false">+M17+O17</f>
        <v>0</v>
      </c>
      <c r="L17" s="331"/>
      <c r="M17" s="318"/>
      <c r="N17" s="331"/>
      <c r="O17" s="436"/>
      <c r="P17" s="318" t="n">
        <f aca="false">+R17+T17</f>
        <v>0</v>
      </c>
      <c r="Q17" s="331"/>
      <c r="R17" s="332"/>
      <c r="S17" s="333"/>
      <c r="T17" s="318"/>
      <c r="V17" s="435" t="b">
        <f aca="false">+I17+K17+P17=E17*F17*1.1</f>
        <v>0</v>
      </c>
      <c r="W17" s="323" t="n">
        <f aca="false">+E17*F17*1.1=I17+M17+O17+R17+T17</f>
        <v>0</v>
      </c>
    </row>
    <row r="18" customFormat="false" ht="16.5" hidden="false" customHeight="true" outlineLevel="0" collapsed="false">
      <c r="B18" s="433"/>
      <c r="C18" s="433"/>
      <c r="D18" s="309" t="str">
        <f aca="false">+'GM Batch1'!C53</f>
        <v>JEIL TECH 2</v>
      </c>
      <c r="E18" s="324" t="n">
        <v>1050000</v>
      </c>
      <c r="F18" s="335" t="n">
        <f aca="false">+'GM Batch1'!D53</f>
        <v>999.44</v>
      </c>
      <c r="G18" s="326" t="n">
        <f aca="false">E18*F18*1.1/1470</f>
        <v>785274.285714286</v>
      </c>
      <c r="H18" s="318" t="n">
        <f aca="false">+I18+K18+P18</f>
        <v>0</v>
      </c>
      <c r="I18" s="318"/>
      <c r="J18" s="314"/>
      <c r="K18" s="318" t="n">
        <f aca="false">+M18+O18</f>
        <v>0</v>
      </c>
      <c r="L18" s="331"/>
      <c r="M18" s="436"/>
      <c r="N18" s="331"/>
      <c r="O18" s="436"/>
      <c r="P18" s="318" t="n">
        <f aca="false">+R18+T18</f>
        <v>0</v>
      </c>
      <c r="Q18" s="331"/>
      <c r="R18" s="436"/>
      <c r="S18" s="349"/>
      <c r="T18" s="318"/>
      <c r="V18" s="349" t="n">
        <f aca="false">+I18+K18+P18=E18*F18*1.1</f>
        <v>0</v>
      </c>
      <c r="W18" s="323" t="n">
        <f aca="false">+E18*F18*1.1=I18+M18+O18+R18+T18</f>
        <v>0</v>
      </c>
    </row>
    <row r="19" customFormat="false" ht="16.5" hidden="false" customHeight="true" outlineLevel="0" collapsed="false">
      <c r="B19" s="433"/>
      <c r="C19" s="433"/>
      <c r="D19" s="337" t="s">
        <v>109</v>
      </c>
      <c r="E19" s="337"/>
      <c r="F19" s="339" t="n">
        <f aca="false">SUM(F11:F18)</f>
        <v>7995.72</v>
      </c>
      <c r="G19" s="340" t="n">
        <f aca="false">SUM(G11:G18)</f>
        <v>6282351.42857143</v>
      </c>
      <c r="H19" s="437"/>
      <c r="I19" s="341" t="n">
        <f aca="false">I20/1470</f>
        <v>0</v>
      </c>
      <c r="J19" s="314"/>
      <c r="K19" s="341" t="n">
        <f aca="false">K20/1470</f>
        <v>0</v>
      </c>
      <c r="L19" s="347"/>
      <c r="M19" s="345" t="n">
        <f aca="false">M20/1470</f>
        <v>0</v>
      </c>
      <c r="N19" s="347"/>
      <c r="O19" s="341" t="n">
        <f aca="false">O20/1470</f>
        <v>0</v>
      </c>
      <c r="P19" s="345" t="n">
        <f aca="false">P20/1470</f>
        <v>0</v>
      </c>
      <c r="Q19" s="347"/>
      <c r="R19" s="341" t="n">
        <f aca="false">R20/1470</f>
        <v>0</v>
      </c>
      <c r="S19" s="348"/>
      <c r="T19" s="341" t="n">
        <f aca="false">T20/1470</f>
        <v>0</v>
      </c>
      <c r="V19" s="348"/>
      <c r="W19" s="323"/>
    </row>
    <row r="20" customFormat="false" ht="16.5" hidden="false" customHeight="true" outlineLevel="0" collapsed="false">
      <c r="B20" s="433"/>
      <c r="C20" s="308"/>
      <c r="D20" s="337"/>
      <c r="E20" s="337"/>
      <c r="F20" s="339"/>
      <c r="G20" s="340"/>
      <c r="H20" s="351" t="n">
        <f aca="false">+SUM(H11:H18)</f>
        <v>0</v>
      </c>
      <c r="I20" s="351" t="n">
        <f aca="false">+SUM(I11:I18)</f>
        <v>0</v>
      </c>
      <c r="J20" s="314"/>
      <c r="K20" s="351" t="n">
        <f aca="false">+SUM(K11:K18)</f>
        <v>0</v>
      </c>
      <c r="L20" s="356"/>
      <c r="M20" s="351" t="n">
        <f aca="false">+SUM(M11:M18)</f>
        <v>0</v>
      </c>
      <c r="N20" s="356"/>
      <c r="O20" s="351" t="n">
        <f aca="false">+SUM(O11:O18)</f>
        <v>0</v>
      </c>
      <c r="P20" s="351" t="n">
        <f aca="false">+SUM(P11:P18)</f>
        <v>0</v>
      </c>
      <c r="Q20" s="356"/>
      <c r="R20" s="351" t="n">
        <f aca="false">+SUM(R11:R18)</f>
        <v>0</v>
      </c>
      <c r="S20" s="357"/>
      <c r="T20" s="351" t="n">
        <f aca="false">+SUM(T11:T18)</f>
        <v>0</v>
      </c>
      <c r="V20" s="357"/>
      <c r="W20" s="323"/>
    </row>
    <row r="21" customFormat="false" ht="16.5" hidden="false" customHeight="true" outlineLevel="0" collapsed="false">
      <c r="B21" s="433"/>
      <c r="C21" s="308" t="s">
        <v>256</v>
      </c>
      <c r="D21" s="309" t="str">
        <f aca="false">+'GM Batch2-APA'!C11</f>
        <v>Jangchon 1 (APA)</v>
      </c>
      <c r="E21" s="324" t="n">
        <v>1050000</v>
      </c>
      <c r="F21" s="311" t="n">
        <f aca="false">+'GM Batch2-APA'!D11</f>
        <v>551.04</v>
      </c>
      <c r="G21" s="312" t="n">
        <f aca="false">E21*F21*1.1/1470</f>
        <v>432960</v>
      </c>
      <c r="H21" s="318" t="n">
        <f aca="false">+I21+K21+P21</f>
        <v>0</v>
      </c>
      <c r="I21" s="438"/>
      <c r="J21" s="314"/>
      <c r="K21" s="318" t="n">
        <f aca="false">+M21+O21</f>
        <v>0</v>
      </c>
      <c r="L21" s="439"/>
      <c r="M21" s="438"/>
      <c r="N21" s="439"/>
      <c r="O21" s="440"/>
      <c r="P21" s="318" t="n">
        <f aca="false">+R21+T21</f>
        <v>0</v>
      </c>
      <c r="Q21" s="439"/>
      <c r="R21" s="441"/>
      <c r="S21" s="442"/>
      <c r="T21" s="438"/>
      <c r="V21" s="349" t="n">
        <f aca="false">+I21+K21+P21=E21*F21*1.1</f>
        <v>0</v>
      </c>
      <c r="W21" s="323" t="n">
        <f aca="false">+E21*F21*1.1=I21+M21+O21+R21+T21</f>
        <v>0</v>
      </c>
    </row>
    <row r="22" customFormat="false" ht="16.5" hidden="false" customHeight="true" outlineLevel="0" collapsed="false">
      <c r="B22" s="433"/>
      <c r="C22" s="433"/>
      <c r="D22" s="309" t="str">
        <f aca="false">+'GM Batch2-APA'!C17</f>
        <v>Soltop Masan 1 (APA)</v>
      </c>
      <c r="E22" s="324" t="n">
        <v>1050000</v>
      </c>
      <c r="F22" s="335" t="n">
        <f aca="false">+'GM Batch2-APA'!D17</f>
        <v>399.04</v>
      </c>
      <c r="G22" s="326" t="n">
        <f aca="false">E22*F22*1.1/1470</f>
        <v>313531.428571429</v>
      </c>
      <c r="H22" s="318" t="n">
        <f aca="false">+I22+K22+P22</f>
        <v>0</v>
      </c>
      <c r="I22" s="318"/>
      <c r="J22" s="314"/>
      <c r="K22" s="318" t="n">
        <f aca="false">+M22+O22</f>
        <v>0</v>
      </c>
      <c r="L22" s="331"/>
      <c r="M22" s="436"/>
      <c r="N22" s="331"/>
      <c r="O22" s="332"/>
      <c r="P22" s="318" t="n">
        <f aca="false">+R22+T22</f>
        <v>0</v>
      </c>
      <c r="Q22" s="331"/>
      <c r="R22" s="332"/>
      <c r="S22" s="333"/>
      <c r="T22" s="318"/>
      <c r="V22" s="349" t="n">
        <f aca="false">+I22+K22+P22=E22*F22*1.1</f>
        <v>0</v>
      </c>
      <c r="W22" s="323" t="n">
        <f aca="false">+E22*F22*1.1=I22+M22+O22+R22+T22</f>
        <v>0</v>
      </c>
    </row>
    <row r="23" customFormat="false" ht="16.5" hidden="false" customHeight="true" outlineLevel="0" collapsed="false">
      <c r="B23" s="433"/>
      <c r="C23" s="433"/>
      <c r="D23" s="309" t="str">
        <f aca="false">+'GM Batch2-APA'!C23</f>
        <v>Hanil Mugok 15 (APA)</v>
      </c>
      <c r="E23" s="324" t="n">
        <v>1050000</v>
      </c>
      <c r="F23" s="335" t="n">
        <f aca="false">+'GM Batch2-APA'!D23</f>
        <v>499.96</v>
      </c>
      <c r="G23" s="326" t="n">
        <f aca="false">E23*F23*1.1/1470</f>
        <v>392825.714285714</v>
      </c>
      <c r="H23" s="318" t="n">
        <f aca="false">+I23+K23+P23</f>
        <v>0</v>
      </c>
      <c r="I23" s="318"/>
      <c r="J23" s="314"/>
      <c r="K23" s="318" t="n">
        <f aca="false">+M23+O23</f>
        <v>0</v>
      </c>
      <c r="L23" s="331"/>
      <c r="M23" s="436"/>
      <c r="N23" s="331"/>
      <c r="O23" s="332"/>
      <c r="P23" s="318" t="n">
        <f aca="false">+R23+T23</f>
        <v>0</v>
      </c>
      <c r="Q23" s="331"/>
      <c r="R23" s="332"/>
      <c r="S23" s="333"/>
      <c r="T23" s="318"/>
      <c r="V23" s="349" t="n">
        <f aca="false">+I23+K23+P23=E23*F23*1.1</f>
        <v>0</v>
      </c>
      <c r="W23" s="323" t="n">
        <f aca="false">+E23*F23*1.1=I23+M23+O23+R23+T23</f>
        <v>0</v>
      </c>
    </row>
    <row r="24" customFormat="false" ht="16.5" hidden="false" customHeight="true" outlineLevel="0" collapsed="false">
      <c r="B24" s="433"/>
      <c r="C24" s="433"/>
      <c r="D24" s="309" t="str">
        <f aca="false">+'GM Batch2-APA'!C29</f>
        <v>Hanil Jigyeong 1 (APA)</v>
      </c>
      <c r="E24" s="324" t="n">
        <v>1050000</v>
      </c>
      <c r="F24" s="335" t="n">
        <f aca="false">+'GM Batch2-APA'!D29</f>
        <v>499.96</v>
      </c>
      <c r="G24" s="326" t="n">
        <f aca="false">E24*F24*1.1/1470</f>
        <v>392825.714285714</v>
      </c>
      <c r="H24" s="318" t="n">
        <f aca="false">+I24+K24+P24</f>
        <v>0</v>
      </c>
      <c r="I24" s="318"/>
      <c r="J24" s="314"/>
      <c r="K24" s="318" t="n">
        <f aca="false">+M24+O24</f>
        <v>0</v>
      </c>
      <c r="L24" s="331"/>
      <c r="M24" s="436"/>
      <c r="N24" s="331"/>
      <c r="O24" s="332"/>
      <c r="P24" s="318" t="n">
        <f aca="false">+R24+T24</f>
        <v>0</v>
      </c>
      <c r="Q24" s="331"/>
      <c r="R24" s="332"/>
      <c r="S24" s="333"/>
      <c r="T24" s="318"/>
      <c r="V24" s="349" t="n">
        <f aca="false">+I24+K24+P24=E24*F24*1.1</f>
        <v>0</v>
      </c>
      <c r="W24" s="323" t="n">
        <f aca="false">+E24*F24*1.1=I24+M24+O24+R24+T24</f>
        <v>0</v>
      </c>
    </row>
    <row r="25" customFormat="false" ht="16.5" hidden="false" customHeight="true" outlineLevel="0" collapsed="false">
      <c r="B25" s="433"/>
      <c r="C25" s="433"/>
      <c r="D25" s="309" t="str">
        <f aca="false">+'GM Batch2-APA'!C35</f>
        <v>Hanil Jigyeong 2 (APA)</v>
      </c>
      <c r="E25" s="324" t="n">
        <v>1050000</v>
      </c>
      <c r="F25" s="335" t="n">
        <f aca="false">+'GM Batch2-APA'!D35</f>
        <v>149.64</v>
      </c>
      <c r="G25" s="326" t="n">
        <f aca="false">E25*F25*1.1/1470</f>
        <v>117574.285714286</v>
      </c>
      <c r="H25" s="318" t="n">
        <f aca="false">+I25+K25+P25</f>
        <v>0</v>
      </c>
      <c r="I25" s="318"/>
      <c r="J25" s="314"/>
      <c r="K25" s="318" t="n">
        <f aca="false">+M25+O25</f>
        <v>0</v>
      </c>
      <c r="L25" s="331"/>
      <c r="M25" s="436"/>
      <c r="N25" s="331"/>
      <c r="O25" s="318"/>
      <c r="P25" s="318" t="n">
        <f aca="false">+R25+T25</f>
        <v>0</v>
      </c>
      <c r="Q25" s="331"/>
      <c r="R25" s="318"/>
      <c r="S25" s="333"/>
      <c r="T25" s="318"/>
      <c r="V25" s="349" t="n">
        <f aca="false">+I25+K25+P25=E25*F25*1.1</f>
        <v>0</v>
      </c>
      <c r="W25" s="323" t="n">
        <f aca="false">+E25*F25*1.1=I25+M25+O25+R25+T25</f>
        <v>0</v>
      </c>
    </row>
    <row r="26" customFormat="false" ht="16.5" hidden="false" customHeight="true" outlineLevel="0" collapsed="false">
      <c r="B26" s="433"/>
      <c r="C26" s="433"/>
      <c r="D26" s="309" t="str">
        <f aca="false">+'GM Batch2-APA'!C41</f>
        <v>Ho Duck4 (APA)</v>
      </c>
      <c r="E26" s="324" t="n">
        <v>1050000</v>
      </c>
      <c r="F26" s="335" t="n">
        <f aca="false">+'GM Batch2-APA'!D41</f>
        <v>299.28</v>
      </c>
      <c r="G26" s="326" t="n">
        <f aca="false">E26*F26*1.1/1470</f>
        <v>235148.571428571</v>
      </c>
      <c r="H26" s="318" t="n">
        <f aca="false">+I26+K26+P26</f>
        <v>0</v>
      </c>
      <c r="I26" s="318"/>
      <c r="J26" s="314"/>
      <c r="K26" s="318" t="n">
        <f aca="false">+M26+O26</f>
        <v>0</v>
      </c>
      <c r="L26" s="331"/>
      <c r="M26" s="436"/>
      <c r="N26" s="331"/>
      <c r="O26" s="318"/>
      <c r="P26" s="318" t="n">
        <f aca="false">+R26+T26</f>
        <v>0</v>
      </c>
      <c r="Q26" s="331"/>
      <c r="R26" s="318"/>
      <c r="S26" s="333"/>
      <c r="T26" s="318"/>
      <c r="V26" s="349" t="n">
        <f aca="false">+I26+K26+P26=E26*F26*1.1</f>
        <v>0</v>
      </c>
      <c r="W26" s="323" t="n">
        <f aca="false">+E26*F26*1.1=I26+M26+O26+R26+T26</f>
        <v>0</v>
      </c>
    </row>
    <row r="27" customFormat="false" ht="16.5" hidden="false" customHeight="true" outlineLevel="0" collapsed="false">
      <c r="B27" s="433"/>
      <c r="C27" s="433"/>
      <c r="D27" s="337" t="s">
        <v>109</v>
      </c>
      <c r="E27" s="337"/>
      <c r="F27" s="339" t="n">
        <f aca="false">SUM(F21:F26)</f>
        <v>2398.92</v>
      </c>
      <c r="G27" s="340" t="n">
        <f aca="false">SUM(G21:G26)</f>
        <v>1884865.71428571</v>
      </c>
      <c r="H27" s="437"/>
      <c r="I27" s="341" t="n">
        <f aca="false">I28/1470</f>
        <v>0</v>
      </c>
      <c r="J27" s="314"/>
      <c r="K27" s="341" t="n">
        <f aca="false">K28/1470</f>
        <v>0</v>
      </c>
      <c r="L27" s="347"/>
      <c r="M27" s="345" t="n">
        <f aca="false">M28/1470</f>
        <v>0</v>
      </c>
      <c r="N27" s="347"/>
      <c r="O27" s="341" t="n">
        <f aca="false">O28/1470</f>
        <v>0</v>
      </c>
      <c r="P27" s="345" t="n">
        <f aca="false">P28/1470</f>
        <v>0</v>
      </c>
      <c r="Q27" s="347"/>
      <c r="R27" s="341" t="n">
        <f aca="false">R28/1470</f>
        <v>0</v>
      </c>
      <c r="S27" s="443"/>
      <c r="T27" s="341" t="n">
        <f aca="false">T28/1470</f>
        <v>0</v>
      </c>
      <c r="V27" s="443"/>
      <c r="W27" s="323"/>
    </row>
    <row r="28" customFormat="false" ht="16.5" hidden="false" customHeight="true" outlineLevel="0" collapsed="false">
      <c r="B28" s="433"/>
      <c r="C28" s="308"/>
      <c r="D28" s="337"/>
      <c r="E28" s="337"/>
      <c r="F28" s="339"/>
      <c r="G28" s="340"/>
      <c r="H28" s="351" t="n">
        <f aca="false">+SUM(H21:H26)</f>
        <v>0</v>
      </c>
      <c r="I28" s="351" t="n">
        <f aca="false">+SUM(I21:I26)</f>
        <v>0</v>
      </c>
      <c r="J28" s="314"/>
      <c r="K28" s="351" t="n">
        <f aca="false">+SUM(K21:K26)</f>
        <v>0</v>
      </c>
      <c r="L28" s="356"/>
      <c r="M28" s="351" t="n">
        <f aca="false">+SUM(M21:M26)</f>
        <v>0</v>
      </c>
      <c r="N28" s="356"/>
      <c r="O28" s="351" t="n">
        <f aca="false">+SUM(O21:O26)</f>
        <v>0</v>
      </c>
      <c r="P28" s="351" t="n">
        <f aca="false">+SUM(P21:P26)</f>
        <v>0</v>
      </c>
      <c r="Q28" s="356"/>
      <c r="R28" s="351" t="n">
        <f aca="false">+SUM(R21:R26)</f>
        <v>0</v>
      </c>
      <c r="S28" s="357"/>
      <c r="T28" s="351" t="n">
        <f aca="false">+SUM(T21:T26)</f>
        <v>0</v>
      </c>
      <c r="V28" s="357" t="e">
        <f aca="false">+#REF!=H28</f>
        <v>#REF!</v>
      </c>
      <c r="W28" s="323"/>
    </row>
    <row r="29" customFormat="false" ht="16.5" hidden="false" customHeight="true" outlineLevel="0" collapsed="false">
      <c r="B29" s="433"/>
      <c r="C29" s="308" t="s">
        <v>257</v>
      </c>
      <c r="D29" s="309" t="str">
        <f aca="false">+'GM Batch2-SPA'!C11</f>
        <v>Galsan (SPA)</v>
      </c>
      <c r="E29" s="324" t="n">
        <v>1050000</v>
      </c>
      <c r="F29" s="444" t="n">
        <f aca="false">+'GM Batch2-SPA'!D11</f>
        <v>993.6</v>
      </c>
      <c r="G29" s="326" t="n">
        <f aca="false">E29*F29*1.1/1470</f>
        <v>780685.714285714</v>
      </c>
      <c r="H29" s="318" t="n">
        <f aca="false">+I29+K29+P29</f>
        <v>0</v>
      </c>
      <c r="I29" s="437"/>
      <c r="J29" s="314"/>
      <c r="K29" s="318" t="n">
        <f aca="false">+M29+O29</f>
        <v>0</v>
      </c>
      <c r="L29" s="347"/>
      <c r="M29" s="445"/>
      <c r="N29" s="347"/>
      <c r="O29" s="437"/>
      <c r="P29" s="318" t="n">
        <f aca="false">+R29+T29</f>
        <v>0</v>
      </c>
      <c r="Q29" s="347"/>
      <c r="R29" s="437"/>
      <c r="S29" s="348"/>
      <c r="T29" s="437"/>
      <c r="V29" s="349" t="n">
        <f aca="false">+I29+K29+P29=E29*F29*1.1</f>
        <v>0</v>
      </c>
      <c r="W29" s="323" t="n">
        <f aca="false">+E29*F29*1.1=I29+M29+O29+R29+T29</f>
        <v>0</v>
      </c>
    </row>
    <row r="30" customFormat="false" ht="16.5" hidden="false" customHeight="true" outlineLevel="0" collapsed="false">
      <c r="B30" s="433"/>
      <c r="C30" s="433"/>
      <c r="D30" s="309" t="str">
        <f aca="false">+'GM Batch2-SPA'!C17</f>
        <v>Mineuri (SPA)</v>
      </c>
      <c r="E30" s="324" t="n">
        <v>1050000</v>
      </c>
      <c r="F30" s="444" t="n">
        <f aca="false">+'GM Batch2-SPA'!D17</f>
        <v>993.6</v>
      </c>
      <c r="G30" s="326" t="n">
        <f aca="false">E30*F30*1.1/1470</f>
        <v>780685.714285714</v>
      </c>
      <c r="H30" s="318" t="n">
        <f aca="false">+I30+K30+P30</f>
        <v>0</v>
      </c>
      <c r="I30" s="437"/>
      <c r="J30" s="314"/>
      <c r="K30" s="318" t="n">
        <f aca="false">+M30+O30</f>
        <v>0</v>
      </c>
      <c r="L30" s="347"/>
      <c r="M30" s="445"/>
      <c r="N30" s="347"/>
      <c r="O30" s="437"/>
      <c r="P30" s="318" t="n">
        <f aca="false">+R30+T30</f>
        <v>0</v>
      </c>
      <c r="Q30" s="347"/>
      <c r="R30" s="437"/>
      <c r="S30" s="348"/>
      <c r="T30" s="437"/>
      <c r="V30" s="349" t="n">
        <f aca="false">+I30+K30+P30=E30*F30*1.1</f>
        <v>0</v>
      </c>
      <c r="W30" s="323" t="n">
        <f aca="false">+E30*F30*1.1=I30+M30+O30+R30+T30</f>
        <v>0</v>
      </c>
    </row>
    <row r="31" customFormat="false" ht="16.5" hidden="false" customHeight="true" outlineLevel="0" collapsed="false">
      <c r="B31" s="433"/>
      <c r="C31" s="433"/>
      <c r="D31" s="309" t="str">
        <f aca="false">+'GM Batch2-SPA'!C23</f>
        <v>Seagol(SPA)</v>
      </c>
      <c r="E31" s="324" t="n">
        <v>1050000</v>
      </c>
      <c r="F31" s="444" t="n">
        <f aca="false">+'GM Batch2-SPA'!D23</f>
        <v>993.6</v>
      </c>
      <c r="G31" s="326" t="n">
        <f aca="false">E31*F31*1.1/1470</f>
        <v>780685.714285714</v>
      </c>
      <c r="H31" s="318" t="n">
        <f aca="false">+I31+K31+P31</f>
        <v>0</v>
      </c>
      <c r="I31" s="437"/>
      <c r="J31" s="314"/>
      <c r="K31" s="318" t="n">
        <f aca="false">+M31+O31</f>
        <v>0</v>
      </c>
      <c r="L31" s="347"/>
      <c r="M31" s="445"/>
      <c r="N31" s="347"/>
      <c r="O31" s="437"/>
      <c r="P31" s="318" t="n">
        <f aca="false">+R31+T31</f>
        <v>0</v>
      </c>
      <c r="Q31" s="347"/>
      <c r="R31" s="437"/>
      <c r="S31" s="348"/>
      <c r="T31" s="437"/>
      <c r="V31" s="349" t="n">
        <f aca="false">+I31+K31+P31=E31*F31*1.1</f>
        <v>0</v>
      </c>
      <c r="W31" s="323" t="n">
        <f aca="false">+E31*F31*1.1=I31+M31+O31+R31+T31</f>
        <v>0</v>
      </c>
    </row>
    <row r="32" customFormat="false" ht="16.5" hidden="false" customHeight="true" outlineLevel="0" collapsed="false">
      <c r="B32" s="433"/>
      <c r="C32" s="433"/>
      <c r="D32" s="309" t="str">
        <f aca="false">+'GM Batch2-SPA'!C29</f>
        <v>Jaesan (SPA)</v>
      </c>
      <c r="E32" s="324" t="n">
        <v>1050000</v>
      </c>
      <c r="F32" s="444" t="n">
        <f aca="false">+'GM Batch2-SPA'!D29</f>
        <v>993.6</v>
      </c>
      <c r="G32" s="326" t="n">
        <f aca="false">E32*F32*1.1/1470</f>
        <v>780685.714285714</v>
      </c>
      <c r="H32" s="318" t="n">
        <f aca="false">+I32+K32+P32</f>
        <v>0</v>
      </c>
      <c r="I32" s="437"/>
      <c r="J32" s="314"/>
      <c r="K32" s="318" t="n">
        <f aca="false">+M32+O32</f>
        <v>0</v>
      </c>
      <c r="L32" s="347"/>
      <c r="M32" s="445"/>
      <c r="N32" s="347"/>
      <c r="O32" s="437"/>
      <c r="P32" s="318" t="n">
        <f aca="false">+R32+T32</f>
        <v>0</v>
      </c>
      <c r="Q32" s="347"/>
      <c r="R32" s="437"/>
      <c r="S32" s="348"/>
      <c r="T32" s="437"/>
      <c r="V32" s="349" t="n">
        <f aca="false">+I32+K32+P32=E32*F32*1.1</f>
        <v>0</v>
      </c>
      <c r="W32" s="323" t="n">
        <f aca="false">+E32*F32*1.1=I32+M32+O32+R32+T32</f>
        <v>0</v>
      </c>
    </row>
    <row r="33" customFormat="false" ht="16.5" hidden="false" customHeight="true" outlineLevel="0" collapsed="false">
      <c r="B33" s="433"/>
      <c r="C33" s="433"/>
      <c r="D33" s="337" t="s">
        <v>109</v>
      </c>
      <c r="E33" s="337"/>
      <c r="F33" s="339" t="n">
        <f aca="false">SUM(F29:F32)</f>
        <v>3974.4</v>
      </c>
      <c r="G33" s="340" t="n">
        <f aca="false">SUM(G29:G32)</f>
        <v>3122742.85714286</v>
      </c>
      <c r="H33" s="437"/>
      <c r="I33" s="341" t="n">
        <f aca="false">I34/1470</f>
        <v>0</v>
      </c>
      <c r="J33" s="314"/>
      <c r="K33" s="341" t="n">
        <f aca="false">K34/1470</f>
        <v>0</v>
      </c>
      <c r="L33" s="347"/>
      <c r="M33" s="345" t="n">
        <f aca="false">M34/1470</f>
        <v>0</v>
      </c>
      <c r="N33" s="347"/>
      <c r="O33" s="341" t="n">
        <f aca="false">O34/1470</f>
        <v>0</v>
      </c>
      <c r="P33" s="345" t="n">
        <f aca="false">P34/1470</f>
        <v>0</v>
      </c>
      <c r="Q33" s="347"/>
      <c r="R33" s="341" t="n">
        <f aca="false">R34/1470</f>
        <v>0</v>
      </c>
      <c r="S33" s="443"/>
      <c r="T33" s="341" t="n">
        <f aca="false">T34/1470</f>
        <v>0</v>
      </c>
      <c r="V33" s="443"/>
      <c r="W33" s="323"/>
    </row>
    <row r="34" customFormat="false" ht="16.5" hidden="false" customHeight="true" outlineLevel="0" collapsed="false">
      <c r="B34" s="433"/>
      <c r="C34" s="308"/>
      <c r="D34" s="337"/>
      <c r="E34" s="337"/>
      <c r="F34" s="339"/>
      <c r="G34" s="340"/>
      <c r="H34" s="351" t="n">
        <f aca="false">+SUM(H29:H32)</f>
        <v>0</v>
      </c>
      <c r="I34" s="351" t="n">
        <f aca="false">+SUM(I29:I32)</f>
        <v>0</v>
      </c>
      <c r="J34" s="314"/>
      <c r="K34" s="351" t="n">
        <f aca="false">+SUM(K29:K32)</f>
        <v>0</v>
      </c>
      <c r="L34" s="356"/>
      <c r="M34" s="351" t="n">
        <f aca="false">+SUM(M29:M32)</f>
        <v>0</v>
      </c>
      <c r="N34" s="356"/>
      <c r="O34" s="351" t="n">
        <f aca="false">+SUM(O29:O32)</f>
        <v>0</v>
      </c>
      <c r="P34" s="351" t="n">
        <f aca="false">+SUM(P29:P32)</f>
        <v>0</v>
      </c>
      <c r="Q34" s="356"/>
      <c r="R34" s="351" t="n">
        <f aca="false">+SUM(R29:R32)</f>
        <v>0</v>
      </c>
      <c r="S34" s="357"/>
      <c r="T34" s="351" t="n">
        <f aca="false">+SUM(T29:T32)</f>
        <v>0</v>
      </c>
      <c r="V34" s="357" t="e">
        <f aca="false">+#REF!=H34</f>
        <v>#REF!</v>
      </c>
      <c r="W34" s="323"/>
    </row>
    <row r="35" customFormat="false" ht="16.5" hidden="false" customHeight="true" outlineLevel="0" collapsed="false">
      <c r="B35" s="433"/>
      <c r="C35" s="308" t="s">
        <v>258</v>
      </c>
      <c r="D35" s="309" t="str">
        <f aca="false">+'DG M&amp;A-SPA_POSN'!C11</f>
        <v>POS-1</v>
      </c>
      <c r="E35" s="446" t="n">
        <f aca="false">+'PAYMENT RATIO_RAW'!BK53/1000</f>
        <v>1125915.12896825</v>
      </c>
      <c r="F35" s="335" t="n">
        <f aca="false">+'DG M&amp;A-SPA_POSN'!D11</f>
        <v>340.8</v>
      </c>
      <c r="G35" s="326" t="n">
        <f aca="false">E35*F35*1.1/1470</f>
        <v>287131.33574668</v>
      </c>
      <c r="H35" s="318" t="n">
        <f aca="false">+I35+K35+P35</f>
        <v>0</v>
      </c>
      <c r="I35" s="436"/>
      <c r="J35" s="314"/>
      <c r="K35" s="318" t="n">
        <f aca="false">+M35+O35</f>
        <v>0</v>
      </c>
      <c r="L35" s="331"/>
      <c r="M35" s="318"/>
      <c r="N35" s="331"/>
      <c r="O35" s="436"/>
      <c r="P35" s="318" t="n">
        <f aca="false">+R35+T35</f>
        <v>0</v>
      </c>
      <c r="Q35" s="331"/>
      <c r="R35" s="318"/>
      <c r="S35" s="333"/>
      <c r="T35" s="318"/>
      <c r="V35" s="349" t="n">
        <f aca="false">+I35+K35+P35=E35*F35*1.1</f>
        <v>0</v>
      </c>
      <c r="W35" s="323" t="n">
        <f aca="false">+E35*F35*1.1=I35+M35+O35+R35+T35</f>
        <v>0</v>
      </c>
    </row>
    <row r="36" customFormat="false" ht="16.5" hidden="false" customHeight="true" outlineLevel="0" collapsed="false">
      <c r="B36" s="433"/>
      <c r="C36" s="433"/>
      <c r="D36" s="309" t="str">
        <f aca="false">+'DG M&amp;A-SPA_POSN'!C17</f>
        <v>POS-3</v>
      </c>
      <c r="E36" s="446" t="n">
        <f aca="false">+'PAYMENT RATIO_RAW'!BK54/1000</f>
        <v>1125915.12896825</v>
      </c>
      <c r="F36" s="444" t="n">
        <f aca="false">+'DG M&amp;A-SPA_POSN'!D17</f>
        <v>144.84</v>
      </c>
      <c r="G36" s="326" t="n">
        <f aca="false">E36*F36*1.1/1470</f>
        <v>122030.817692339</v>
      </c>
      <c r="H36" s="318" t="n">
        <f aca="false">+I36+K36+P36</f>
        <v>0</v>
      </c>
      <c r="I36" s="447"/>
      <c r="J36" s="314"/>
      <c r="K36" s="318" t="n">
        <f aca="false">+M36+O36</f>
        <v>0</v>
      </c>
      <c r="L36" s="347"/>
      <c r="M36" s="437"/>
      <c r="N36" s="347"/>
      <c r="O36" s="445"/>
      <c r="P36" s="318" t="n">
        <f aca="false">+R36+T36</f>
        <v>0</v>
      </c>
      <c r="Q36" s="347"/>
      <c r="R36" s="437"/>
      <c r="S36" s="443"/>
      <c r="T36" s="437"/>
      <c r="V36" s="349" t="n">
        <f aca="false">+I36+K36+P36=E36*F36*1.1</f>
        <v>0</v>
      </c>
      <c r="W36" s="323"/>
    </row>
    <row r="37" customFormat="false" ht="16.5" hidden="false" customHeight="true" outlineLevel="0" collapsed="false">
      <c r="B37" s="433"/>
      <c r="C37" s="433"/>
      <c r="D37" s="309" t="str">
        <f aca="false">+'DG M&amp;A-SPA_POSN'!C23</f>
        <v>POS-4</v>
      </c>
      <c r="E37" s="446" t="n">
        <f aca="false">+'PAYMENT RATIO_RAW'!BK55/1000</f>
        <v>1125915.12679441</v>
      </c>
      <c r="F37" s="444" t="n">
        <f aca="false">+'DG M&amp;A-SPA_POSN'!D23</f>
        <v>807.98</v>
      </c>
      <c r="G37" s="326" t="n">
        <f aca="false">E37*F37*1.1/1470</f>
        <v>680740.540518423</v>
      </c>
      <c r="H37" s="318" t="n">
        <f aca="false">+I37+K37+P37</f>
        <v>0</v>
      </c>
      <c r="I37" s="447"/>
      <c r="J37" s="314"/>
      <c r="K37" s="318" t="n">
        <f aca="false">+M37+O37</f>
        <v>0</v>
      </c>
      <c r="L37" s="347"/>
      <c r="M37" s="437"/>
      <c r="N37" s="347"/>
      <c r="O37" s="445"/>
      <c r="P37" s="318" t="n">
        <f aca="false">+R37+T37</f>
        <v>0</v>
      </c>
      <c r="Q37" s="347"/>
      <c r="R37" s="437"/>
      <c r="S37" s="443"/>
      <c r="T37" s="437"/>
      <c r="V37" s="349" t="n">
        <f aca="false">+I37+K37+P37=E37*F37*1.1</f>
        <v>0</v>
      </c>
      <c r="W37" s="323"/>
    </row>
    <row r="38" customFormat="false" ht="16.5" hidden="false" customHeight="true" outlineLevel="0" collapsed="false">
      <c r="B38" s="433"/>
      <c r="C38" s="433"/>
      <c r="D38" s="309" t="str">
        <f aca="false">+'DG M&amp;A-SPA_POSN'!C29</f>
        <v>POS-8</v>
      </c>
      <c r="E38" s="446" t="n">
        <f aca="false">+'PAYMENT RATIO_RAW'!BK56/1000</f>
        <v>1125915.12959614</v>
      </c>
      <c r="F38" s="335" t="n">
        <f aca="false">+'DG M&amp;A-SPA_POSN'!D29</f>
        <v>249.92</v>
      </c>
      <c r="G38" s="448" t="n">
        <f aca="false">E38*F38*1.1/1470</f>
        <v>210562.97966499</v>
      </c>
      <c r="H38" s="318" t="n">
        <f aca="false">+I38+K38+P38</f>
        <v>0</v>
      </c>
      <c r="I38" s="318"/>
      <c r="J38" s="314"/>
      <c r="K38" s="318" t="n">
        <f aca="false">+M38+O38</f>
        <v>0</v>
      </c>
      <c r="L38" s="347"/>
      <c r="M38" s="318"/>
      <c r="N38" s="331"/>
      <c r="O38" s="318"/>
      <c r="P38" s="318" t="n">
        <f aca="false">+R38+T38</f>
        <v>0</v>
      </c>
      <c r="Q38" s="331"/>
      <c r="R38" s="318"/>
      <c r="S38" s="333"/>
      <c r="T38" s="318"/>
      <c r="V38" s="349" t="n">
        <f aca="false">+I38+K38+P38=E38*F38*1.1</f>
        <v>0</v>
      </c>
      <c r="W38" s="323" t="n">
        <f aca="false">+E38*F38*1.1=I38+M38+O38+R38+T38</f>
        <v>0</v>
      </c>
    </row>
    <row r="39" customFormat="false" ht="16.5" hidden="false" customHeight="true" outlineLevel="0" collapsed="false">
      <c r="B39" s="433"/>
      <c r="C39" s="433"/>
      <c r="D39" s="337" t="s">
        <v>109</v>
      </c>
      <c r="E39" s="337"/>
      <c r="F39" s="339" t="n">
        <f aca="false">+SUM(F35:F38)</f>
        <v>1543.54</v>
      </c>
      <c r="G39" s="340" t="n">
        <f aca="false">+SUM(G35:G38)</f>
        <v>1300465.67362243</v>
      </c>
      <c r="H39" s="341" t="n">
        <f aca="false">H40/1470</f>
        <v>0</v>
      </c>
      <c r="I39" s="341" t="n">
        <f aca="false">I40/1470</f>
        <v>0</v>
      </c>
      <c r="J39" s="341" t="n">
        <f aca="false">J40/1470</f>
        <v>378254.363877551</v>
      </c>
      <c r="K39" s="341" t="n">
        <f aca="false">K40/1470</f>
        <v>0</v>
      </c>
      <c r="L39" s="347"/>
      <c r="M39" s="345" t="n">
        <f aca="false">M40/1470</f>
        <v>0</v>
      </c>
      <c r="N39" s="347"/>
      <c r="O39" s="341" t="n">
        <f aca="false">O40/1470</f>
        <v>0</v>
      </c>
      <c r="P39" s="345" t="n">
        <f aca="false">P40/1470</f>
        <v>0</v>
      </c>
      <c r="Q39" s="347"/>
      <c r="R39" s="341" t="n">
        <f aca="false">R40/1470</f>
        <v>0</v>
      </c>
      <c r="S39" s="443"/>
      <c r="T39" s="341" t="n">
        <f aca="false">T40/1470</f>
        <v>0</v>
      </c>
      <c r="V39" s="443"/>
      <c r="W39" s="323"/>
    </row>
    <row r="40" customFormat="false" ht="16.5" hidden="false" customHeight="true" outlineLevel="0" collapsed="false">
      <c r="B40" s="433"/>
      <c r="C40" s="308"/>
      <c r="D40" s="337"/>
      <c r="E40" s="337"/>
      <c r="F40" s="339"/>
      <c r="G40" s="340"/>
      <c r="H40" s="351" t="n">
        <f aca="false">+SUM(H35:H38)</f>
        <v>0</v>
      </c>
      <c r="I40" s="351" t="n">
        <f aca="false">+SUM(I35:I38)</f>
        <v>0</v>
      </c>
      <c r="J40" s="351" t="n">
        <f aca="false">+Summary!E7</f>
        <v>556033914.9</v>
      </c>
      <c r="K40" s="351" t="n">
        <f aca="false">+SUM(K35:K38)</f>
        <v>0</v>
      </c>
      <c r="L40" s="356"/>
      <c r="M40" s="351" t="n">
        <f aca="false">+SUM(M35:M38)</f>
        <v>0</v>
      </c>
      <c r="N40" s="356"/>
      <c r="O40" s="351" t="n">
        <f aca="false">+SUM(O35:O38)</f>
        <v>0</v>
      </c>
      <c r="P40" s="351" t="n">
        <f aca="false">+SUM(P35:P38)</f>
        <v>0</v>
      </c>
      <c r="Q40" s="356"/>
      <c r="R40" s="351" t="n">
        <f aca="false">+SUM(R35:R38)</f>
        <v>0</v>
      </c>
      <c r="S40" s="357"/>
      <c r="T40" s="351" t="n">
        <f aca="false">+SUM(T35:T38)</f>
        <v>0</v>
      </c>
      <c r="V40" s="357" t="e">
        <f aca="false">+#REF!=H40</f>
        <v>#REF!</v>
      </c>
      <c r="W40" s="323"/>
    </row>
    <row r="41" customFormat="false" ht="16.5" hidden="false" customHeight="true" outlineLevel="0" collapsed="false">
      <c r="B41" s="433"/>
      <c r="C41" s="308" t="s">
        <v>259</v>
      </c>
      <c r="D41" s="308"/>
      <c r="E41" s="308"/>
      <c r="F41" s="449" t="n">
        <f aca="false">+F19+F27+F33</f>
        <v>14369.04</v>
      </c>
      <c r="G41" s="450" t="n">
        <f aca="false">+G33+G27+G19</f>
        <v>11289960</v>
      </c>
      <c r="H41" s="451" t="n">
        <f aca="false">H42/1470</f>
        <v>0</v>
      </c>
      <c r="I41" s="451" t="n">
        <f aca="false">I42/1470</f>
        <v>0</v>
      </c>
      <c r="J41" s="451" t="n">
        <f aca="false">J42/1470</f>
        <v>0</v>
      </c>
      <c r="K41" s="451" t="n">
        <f aca="false">K42/1470</f>
        <v>0</v>
      </c>
      <c r="L41" s="451"/>
      <c r="M41" s="451" t="n">
        <f aca="false">M42/1470</f>
        <v>0</v>
      </c>
      <c r="N41" s="451"/>
      <c r="O41" s="451" t="n">
        <f aca="false">O42/1470</f>
        <v>0</v>
      </c>
      <c r="P41" s="451" t="n">
        <f aca="false">P42/1470</f>
        <v>0</v>
      </c>
      <c r="Q41" s="451"/>
      <c r="R41" s="451" t="n">
        <f aca="false">R42/1470</f>
        <v>0</v>
      </c>
      <c r="S41" s="451"/>
      <c r="T41" s="451" t="n">
        <f aca="false">T42/1470</f>
        <v>0</v>
      </c>
      <c r="V41" s="360"/>
      <c r="W41" s="323"/>
    </row>
    <row r="42" customFormat="false" ht="16.5" hidden="false" customHeight="true" outlineLevel="0" collapsed="false">
      <c r="B42" s="433"/>
      <c r="C42" s="308"/>
      <c r="D42" s="308"/>
      <c r="E42" s="308"/>
      <c r="F42" s="449"/>
      <c r="G42" s="450"/>
      <c r="H42" s="452" t="n">
        <f aca="false">+H20+H28+H34</f>
        <v>0</v>
      </c>
      <c r="I42" s="452" t="n">
        <f aca="false">+I20+I28+I34</f>
        <v>0</v>
      </c>
      <c r="J42" s="452" t="n">
        <f aca="false">+J20+J28+J34</f>
        <v>0</v>
      </c>
      <c r="K42" s="452" t="n">
        <f aca="false">+K20+K28+K34</f>
        <v>0</v>
      </c>
      <c r="L42" s="452"/>
      <c r="M42" s="452" t="n">
        <f aca="false">+M20+M28+M34</f>
        <v>0</v>
      </c>
      <c r="N42" s="452"/>
      <c r="O42" s="452" t="n">
        <f aca="false">+O20+O28+O34</f>
        <v>0</v>
      </c>
      <c r="P42" s="452" t="n">
        <f aca="false">+P20+P28+P34</f>
        <v>0</v>
      </c>
      <c r="Q42" s="452"/>
      <c r="R42" s="452" t="n">
        <f aca="false">+R20+R28+R34</f>
        <v>0</v>
      </c>
      <c r="S42" s="452"/>
      <c r="T42" s="452" t="n">
        <f aca="false">+T20+T28+T34</f>
        <v>0</v>
      </c>
      <c r="V42" s="360"/>
      <c r="W42" s="323"/>
    </row>
    <row r="43" customFormat="false" ht="16.5" hidden="false" customHeight="true" outlineLevel="0" collapsed="false">
      <c r="B43" s="433"/>
      <c r="C43" s="433" t="s">
        <v>258</v>
      </c>
      <c r="D43" s="433"/>
      <c r="E43" s="433"/>
      <c r="F43" s="449" t="n">
        <f aca="false">+F39</f>
        <v>1543.54</v>
      </c>
      <c r="G43" s="450" t="n">
        <f aca="false">+G39</f>
        <v>1300465.67362243</v>
      </c>
      <c r="H43" s="451" t="n">
        <f aca="false">H44/1470</f>
        <v>0</v>
      </c>
      <c r="I43" s="451" t="n">
        <f aca="false">I44/1470</f>
        <v>0</v>
      </c>
      <c r="J43" s="451" t="n">
        <f aca="false">J44/1470</f>
        <v>378254.363877551</v>
      </c>
      <c r="K43" s="451" t="n">
        <f aca="false">K44/1470</f>
        <v>0</v>
      </c>
      <c r="L43" s="451"/>
      <c r="M43" s="451" t="n">
        <f aca="false">M44/1470</f>
        <v>0</v>
      </c>
      <c r="N43" s="451"/>
      <c r="O43" s="451" t="n">
        <f aca="false">O44/1470</f>
        <v>0</v>
      </c>
      <c r="P43" s="451" t="n">
        <f aca="false">P44/1470</f>
        <v>0</v>
      </c>
      <c r="Q43" s="451"/>
      <c r="R43" s="451" t="n">
        <f aca="false">R44/1470</f>
        <v>0</v>
      </c>
      <c r="S43" s="451"/>
      <c r="T43" s="451" t="n">
        <f aca="false">T44/1470</f>
        <v>0</v>
      </c>
      <c r="V43" s="360"/>
      <c r="W43" s="323"/>
    </row>
    <row r="44" customFormat="false" ht="16.5" hidden="false" customHeight="true" outlineLevel="0" collapsed="false">
      <c r="B44" s="433"/>
      <c r="C44" s="433"/>
      <c r="D44" s="433"/>
      <c r="E44" s="433"/>
      <c r="F44" s="449"/>
      <c r="G44" s="450"/>
      <c r="H44" s="452" t="n">
        <f aca="false">+H40</f>
        <v>0</v>
      </c>
      <c r="I44" s="452" t="n">
        <f aca="false">+I40</f>
        <v>0</v>
      </c>
      <c r="J44" s="452" t="n">
        <f aca="false">+J40</f>
        <v>556033914.9</v>
      </c>
      <c r="K44" s="452" t="n">
        <f aca="false">+K40</f>
        <v>0</v>
      </c>
      <c r="L44" s="452"/>
      <c r="M44" s="452" t="n">
        <f aca="false">+M40</f>
        <v>0</v>
      </c>
      <c r="N44" s="452"/>
      <c r="O44" s="452" t="n">
        <f aca="false">+O40</f>
        <v>0</v>
      </c>
      <c r="P44" s="452" t="n">
        <f aca="false">+P40</f>
        <v>0</v>
      </c>
      <c r="Q44" s="452"/>
      <c r="R44" s="452" t="n">
        <f aca="false">+R40</f>
        <v>0</v>
      </c>
      <c r="S44" s="452"/>
      <c r="T44" s="452" t="n">
        <f aca="false">+T40</f>
        <v>0</v>
      </c>
      <c r="V44" s="360"/>
      <c r="W44" s="323"/>
    </row>
    <row r="45" customFormat="false" ht="16.5" hidden="false" customHeight="true" outlineLevel="0" collapsed="false">
      <c r="B45" s="361" t="s">
        <v>109</v>
      </c>
      <c r="C45" s="361"/>
      <c r="D45" s="361"/>
      <c r="E45" s="361"/>
      <c r="F45" s="363" t="n">
        <f aca="false">+F41+F43</f>
        <v>15912.58</v>
      </c>
      <c r="G45" s="364" t="n">
        <f aca="false">+G41+G43</f>
        <v>12590425.6736224</v>
      </c>
      <c r="H45" s="451" t="n">
        <f aca="false">H46/1470</f>
        <v>0</v>
      </c>
      <c r="I45" s="451" t="n">
        <f aca="false">I46/1470</f>
        <v>0</v>
      </c>
      <c r="J45" s="451" t="n">
        <f aca="false">J46/1470</f>
        <v>378254.363877551</v>
      </c>
      <c r="K45" s="451" t="n">
        <f aca="false">K46/1470</f>
        <v>0</v>
      </c>
      <c r="L45" s="451"/>
      <c r="M45" s="451" t="n">
        <f aca="false">M46/1470</f>
        <v>0</v>
      </c>
      <c r="N45" s="451"/>
      <c r="O45" s="451" t="n">
        <f aca="false">O46/1470</f>
        <v>0</v>
      </c>
      <c r="P45" s="451" t="n">
        <f aca="false">P46/1470</f>
        <v>0</v>
      </c>
      <c r="Q45" s="451"/>
      <c r="R45" s="451" t="n">
        <f aca="false">R46/1470</f>
        <v>0</v>
      </c>
      <c r="S45" s="451"/>
      <c r="T45" s="451" t="n">
        <f aca="false">T46/1470</f>
        <v>0</v>
      </c>
      <c r="V45" s="360"/>
      <c r="W45" s="323"/>
    </row>
    <row r="46" customFormat="false" ht="16.5" hidden="false" customHeight="true" outlineLevel="0" collapsed="false">
      <c r="B46" s="361"/>
      <c r="C46" s="361"/>
      <c r="D46" s="361"/>
      <c r="E46" s="361"/>
      <c r="F46" s="363"/>
      <c r="G46" s="364"/>
      <c r="H46" s="453" t="n">
        <f aca="false">+H44+H42</f>
        <v>0</v>
      </c>
      <c r="I46" s="453" t="n">
        <f aca="false">+I44+I42</f>
        <v>0</v>
      </c>
      <c r="J46" s="453" t="n">
        <f aca="false">+J44+J42</f>
        <v>556033914.9</v>
      </c>
      <c r="K46" s="453" t="n">
        <f aca="false">+K44+K42</f>
        <v>0</v>
      </c>
      <c r="L46" s="453"/>
      <c r="M46" s="453" t="n">
        <f aca="false">+M44+M42</f>
        <v>0</v>
      </c>
      <c r="N46" s="453"/>
      <c r="O46" s="453" t="n">
        <f aca="false">+O44+O42</f>
        <v>0</v>
      </c>
      <c r="P46" s="453" t="n">
        <f aca="false">+P44+P42</f>
        <v>0</v>
      </c>
      <c r="Q46" s="453"/>
      <c r="R46" s="453" t="n">
        <f aca="false">+R44+R42</f>
        <v>0</v>
      </c>
      <c r="S46" s="453"/>
      <c r="T46" s="453" t="n">
        <f aca="false">+T44+T42</f>
        <v>0</v>
      </c>
      <c r="V46" s="454"/>
      <c r="W46" s="323"/>
    </row>
    <row r="47" s="257" customFormat="true" ht="16.5" hidden="false" customHeight="true" outlineLevel="0" collapsed="false">
      <c r="J47" s="323"/>
      <c r="Q47" s="150"/>
    </row>
    <row r="48" s="257" customFormat="true" ht="16.5" hidden="false" customHeight="true" outlineLevel="0" collapsed="false">
      <c r="I48" s="323"/>
      <c r="J48" s="323"/>
      <c r="Q48" s="150"/>
    </row>
    <row r="49" s="257" customFormat="true" ht="16.5" hidden="false" customHeight="true" outlineLevel="0" collapsed="false">
      <c r="I49" s="323"/>
      <c r="J49" s="323"/>
      <c r="M49" s="323"/>
      <c r="O49" s="323"/>
      <c r="Q49" s="150"/>
      <c r="R49" s="323"/>
      <c r="T49" s="323"/>
    </row>
    <row r="50" s="257" customFormat="true" ht="16.5" hidden="false" customHeight="true" outlineLevel="0" collapsed="false">
      <c r="I50" s="323"/>
      <c r="J50" s="387"/>
      <c r="M50" s="323"/>
      <c r="Q50" s="150"/>
      <c r="T50" s="323"/>
    </row>
    <row r="51" s="257" customFormat="true" ht="16.5" hidden="false" customHeight="true" outlineLevel="0" collapsed="false">
      <c r="I51" s="323"/>
      <c r="J51" s="387"/>
      <c r="M51" s="391"/>
      <c r="Q51" s="150"/>
    </row>
    <row r="52" s="257" customFormat="true" ht="16.5" hidden="false" customHeight="true" outlineLevel="0" collapsed="false">
      <c r="I52" s="387"/>
      <c r="Q52" s="150"/>
    </row>
    <row r="53" customFormat="false" ht="16.5" hidden="false" customHeight="true" outlineLevel="0" collapsed="false">
      <c r="F53" s="257"/>
    </row>
    <row r="54" customFormat="false" ht="16.5" hidden="false" customHeight="true" outlineLevel="0" collapsed="false">
      <c r="F54" s="257"/>
    </row>
    <row r="55" customFormat="false" ht="16.5" hidden="false" customHeight="true" outlineLevel="0" collapsed="false">
      <c r="F55" s="257"/>
    </row>
    <row r="56" customFormat="false" ht="16.5" hidden="false" customHeight="true" outlineLevel="0" collapsed="false">
      <c r="F56" s="257"/>
    </row>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sheetData>
  <mergeCells count="43">
    <mergeCell ref="B9:B10"/>
    <mergeCell ref="C9:C10"/>
    <mergeCell ref="D9:D10"/>
    <mergeCell ref="E9:E10"/>
    <mergeCell ref="F9:F10"/>
    <mergeCell ref="G9:G10"/>
    <mergeCell ref="H9:H10"/>
    <mergeCell ref="I9:I10"/>
    <mergeCell ref="J9:J10"/>
    <mergeCell ref="K9:K10"/>
    <mergeCell ref="L9:M9"/>
    <mergeCell ref="N9:O9"/>
    <mergeCell ref="P9:P10"/>
    <mergeCell ref="Q9:R9"/>
    <mergeCell ref="S9:T10"/>
    <mergeCell ref="V9:V10"/>
    <mergeCell ref="B11:B44"/>
    <mergeCell ref="C11:C20"/>
    <mergeCell ref="J11:J38"/>
    <mergeCell ref="D19:E20"/>
    <mergeCell ref="F19:F20"/>
    <mergeCell ref="G19:G20"/>
    <mergeCell ref="C21:C28"/>
    <mergeCell ref="D27:E28"/>
    <mergeCell ref="F27:F28"/>
    <mergeCell ref="G27:G28"/>
    <mergeCell ref="C29:C34"/>
    <mergeCell ref="D33:E34"/>
    <mergeCell ref="F33:F34"/>
    <mergeCell ref="G33:G34"/>
    <mergeCell ref="C35:C40"/>
    <mergeCell ref="D39:E40"/>
    <mergeCell ref="F39:F40"/>
    <mergeCell ref="G39:G40"/>
    <mergeCell ref="C41:E42"/>
    <mergeCell ref="F41:F42"/>
    <mergeCell ref="G41:G42"/>
    <mergeCell ref="C43:E44"/>
    <mergeCell ref="F43:F44"/>
    <mergeCell ref="G43:G44"/>
    <mergeCell ref="B45:E46"/>
    <mergeCell ref="F45:F46"/>
    <mergeCell ref="G45:G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6" topLeftCell="D7" activePane="bottomRight" state="frozen"/>
      <selection pane="topLeft" activeCell="A1" activeCellId="0" sqref="A1"/>
      <selection pane="topRight" activeCell="D1" activeCellId="0" sqref="D1"/>
      <selection pane="bottomLeft" activeCell="A7" activeCellId="0" sqref="A7"/>
      <selection pane="bottomRight" activeCell="G29" activeCellId="0" sqref="G29"/>
    </sheetView>
  </sheetViews>
  <sheetFormatPr defaultColWidth="9.125" defaultRowHeight="12.75" zeroHeight="false" outlineLevelRow="2" outlineLevelCol="0"/>
  <cols>
    <col collapsed="false" customWidth="true" hidden="false" outlineLevel="0" max="1" min="1" style="455" width="3"/>
    <col collapsed="false" customWidth="true" hidden="false" outlineLevel="0" max="2" min="2" style="455" width="26.88"/>
    <col collapsed="false" customWidth="true" hidden="false" outlineLevel="0" max="3" min="3" style="456" width="54.75"/>
    <col collapsed="false" customWidth="true" hidden="false" outlineLevel="0" max="4" min="4" style="455" width="29.37"/>
    <col collapsed="false" customWidth="true" hidden="false" outlineLevel="0" max="14" min="5" style="455" width="15.75"/>
    <col collapsed="false" customWidth="true" hidden="true" outlineLevel="0" max="15" min="15" style="455" width="15.75"/>
    <col collapsed="false" customWidth="true" hidden="false" outlineLevel="0" max="17" min="16" style="455" width="15.75"/>
    <col collapsed="false" customWidth="true" hidden="true" outlineLevel="0" max="23" min="18" style="455" width="15.75"/>
    <col collapsed="false" customWidth="false" hidden="false" outlineLevel="0" max="16384" min="24" style="455" width="9.12"/>
  </cols>
  <sheetData>
    <row r="1" s="458" customFormat="true" ht="13.8" hidden="false" customHeight="false" outlineLevel="0" collapsed="false">
      <c r="A1" s="457" t="s">
        <v>260</v>
      </c>
      <c r="C1" s="459"/>
    </row>
    <row r="2" s="458" customFormat="true" ht="37.5" hidden="false" customHeight="true" outlineLevel="0" collapsed="false">
      <c r="B2" s="460"/>
      <c r="C2" s="461"/>
      <c r="D2" s="462"/>
      <c r="E2" s="463" t="s">
        <v>261</v>
      </c>
      <c r="F2" s="463" t="s">
        <v>262</v>
      </c>
      <c r="G2" s="463" t="s">
        <v>263</v>
      </c>
      <c r="H2" s="463" t="s">
        <v>264</v>
      </c>
      <c r="I2" s="463" t="s">
        <v>265</v>
      </c>
      <c r="J2" s="463" t="s">
        <v>266</v>
      </c>
      <c r="K2" s="463" t="s">
        <v>267</v>
      </c>
      <c r="L2" s="463" t="s">
        <v>268</v>
      </c>
      <c r="M2" s="463" t="s">
        <v>269</v>
      </c>
      <c r="N2" s="463" t="s">
        <v>270</v>
      </c>
      <c r="O2" s="463" t="s">
        <v>270</v>
      </c>
      <c r="R2" s="463" t="s">
        <v>261</v>
      </c>
      <c r="S2" s="463" t="s">
        <v>262</v>
      </c>
      <c r="T2" s="463" t="s">
        <v>263</v>
      </c>
      <c r="U2" s="463" t="s">
        <v>264</v>
      </c>
      <c r="V2" s="463" t="s">
        <v>265</v>
      </c>
      <c r="W2" s="463" t="s">
        <v>266</v>
      </c>
    </row>
    <row r="3" s="458" customFormat="true" ht="27.75" hidden="false" customHeight="true" outlineLevel="0" collapsed="false">
      <c r="B3" s="464" t="s">
        <v>271</v>
      </c>
      <c r="C3" s="465"/>
      <c r="D3" s="464"/>
      <c r="E3" s="466"/>
      <c r="F3" s="466"/>
      <c r="G3" s="466"/>
      <c r="H3" s="466"/>
      <c r="I3" s="466"/>
      <c r="J3" s="466"/>
      <c r="K3" s="466"/>
      <c r="L3" s="466"/>
      <c r="M3" s="466"/>
      <c r="N3" s="466"/>
      <c r="O3" s="466"/>
      <c r="R3" s="466"/>
      <c r="S3" s="466"/>
      <c r="T3" s="466"/>
      <c r="U3" s="466"/>
      <c r="V3" s="466"/>
      <c r="W3" s="466"/>
    </row>
    <row r="4" s="458" customFormat="true" ht="13.8" hidden="false" customHeight="false" outlineLevel="1" collapsed="false">
      <c r="B4" s="460"/>
      <c r="C4" s="461"/>
      <c r="D4" s="462"/>
      <c r="E4" s="467"/>
      <c r="F4" s="467"/>
      <c r="G4" s="468"/>
      <c r="H4" s="467"/>
      <c r="I4" s="467"/>
      <c r="J4" s="467"/>
      <c r="K4" s="467"/>
      <c r="L4" s="467"/>
      <c r="N4" s="469" t="s">
        <v>272</v>
      </c>
      <c r="R4" s="467"/>
      <c r="S4" s="467"/>
      <c r="T4" s="467"/>
      <c r="U4" s="467"/>
      <c r="V4" s="467"/>
      <c r="W4" s="467"/>
    </row>
    <row r="5" customFormat="false" ht="33" hidden="false" customHeight="true" outlineLevel="1" collapsed="false">
      <c r="B5" s="470" t="s">
        <v>273</v>
      </c>
      <c r="C5" s="471" t="s">
        <v>274</v>
      </c>
      <c r="D5" s="472"/>
      <c r="E5" s="473" t="s">
        <v>275</v>
      </c>
      <c r="F5" s="473" t="s">
        <v>276</v>
      </c>
      <c r="G5" s="473" t="s">
        <v>277</v>
      </c>
      <c r="H5" s="473" t="s">
        <v>278</v>
      </c>
      <c r="I5" s="473" t="s">
        <v>279</v>
      </c>
      <c r="J5" s="473" t="s">
        <v>280</v>
      </c>
      <c r="K5" s="473" t="s">
        <v>136</v>
      </c>
      <c r="L5" s="473" t="s">
        <v>137</v>
      </c>
      <c r="M5" s="473" t="s">
        <v>281</v>
      </c>
      <c r="N5" s="473" t="s">
        <v>139</v>
      </c>
      <c r="O5" s="473"/>
      <c r="R5" s="473" t="n">
        <f aca="false">+'[3]BT 2HO'!R11</f>
        <v>0</v>
      </c>
      <c r="S5" s="473" t="n">
        <f aca="false">+'[3]BT 2HO'!R16</f>
        <v>0</v>
      </c>
      <c r="T5" s="473" t="n">
        <f aca="false">+'[3]BT 2HO'!R21</f>
        <v>0</v>
      </c>
      <c r="U5" s="473" t="n">
        <f aca="false">+'[3]BT 2HO'!R26</f>
        <v>0</v>
      </c>
      <c r="V5" s="473" t="n">
        <f aca="false">+'[3]BT 2HO'!R31</f>
        <v>0</v>
      </c>
      <c r="W5" s="473" t="n">
        <f aca="false">+'[3]BT 2HO'!R41</f>
        <v>0</v>
      </c>
    </row>
    <row r="6" customFormat="false" ht="24" hidden="false" customHeight="true" outlineLevel="1" collapsed="false">
      <c r="B6" s="470" t="s">
        <v>282</v>
      </c>
      <c r="C6" s="471" t="s">
        <v>274</v>
      </c>
      <c r="D6" s="472"/>
      <c r="E6" s="473" t="s">
        <v>283</v>
      </c>
      <c r="F6" s="473" t="s">
        <v>284</v>
      </c>
      <c r="G6" s="473" t="s">
        <v>285</v>
      </c>
      <c r="H6" s="473" t="s">
        <v>286</v>
      </c>
      <c r="I6" s="473" t="s">
        <v>287</v>
      </c>
      <c r="J6" s="473" t="s">
        <v>288</v>
      </c>
      <c r="K6" s="473" t="s">
        <v>136</v>
      </c>
      <c r="L6" s="473" t="s">
        <v>137</v>
      </c>
      <c r="M6" s="473" t="s">
        <v>281</v>
      </c>
      <c r="N6" s="473" t="s">
        <v>139</v>
      </c>
      <c r="O6" s="473"/>
      <c r="R6" s="473" t="n">
        <f aca="false">+R5</f>
        <v>0</v>
      </c>
      <c r="S6" s="473" t="n">
        <f aca="false">+S5</f>
        <v>0</v>
      </c>
      <c r="T6" s="473" t="n">
        <f aca="false">+T5</f>
        <v>0</v>
      </c>
      <c r="U6" s="473" t="n">
        <f aca="false">+U5</f>
        <v>0</v>
      </c>
      <c r="V6" s="473" t="n">
        <f aca="false">+V5</f>
        <v>0</v>
      </c>
      <c r="W6" s="473" t="n">
        <f aca="false">+W5</f>
        <v>0</v>
      </c>
    </row>
    <row r="7" customFormat="false" ht="14.25" hidden="false" customHeight="false" outlineLevel="1" collapsed="false">
      <c r="B7" s="470" t="s">
        <v>289</v>
      </c>
      <c r="C7" s="474" t="s">
        <v>290</v>
      </c>
      <c r="D7" s="475"/>
      <c r="E7" s="473" t="s">
        <v>291</v>
      </c>
      <c r="F7" s="473" t="s">
        <v>291</v>
      </c>
      <c r="G7" s="473" t="s">
        <v>291</v>
      </c>
      <c r="H7" s="473" t="s">
        <v>291</v>
      </c>
      <c r="I7" s="473" t="s">
        <v>291</v>
      </c>
      <c r="J7" s="473" t="s">
        <v>291</v>
      </c>
      <c r="K7" s="473" t="s">
        <v>291</v>
      </c>
      <c r="L7" s="473" t="s">
        <v>291</v>
      </c>
      <c r="M7" s="473" t="s">
        <v>291</v>
      </c>
      <c r="N7" s="473" t="s">
        <v>291</v>
      </c>
      <c r="O7" s="473" t="s">
        <v>291</v>
      </c>
      <c r="R7" s="473" t="s">
        <v>291</v>
      </c>
      <c r="S7" s="473" t="s">
        <v>291</v>
      </c>
      <c r="T7" s="473" t="s">
        <v>291</v>
      </c>
      <c r="U7" s="473" t="s">
        <v>291</v>
      </c>
      <c r="V7" s="473" t="s">
        <v>291</v>
      </c>
      <c r="W7" s="473" t="s">
        <v>291</v>
      </c>
    </row>
    <row r="8" customFormat="false" ht="28.35" hidden="false" customHeight="false" outlineLevel="2" collapsed="false">
      <c r="B8" s="470" t="s">
        <v>292</v>
      </c>
      <c r="C8" s="474" t="s">
        <v>293</v>
      </c>
      <c r="D8" s="475"/>
      <c r="E8" s="473" t="s">
        <v>294</v>
      </c>
      <c r="F8" s="473" t="s">
        <v>295</v>
      </c>
      <c r="G8" s="473" t="s">
        <v>296</v>
      </c>
      <c r="H8" s="473" t="s">
        <v>297</v>
      </c>
      <c r="I8" s="473" t="s">
        <v>297</v>
      </c>
      <c r="J8" s="473" t="s">
        <v>298</v>
      </c>
      <c r="K8" s="473" t="s">
        <v>299</v>
      </c>
      <c r="L8" s="473" t="s">
        <v>299</v>
      </c>
      <c r="M8" s="473" t="s">
        <v>299</v>
      </c>
      <c r="N8" s="473" t="s">
        <v>299</v>
      </c>
      <c r="O8" s="476"/>
      <c r="R8" s="477" t="s">
        <v>300</v>
      </c>
      <c r="S8" s="477" t="s">
        <v>300</v>
      </c>
      <c r="T8" s="477" t="s">
        <v>301</v>
      </c>
      <c r="U8" s="477" t="s">
        <v>302</v>
      </c>
      <c r="V8" s="477" t="s">
        <v>302</v>
      </c>
      <c r="W8" s="477" t="s">
        <v>302</v>
      </c>
    </row>
    <row r="9" customFormat="false" ht="14.25" hidden="false" customHeight="false" outlineLevel="2" collapsed="false">
      <c r="B9" s="470" t="s">
        <v>303</v>
      </c>
      <c r="C9" s="474" t="s">
        <v>290</v>
      </c>
      <c r="D9" s="475"/>
      <c r="E9" s="473" t="s">
        <v>304</v>
      </c>
      <c r="F9" s="473" t="s">
        <v>304</v>
      </c>
      <c r="G9" s="473" t="s">
        <v>304</v>
      </c>
      <c r="H9" s="473" t="s">
        <v>304</v>
      </c>
      <c r="I9" s="473" t="s">
        <v>304</v>
      </c>
      <c r="J9" s="473" t="s">
        <v>304</v>
      </c>
      <c r="K9" s="473" t="s">
        <v>304</v>
      </c>
      <c r="L9" s="473" t="s">
        <v>304</v>
      </c>
      <c r="M9" s="473" t="s">
        <v>304</v>
      </c>
      <c r="N9" s="473" t="s">
        <v>304</v>
      </c>
      <c r="O9" s="478" t="s">
        <v>304</v>
      </c>
      <c r="R9" s="478" t="s">
        <v>304</v>
      </c>
      <c r="S9" s="478" t="s">
        <v>304</v>
      </c>
      <c r="T9" s="478" t="s">
        <v>304</v>
      </c>
      <c r="U9" s="478" t="s">
        <v>304</v>
      </c>
      <c r="V9" s="478" t="s">
        <v>304</v>
      </c>
      <c r="W9" s="478" t="s">
        <v>304</v>
      </c>
    </row>
    <row r="10" customFormat="false" ht="14.25" hidden="false" customHeight="false" outlineLevel="2" collapsed="false">
      <c r="B10" s="470" t="s">
        <v>305</v>
      </c>
      <c r="C10" s="474" t="s">
        <v>290</v>
      </c>
      <c r="D10" s="472"/>
      <c r="E10" s="473" t="str">
        <f aca="false">+'[4]입력 시트(0124)'!E10</f>
        <v>RTB</v>
      </c>
      <c r="F10" s="473" t="str">
        <f aca="false">+'[4]입력 시트(0124)'!F10</f>
        <v>RTB</v>
      </c>
      <c r="G10" s="473" t="str">
        <f aca="false">+'[4]입력 시트(0124)'!G10</f>
        <v>RTB</v>
      </c>
      <c r="H10" s="473" t="str">
        <f aca="false">+'[4]입력 시트(0124)'!H10</f>
        <v>RTB</v>
      </c>
      <c r="I10" s="473" t="str">
        <f aca="false">+'[4]입력 시트(0124)'!I10</f>
        <v>RTB</v>
      </c>
      <c r="J10" s="473" t="str">
        <f aca="false">+'[4]입력 시트(0124)'!J10</f>
        <v>RTB</v>
      </c>
      <c r="K10" s="473" t="str">
        <f aca="false">+'[4]입력 시트(0124)'!K10</f>
        <v>RTB</v>
      </c>
      <c r="L10" s="473" t="str">
        <f aca="false">+'[4]입력 시트(0124)'!L10</f>
        <v>RTB</v>
      </c>
      <c r="M10" s="473" t="str">
        <f aca="false">+'[4]입력 시트(0124)'!M10</f>
        <v>RTB</v>
      </c>
      <c r="N10" s="473" t="str">
        <f aca="false">+'[4]입력 시트(0124)'!N10</f>
        <v>RTB</v>
      </c>
      <c r="O10" s="478" t="s">
        <v>306</v>
      </c>
      <c r="R10" s="478" t="s">
        <v>307</v>
      </c>
      <c r="S10" s="478" t="s">
        <v>307</v>
      </c>
      <c r="T10" s="478" t="s">
        <v>307</v>
      </c>
      <c r="U10" s="478" t="s">
        <v>307</v>
      </c>
      <c r="V10" s="478" t="s">
        <v>307</v>
      </c>
      <c r="W10" s="478" t="s">
        <v>306</v>
      </c>
    </row>
    <row r="11" customFormat="false" ht="29.25" hidden="false" customHeight="true" outlineLevel="1" collapsed="false">
      <c r="B11" s="470" t="s">
        <v>308</v>
      </c>
      <c r="C11" s="471" t="s">
        <v>309</v>
      </c>
      <c r="D11" s="471"/>
      <c r="E11" s="473" t="s">
        <v>310</v>
      </c>
      <c r="F11" s="473" t="s">
        <v>310</v>
      </c>
      <c r="G11" s="473" t="s">
        <v>310</v>
      </c>
      <c r="H11" s="473" t="s">
        <v>310</v>
      </c>
      <c r="I11" s="473" t="s">
        <v>310</v>
      </c>
      <c r="J11" s="473" t="s">
        <v>310</v>
      </c>
      <c r="K11" s="473" t="s">
        <v>310</v>
      </c>
      <c r="L11" s="473" t="s">
        <v>310</v>
      </c>
      <c r="M11" s="473" t="s">
        <v>310</v>
      </c>
      <c r="N11" s="473" t="s">
        <v>310</v>
      </c>
      <c r="O11" s="473" t="s">
        <v>311</v>
      </c>
      <c r="R11" s="473" t="s">
        <v>311</v>
      </c>
      <c r="S11" s="473" t="s">
        <v>311</v>
      </c>
      <c r="T11" s="473" t="s">
        <v>311</v>
      </c>
      <c r="U11" s="473" t="s">
        <v>311</v>
      </c>
      <c r="V11" s="473" t="s">
        <v>311</v>
      </c>
      <c r="W11" s="473" t="s">
        <v>311</v>
      </c>
    </row>
    <row r="12" customFormat="false" ht="22.5" hidden="false" customHeight="true" outlineLevel="2" collapsed="false">
      <c r="B12" s="470" t="s">
        <v>312</v>
      </c>
      <c r="C12" s="471" t="s">
        <v>313</v>
      </c>
      <c r="D12" s="471"/>
      <c r="E12" s="473" t="s">
        <v>314</v>
      </c>
      <c r="F12" s="473" t="s">
        <v>314</v>
      </c>
      <c r="G12" s="473" t="s">
        <v>314</v>
      </c>
      <c r="H12" s="473" t="s">
        <v>314</v>
      </c>
      <c r="I12" s="473" t="s">
        <v>314</v>
      </c>
      <c r="J12" s="473" t="s">
        <v>314</v>
      </c>
      <c r="K12" s="473" t="s">
        <v>314</v>
      </c>
      <c r="L12" s="473" t="s">
        <v>314</v>
      </c>
      <c r="M12" s="473" t="s">
        <v>314</v>
      </c>
      <c r="N12" s="473" t="s">
        <v>314</v>
      </c>
      <c r="O12" s="473" t="s">
        <v>314</v>
      </c>
      <c r="R12" s="473" t="s">
        <v>314</v>
      </c>
      <c r="S12" s="473" t="s">
        <v>314</v>
      </c>
      <c r="T12" s="473" t="s">
        <v>314</v>
      </c>
      <c r="U12" s="473" t="s">
        <v>314</v>
      </c>
      <c r="V12" s="473" t="s">
        <v>314</v>
      </c>
      <c r="W12" s="473" t="s">
        <v>314</v>
      </c>
    </row>
    <row r="13" customFormat="false" ht="12.75" hidden="false" customHeight="false" outlineLevel="2" collapsed="false">
      <c r="B13" s="470"/>
      <c r="C13" s="474"/>
      <c r="D13" s="475"/>
      <c r="E13" s="479"/>
      <c r="F13" s="479"/>
      <c r="G13" s="479"/>
      <c r="H13" s="479"/>
      <c r="I13" s="479"/>
      <c r="J13" s="479"/>
      <c r="K13" s="479"/>
      <c r="L13" s="479"/>
      <c r="M13" s="479"/>
      <c r="N13" s="479"/>
      <c r="O13" s="479"/>
      <c r="R13" s="479"/>
      <c r="S13" s="479"/>
      <c r="T13" s="479"/>
      <c r="U13" s="479"/>
      <c r="V13" s="479"/>
      <c r="W13" s="479"/>
    </row>
    <row r="14" customFormat="false" ht="14.25" hidden="false" customHeight="false" outlineLevel="2" collapsed="false">
      <c r="B14" s="470" t="s">
        <v>97</v>
      </c>
      <c r="C14" s="474" t="s">
        <v>315</v>
      </c>
      <c r="D14" s="475"/>
      <c r="E14" s="473" t="s">
        <v>104</v>
      </c>
      <c r="F14" s="473" t="s">
        <v>104</v>
      </c>
      <c r="G14" s="473" t="s">
        <v>104</v>
      </c>
      <c r="H14" s="473" t="s">
        <v>104</v>
      </c>
      <c r="I14" s="473" t="s">
        <v>104</v>
      </c>
      <c r="J14" s="473" t="s">
        <v>104</v>
      </c>
      <c r="K14" s="473" t="s">
        <v>104</v>
      </c>
      <c r="L14" s="473" t="s">
        <v>104</v>
      </c>
      <c r="M14" s="473" t="s">
        <v>104</v>
      </c>
      <c r="N14" s="473" t="s">
        <v>104</v>
      </c>
      <c r="O14" s="473" t="s">
        <v>104</v>
      </c>
      <c r="R14" s="473" t="s">
        <v>104</v>
      </c>
      <c r="S14" s="473" t="s">
        <v>104</v>
      </c>
      <c r="T14" s="473" t="s">
        <v>104</v>
      </c>
      <c r="U14" s="473" t="s">
        <v>104</v>
      </c>
      <c r="V14" s="473" t="s">
        <v>104</v>
      </c>
      <c r="W14" s="473" t="s">
        <v>104</v>
      </c>
    </row>
    <row r="15" s="458" customFormat="true" ht="13.8" hidden="false" customHeight="false" outlineLevel="1" collapsed="false">
      <c r="C15" s="459"/>
    </row>
    <row r="16" customFormat="false" ht="14.25" hidden="false" customHeight="false" outlineLevel="2" collapsed="false">
      <c r="B16" s="470" t="s">
        <v>316</v>
      </c>
      <c r="C16" s="471" t="s">
        <v>317</v>
      </c>
      <c r="D16" s="472"/>
      <c r="E16" s="473" t="n">
        <v>46143</v>
      </c>
      <c r="F16" s="473" t="n">
        <v>46143</v>
      </c>
      <c r="G16" s="473" t="n">
        <v>46143</v>
      </c>
      <c r="H16" s="473" t="n">
        <v>46143</v>
      </c>
      <c r="I16" s="473" t="n">
        <v>46143</v>
      </c>
      <c r="J16" s="473" t="n">
        <v>46143</v>
      </c>
      <c r="K16" s="473" t="n">
        <v>46266</v>
      </c>
      <c r="L16" s="473" t="n">
        <v>46266</v>
      </c>
      <c r="M16" s="473" t="n">
        <v>46266</v>
      </c>
      <c r="N16" s="473" t="n">
        <v>46266</v>
      </c>
      <c r="O16" s="473" t="n">
        <v>46022</v>
      </c>
      <c r="R16" s="473" t="n">
        <v>45962</v>
      </c>
      <c r="S16" s="473" t="n">
        <v>45962</v>
      </c>
      <c r="T16" s="473" t="n">
        <v>45962</v>
      </c>
      <c r="U16" s="473" t="n">
        <v>45962</v>
      </c>
      <c r="V16" s="473" t="n">
        <v>45962</v>
      </c>
      <c r="W16" s="473" t="n">
        <v>46022</v>
      </c>
    </row>
    <row r="17" customFormat="false" ht="14.25" hidden="false" customHeight="false" outlineLevel="2" collapsed="false">
      <c r="B17" s="470" t="s">
        <v>318</v>
      </c>
      <c r="C17" s="471" t="s">
        <v>319</v>
      </c>
      <c r="D17" s="472"/>
      <c r="E17" s="480" t="n">
        <v>5</v>
      </c>
      <c r="F17" s="480" t="n">
        <v>5</v>
      </c>
      <c r="G17" s="480" t="n">
        <v>5</v>
      </c>
      <c r="H17" s="480" t="n">
        <v>5</v>
      </c>
      <c r="I17" s="480" t="n">
        <v>5</v>
      </c>
      <c r="J17" s="480" t="n">
        <v>5</v>
      </c>
      <c r="K17" s="480" t="n">
        <v>5</v>
      </c>
      <c r="L17" s="480" t="n">
        <v>5</v>
      </c>
      <c r="M17" s="480" t="n">
        <v>5</v>
      </c>
      <c r="N17" s="480" t="n">
        <v>5</v>
      </c>
      <c r="O17" s="480" t="n">
        <v>5</v>
      </c>
      <c r="R17" s="480" t="n">
        <v>5</v>
      </c>
      <c r="S17" s="480" t="n">
        <v>5</v>
      </c>
      <c r="T17" s="480" t="n">
        <v>5</v>
      </c>
      <c r="U17" s="480" t="n">
        <v>5</v>
      </c>
      <c r="V17" s="480" t="n">
        <v>5</v>
      </c>
      <c r="W17" s="480" t="n">
        <v>5</v>
      </c>
    </row>
    <row r="18" customFormat="false" ht="14.25" hidden="false" customHeight="false" outlineLevel="2" collapsed="false">
      <c r="B18" s="470" t="s">
        <v>320</v>
      </c>
      <c r="C18" s="471"/>
      <c r="D18" s="472"/>
      <c r="E18" s="473" t="n">
        <f aca="false">+EDATE(E16,2)</f>
        <v>46204</v>
      </c>
      <c r="F18" s="473" t="n">
        <f aca="false">+EDATE(F16,2)</f>
        <v>46204</v>
      </c>
      <c r="G18" s="473" t="n">
        <f aca="false">+EDATE(G16,2)</f>
        <v>46204</v>
      </c>
      <c r="H18" s="473" t="n">
        <f aca="false">+EDATE(H16,2)</f>
        <v>46204</v>
      </c>
      <c r="I18" s="473" t="n">
        <f aca="false">+EDATE(I16,2)</f>
        <v>46204</v>
      </c>
      <c r="J18" s="473" t="n">
        <f aca="false">+EDATE(J16,2)</f>
        <v>46204</v>
      </c>
      <c r="K18" s="473" t="n">
        <f aca="false">+EDATE(K16,2)</f>
        <v>46327</v>
      </c>
      <c r="L18" s="473" t="n">
        <f aca="false">+EDATE(L16,2)</f>
        <v>46327</v>
      </c>
      <c r="M18" s="473" t="n">
        <f aca="false">+EDATE(M16,2)</f>
        <v>46327</v>
      </c>
      <c r="N18" s="473" t="n">
        <f aca="false">+EDATE(N16,2)</f>
        <v>46327</v>
      </c>
      <c r="O18" s="473"/>
      <c r="R18" s="473" t="n">
        <v>46053</v>
      </c>
      <c r="S18" s="473" t="n">
        <v>46022</v>
      </c>
      <c r="T18" s="473" t="n">
        <v>46022</v>
      </c>
      <c r="U18" s="473" t="n">
        <v>46022</v>
      </c>
      <c r="V18" s="473" t="n">
        <v>46022</v>
      </c>
      <c r="W18" s="473" t="n">
        <v>46053</v>
      </c>
    </row>
    <row r="19" customFormat="false" ht="14.25" hidden="false" customHeight="false" outlineLevel="2" collapsed="false">
      <c r="B19" s="470" t="s">
        <v>321</v>
      </c>
      <c r="C19" s="471" t="s">
        <v>322</v>
      </c>
      <c r="D19" s="472"/>
      <c r="E19" s="473" t="n">
        <f aca="false">+EDATE(E16,5)</f>
        <v>46296</v>
      </c>
      <c r="F19" s="473" t="n">
        <f aca="false">+EDATE(F16,5)</f>
        <v>46296</v>
      </c>
      <c r="G19" s="473" t="n">
        <f aca="false">+EDATE(G16,5)</f>
        <v>46296</v>
      </c>
      <c r="H19" s="473" t="n">
        <f aca="false">+EDATE(H16,5)</f>
        <v>46296</v>
      </c>
      <c r="I19" s="473" t="n">
        <f aca="false">+EDATE(I16,5)</f>
        <v>46296</v>
      </c>
      <c r="J19" s="473" t="n">
        <f aca="false">+EDATE(J16,5)</f>
        <v>46296</v>
      </c>
      <c r="K19" s="473" t="n">
        <f aca="false">+EDATE(K16,5)</f>
        <v>46419</v>
      </c>
      <c r="L19" s="473" t="n">
        <f aca="false">+EDATE(L16,5)</f>
        <v>46419</v>
      </c>
      <c r="M19" s="473" t="n">
        <f aca="false">+EDATE(M16,5)</f>
        <v>46419</v>
      </c>
      <c r="N19" s="473" t="n">
        <f aca="false">+EDATE(N16,5)</f>
        <v>46419</v>
      </c>
      <c r="O19" s="473" t="n">
        <v>46203</v>
      </c>
      <c r="R19" s="473" t="n">
        <v>46203</v>
      </c>
      <c r="S19" s="473" t="n">
        <v>46173</v>
      </c>
      <c r="T19" s="473" t="n">
        <v>46173</v>
      </c>
      <c r="U19" s="473" t="n">
        <v>46173</v>
      </c>
      <c r="V19" s="473" t="n">
        <v>46173</v>
      </c>
      <c r="W19" s="473" t="n">
        <v>46203</v>
      </c>
    </row>
    <row r="20" customFormat="false" ht="14.25" hidden="false" customHeight="false" outlineLevel="2" collapsed="false">
      <c r="B20" s="470" t="s">
        <v>323</v>
      </c>
      <c r="C20" s="471" t="s">
        <v>324</v>
      </c>
      <c r="D20" s="481" t="s">
        <v>325</v>
      </c>
      <c r="E20" s="480" t="n">
        <v>35</v>
      </c>
      <c r="F20" s="480" t="n">
        <v>35</v>
      </c>
      <c r="G20" s="480" t="n">
        <v>35</v>
      </c>
      <c r="H20" s="480" t="n">
        <v>35</v>
      </c>
      <c r="I20" s="480" t="n">
        <v>35</v>
      </c>
      <c r="J20" s="480" t="n">
        <v>35</v>
      </c>
      <c r="K20" s="480" t="n">
        <v>35</v>
      </c>
      <c r="L20" s="480" t="n">
        <v>35</v>
      </c>
      <c r="M20" s="480" t="n">
        <v>35</v>
      </c>
      <c r="N20" s="480" t="n">
        <v>35</v>
      </c>
      <c r="O20" s="480" t="n">
        <v>20</v>
      </c>
      <c r="R20" s="480" t="n">
        <v>20</v>
      </c>
      <c r="S20" s="480" t="n">
        <v>20</v>
      </c>
      <c r="T20" s="480" t="n">
        <v>20</v>
      </c>
      <c r="U20" s="480" t="n">
        <v>20</v>
      </c>
      <c r="V20" s="480" t="n">
        <v>20</v>
      </c>
      <c r="W20" s="480" t="n">
        <v>20</v>
      </c>
    </row>
    <row r="21" customFormat="false" ht="12.75" hidden="false" customHeight="false" outlineLevel="2" collapsed="false">
      <c r="B21" s="470"/>
      <c r="C21" s="474"/>
      <c r="D21" s="475"/>
      <c r="E21" s="479"/>
      <c r="F21" s="479"/>
      <c r="G21" s="479"/>
      <c r="H21" s="479"/>
      <c r="I21" s="479"/>
      <c r="J21" s="479"/>
      <c r="K21" s="479"/>
      <c r="L21" s="479"/>
      <c r="M21" s="479"/>
      <c r="N21" s="479"/>
      <c r="O21" s="479"/>
      <c r="R21" s="479"/>
      <c r="S21" s="479"/>
      <c r="T21" s="479"/>
      <c r="U21" s="479"/>
      <c r="V21" s="479"/>
      <c r="W21" s="479"/>
    </row>
    <row r="22" customFormat="false" ht="14.25" hidden="false" customHeight="false" outlineLevel="1" collapsed="false">
      <c r="B22" s="470" t="s">
        <v>326</v>
      </c>
      <c r="C22" s="471" t="s">
        <v>327</v>
      </c>
      <c r="D22" s="481"/>
      <c r="E22" s="482" t="s">
        <v>328</v>
      </c>
      <c r="F22" s="482" t="s">
        <v>328</v>
      </c>
      <c r="G22" s="482" t="s">
        <v>328</v>
      </c>
      <c r="H22" s="482" t="s">
        <v>328</v>
      </c>
      <c r="I22" s="482" t="s">
        <v>328</v>
      </c>
      <c r="J22" s="482" t="s">
        <v>328</v>
      </c>
      <c r="K22" s="482" t="s">
        <v>328</v>
      </c>
      <c r="L22" s="482" t="s">
        <v>328</v>
      </c>
      <c r="M22" s="482" t="s">
        <v>328</v>
      </c>
      <c r="N22" s="482" t="s">
        <v>328</v>
      </c>
      <c r="O22" s="482" t="s">
        <v>328</v>
      </c>
      <c r="R22" s="482" t="s">
        <v>328</v>
      </c>
      <c r="S22" s="482" t="s">
        <v>328</v>
      </c>
      <c r="T22" s="482" t="s">
        <v>328</v>
      </c>
      <c r="U22" s="482" t="s">
        <v>328</v>
      </c>
      <c r="V22" s="482" t="s">
        <v>328</v>
      </c>
      <c r="W22" s="482" t="s">
        <v>328</v>
      </c>
    </row>
    <row r="23" customFormat="false" ht="14.25" hidden="false" customHeight="false" outlineLevel="1" collapsed="false">
      <c r="B23" s="470" t="s">
        <v>329</v>
      </c>
      <c r="C23" s="471" t="s">
        <v>327</v>
      </c>
      <c r="D23" s="481"/>
      <c r="E23" s="482" t="s">
        <v>328</v>
      </c>
      <c r="F23" s="482" t="s">
        <v>328</v>
      </c>
      <c r="G23" s="482" t="s">
        <v>328</v>
      </c>
      <c r="H23" s="482" t="s">
        <v>328</v>
      </c>
      <c r="I23" s="482" t="s">
        <v>328</v>
      </c>
      <c r="J23" s="482" t="s">
        <v>328</v>
      </c>
      <c r="K23" s="482" t="s">
        <v>328</v>
      </c>
      <c r="L23" s="482" t="s">
        <v>328</v>
      </c>
      <c r="M23" s="482" t="s">
        <v>328</v>
      </c>
      <c r="N23" s="482" t="s">
        <v>328</v>
      </c>
      <c r="O23" s="482" t="s">
        <v>328</v>
      </c>
      <c r="R23" s="482" t="s">
        <v>328</v>
      </c>
      <c r="S23" s="482" t="s">
        <v>328</v>
      </c>
      <c r="T23" s="482" t="s">
        <v>328</v>
      </c>
      <c r="U23" s="482" t="s">
        <v>328</v>
      </c>
      <c r="V23" s="482" t="s">
        <v>328</v>
      </c>
      <c r="W23" s="482" t="s">
        <v>328</v>
      </c>
    </row>
    <row r="24" customFormat="false" ht="14.25" hidden="false" customHeight="false" outlineLevel="1" collapsed="false">
      <c r="B24" s="470" t="s">
        <v>330</v>
      </c>
      <c r="C24" s="471" t="s">
        <v>331</v>
      </c>
      <c r="D24" s="481"/>
      <c r="E24" s="483" t="e">
        <f aca="false">+#REF!/1000</f>
        <v>#REF!</v>
      </c>
      <c r="F24" s="483" t="e">
        <f aca="false">+#REF!/1000</f>
        <v>#REF!</v>
      </c>
      <c r="G24" s="483" t="e">
        <f aca="false">+#REF!/1000</f>
        <v>#REF!</v>
      </c>
      <c r="H24" s="483" t="e">
        <f aca="false">+#REF!/1000</f>
        <v>#REF!</v>
      </c>
      <c r="I24" s="483" t="e">
        <f aca="false">+#REF!/1000</f>
        <v>#REF!</v>
      </c>
      <c r="J24" s="483" t="e">
        <f aca="false">+#REF!/1000</f>
        <v>#REF!</v>
      </c>
      <c r="K24" s="483" t="e">
        <f aca="false">+#REF!/1000</f>
        <v>#REF!</v>
      </c>
      <c r="L24" s="483" t="e">
        <f aca="false">+#REF!/1000</f>
        <v>#REF!</v>
      </c>
      <c r="M24" s="483" t="e">
        <f aca="false">+#REF!/1000</f>
        <v>#REF!</v>
      </c>
      <c r="N24" s="483" t="e">
        <f aca="false">+#REF!/1000</f>
        <v>#REF!</v>
      </c>
      <c r="O24" s="483"/>
      <c r="P24" s="484"/>
      <c r="Q24" s="484"/>
      <c r="R24" s="483" t="n">
        <f aca="false">+'[3]CAPEX_Input_3,7HO(수정용)'!T40</f>
        <v>0.084744677</v>
      </c>
      <c r="S24" s="483" t="n">
        <f aca="false">+'[3]CAPEX_Input_3,7HO(수정용)'!T33</f>
        <v>0.024285621</v>
      </c>
      <c r="T24" s="483" t="n">
        <f aca="false">+'[3]CAPEX_Input_3,7HO(수정용)'!T34</f>
        <v>0.036847296</v>
      </c>
      <c r="U24" s="483" t="n">
        <f aca="false">+'[3]CAPEX_Input_3,7HO(수정용)'!T35</f>
        <v>0.019635</v>
      </c>
      <c r="V24" s="483" t="n">
        <f aca="false">+'[3]CAPEX_Input_3,7HO(수정용)'!T37</f>
        <v>0.0112118</v>
      </c>
      <c r="W24" s="483" t="n">
        <f aca="false">+'[3]CAPEX_Input_3,7HO(수정용)'!T41</f>
        <v>0.0423984</v>
      </c>
    </row>
    <row r="25" customFormat="false" ht="14.25" hidden="false" customHeight="false" outlineLevel="1" collapsed="false">
      <c r="B25" s="470" t="s">
        <v>332</v>
      </c>
      <c r="C25" s="471" t="s">
        <v>333</v>
      </c>
      <c r="D25" s="481"/>
      <c r="E25" s="485"/>
      <c r="F25" s="485"/>
      <c r="G25" s="485"/>
      <c r="H25" s="485"/>
      <c r="I25" s="485"/>
      <c r="J25" s="485"/>
      <c r="K25" s="485"/>
      <c r="L25" s="485"/>
      <c r="M25" s="485"/>
      <c r="N25" s="485"/>
      <c r="O25" s="485"/>
      <c r="R25" s="485"/>
      <c r="S25" s="485"/>
      <c r="T25" s="485"/>
      <c r="U25" s="485"/>
      <c r="V25" s="485"/>
      <c r="W25" s="485"/>
    </row>
    <row r="26" customFormat="false" ht="14.25" hidden="false" customHeight="false" outlineLevel="1" collapsed="false">
      <c r="B26" s="470" t="s">
        <v>334</v>
      </c>
      <c r="C26" s="471" t="s">
        <v>335</v>
      </c>
      <c r="D26" s="481"/>
      <c r="E26" s="486" t="e">
        <f aca="false">+E24/E25</f>
        <v>#REF!</v>
      </c>
      <c r="F26" s="486" t="e">
        <f aca="false">+F24/F25</f>
        <v>#REF!</v>
      </c>
      <c r="G26" s="486" t="e">
        <f aca="false">+G24/G25</f>
        <v>#REF!</v>
      </c>
      <c r="H26" s="486" t="e">
        <f aca="false">+H24/H25</f>
        <v>#REF!</v>
      </c>
      <c r="I26" s="486" t="e">
        <f aca="false">+I24/I25</f>
        <v>#REF!</v>
      </c>
      <c r="J26" s="486" t="e">
        <f aca="false">+J24/J25</f>
        <v>#REF!</v>
      </c>
      <c r="K26" s="486" t="e">
        <f aca="false">+K24/K25</f>
        <v>#REF!</v>
      </c>
      <c r="L26" s="486" t="e">
        <f aca="false">+L24/L25</f>
        <v>#REF!</v>
      </c>
      <c r="M26" s="486" t="e">
        <f aca="false">+M24/M25</f>
        <v>#REF!</v>
      </c>
      <c r="N26" s="486" t="e">
        <f aca="false">+N24/N25</f>
        <v>#REF!</v>
      </c>
      <c r="O26" s="486" t="e">
        <f aca="false">+O24/O25</f>
        <v>#DIV/0!</v>
      </c>
      <c r="R26" s="486" t="e">
        <f aca="false">+R24/R25</f>
        <v>#DIV/0!</v>
      </c>
      <c r="S26" s="486" t="e">
        <f aca="false">+S24/S25</f>
        <v>#DIV/0!</v>
      </c>
      <c r="T26" s="486" t="e">
        <f aca="false">+T24/T25</f>
        <v>#DIV/0!</v>
      </c>
      <c r="U26" s="486" t="e">
        <f aca="false">+U24/U25</f>
        <v>#DIV/0!</v>
      </c>
      <c r="V26" s="486" t="e">
        <f aca="false">+V24/V25</f>
        <v>#DIV/0!</v>
      </c>
      <c r="W26" s="486" t="e">
        <f aca="false">+W24/W25</f>
        <v>#DIV/0!</v>
      </c>
    </row>
    <row r="27" s="458" customFormat="true" ht="13.8" hidden="false" customHeight="false" outlineLevel="0" collapsed="false">
      <c r="B27" s="460"/>
      <c r="C27" s="461"/>
      <c r="D27" s="462"/>
      <c r="E27" s="467"/>
      <c r="F27" s="467"/>
      <c r="G27" s="467"/>
      <c r="H27" s="467"/>
      <c r="I27" s="467"/>
      <c r="J27" s="467"/>
      <c r="K27" s="467"/>
      <c r="L27" s="467"/>
      <c r="M27" s="467"/>
      <c r="N27" s="467"/>
      <c r="O27" s="487"/>
      <c r="R27" s="467"/>
      <c r="S27" s="467"/>
      <c r="T27" s="467"/>
      <c r="U27" s="467"/>
      <c r="V27" s="467"/>
      <c r="W27" s="467"/>
    </row>
    <row r="28" s="458" customFormat="true" ht="27.75" hidden="false" customHeight="true" outlineLevel="0" collapsed="false">
      <c r="B28" s="464" t="s">
        <v>336</v>
      </c>
      <c r="C28" s="465"/>
      <c r="D28" s="464"/>
      <c r="E28" s="466"/>
      <c r="F28" s="466"/>
      <c r="G28" s="466"/>
      <c r="H28" s="466"/>
      <c r="I28" s="466"/>
      <c r="J28" s="466"/>
      <c r="K28" s="466"/>
      <c r="L28" s="466"/>
      <c r="M28" s="466"/>
      <c r="N28" s="466"/>
      <c r="O28" s="466"/>
      <c r="R28" s="466"/>
      <c r="S28" s="466"/>
      <c r="T28" s="466"/>
      <c r="U28" s="466"/>
      <c r="V28" s="466"/>
      <c r="W28" s="466"/>
    </row>
    <row r="29" s="458" customFormat="true" ht="13.8" hidden="false" customHeight="false" outlineLevel="1" collapsed="false">
      <c r="B29" s="460"/>
      <c r="C29" s="461"/>
      <c r="D29" s="462"/>
      <c r="E29" s="488"/>
      <c r="F29" s="488"/>
      <c r="G29" s="488"/>
      <c r="H29" s="488"/>
      <c r="I29" s="488"/>
      <c r="J29" s="488"/>
      <c r="K29" s="488"/>
      <c r="L29" s="488"/>
      <c r="M29" s="488"/>
      <c r="N29" s="488"/>
      <c r="O29" s="488"/>
      <c r="R29" s="488"/>
      <c r="S29" s="488"/>
      <c r="T29" s="488"/>
      <c r="U29" s="488"/>
      <c r="V29" s="488"/>
      <c r="W29" s="488"/>
    </row>
    <row r="30" customFormat="false" ht="12.75" hidden="false" customHeight="false" outlineLevel="1" collapsed="false">
      <c r="B30" s="489" t="s">
        <v>337</v>
      </c>
      <c r="C30" s="490"/>
      <c r="D30" s="491"/>
      <c r="E30" s="492"/>
      <c r="F30" s="492"/>
      <c r="G30" s="492"/>
      <c r="H30" s="492"/>
      <c r="I30" s="492"/>
      <c r="J30" s="492"/>
      <c r="K30" s="492"/>
      <c r="L30" s="492"/>
      <c r="M30" s="492"/>
      <c r="N30" s="492"/>
      <c r="O30" s="492"/>
      <c r="R30" s="492"/>
      <c r="S30" s="492"/>
      <c r="T30" s="492"/>
      <c r="U30" s="492"/>
      <c r="V30" s="492"/>
      <c r="W30" s="492"/>
    </row>
    <row r="31" customFormat="false" ht="14.9" hidden="false" customHeight="false" outlineLevel="1" collapsed="false">
      <c r="B31" s="493" t="s">
        <v>338</v>
      </c>
      <c r="C31" s="471" t="s">
        <v>339</v>
      </c>
      <c r="D31" s="481"/>
      <c r="E31" s="494"/>
      <c r="F31" s="494"/>
      <c r="G31" s="494"/>
      <c r="H31" s="494"/>
      <c r="I31" s="494"/>
      <c r="J31" s="494"/>
      <c r="K31" s="494"/>
      <c r="L31" s="494"/>
      <c r="M31" s="494"/>
      <c r="N31" s="494"/>
      <c r="O31" s="494"/>
      <c r="R31" s="494"/>
      <c r="S31" s="494"/>
      <c r="T31" s="494"/>
      <c r="U31" s="494"/>
      <c r="V31" s="494"/>
      <c r="W31" s="494"/>
    </row>
    <row r="32" customFormat="false" ht="14.9" hidden="false" customHeight="false" outlineLevel="1" collapsed="false">
      <c r="B32" s="493" t="s">
        <v>340</v>
      </c>
      <c r="C32" s="471" t="s">
        <v>339</v>
      </c>
      <c r="D32" s="481"/>
      <c r="E32" s="482"/>
      <c r="F32" s="482"/>
      <c r="G32" s="482"/>
      <c r="H32" s="482"/>
      <c r="I32" s="482"/>
      <c r="J32" s="482"/>
      <c r="K32" s="482"/>
      <c r="L32" s="482"/>
      <c r="M32" s="482"/>
      <c r="N32" s="482"/>
      <c r="O32" s="482"/>
      <c r="R32" s="482"/>
      <c r="S32" s="482"/>
      <c r="T32" s="482"/>
      <c r="U32" s="482"/>
      <c r="V32" s="482"/>
      <c r="W32" s="482"/>
    </row>
    <row r="33" customFormat="false" ht="14.9" hidden="false" customHeight="false" outlineLevel="1" collapsed="false">
      <c r="B33" s="493" t="s">
        <v>341</v>
      </c>
      <c r="C33" s="471" t="s">
        <v>339</v>
      </c>
      <c r="D33" s="481"/>
      <c r="E33" s="482"/>
      <c r="F33" s="482"/>
      <c r="G33" s="482"/>
      <c r="H33" s="482"/>
      <c r="I33" s="482"/>
      <c r="J33" s="482"/>
      <c r="K33" s="482"/>
      <c r="L33" s="482"/>
      <c r="M33" s="482"/>
      <c r="N33" s="482"/>
      <c r="O33" s="482"/>
      <c r="R33" s="482"/>
      <c r="S33" s="482"/>
      <c r="T33" s="482"/>
      <c r="U33" s="482"/>
      <c r="V33" s="482"/>
      <c r="W33" s="482"/>
    </row>
    <row r="34" customFormat="false" ht="12.75" hidden="false" customHeight="false" outlineLevel="1" collapsed="false">
      <c r="B34" s="495"/>
      <c r="C34" s="474"/>
      <c r="D34" s="475"/>
      <c r="E34" s="479"/>
      <c r="F34" s="479"/>
      <c r="G34" s="479"/>
      <c r="H34" s="479"/>
      <c r="I34" s="479"/>
      <c r="J34" s="479"/>
      <c r="K34" s="479"/>
      <c r="L34" s="479"/>
      <c r="M34" s="479"/>
      <c r="N34" s="479"/>
      <c r="O34" s="479"/>
      <c r="R34" s="479"/>
      <c r="S34" s="479"/>
      <c r="T34" s="479"/>
      <c r="U34" s="479"/>
      <c r="V34" s="479"/>
      <c r="W34" s="479"/>
    </row>
    <row r="35" customFormat="false" ht="12.75" hidden="false" customHeight="false" outlineLevel="1" collapsed="false">
      <c r="B35" s="489" t="s">
        <v>342</v>
      </c>
      <c r="C35" s="490"/>
      <c r="D35" s="491"/>
      <c r="E35" s="492"/>
      <c r="F35" s="492"/>
      <c r="G35" s="492"/>
      <c r="H35" s="492"/>
      <c r="I35" s="492"/>
      <c r="J35" s="492"/>
      <c r="K35" s="492"/>
      <c r="L35" s="492"/>
      <c r="M35" s="492"/>
      <c r="N35" s="492"/>
      <c r="O35" s="492"/>
      <c r="R35" s="492"/>
      <c r="S35" s="492"/>
      <c r="T35" s="492"/>
      <c r="U35" s="492"/>
      <c r="V35" s="492"/>
      <c r="W35" s="492"/>
    </row>
    <row r="36" customFormat="false" ht="14.9" hidden="false" customHeight="false" outlineLevel="1" collapsed="false">
      <c r="B36" s="496" t="s">
        <v>338</v>
      </c>
      <c r="C36" s="471" t="s">
        <v>343</v>
      </c>
      <c r="D36" s="481"/>
      <c r="E36" s="497" t="n">
        <v>3.52328767123288</v>
      </c>
      <c r="F36" s="497" t="n">
        <v>3.9013698630137</v>
      </c>
      <c r="G36" s="497" t="n">
        <v>3.96438356164384</v>
      </c>
      <c r="H36" s="497" t="n">
        <v>3.79178082191781</v>
      </c>
      <c r="I36" s="497" t="n">
        <v>3.79178082191781</v>
      </c>
      <c r="J36" s="497" t="n">
        <v>4.09041095890411</v>
      </c>
      <c r="K36" s="497" t="n">
        <v>3.97260273972603</v>
      </c>
      <c r="L36" s="497" t="n">
        <v>3.97260273972603</v>
      </c>
      <c r="M36" s="497" t="n">
        <v>3.96712328767123</v>
      </c>
      <c r="N36" s="497" t="n">
        <v>3.97260273972603</v>
      </c>
      <c r="O36" s="497" t="n">
        <f aca="false">+'[3]CAPEX_Input_3,7HO(수정용)'!G44/365</f>
        <v>3.86301369863014</v>
      </c>
      <c r="R36" s="497" t="n">
        <f aca="false">+'[3]CAPEX_Input_3,7HO(수정용)'!V40/365</f>
        <v>0</v>
      </c>
      <c r="S36" s="497" t="n">
        <f aca="false">+'[3]CAPEX_Input_3,7HO(수정용)'!V33/365</f>
        <v>0</v>
      </c>
      <c r="T36" s="497" t="n">
        <f aca="false">+'[3]CAPEX_Input_3,7HO(수정용)'!V34/365</f>
        <v>0</v>
      </c>
      <c r="U36" s="497" t="n">
        <f aca="false">+'[3]CAPEX_Input_3,7HO(수정용)'!V35/365</f>
        <v>0</v>
      </c>
      <c r="V36" s="497" t="n">
        <f aca="false">+'[3]CAPEX_Input_3,7HO(수정용)'!V37/365</f>
        <v>0</v>
      </c>
      <c r="W36" s="497" t="n">
        <f aca="false">+'[3]CAPEX_Input_3,7HO(수정용)'!V41/365</f>
        <v>0</v>
      </c>
    </row>
    <row r="37" customFormat="false" ht="14.9" hidden="false" customHeight="false" outlineLevel="1" collapsed="false">
      <c r="B37" s="496" t="s">
        <v>340</v>
      </c>
      <c r="C37" s="471" t="s">
        <v>343</v>
      </c>
      <c r="D37" s="481"/>
      <c r="E37" s="482"/>
      <c r="F37" s="482"/>
      <c r="G37" s="482"/>
      <c r="H37" s="482"/>
      <c r="I37" s="482"/>
      <c r="J37" s="482"/>
      <c r="K37" s="482"/>
      <c r="L37" s="482"/>
      <c r="M37" s="482"/>
      <c r="N37" s="482"/>
      <c r="O37" s="482"/>
      <c r="R37" s="482"/>
      <c r="S37" s="482"/>
      <c r="T37" s="482"/>
      <c r="U37" s="482"/>
      <c r="V37" s="482"/>
      <c r="W37" s="482"/>
    </row>
    <row r="38" customFormat="false" ht="14.9" hidden="false" customHeight="false" outlineLevel="1" collapsed="false">
      <c r="B38" s="496" t="s">
        <v>341</v>
      </c>
      <c r="C38" s="471" t="s">
        <v>343</v>
      </c>
      <c r="D38" s="481"/>
      <c r="E38" s="482"/>
      <c r="F38" s="482"/>
      <c r="G38" s="482"/>
      <c r="H38" s="482"/>
      <c r="I38" s="482"/>
      <c r="J38" s="482"/>
      <c r="K38" s="482"/>
      <c r="L38" s="482"/>
      <c r="M38" s="482"/>
      <c r="N38" s="482"/>
      <c r="O38" s="482"/>
      <c r="R38" s="482"/>
      <c r="S38" s="482"/>
      <c r="T38" s="482"/>
      <c r="U38" s="482"/>
      <c r="V38" s="482"/>
      <c r="W38" s="482"/>
    </row>
    <row r="39" customFormat="false" ht="12.75" hidden="false" customHeight="false" outlineLevel="1" collapsed="false">
      <c r="B39" s="495"/>
      <c r="C39" s="474"/>
      <c r="D39" s="475"/>
      <c r="E39" s="479"/>
      <c r="F39" s="479"/>
      <c r="G39" s="479"/>
      <c r="H39" s="479"/>
      <c r="I39" s="479"/>
      <c r="J39" s="479"/>
      <c r="K39" s="479"/>
      <c r="L39" s="479"/>
      <c r="M39" s="479"/>
      <c r="N39" s="479"/>
      <c r="O39" s="479"/>
      <c r="R39" s="479"/>
      <c r="S39" s="479"/>
      <c r="T39" s="479"/>
      <c r="U39" s="479"/>
      <c r="V39" s="479"/>
      <c r="W39" s="479"/>
    </row>
    <row r="40" customFormat="false" ht="12.75" hidden="false" customHeight="false" outlineLevel="1" collapsed="false">
      <c r="B40" s="489" t="s">
        <v>336</v>
      </c>
      <c r="C40" s="490"/>
      <c r="D40" s="491"/>
      <c r="E40" s="498"/>
      <c r="F40" s="498"/>
      <c r="G40" s="498"/>
      <c r="H40" s="498"/>
      <c r="I40" s="498"/>
      <c r="J40" s="498"/>
      <c r="K40" s="498"/>
      <c r="L40" s="498"/>
      <c r="M40" s="498"/>
      <c r="N40" s="498"/>
      <c r="O40" s="498"/>
      <c r="R40" s="498"/>
      <c r="S40" s="498"/>
      <c r="T40" s="498"/>
      <c r="U40" s="498"/>
      <c r="V40" s="498"/>
      <c r="W40" s="498"/>
    </row>
    <row r="41" customFormat="false" ht="14.9" hidden="false" customHeight="false" outlineLevel="1" collapsed="false">
      <c r="B41" s="496" t="s">
        <v>338</v>
      </c>
      <c r="C41" s="471" t="s">
        <v>344</v>
      </c>
      <c r="D41" s="481"/>
      <c r="E41" s="497" t="e">
        <f aca="false">+E24*E36*365</f>
        <v>#REF!</v>
      </c>
      <c r="F41" s="497" t="e">
        <f aca="false">+F24*F36*365</f>
        <v>#REF!</v>
      </c>
      <c r="G41" s="497" t="e">
        <f aca="false">+G24*G36*365</f>
        <v>#REF!</v>
      </c>
      <c r="H41" s="497" t="e">
        <f aca="false">+H24*H36*365</f>
        <v>#REF!</v>
      </c>
      <c r="I41" s="497" t="e">
        <f aca="false">+I24*I36*365</f>
        <v>#REF!</v>
      </c>
      <c r="J41" s="497" t="e">
        <f aca="false">+J24*J36*365</f>
        <v>#REF!</v>
      </c>
      <c r="K41" s="497" t="e">
        <f aca="false">+K24*K36*365</f>
        <v>#REF!</v>
      </c>
      <c r="L41" s="497" t="e">
        <f aca="false">+L24*L36*365</f>
        <v>#REF!</v>
      </c>
      <c r="M41" s="497" t="e">
        <f aca="false">+M24*M36*365</f>
        <v>#REF!</v>
      </c>
      <c r="N41" s="497" t="e">
        <f aca="false">+N24*N36*365</f>
        <v>#REF!</v>
      </c>
      <c r="O41" s="497" t="n">
        <f aca="false">+O24*O36*365</f>
        <v>0</v>
      </c>
      <c r="R41" s="497" t="n">
        <f aca="false">+R24*R36*365</f>
        <v>0</v>
      </c>
      <c r="S41" s="497" t="n">
        <f aca="false">+S24*S36*365</f>
        <v>0</v>
      </c>
      <c r="T41" s="497" t="n">
        <f aca="false">+T24*T36*365</f>
        <v>0</v>
      </c>
      <c r="U41" s="497" t="n">
        <f aca="false">+U24*U36*365</f>
        <v>0</v>
      </c>
      <c r="V41" s="497" t="n">
        <f aca="false">+V24*V36*365</f>
        <v>0</v>
      </c>
      <c r="W41" s="497" t="n">
        <f aca="false">+W24*W36*365</f>
        <v>0</v>
      </c>
    </row>
    <row r="42" customFormat="false" ht="14.9" hidden="false" customHeight="false" outlineLevel="1" collapsed="false">
      <c r="B42" s="496" t="s">
        <v>340</v>
      </c>
      <c r="C42" s="471" t="s">
        <v>344</v>
      </c>
      <c r="D42" s="481"/>
      <c r="E42" s="482"/>
      <c r="F42" s="482"/>
      <c r="G42" s="482"/>
      <c r="H42" s="482"/>
      <c r="I42" s="482"/>
      <c r="J42" s="482"/>
      <c r="K42" s="482"/>
      <c r="L42" s="482"/>
      <c r="M42" s="482"/>
      <c r="N42" s="482"/>
      <c r="O42" s="482"/>
      <c r="R42" s="482"/>
      <c r="S42" s="482"/>
      <c r="T42" s="482"/>
      <c r="U42" s="482"/>
      <c r="V42" s="482"/>
      <c r="W42" s="482"/>
    </row>
    <row r="43" customFormat="false" ht="14.9" hidden="false" customHeight="false" outlineLevel="1" collapsed="false">
      <c r="B43" s="499" t="s">
        <v>345</v>
      </c>
      <c r="C43" s="471" t="s">
        <v>346</v>
      </c>
      <c r="D43" s="481"/>
      <c r="E43" s="480"/>
      <c r="F43" s="480"/>
      <c r="G43" s="480"/>
      <c r="H43" s="480"/>
      <c r="I43" s="480"/>
      <c r="J43" s="480"/>
      <c r="K43" s="480"/>
      <c r="L43" s="480"/>
      <c r="M43" s="480"/>
      <c r="N43" s="480"/>
      <c r="O43" s="480"/>
      <c r="R43" s="480"/>
      <c r="S43" s="480"/>
      <c r="T43" s="480"/>
      <c r="U43" s="480"/>
      <c r="V43" s="480"/>
      <c r="W43" s="480"/>
    </row>
    <row r="44" customFormat="false" ht="12.75" hidden="false" customHeight="false" outlineLevel="1" collapsed="false">
      <c r="B44" s="495"/>
      <c r="C44" s="474"/>
      <c r="D44" s="475"/>
      <c r="E44" s="500"/>
      <c r="F44" s="500"/>
      <c r="G44" s="500"/>
      <c r="H44" s="500"/>
      <c r="I44" s="500"/>
      <c r="J44" s="500"/>
      <c r="K44" s="500"/>
      <c r="L44" s="500"/>
      <c r="M44" s="500"/>
      <c r="N44" s="500"/>
      <c r="O44" s="500"/>
      <c r="R44" s="500"/>
      <c r="S44" s="500"/>
      <c r="T44" s="500"/>
      <c r="U44" s="500"/>
      <c r="V44" s="500"/>
      <c r="W44" s="500"/>
    </row>
    <row r="45" customFormat="false" ht="14.9" hidden="false" customHeight="false" outlineLevel="1" collapsed="false">
      <c r="B45" s="496" t="s">
        <v>347</v>
      </c>
      <c r="C45" s="471" t="s">
        <v>339</v>
      </c>
      <c r="D45" s="481"/>
      <c r="E45" s="501"/>
      <c r="F45" s="501"/>
      <c r="G45" s="501"/>
      <c r="H45" s="501"/>
      <c r="I45" s="501"/>
      <c r="J45" s="501"/>
      <c r="K45" s="501"/>
      <c r="L45" s="501"/>
      <c r="M45" s="501"/>
      <c r="N45" s="501"/>
      <c r="O45" s="501"/>
      <c r="R45" s="501"/>
      <c r="S45" s="501"/>
      <c r="T45" s="501"/>
      <c r="U45" s="501"/>
      <c r="V45" s="501"/>
      <c r="W45" s="501"/>
    </row>
    <row r="46" customFormat="false" ht="12.75" hidden="false" customHeight="false" outlineLevel="1" collapsed="false">
      <c r="B46" s="495"/>
      <c r="C46" s="474"/>
      <c r="D46" s="475"/>
      <c r="E46" s="500"/>
      <c r="F46" s="500"/>
      <c r="G46" s="500"/>
      <c r="H46" s="500"/>
      <c r="I46" s="500"/>
      <c r="J46" s="500"/>
      <c r="K46" s="500"/>
      <c r="L46" s="500"/>
      <c r="M46" s="500"/>
      <c r="N46" s="500"/>
      <c r="O46" s="500"/>
      <c r="R46" s="500"/>
      <c r="S46" s="500"/>
      <c r="T46" s="500"/>
      <c r="U46" s="500"/>
      <c r="V46" s="500"/>
      <c r="W46" s="500"/>
    </row>
    <row r="47" customFormat="false" ht="14.9" hidden="false" customHeight="false" outlineLevel="1" collapsed="false">
      <c r="B47" s="496" t="s">
        <v>348</v>
      </c>
      <c r="C47" s="471" t="s">
        <v>339</v>
      </c>
      <c r="D47" s="481"/>
      <c r="E47" s="482"/>
      <c r="F47" s="482"/>
      <c r="G47" s="482"/>
      <c r="H47" s="482"/>
      <c r="I47" s="482"/>
      <c r="J47" s="482"/>
      <c r="K47" s="482"/>
      <c r="L47" s="482"/>
      <c r="M47" s="482"/>
      <c r="N47" s="482"/>
      <c r="O47" s="482"/>
      <c r="R47" s="482"/>
      <c r="S47" s="482"/>
      <c r="T47" s="482"/>
      <c r="U47" s="482"/>
      <c r="V47" s="482"/>
      <c r="W47" s="482"/>
    </row>
    <row r="48" customFormat="false" ht="14.9" hidden="false" customHeight="false" outlineLevel="1" collapsed="false">
      <c r="B48" s="496" t="s">
        <v>349</v>
      </c>
      <c r="C48" s="471" t="s">
        <v>339</v>
      </c>
      <c r="D48" s="481"/>
      <c r="E48" s="482"/>
      <c r="F48" s="482"/>
      <c r="G48" s="482"/>
      <c r="H48" s="482"/>
      <c r="I48" s="482"/>
      <c r="J48" s="482"/>
      <c r="K48" s="482"/>
      <c r="L48" s="482"/>
      <c r="M48" s="482"/>
      <c r="N48" s="482"/>
      <c r="O48" s="482"/>
      <c r="R48" s="482"/>
      <c r="S48" s="482"/>
      <c r="T48" s="482"/>
      <c r="U48" s="482"/>
      <c r="V48" s="482"/>
      <c r="W48" s="482"/>
    </row>
    <row r="49" customFormat="false" ht="14.9" hidden="false" customHeight="false" outlineLevel="1" collapsed="false">
      <c r="B49" s="496" t="s">
        <v>350</v>
      </c>
      <c r="C49" s="471" t="s">
        <v>339</v>
      </c>
      <c r="D49" s="481" t="s">
        <v>325</v>
      </c>
      <c r="E49" s="502" t="n">
        <v>0.004</v>
      </c>
      <c r="F49" s="502" t="n">
        <v>0.004</v>
      </c>
      <c r="G49" s="502" t="n">
        <v>0.004</v>
      </c>
      <c r="H49" s="502" t="n">
        <v>0.004</v>
      </c>
      <c r="I49" s="502" t="n">
        <v>0.004</v>
      </c>
      <c r="J49" s="502" t="n">
        <v>0.004</v>
      </c>
      <c r="K49" s="502" t="n">
        <v>0.004</v>
      </c>
      <c r="L49" s="502" t="n">
        <v>0.004</v>
      </c>
      <c r="M49" s="502" t="n">
        <v>0.004</v>
      </c>
      <c r="N49" s="502" t="n">
        <v>0.004</v>
      </c>
      <c r="O49" s="502" t="n">
        <v>0.002</v>
      </c>
      <c r="R49" s="502" t="n">
        <v>0.002</v>
      </c>
      <c r="S49" s="502" t="n">
        <v>0.002</v>
      </c>
      <c r="T49" s="502" t="n">
        <v>0.002</v>
      </c>
      <c r="U49" s="502" t="n">
        <v>0.002</v>
      </c>
      <c r="V49" s="502" t="n">
        <v>0.002</v>
      </c>
      <c r="W49" s="502" t="n">
        <v>0.002</v>
      </c>
    </row>
    <row r="50" customFormat="false" ht="12.75" hidden="false" customHeight="false" outlineLevel="1" collapsed="false">
      <c r="B50" s="495"/>
      <c r="C50" s="474"/>
      <c r="D50" s="475"/>
      <c r="E50" s="503"/>
      <c r="F50" s="503"/>
      <c r="G50" s="503"/>
      <c r="H50" s="503"/>
      <c r="I50" s="503"/>
      <c r="J50" s="503"/>
      <c r="K50" s="503"/>
      <c r="L50" s="503"/>
      <c r="M50" s="503"/>
      <c r="N50" s="503"/>
      <c r="O50" s="503"/>
      <c r="R50" s="503"/>
      <c r="S50" s="503"/>
      <c r="T50" s="503"/>
      <c r="U50" s="503"/>
      <c r="V50" s="503"/>
      <c r="W50" s="503"/>
    </row>
    <row r="51" customFormat="false" ht="14.9" hidden="false" customHeight="false" outlineLevel="1" collapsed="false">
      <c r="B51" s="496" t="s">
        <v>351</v>
      </c>
      <c r="C51" s="471" t="s">
        <v>339</v>
      </c>
      <c r="D51" s="481"/>
      <c r="E51" s="504" t="n">
        <v>0.02</v>
      </c>
      <c r="F51" s="504" t="n">
        <v>0.02</v>
      </c>
      <c r="G51" s="504" t="n">
        <v>0.02</v>
      </c>
      <c r="H51" s="504" t="n">
        <v>0.02</v>
      </c>
      <c r="I51" s="504" t="n">
        <v>0.02</v>
      </c>
      <c r="J51" s="504" t="n">
        <v>0.02</v>
      </c>
      <c r="K51" s="504" t="n">
        <v>0.02</v>
      </c>
      <c r="L51" s="504" t="n">
        <v>0.02</v>
      </c>
      <c r="M51" s="504" t="n">
        <v>0.02</v>
      </c>
      <c r="N51" s="504" t="n">
        <v>0.02</v>
      </c>
      <c r="O51" s="504" t="n">
        <v>0.02</v>
      </c>
      <c r="R51" s="504" t="n">
        <v>0.02</v>
      </c>
      <c r="S51" s="504" t="n">
        <v>0.02</v>
      </c>
      <c r="T51" s="504" t="n">
        <v>0.02</v>
      </c>
      <c r="U51" s="504" t="n">
        <v>0.02</v>
      </c>
      <c r="V51" s="504" t="n">
        <v>0.02</v>
      </c>
      <c r="W51" s="504" t="n">
        <v>0.02</v>
      </c>
    </row>
    <row r="52" customFormat="false" ht="12.75" hidden="false" customHeight="false" outlineLevel="1" collapsed="false">
      <c r="B52" s="495"/>
      <c r="C52" s="474"/>
      <c r="D52" s="475"/>
      <c r="E52" s="479"/>
      <c r="F52" s="479"/>
      <c r="G52" s="479"/>
      <c r="H52" s="479"/>
      <c r="I52" s="479"/>
      <c r="J52" s="479"/>
      <c r="K52" s="479"/>
      <c r="L52" s="479"/>
      <c r="M52" s="479"/>
      <c r="N52" s="479"/>
      <c r="O52" s="479"/>
      <c r="R52" s="479"/>
      <c r="S52" s="479"/>
      <c r="T52" s="479"/>
      <c r="U52" s="479"/>
      <c r="V52" s="479"/>
      <c r="W52" s="479"/>
    </row>
    <row r="53" customFormat="false" ht="14.9" hidden="false" customHeight="false" outlineLevel="1" collapsed="false">
      <c r="B53" s="496" t="s">
        <v>352</v>
      </c>
      <c r="C53" s="471" t="s">
        <v>339</v>
      </c>
      <c r="D53" s="481"/>
      <c r="E53" s="482"/>
      <c r="F53" s="482"/>
      <c r="G53" s="482"/>
      <c r="H53" s="482"/>
      <c r="I53" s="482"/>
      <c r="J53" s="482"/>
      <c r="K53" s="482"/>
      <c r="L53" s="482"/>
      <c r="M53" s="482"/>
      <c r="N53" s="482"/>
      <c r="O53" s="482"/>
      <c r="R53" s="482"/>
      <c r="S53" s="482"/>
      <c r="T53" s="482"/>
      <c r="U53" s="482"/>
      <c r="V53" s="482"/>
      <c r="W53" s="482"/>
    </row>
    <row r="54" customFormat="false" ht="12.75" hidden="false" customHeight="false" outlineLevel="1" collapsed="false">
      <c r="B54" s="495"/>
      <c r="C54" s="474"/>
      <c r="D54" s="475"/>
      <c r="E54" s="479"/>
      <c r="F54" s="479"/>
      <c r="G54" s="479"/>
      <c r="H54" s="479"/>
      <c r="I54" s="479"/>
      <c r="J54" s="479"/>
      <c r="K54" s="479"/>
      <c r="L54" s="479"/>
      <c r="M54" s="479"/>
      <c r="N54" s="479"/>
      <c r="O54" s="479"/>
      <c r="R54" s="479"/>
      <c r="S54" s="479"/>
      <c r="T54" s="479"/>
      <c r="U54" s="479"/>
      <c r="V54" s="479"/>
      <c r="W54" s="479"/>
    </row>
    <row r="55" customFormat="false" ht="14.9" hidden="false" customHeight="false" outlineLevel="1" collapsed="false">
      <c r="B55" s="496" t="s">
        <v>353</v>
      </c>
      <c r="C55" s="471" t="s">
        <v>339</v>
      </c>
      <c r="D55" s="481"/>
      <c r="E55" s="482"/>
      <c r="F55" s="482"/>
      <c r="G55" s="482"/>
      <c r="H55" s="482"/>
      <c r="I55" s="482"/>
      <c r="J55" s="482"/>
      <c r="K55" s="482"/>
      <c r="L55" s="482"/>
      <c r="M55" s="482"/>
      <c r="N55" s="482"/>
      <c r="O55" s="482"/>
      <c r="R55" s="482"/>
      <c r="S55" s="482"/>
      <c r="T55" s="482"/>
      <c r="U55" s="482"/>
      <c r="V55" s="482"/>
      <c r="W55" s="482"/>
    </row>
    <row r="56" s="458" customFormat="true" ht="13.8" hidden="false" customHeight="false" outlineLevel="0" collapsed="false">
      <c r="B56" s="460"/>
      <c r="C56" s="461"/>
      <c r="D56" s="462"/>
      <c r="E56" s="467"/>
      <c r="F56" s="467"/>
      <c r="G56" s="467"/>
      <c r="H56" s="467"/>
      <c r="I56" s="467"/>
      <c r="J56" s="467"/>
      <c r="K56" s="467"/>
      <c r="L56" s="467"/>
      <c r="M56" s="467"/>
      <c r="N56" s="467"/>
      <c r="O56" s="467"/>
      <c r="R56" s="467"/>
      <c r="S56" s="467"/>
      <c r="T56" s="467"/>
      <c r="U56" s="467"/>
      <c r="V56" s="467"/>
      <c r="W56" s="467"/>
    </row>
    <row r="57" s="458" customFormat="true" ht="27.75" hidden="false" customHeight="true" outlineLevel="0" collapsed="false">
      <c r="B57" s="464" t="s">
        <v>354</v>
      </c>
      <c r="C57" s="465"/>
      <c r="D57" s="505" t="s">
        <v>355</v>
      </c>
      <c r="E57" s="506" t="s">
        <v>356</v>
      </c>
      <c r="F57" s="506" t="s">
        <v>356</v>
      </c>
      <c r="G57" s="506" t="s">
        <v>356</v>
      </c>
      <c r="H57" s="506" t="s">
        <v>356</v>
      </c>
      <c r="I57" s="506" t="s">
        <v>356</v>
      </c>
      <c r="J57" s="506" t="s">
        <v>356</v>
      </c>
      <c r="K57" s="506" t="s">
        <v>356</v>
      </c>
      <c r="L57" s="506" t="s">
        <v>356</v>
      </c>
      <c r="M57" s="506" t="s">
        <v>356</v>
      </c>
      <c r="N57" s="506" t="s">
        <v>356</v>
      </c>
      <c r="O57" s="506" t="s">
        <v>356</v>
      </c>
      <c r="R57" s="506" t="s">
        <v>356</v>
      </c>
      <c r="S57" s="506" t="s">
        <v>356</v>
      </c>
      <c r="T57" s="506" t="s">
        <v>356</v>
      </c>
      <c r="U57" s="506" t="s">
        <v>356</v>
      </c>
      <c r="V57" s="506" t="s">
        <v>356</v>
      </c>
      <c r="W57" s="506" t="s">
        <v>356</v>
      </c>
    </row>
    <row r="58" customFormat="false" ht="14.9" hidden="false" customHeight="false" outlineLevel="1" collapsed="false">
      <c r="B58" s="495"/>
      <c r="D58" s="507"/>
      <c r="E58" s="508"/>
      <c r="F58" s="508"/>
      <c r="G58" s="508"/>
      <c r="H58" s="509"/>
      <c r="I58" s="509"/>
      <c r="J58" s="509" t="e">
        <f aca="false">+J61+J106+IFERROR(J125,0)</f>
        <v>#REF!</v>
      </c>
      <c r="K58" s="509" t="e">
        <f aca="false">+K61+K106+IFERROR(K125,0)</f>
        <v>#REF!</v>
      </c>
      <c r="L58" s="509" t="e">
        <f aca="false">+L61+L106+IFERROR(L125,0)</f>
        <v>#REF!</v>
      </c>
      <c r="M58" s="509" t="e">
        <f aca="false">+M61+M106+IFERROR(M125,0)</f>
        <v>#REF!</v>
      </c>
      <c r="N58" s="509" t="n">
        <f aca="false">+'[5]O&amp;M'!N14</f>
        <v>0</v>
      </c>
      <c r="O58" s="509" t="n">
        <f aca="false">+'[5]O&amp;M'!Q14</f>
        <v>0</v>
      </c>
      <c r="R58" s="509" t="n">
        <f aca="false">+'[5]O&amp;M'!T14</f>
        <v>0</v>
      </c>
      <c r="S58" s="509"/>
      <c r="T58" s="509"/>
      <c r="U58" s="509"/>
      <c r="V58" s="509"/>
      <c r="W58" s="509" t="e">
        <f aca="false">+W61+W106+IFERROR(W125,0)</f>
        <v>#VALUE!</v>
      </c>
    </row>
    <row r="59" customFormat="false" ht="16.5" hidden="false" customHeight="true" outlineLevel="1" collapsed="false">
      <c r="B59" s="489" t="s">
        <v>357</v>
      </c>
      <c r="C59" s="510"/>
      <c r="D59" s="511"/>
      <c r="E59" s="512" t="e">
        <f aca="false">+E61+E88+E106+E152=#REF!</f>
        <v>#REF!</v>
      </c>
      <c r="F59" s="512" t="e">
        <f aca="false">+F61+F88+F106+F152=#REF!</f>
        <v>#REF!</v>
      </c>
      <c r="G59" s="512" t="e">
        <f aca="false">+G61+G88+G106+G152=#REF!</f>
        <v>#REF!</v>
      </c>
      <c r="H59" s="512" t="e">
        <f aca="false">+H61+H88+H106+H152=#REF!</f>
        <v>#REF!</v>
      </c>
      <c r="I59" s="512" t="e">
        <f aca="false">+I61+I88+I106+I152=#REF!</f>
        <v>#REF!</v>
      </c>
      <c r="J59" s="512" t="e">
        <f aca="false">+J61+J88+J106+J152=#REF!</f>
        <v>#REF!</v>
      </c>
      <c r="K59" s="512" t="e">
        <f aca="false">+K61+K88+K106+K152=#REF!</f>
        <v>#REF!</v>
      </c>
      <c r="L59" s="512" t="e">
        <f aca="false">+L61+L88+L106+L152=#REF!</f>
        <v>#REF!</v>
      </c>
      <c r="M59" s="512" t="e">
        <f aca="false">+M61+M88+M106+M152=#REF!</f>
        <v>#REF!</v>
      </c>
      <c r="N59" s="512" t="e">
        <f aca="false">+N61+N88+N106+N152=#REF!</f>
        <v>#REF!</v>
      </c>
      <c r="O59" s="512"/>
      <c r="R59" s="512" t="e">
        <f aca="false">+R61+R70+R88+R106+R115+R125+R134+R143+R152='input 기초'!#ref!</f>
        <v>#VALUE!</v>
      </c>
      <c r="S59" s="512" t="e">
        <f aca="false">+S61+S70+S88+S106+S115+S125+S134+S143+S152='input 기초'!#ref!</f>
        <v>#VALUE!</v>
      </c>
      <c r="T59" s="512" t="e">
        <f aca="false">+T61+T70+T88+T106+T115+T125+T134+T143+T152='input 기초'!#ref!</f>
        <v>#VALUE!</v>
      </c>
      <c r="U59" s="512" t="e">
        <f aca="false">+U61+U70+U88+U106+U115+U125+U134+U143+U152='input 기초'!#ref!</f>
        <v>#VALUE!</v>
      </c>
      <c r="V59" s="512" t="e">
        <f aca="false">+V61+V70+V88+V106+V115+V125+V134+V143+V152='input 기초'!#ref!</f>
        <v>#VALUE!</v>
      </c>
      <c r="W59" s="512" t="e">
        <f aca="false">+W61+W70+W88+W106+W115+W125+W134+W143+W152='input 기초'!#ref!</f>
        <v>#VALUE!</v>
      </c>
    </row>
    <row r="60" customFormat="false" ht="16.5" hidden="false" customHeight="true" outlineLevel="1" collapsed="false">
      <c r="B60" s="496" t="s">
        <v>97</v>
      </c>
      <c r="E60" s="478"/>
      <c r="F60" s="478"/>
      <c r="G60" s="478"/>
      <c r="H60" s="478"/>
      <c r="I60" s="478"/>
      <c r="J60" s="478"/>
      <c r="K60" s="478"/>
      <c r="L60" s="478"/>
      <c r="M60" s="478"/>
      <c r="N60" s="478"/>
      <c r="O60" s="478"/>
      <c r="R60" s="478"/>
      <c r="S60" s="478"/>
      <c r="T60" s="478"/>
      <c r="U60" s="478"/>
      <c r="V60" s="478"/>
      <c r="W60" s="478"/>
    </row>
    <row r="61" customFormat="false" ht="16.5" hidden="false" customHeight="true" outlineLevel="1" collapsed="false">
      <c r="B61" s="496" t="s">
        <v>356</v>
      </c>
      <c r="C61" s="474" t="s">
        <v>358</v>
      </c>
      <c r="D61" s="513" t="s">
        <v>359</v>
      </c>
      <c r="E61" s="514" t="e">
        <f aca="false">+#REF!</f>
        <v>#REF!</v>
      </c>
      <c r="F61" s="514" t="e">
        <f aca="false">+#REF!</f>
        <v>#REF!</v>
      </c>
      <c r="G61" s="514" t="e">
        <f aca="false">+#REF!</f>
        <v>#REF!</v>
      </c>
      <c r="H61" s="514" t="e">
        <f aca="false">+#REF!</f>
        <v>#REF!</v>
      </c>
      <c r="I61" s="514" t="e">
        <f aca="false">+#REF!</f>
        <v>#REF!</v>
      </c>
      <c r="J61" s="514" t="e">
        <f aca="false">+#REF!</f>
        <v>#REF!</v>
      </c>
      <c r="K61" s="514" t="e">
        <f aca="false">+#REF!</f>
        <v>#REF!</v>
      </c>
      <c r="L61" s="514" t="e">
        <f aca="false">+#REF!</f>
        <v>#REF!</v>
      </c>
      <c r="M61" s="514" t="e">
        <f aca="false">+#REF!</f>
        <v>#REF!</v>
      </c>
      <c r="N61" s="514" t="e">
        <f aca="false">+#REF!</f>
        <v>#REF!</v>
      </c>
      <c r="O61" s="514" t="e">
        <f aca="false">+'input 기초'!#ref!</f>
        <v>#VALUE!</v>
      </c>
      <c r="P61" s="515"/>
      <c r="R61" s="514" t="e">
        <f aca="false">+'input 기초'!#ref!</f>
        <v>#VALUE!</v>
      </c>
      <c r="S61" s="514" t="e">
        <f aca="false">+'input 기초'!#ref!</f>
        <v>#VALUE!</v>
      </c>
      <c r="T61" s="514" t="e">
        <f aca="false">+'input 기초'!#ref!</f>
        <v>#VALUE!</v>
      </c>
      <c r="U61" s="514" t="e">
        <f aca="false">+'input 기초'!#ref!</f>
        <v>#VALUE!</v>
      </c>
      <c r="V61" s="514" t="e">
        <f aca="false">+'input 기초'!#ref!</f>
        <v>#VALUE!</v>
      </c>
      <c r="W61" s="514" t="e">
        <f aca="false">+'input 기초'!#ref!</f>
        <v>#VALUE!</v>
      </c>
    </row>
    <row r="62" customFormat="false" ht="16.5" hidden="false" customHeight="true" outlineLevel="1" collapsed="false">
      <c r="B62" s="516" t="s">
        <v>360</v>
      </c>
      <c r="C62" s="471" t="s">
        <v>361</v>
      </c>
      <c r="D62" s="481"/>
      <c r="E62" s="517" t="s">
        <v>362</v>
      </c>
      <c r="F62" s="517" t="s">
        <v>362</v>
      </c>
      <c r="G62" s="517" t="s">
        <v>362</v>
      </c>
      <c r="H62" s="517" t="s">
        <v>362</v>
      </c>
      <c r="I62" s="517" t="s">
        <v>362</v>
      </c>
      <c r="J62" s="517" t="s">
        <v>362</v>
      </c>
      <c r="K62" s="517" t="s">
        <v>362</v>
      </c>
      <c r="L62" s="517" t="s">
        <v>362</v>
      </c>
      <c r="M62" s="517" t="s">
        <v>362</v>
      </c>
      <c r="N62" s="517" t="s">
        <v>362</v>
      </c>
      <c r="O62" s="517" t="s">
        <v>362</v>
      </c>
      <c r="P62" s="518"/>
      <c r="R62" s="517" t="s">
        <v>362</v>
      </c>
      <c r="S62" s="517" t="s">
        <v>362</v>
      </c>
      <c r="T62" s="517" t="s">
        <v>362</v>
      </c>
      <c r="U62" s="517" t="s">
        <v>362</v>
      </c>
      <c r="V62" s="517" t="s">
        <v>362</v>
      </c>
      <c r="W62" s="517" t="s">
        <v>362</v>
      </c>
    </row>
    <row r="63" customFormat="false" ht="16.5" hidden="false" customHeight="true" outlineLevel="1" collapsed="false">
      <c r="B63" s="516" t="s">
        <v>363</v>
      </c>
      <c r="C63" s="471" t="s">
        <v>364</v>
      </c>
      <c r="D63" s="481" t="s">
        <v>365</v>
      </c>
      <c r="E63" s="473" t="n">
        <f aca="false">+E18</f>
        <v>46204</v>
      </c>
      <c r="F63" s="473" t="n">
        <f aca="false">+F18</f>
        <v>46204</v>
      </c>
      <c r="G63" s="473" t="n">
        <f aca="false">+G18</f>
        <v>46204</v>
      </c>
      <c r="H63" s="473" t="n">
        <f aca="false">+H18</f>
        <v>46204</v>
      </c>
      <c r="I63" s="473" t="n">
        <f aca="false">+I18</f>
        <v>46204</v>
      </c>
      <c r="J63" s="473" t="n">
        <f aca="false">+J18</f>
        <v>46204</v>
      </c>
      <c r="K63" s="473" t="n">
        <f aca="false">+K18</f>
        <v>46327</v>
      </c>
      <c r="L63" s="473" t="n">
        <f aca="false">+L18</f>
        <v>46327</v>
      </c>
      <c r="M63" s="473" t="n">
        <f aca="false">+M18</f>
        <v>46327</v>
      </c>
      <c r="N63" s="473" t="n">
        <f aca="false">+N18</f>
        <v>46327</v>
      </c>
      <c r="O63" s="473" t="n">
        <f aca="false">+O18</f>
        <v>0</v>
      </c>
      <c r="R63" s="473" t="n">
        <v>46112</v>
      </c>
      <c r="S63" s="473" t="n">
        <v>46112</v>
      </c>
      <c r="T63" s="473" t="n">
        <v>46112</v>
      </c>
      <c r="U63" s="473" t="n">
        <v>46112</v>
      </c>
      <c r="V63" s="473" t="n">
        <v>46112</v>
      </c>
      <c r="W63" s="473" t="n">
        <v>46112</v>
      </c>
    </row>
    <row r="64" customFormat="false" ht="16.5" hidden="false" customHeight="true" outlineLevel="1" collapsed="false">
      <c r="B64" s="496" t="s">
        <v>366</v>
      </c>
      <c r="C64" s="471" t="s">
        <v>339</v>
      </c>
      <c r="D64" s="481" t="s">
        <v>367</v>
      </c>
      <c r="E64" s="473" t="s">
        <v>368</v>
      </c>
      <c r="F64" s="473" t="s">
        <v>368</v>
      </c>
      <c r="G64" s="473" t="s">
        <v>368</v>
      </c>
      <c r="H64" s="473" t="s">
        <v>368</v>
      </c>
      <c r="I64" s="473" t="s">
        <v>368</v>
      </c>
      <c r="J64" s="473" t="s">
        <v>368</v>
      </c>
      <c r="K64" s="473" t="s">
        <v>368</v>
      </c>
      <c r="L64" s="473" t="s">
        <v>368</v>
      </c>
      <c r="M64" s="473" t="s">
        <v>368</v>
      </c>
      <c r="N64" s="473" t="s">
        <v>368</v>
      </c>
      <c r="O64" s="473" t="s">
        <v>368</v>
      </c>
      <c r="R64" s="473" t="s">
        <v>368</v>
      </c>
      <c r="S64" s="473" t="s">
        <v>368</v>
      </c>
      <c r="T64" s="473" t="s">
        <v>368</v>
      </c>
      <c r="U64" s="473" t="s">
        <v>368</v>
      </c>
      <c r="V64" s="473" t="s">
        <v>368</v>
      </c>
      <c r="W64" s="473" t="s">
        <v>368</v>
      </c>
    </row>
    <row r="65" customFormat="false" ht="16.5" hidden="false" customHeight="true" outlineLevel="1" collapsed="false">
      <c r="B65" s="496" t="s">
        <v>369</v>
      </c>
      <c r="C65" s="471" t="s">
        <v>364</v>
      </c>
      <c r="D65" s="481"/>
      <c r="E65" s="473" t="n">
        <f aca="false">+E19</f>
        <v>46296</v>
      </c>
      <c r="F65" s="473" t="n">
        <f aca="false">+F19</f>
        <v>46296</v>
      </c>
      <c r="G65" s="473" t="n">
        <f aca="false">+G19</f>
        <v>46296</v>
      </c>
      <c r="H65" s="473" t="n">
        <f aca="false">+H19</f>
        <v>46296</v>
      </c>
      <c r="I65" s="473" t="n">
        <f aca="false">+I19</f>
        <v>46296</v>
      </c>
      <c r="J65" s="473" t="n">
        <f aca="false">+J19</f>
        <v>46296</v>
      </c>
      <c r="K65" s="473" t="n">
        <f aca="false">+K19</f>
        <v>46419</v>
      </c>
      <c r="L65" s="473" t="n">
        <f aca="false">+L19</f>
        <v>46419</v>
      </c>
      <c r="M65" s="473" t="n">
        <f aca="false">+M19</f>
        <v>46419</v>
      </c>
      <c r="N65" s="473" t="n">
        <f aca="false">+N19</f>
        <v>46419</v>
      </c>
      <c r="O65" s="473" t="n">
        <f aca="false">+O19</f>
        <v>46203</v>
      </c>
      <c r="R65" s="473" t="n">
        <f aca="false">R19</f>
        <v>46203</v>
      </c>
      <c r="S65" s="473" t="n">
        <f aca="false">S19</f>
        <v>46173</v>
      </c>
      <c r="T65" s="473" t="n">
        <f aca="false">T19</f>
        <v>46173</v>
      </c>
      <c r="U65" s="473" t="n">
        <f aca="false">U19</f>
        <v>46173</v>
      </c>
      <c r="V65" s="473" t="n">
        <f aca="false">V19</f>
        <v>46173</v>
      </c>
      <c r="W65" s="473" t="n">
        <f aca="false">W19</f>
        <v>46203</v>
      </c>
    </row>
    <row r="66" customFormat="false" ht="18" hidden="false" customHeight="true" outlineLevel="1" collapsed="false">
      <c r="B66" s="496" t="s">
        <v>370</v>
      </c>
      <c r="C66" s="519" t="s">
        <v>371</v>
      </c>
      <c r="D66" s="519"/>
      <c r="E66" s="482"/>
      <c r="F66" s="482"/>
      <c r="G66" s="482"/>
      <c r="H66" s="482"/>
      <c r="I66" s="482"/>
      <c r="J66" s="482"/>
      <c r="K66" s="482"/>
      <c r="L66" s="482"/>
      <c r="M66" s="482"/>
      <c r="N66" s="482"/>
      <c r="O66" s="482"/>
      <c r="R66" s="482"/>
      <c r="S66" s="482"/>
      <c r="T66" s="482"/>
      <c r="U66" s="482"/>
      <c r="V66" s="482"/>
      <c r="W66" s="482"/>
    </row>
    <row r="67" customFormat="false" ht="18" hidden="false" customHeight="true" outlineLevel="1" collapsed="false">
      <c r="B67" s="495"/>
      <c r="C67" s="519"/>
      <c r="D67" s="519"/>
    </row>
    <row r="68" customFormat="false" ht="16.5" hidden="true" customHeight="true" outlineLevel="1" collapsed="false">
      <c r="B68" s="489" t="s">
        <v>372</v>
      </c>
      <c r="C68" s="510"/>
      <c r="D68" s="520"/>
      <c r="E68" s="521"/>
      <c r="F68" s="521"/>
      <c r="G68" s="521"/>
      <c r="H68" s="521"/>
      <c r="I68" s="521"/>
      <c r="J68" s="521"/>
      <c r="K68" s="521"/>
      <c r="L68" s="521"/>
      <c r="M68" s="521"/>
      <c r="N68" s="521"/>
      <c r="O68" s="521"/>
      <c r="R68" s="521"/>
      <c r="S68" s="521"/>
      <c r="T68" s="521"/>
      <c r="U68" s="521"/>
      <c r="V68" s="521"/>
      <c r="W68" s="521"/>
    </row>
    <row r="69" customFormat="false" ht="16.5" hidden="true" customHeight="true" outlineLevel="1" collapsed="false">
      <c r="B69" s="496" t="s">
        <v>97</v>
      </c>
      <c r="E69" s="478"/>
      <c r="F69" s="478"/>
      <c r="G69" s="478"/>
      <c r="H69" s="478"/>
      <c r="I69" s="478"/>
      <c r="J69" s="478"/>
      <c r="K69" s="478"/>
      <c r="L69" s="478"/>
      <c r="M69" s="478"/>
      <c r="N69" s="478"/>
      <c r="O69" s="478"/>
      <c r="R69" s="478"/>
      <c r="S69" s="478"/>
      <c r="T69" s="478"/>
      <c r="U69" s="478"/>
      <c r="V69" s="478"/>
      <c r="W69" s="478"/>
    </row>
    <row r="70" customFormat="false" ht="16.5" hidden="true" customHeight="true" outlineLevel="1" collapsed="false">
      <c r="B70" s="496" t="s">
        <v>356</v>
      </c>
      <c r="C70" s="474" t="s">
        <v>358</v>
      </c>
      <c r="D70" s="513" t="s">
        <v>359</v>
      </c>
      <c r="E70" s="514" t="e">
        <f aca="false">+#REF!</f>
        <v>#REF!</v>
      </c>
      <c r="F70" s="514" t="e">
        <f aca="false">+#REF!</f>
        <v>#REF!</v>
      </c>
      <c r="G70" s="514" t="e">
        <f aca="false">+#REF!</f>
        <v>#REF!</v>
      </c>
      <c r="H70" s="514" t="e">
        <f aca="false">+#REF!</f>
        <v>#REF!</v>
      </c>
      <c r="I70" s="514" t="e">
        <f aca="false">+#REF!</f>
        <v>#REF!</v>
      </c>
      <c r="J70" s="514" t="e">
        <f aca="false">+#REF!</f>
        <v>#REF!</v>
      </c>
      <c r="K70" s="514" t="e">
        <f aca="false">+#REF!</f>
        <v>#REF!</v>
      </c>
      <c r="L70" s="514" t="e">
        <f aca="false">+#REF!</f>
        <v>#REF!</v>
      </c>
      <c r="M70" s="514" t="e">
        <f aca="false">+#REF!</f>
        <v>#REF!</v>
      </c>
      <c r="N70" s="514" t="e">
        <f aca="false">+#REF!</f>
        <v>#REF!</v>
      </c>
      <c r="O70" s="514" t="e">
        <f aca="false">+'input 기초'!#ref!</f>
        <v>#VALUE!</v>
      </c>
      <c r="R70" s="514" t="e">
        <f aca="false">+'input 기초'!#ref!</f>
        <v>#VALUE!</v>
      </c>
      <c r="S70" s="514" t="e">
        <f aca="false">+'input 기초'!#ref!</f>
        <v>#VALUE!</v>
      </c>
      <c r="T70" s="514" t="e">
        <f aca="false">+'input 기초'!#ref!</f>
        <v>#VALUE!</v>
      </c>
      <c r="U70" s="514" t="e">
        <f aca="false">+'input 기초'!#ref!</f>
        <v>#VALUE!</v>
      </c>
      <c r="V70" s="514" t="e">
        <f aca="false">+'input 기초'!#ref!</f>
        <v>#VALUE!</v>
      </c>
      <c r="W70" s="514" t="e">
        <f aca="false">+'input 기초'!#ref!</f>
        <v>#VALUE!</v>
      </c>
    </row>
    <row r="71" customFormat="false" ht="16.5" hidden="true" customHeight="true" outlineLevel="1" collapsed="false">
      <c r="B71" s="496" t="s">
        <v>360</v>
      </c>
      <c r="C71" s="471" t="s">
        <v>361</v>
      </c>
      <c r="D71" s="481"/>
      <c r="E71" s="517" t="n">
        <v>1</v>
      </c>
      <c r="F71" s="517" t="n">
        <v>1</v>
      </c>
      <c r="G71" s="517" t="n">
        <v>1</v>
      </c>
      <c r="H71" s="517" t="n">
        <v>1</v>
      </c>
      <c r="I71" s="517" t="n">
        <v>1</v>
      </c>
      <c r="J71" s="517" t="n">
        <v>1</v>
      </c>
      <c r="K71" s="517" t="n">
        <v>1</v>
      </c>
      <c r="L71" s="517" t="n">
        <v>1</v>
      </c>
      <c r="M71" s="517" t="n">
        <v>1</v>
      </c>
      <c r="N71" s="517" t="n">
        <v>1</v>
      </c>
      <c r="O71" s="517" t="n">
        <v>1</v>
      </c>
      <c r="R71" s="517" t="n">
        <v>1</v>
      </c>
      <c r="S71" s="517" t="n">
        <v>1</v>
      </c>
      <c r="T71" s="517" t="n">
        <v>1</v>
      </c>
      <c r="U71" s="517" t="n">
        <v>1</v>
      </c>
      <c r="V71" s="517" t="n">
        <v>1</v>
      </c>
      <c r="W71" s="517" t="n">
        <v>1</v>
      </c>
    </row>
    <row r="72" customFormat="false" ht="15.75" hidden="true" customHeight="true" outlineLevel="1" collapsed="false">
      <c r="B72" s="496" t="s">
        <v>363</v>
      </c>
      <c r="C72" s="471" t="s">
        <v>364</v>
      </c>
      <c r="D72" s="481" t="s">
        <v>365</v>
      </c>
      <c r="E72" s="473" t="s">
        <v>373</v>
      </c>
      <c r="F72" s="473" t="s">
        <v>373</v>
      </c>
      <c r="G72" s="473" t="s">
        <v>373</v>
      </c>
      <c r="H72" s="473" t="s">
        <v>373</v>
      </c>
      <c r="I72" s="473" t="s">
        <v>373</v>
      </c>
      <c r="J72" s="473" t="s">
        <v>373</v>
      </c>
      <c r="K72" s="473" t="s">
        <v>373</v>
      </c>
      <c r="L72" s="473" t="s">
        <v>373</v>
      </c>
      <c r="M72" s="473" t="s">
        <v>373</v>
      </c>
      <c r="N72" s="473" t="s">
        <v>373</v>
      </c>
      <c r="O72" s="473" t="s">
        <v>373</v>
      </c>
      <c r="R72" s="473" t="n">
        <f aca="false">+EDATE(R16,-25)</f>
        <v>45200</v>
      </c>
      <c r="S72" s="473" t="n">
        <f aca="false">+EDATE(S16,-25)</f>
        <v>45200</v>
      </c>
      <c r="T72" s="473" t="n">
        <f aca="false">+EDATE(T16,-25)</f>
        <v>45200</v>
      </c>
      <c r="U72" s="473" t="n">
        <f aca="false">+EDATE(U16,-25)</f>
        <v>45200</v>
      </c>
      <c r="V72" s="473" t="n">
        <f aca="false">+EDATE(V16,-25)</f>
        <v>45200</v>
      </c>
      <c r="W72" s="473" t="n">
        <f aca="false">+EDATE(W16,-25)</f>
        <v>45260</v>
      </c>
    </row>
    <row r="73" customFormat="false" ht="16.5" hidden="true" customHeight="true" outlineLevel="1" collapsed="false">
      <c r="B73" s="496" t="s">
        <v>366</v>
      </c>
      <c r="C73" s="471" t="s">
        <v>339</v>
      </c>
      <c r="D73" s="481" t="s">
        <v>367</v>
      </c>
      <c r="E73" s="473" t="str">
        <f aca="false">+'[5]입력 시트(0124)'!E72</f>
        <v>CPI</v>
      </c>
      <c r="F73" s="473" t="str">
        <f aca="false">+'[5]입력 시트(0124)'!F72</f>
        <v>CPI</v>
      </c>
      <c r="G73" s="473" t="str">
        <f aca="false">+'[5]입력 시트(0124)'!G72</f>
        <v>CPI</v>
      </c>
      <c r="H73" s="473" t="s">
        <v>368</v>
      </c>
      <c r="I73" s="473" t="s">
        <v>368</v>
      </c>
      <c r="J73" s="473" t="s">
        <v>368</v>
      </c>
      <c r="K73" s="473" t="s">
        <v>368</v>
      </c>
      <c r="L73" s="473" t="s">
        <v>368</v>
      </c>
      <c r="M73" s="473" t="s">
        <v>368</v>
      </c>
      <c r="N73" s="473" t="s">
        <v>368</v>
      </c>
      <c r="O73" s="473" t="s">
        <v>368</v>
      </c>
      <c r="R73" s="473" t="n">
        <f aca="false">+'[5]입력 시트(0124)'!T72</f>
        <v>0</v>
      </c>
      <c r="S73" s="473" t="n">
        <f aca="false">+'[5]입력 시트(0124)'!U72</f>
        <v>0</v>
      </c>
      <c r="T73" s="473" t="n">
        <f aca="false">+'[5]입력 시트(0124)'!V72</f>
        <v>0</v>
      </c>
      <c r="U73" s="473" t="n">
        <f aca="false">+'[5]입력 시트(0124)'!W72</f>
        <v>0</v>
      </c>
      <c r="V73" s="473" t="n">
        <f aca="false">+'[5]입력 시트(0124)'!X72</f>
        <v>0</v>
      </c>
      <c r="W73" s="473" t="s">
        <v>368</v>
      </c>
    </row>
    <row r="74" customFormat="false" ht="16.5" hidden="true" customHeight="true" outlineLevel="1" collapsed="false">
      <c r="B74" s="496" t="s">
        <v>369</v>
      </c>
      <c r="C74" s="471" t="s">
        <v>364</v>
      </c>
      <c r="D74" s="481"/>
      <c r="E74" s="473" t="s">
        <v>373</v>
      </c>
      <c r="F74" s="473" t="s">
        <v>373</v>
      </c>
      <c r="G74" s="473" t="s">
        <v>373</v>
      </c>
      <c r="H74" s="473" t="s">
        <v>373</v>
      </c>
      <c r="I74" s="473" t="s">
        <v>373</v>
      </c>
      <c r="J74" s="473" t="s">
        <v>373</v>
      </c>
      <c r="K74" s="473" t="s">
        <v>373</v>
      </c>
      <c r="L74" s="473" t="s">
        <v>373</v>
      </c>
      <c r="M74" s="473" t="s">
        <v>373</v>
      </c>
      <c r="N74" s="473" t="s">
        <v>373</v>
      </c>
      <c r="O74" s="473" t="s">
        <v>373</v>
      </c>
      <c r="R74" s="473" t="n">
        <f aca="false">R19</f>
        <v>46203</v>
      </c>
      <c r="S74" s="473" t="n">
        <f aca="false">S19</f>
        <v>46173</v>
      </c>
      <c r="T74" s="473" t="n">
        <f aca="false">T19</f>
        <v>46173</v>
      </c>
      <c r="U74" s="473" t="n">
        <f aca="false">U19</f>
        <v>46173</v>
      </c>
      <c r="V74" s="473" t="n">
        <f aca="false">V19</f>
        <v>46173</v>
      </c>
      <c r="W74" s="473" t="n">
        <f aca="false">W19</f>
        <v>46203</v>
      </c>
    </row>
    <row r="75" customFormat="false" ht="16.5" hidden="true" customHeight="true" outlineLevel="1" collapsed="false">
      <c r="B75" s="496" t="s">
        <v>370</v>
      </c>
      <c r="C75" s="522"/>
      <c r="D75" s="522"/>
      <c r="E75" s="482"/>
      <c r="F75" s="482"/>
      <c r="G75" s="482"/>
      <c r="H75" s="482"/>
      <c r="I75" s="482"/>
      <c r="J75" s="482"/>
      <c r="K75" s="482"/>
      <c r="L75" s="482"/>
      <c r="M75" s="482"/>
      <c r="N75" s="482"/>
      <c r="O75" s="482"/>
      <c r="R75" s="482"/>
      <c r="S75" s="482"/>
      <c r="T75" s="482"/>
      <c r="U75" s="482"/>
      <c r="V75" s="482"/>
      <c r="W75" s="482"/>
    </row>
    <row r="76" customFormat="false" ht="16.5" hidden="true" customHeight="true" outlineLevel="1" collapsed="false">
      <c r="B76" s="495"/>
      <c r="C76" s="523"/>
    </row>
    <row r="77" customFormat="false" ht="16.5" hidden="true" customHeight="true" outlineLevel="1" collapsed="false">
      <c r="B77" s="489" t="s">
        <v>374</v>
      </c>
      <c r="C77" s="510"/>
      <c r="D77" s="520"/>
      <c r="E77" s="521"/>
      <c r="F77" s="521"/>
      <c r="G77" s="521"/>
      <c r="H77" s="521"/>
      <c r="I77" s="521"/>
      <c r="J77" s="521"/>
      <c r="K77" s="521"/>
      <c r="L77" s="521"/>
      <c r="M77" s="521"/>
      <c r="N77" s="521"/>
      <c r="O77" s="521"/>
      <c r="R77" s="521"/>
      <c r="S77" s="521"/>
      <c r="T77" s="521"/>
      <c r="U77" s="521"/>
      <c r="V77" s="521"/>
      <c r="W77" s="521"/>
    </row>
    <row r="78" customFormat="false" ht="16.5" hidden="true" customHeight="true" outlineLevel="1" collapsed="false">
      <c r="B78" s="496" t="s">
        <v>97</v>
      </c>
      <c r="E78" s="524" t="s">
        <v>106</v>
      </c>
      <c r="F78" s="524" t="s">
        <v>106</v>
      </c>
      <c r="G78" s="524" t="s">
        <v>106</v>
      </c>
      <c r="H78" s="524" t="s">
        <v>106</v>
      </c>
      <c r="I78" s="524" t="s">
        <v>106</v>
      </c>
      <c r="J78" s="524" t="s">
        <v>106</v>
      </c>
      <c r="K78" s="524" t="s">
        <v>106</v>
      </c>
      <c r="L78" s="524" t="s">
        <v>106</v>
      </c>
      <c r="M78" s="524" t="s">
        <v>106</v>
      </c>
      <c r="N78" s="524" t="s">
        <v>106</v>
      </c>
      <c r="O78" s="524" t="s">
        <v>106</v>
      </c>
      <c r="R78" s="524" t="s">
        <v>106</v>
      </c>
      <c r="S78" s="524" t="s">
        <v>106</v>
      </c>
      <c r="T78" s="524" t="s">
        <v>106</v>
      </c>
      <c r="U78" s="524" t="s">
        <v>106</v>
      </c>
      <c r="V78" s="524" t="s">
        <v>106</v>
      </c>
      <c r="W78" s="524" t="s">
        <v>106</v>
      </c>
    </row>
    <row r="79" customFormat="false" ht="16.5" hidden="true" customHeight="true" outlineLevel="1" collapsed="false">
      <c r="B79" s="496" t="s">
        <v>356</v>
      </c>
      <c r="C79" s="474" t="s">
        <v>358</v>
      </c>
      <c r="D79" s="525" t="s">
        <v>359</v>
      </c>
      <c r="E79" s="526"/>
      <c r="F79" s="526"/>
      <c r="G79" s="526"/>
      <c r="H79" s="526"/>
      <c r="I79" s="526"/>
      <c r="J79" s="526"/>
      <c r="K79" s="526"/>
      <c r="L79" s="526"/>
      <c r="M79" s="526"/>
      <c r="N79" s="526"/>
      <c r="O79" s="526"/>
      <c r="R79" s="526"/>
      <c r="S79" s="526"/>
      <c r="T79" s="526"/>
      <c r="U79" s="526"/>
      <c r="V79" s="526"/>
      <c r="W79" s="526"/>
    </row>
    <row r="80" customFormat="false" ht="16.5" hidden="true" customHeight="true" outlineLevel="1" collapsed="false">
      <c r="B80" s="496" t="s">
        <v>360</v>
      </c>
      <c r="C80" s="471" t="s">
        <v>361</v>
      </c>
      <c r="D80" s="481"/>
      <c r="E80" s="527" t="n">
        <v>1</v>
      </c>
      <c r="F80" s="527" t="n">
        <v>1</v>
      </c>
      <c r="G80" s="527" t="n">
        <v>1</v>
      </c>
      <c r="H80" s="527" t="n">
        <v>1</v>
      </c>
      <c r="I80" s="527" t="n">
        <v>1</v>
      </c>
      <c r="J80" s="527" t="n">
        <v>1</v>
      </c>
      <c r="K80" s="527" t="n">
        <v>1</v>
      </c>
      <c r="L80" s="527" t="n">
        <v>1</v>
      </c>
      <c r="M80" s="527" t="n">
        <v>1</v>
      </c>
      <c r="N80" s="527" t="n">
        <v>1</v>
      </c>
      <c r="O80" s="527" t="n">
        <v>1</v>
      </c>
      <c r="R80" s="527" t="n">
        <v>1</v>
      </c>
      <c r="S80" s="527" t="n">
        <v>1</v>
      </c>
      <c r="T80" s="527" t="n">
        <v>1</v>
      </c>
      <c r="U80" s="527" t="n">
        <v>1</v>
      </c>
      <c r="V80" s="527" t="n">
        <v>1</v>
      </c>
      <c r="W80" s="527" t="n">
        <v>1</v>
      </c>
    </row>
    <row r="81" customFormat="false" ht="16.5" hidden="true" customHeight="true" outlineLevel="1" collapsed="false">
      <c r="B81" s="496" t="s">
        <v>363</v>
      </c>
      <c r="C81" s="471" t="s">
        <v>364</v>
      </c>
      <c r="D81" s="481" t="s">
        <v>375</v>
      </c>
      <c r="E81" s="528" t="n">
        <f aca="false">+'[5]입력 시트(0124)'!E80</f>
        <v>45901</v>
      </c>
      <c r="F81" s="528" t="n">
        <f aca="false">+'[5]입력 시트(0124)'!F80</f>
        <v>45901</v>
      </c>
      <c r="G81" s="528" t="n">
        <f aca="false">+'[5]입력 시트(0124)'!G80</f>
        <v>45901</v>
      </c>
      <c r="H81" s="528" t="n">
        <f aca="false">+'[5]입력 시트(0124)'!H80</f>
        <v>45901</v>
      </c>
      <c r="I81" s="528" t="n">
        <f aca="false">+'[5]입력 시트(0124)'!I80</f>
        <v>45931</v>
      </c>
      <c r="J81" s="528" t="n">
        <f aca="false">+'[5]입력 시트(0124)'!F80</f>
        <v>45901</v>
      </c>
      <c r="K81" s="528" t="n">
        <f aca="false">+'[5]입력 시트(0124)'!G80</f>
        <v>45901</v>
      </c>
      <c r="L81" s="528" t="n">
        <f aca="false">+'[5]입력 시트(0124)'!H80</f>
        <v>45901</v>
      </c>
      <c r="M81" s="528" t="n">
        <f aca="false">+'[5]입력 시트(0124)'!I80</f>
        <v>45931</v>
      </c>
      <c r="N81" s="528" t="n">
        <f aca="false">+'[5]입력 시트(0124)'!N80</f>
        <v>0</v>
      </c>
      <c r="O81" s="528" t="n">
        <f aca="false">+'[5]입력 시트(0124)'!Q80</f>
        <v>0</v>
      </c>
      <c r="R81" s="528" t="n">
        <f aca="false">+'[5]입력 시트(0124)'!T80</f>
        <v>0</v>
      </c>
      <c r="S81" s="528" t="n">
        <f aca="false">+'[5]입력 시트(0124)'!U80</f>
        <v>0</v>
      </c>
      <c r="T81" s="528" t="n">
        <f aca="false">+'[5]입력 시트(0124)'!V80</f>
        <v>0</v>
      </c>
      <c r="U81" s="528" t="n">
        <f aca="false">+'[5]입력 시트(0124)'!W80</f>
        <v>0</v>
      </c>
      <c r="V81" s="528" t="n">
        <f aca="false">+'[5]입력 시트(0124)'!X80</f>
        <v>0</v>
      </c>
      <c r="W81" s="528" t="n">
        <f aca="false">+'[5]입력 시트(0124)'!U80</f>
        <v>0</v>
      </c>
    </row>
    <row r="82" customFormat="false" ht="16.5" hidden="true" customHeight="true" outlineLevel="1" collapsed="false">
      <c r="B82" s="496" t="s">
        <v>366</v>
      </c>
      <c r="C82" s="471" t="s">
        <v>339</v>
      </c>
      <c r="D82" s="481" t="s">
        <v>367</v>
      </c>
      <c r="E82" s="528" t="str">
        <f aca="false">+'[5]입력 시트(0124)'!E81</f>
        <v>CPI</v>
      </c>
      <c r="F82" s="528" t="str">
        <f aca="false">+'[5]입력 시트(0124)'!F81</f>
        <v>CPI</v>
      </c>
      <c r="G82" s="528" t="str">
        <f aca="false">+'[5]입력 시트(0124)'!G81</f>
        <v>CPI</v>
      </c>
      <c r="H82" s="528" t="str">
        <f aca="false">+'[5]입력 시트(0124)'!H81</f>
        <v>CPI</v>
      </c>
      <c r="I82" s="528" t="str">
        <f aca="false">+'[5]입력 시트(0124)'!I81</f>
        <v>CPI</v>
      </c>
      <c r="J82" s="528" t="str">
        <f aca="false">+'[5]입력 시트(0124)'!F81</f>
        <v>CPI</v>
      </c>
      <c r="K82" s="528" t="str">
        <f aca="false">+'[5]입력 시트(0124)'!G81</f>
        <v>CPI</v>
      </c>
      <c r="L82" s="528" t="str">
        <f aca="false">+'[5]입력 시트(0124)'!H81</f>
        <v>CPI</v>
      </c>
      <c r="M82" s="528" t="str">
        <f aca="false">+'[5]입력 시트(0124)'!I81</f>
        <v>CPI</v>
      </c>
      <c r="N82" s="528" t="n">
        <f aca="false">+'[5]입력 시트(0124)'!N81</f>
        <v>0</v>
      </c>
      <c r="O82" s="528" t="n">
        <f aca="false">+'[5]입력 시트(0124)'!Q81</f>
        <v>0</v>
      </c>
      <c r="R82" s="528" t="n">
        <f aca="false">+'[5]입력 시트(0124)'!T81</f>
        <v>0</v>
      </c>
      <c r="S82" s="528" t="n">
        <f aca="false">+'[5]입력 시트(0124)'!U81</f>
        <v>0</v>
      </c>
      <c r="T82" s="528" t="n">
        <f aca="false">+'[5]입력 시트(0124)'!V81</f>
        <v>0</v>
      </c>
      <c r="U82" s="528" t="n">
        <f aca="false">+'[5]입력 시트(0124)'!W81</f>
        <v>0</v>
      </c>
      <c r="V82" s="528" t="n">
        <f aca="false">+'[5]입력 시트(0124)'!X81</f>
        <v>0</v>
      </c>
      <c r="W82" s="528" t="n">
        <f aca="false">+'[5]입력 시트(0124)'!U81</f>
        <v>0</v>
      </c>
    </row>
    <row r="83" customFormat="false" ht="16.5" hidden="true" customHeight="true" outlineLevel="1" collapsed="false">
      <c r="B83" s="496" t="s">
        <v>369</v>
      </c>
      <c r="C83" s="471" t="s">
        <v>364</v>
      </c>
      <c r="D83" s="481"/>
      <c r="E83" s="528" t="n">
        <f aca="false">+'[5]입력 시트(0124)'!E82</f>
        <v>45901</v>
      </c>
      <c r="F83" s="528" t="n">
        <f aca="false">+'[5]입력 시트(0124)'!F82</f>
        <v>45901</v>
      </c>
      <c r="G83" s="528" t="n">
        <f aca="false">+'[5]입력 시트(0124)'!G82</f>
        <v>45901</v>
      </c>
      <c r="H83" s="528" t="n">
        <f aca="false">+'[5]입력 시트(0124)'!H82</f>
        <v>45901</v>
      </c>
      <c r="I83" s="528" t="n">
        <f aca="false">+'[5]입력 시트(0124)'!I82</f>
        <v>45931</v>
      </c>
      <c r="J83" s="528" t="n">
        <f aca="false">+'[5]입력 시트(0124)'!F82</f>
        <v>45901</v>
      </c>
      <c r="K83" s="528" t="n">
        <f aca="false">+'[5]입력 시트(0124)'!G82</f>
        <v>45901</v>
      </c>
      <c r="L83" s="528" t="n">
        <f aca="false">+'[5]입력 시트(0124)'!H82</f>
        <v>45901</v>
      </c>
      <c r="M83" s="528" t="n">
        <f aca="false">+'[5]입력 시트(0124)'!I82</f>
        <v>45931</v>
      </c>
      <c r="N83" s="528" t="n">
        <f aca="false">+'[5]입력 시트(0124)'!N82</f>
        <v>0</v>
      </c>
      <c r="O83" s="528" t="n">
        <f aca="false">+'[5]입력 시트(0124)'!Q82</f>
        <v>0</v>
      </c>
      <c r="R83" s="528" t="n">
        <f aca="false">+'[5]입력 시트(0124)'!T82</f>
        <v>0</v>
      </c>
      <c r="S83" s="528" t="n">
        <f aca="false">+'[5]입력 시트(0124)'!U82</f>
        <v>0</v>
      </c>
      <c r="T83" s="528" t="n">
        <f aca="false">+'[5]입력 시트(0124)'!V82</f>
        <v>0</v>
      </c>
      <c r="U83" s="528" t="n">
        <f aca="false">+'[5]입력 시트(0124)'!W82</f>
        <v>0</v>
      </c>
      <c r="V83" s="528" t="n">
        <f aca="false">+'[5]입력 시트(0124)'!X82</f>
        <v>0</v>
      </c>
      <c r="W83" s="528" t="n">
        <f aca="false">+'[5]입력 시트(0124)'!U82</f>
        <v>0</v>
      </c>
    </row>
    <row r="84" customFormat="false" ht="16.5" hidden="true" customHeight="true" outlineLevel="1" collapsed="false">
      <c r="B84" s="496" t="s">
        <v>370</v>
      </c>
      <c r="C84" s="529" t="s">
        <v>376</v>
      </c>
      <c r="D84" s="529"/>
      <c r="E84" s="530"/>
      <c r="F84" s="530"/>
      <c r="G84" s="530"/>
      <c r="H84" s="530"/>
      <c r="I84" s="530"/>
      <c r="J84" s="530"/>
      <c r="K84" s="530"/>
      <c r="L84" s="530"/>
      <c r="M84" s="530"/>
      <c r="N84" s="530"/>
      <c r="O84" s="530"/>
      <c r="R84" s="530"/>
      <c r="S84" s="530"/>
      <c r="T84" s="530"/>
      <c r="U84" s="530"/>
      <c r="V84" s="530"/>
      <c r="W84" s="530"/>
    </row>
    <row r="85" customFormat="false" ht="16.5" hidden="true" customHeight="true" outlineLevel="1" collapsed="false">
      <c r="B85" s="495"/>
    </row>
    <row r="86" customFormat="false" ht="16.5" hidden="false" customHeight="true" outlineLevel="1" collapsed="false">
      <c r="B86" s="489" t="s">
        <v>377</v>
      </c>
      <c r="C86" s="510"/>
      <c r="D86" s="520"/>
      <c r="E86" s="521"/>
      <c r="F86" s="521"/>
      <c r="G86" s="521"/>
      <c r="H86" s="521"/>
      <c r="I86" s="521"/>
      <c r="J86" s="521"/>
      <c r="K86" s="521"/>
      <c r="L86" s="521"/>
      <c r="M86" s="521"/>
      <c r="N86" s="521"/>
      <c r="O86" s="521"/>
      <c r="R86" s="521"/>
      <c r="S86" s="521"/>
      <c r="T86" s="521"/>
      <c r="U86" s="521"/>
      <c r="V86" s="521"/>
      <c r="W86" s="521"/>
    </row>
    <row r="87" customFormat="false" ht="16.5" hidden="false" customHeight="true" outlineLevel="1" collapsed="false">
      <c r="B87" s="496" t="s">
        <v>97</v>
      </c>
      <c r="E87" s="478"/>
      <c r="F87" s="478"/>
      <c r="G87" s="478"/>
      <c r="H87" s="478"/>
      <c r="I87" s="478"/>
      <c r="J87" s="478"/>
      <c r="K87" s="478"/>
      <c r="L87" s="478"/>
      <c r="M87" s="478"/>
      <c r="N87" s="478"/>
      <c r="O87" s="478"/>
      <c r="R87" s="478"/>
      <c r="S87" s="478"/>
      <c r="T87" s="478"/>
      <c r="U87" s="478"/>
      <c r="V87" s="478"/>
      <c r="W87" s="478"/>
    </row>
    <row r="88" customFormat="false" ht="16.5" hidden="false" customHeight="true" outlineLevel="1" collapsed="false">
      <c r="B88" s="496" t="s">
        <v>356</v>
      </c>
      <c r="C88" s="474" t="s">
        <v>358</v>
      </c>
      <c r="D88" s="513" t="s">
        <v>359</v>
      </c>
      <c r="E88" s="514" t="e">
        <f aca="false">+#REF!</f>
        <v>#REF!</v>
      </c>
      <c r="F88" s="514" t="e">
        <f aca="false">+#REF!</f>
        <v>#REF!</v>
      </c>
      <c r="G88" s="514" t="e">
        <f aca="false">+#REF!</f>
        <v>#REF!</v>
      </c>
      <c r="H88" s="514" t="e">
        <f aca="false">+#REF!</f>
        <v>#REF!</v>
      </c>
      <c r="I88" s="514" t="e">
        <f aca="false">+#REF!</f>
        <v>#REF!</v>
      </c>
      <c r="J88" s="514" t="e">
        <f aca="false">+#REF!</f>
        <v>#REF!</v>
      </c>
      <c r="K88" s="514" t="e">
        <f aca="false">+#REF!</f>
        <v>#REF!</v>
      </c>
      <c r="L88" s="514" t="e">
        <f aca="false">+#REF!</f>
        <v>#REF!</v>
      </c>
      <c r="M88" s="514" t="e">
        <f aca="false">+#REF!</f>
        <v>#REF!</v>
      </c>
      <c r="N88" s="514" t="e">
        <f aca="false">+#REF!</f>
        <v>#REF!</v>
      </c>
      <c r="O88" s="514" t="e">
        <f aca="false">+'input 기초'!#ref!</f>
        <v>#VALUE!</v>
      </c>
      <c r="R88" s="514" t="e">
        <f aca="false">+'input 기초'!#ref!</f>
        <v>#VALUE!</v>
      </c>
      <c r="S88" s="514" t="e">
        <f aca="false">+'input 기초'!#ref!</f>
        <v>#VALUE!</v>
      </c>
      <c r="T88" s="514" t="e">
        <f aca="false">+'input 기초'!#ref!</f>
        <v>#VALUE!</v>
      </c>
      <c r="U88" s="514" t="e">
        <f aca="false">+'input 기초'!#ref!</f>
        <v>#VALUE!</v>
      </c>
      <c r="V88" s="514" t="e">
        <f aca="false">+'input 기초'!#ref!</f>
        <v>#VALUE!</v>
      </c>
      <c r="W88" s="514" t="e">
        <f aca="false">+'input 기초'!#ref!</f>
        <v>#VALUE!</v>
      </c>
    </row>
    <row r="89" customFormat="false" ht="16.5" hidden="false" customHeight="true" outlineLevel="1" collapsed="false">
      <c r="B89" s="496" t="s">
        <v>360</v>
      </c>
      <c r="C89" s="471" t="s">
        <v>361</v>
      </c>
      <c r="D89" s="481"/>
      <c r="E89" s="517" t="n">
        <v>1</v>
      </c>
      <c r="F89" s="517" t="n">
        <v>1</v>
      </c>
      <c r="G89" s="517" t="n">
        <v>1</v>
      </c>
      <c r="H89" s="517" t="n">
        <v>1</v>
      </c>
      <c r="I89" s="517" t="n">
        <v>1</v>
      </c>
      <c r="J89" s="517" t="n">
        <v>1</v>
      </c>
      <c r="K89" s="517" t="n">
        <v>1</v>
      </c>
      <c r="L89" s="517" t="n">
        <v>1</v>
      </c>
      <c r="M89" s="517" t="n">
        <v>1</v>
      </c>
      <c r="N89" s="517" t="n">
        <v>1</v>
      </c>
      <c r="O89" s="517" t="n">
        <v>1</v>
      </c>
      <c r="R89" s="517" t="n">
        <v>1</v>
      </c>
      <c r="S89" s="517" t="n">
        <v>1</v>
      </c>
      <c r="T89" s="517" t="n">
        <v>1</v>
      </c>
      <c r="U89" s="517" t="n">
        <v>1</v>
      </c>
      <c r="V89" s="517" t="n">
        <v>1</v>
      </c>
      <c r="W89" s="517" t="n">
        <v>1</v>
      </c>
    </row>
    <row r="90" customFormat="false" ht="16.5" hidden="false" customHeight="true" outlineLevel="1" collapsed="false">
      <c r="B90" s="496" t="s">
        <v>363</v>
      </c>
      <c r="C90" s="471" t="s">
        <v>364</v>
      </c>
      <c r="D90" s="481" t="s">
        <v>365</v>
      </c>
      <c r="E90" s="473" t="n">
        <f aca="false">+E18</f>
        <v>46204</v>
      </c>
      <c r="F90" s="473" t="n">
        <f aca="false">+F18</f>
        <v>46204</v>
      </c>
      <c r="G90" s="473" t="n">
        <f aca="false">+G18</f>
        <v>46204</v>
      </c>
      <c r="H90" s="473" t="n">
        <f aca="false">+H18</f>
        <v>46204</v>
      </c>
      <c r="I90" s="473" t="n">
        <f aca="false">+I18</f>
        <v>46204</v>
      </c>
      <c r="J90" s="473" t="n">
        <f aca="false">+J18</f>
        <v>46204</v>
      </c>
      <c r="K90" s="473" t="n">
        <f aca="false">+K18</f>
        <v>46327</v>
      </c>
      <c r="L90" s="473" t="n">
        <f aca="false">+L18</f>
        <v>46327</v>
      </c>
      <c r="M90" s="473" t="n">
        <f aca="false">+M18</f>
        <v>46327</v>
      </c>
      <c r="N90" s="473" t="n">
        <f aca="false">+N18</f>
        <v>46327</v>
      </c>
      <c r="O90" s="473" t="n">
        <f aca="false">+O18</f>
        <v>0</v>
      </c>
      <c r="R90" s="473" t="n">
        <v>46112</v>
      </c>
      <c r="S90" s="473" t="n">
        <v>46112</v>
      </c>
      <c r="T90" s="473" t="n">
        <v>46112</v>
      </c>
      <c r="U90" s="473" t="n">
        <v>46112</v>
      </c>
      <c r="V90" s="473" t="n">
        <v>46112</v>
      </c>
      <c r="W90" s="473" t="n">
        <v>46112</v>
      </c>
    </row>
    <row r="91" customFormat="false" ht="16.5" hidden="false" customHeight="true" outlineLevel="1" collapsed="false">
      <c r="B91" s="496" t="s">
        <v>366</v>
      </c>
      <c r="C91" s="471" t="s">
        <v>339</v>
      </c>
      <c r="D91" s="481" t="s">
        <v>367</v>
      </c>
      <c r="E91" s="473" t="str">
        <f aca="false">+'[5]입력 시트(0124)'!E90</f>
        <v>CPI</v>
      </c>
      <c r="F91" s="473" t="s">
        <v>368</v>
      </c>
      <c r="G91" s="473" t="s">
        <v>368</v>
      </c>
      <c r="H91" s="473" t="s">
        <v>368</v>
      </c>
      <c r="I91" s="473" t="s">
        <v>368</v>
      </c>
      <c r="J91" s="473" t="s">
        <v>368</v>
      </c>
      <c r="K91" s="473" t="s">
        <v>368</v>
      </c>
      <c r="L91" s="473" t="s">
        <v>368</v>
      </c>
      <c r="M91" s="473" t="s">
        <v>368</v>
      </c>
      <c r="N91" s="473" t="s">
        <v>368</v>
      </c>
      <c r="O91" s="473" t="s">
        <v>368</v>
      </c>
      <c r="R91" s="473" t="n">
        <f aca="false">+'[5]입력 시트(0124)'!T90</f>
        <v>0</v>
      </c>
      <c r="S91" s="473" t="s">
        <v>368</v>
      </c>
      <c r="T91" s="473" t="s">
        <v>368</v>
      </c>
      <c r="U91" s="473" t="s">
        <v>368</v>
      </c>
      <c r="V91" s="473" t="s">
        <v>368</v>
      </c>
      <c r="W91" s="473" t="s">
        <v>368</v>
      </c>
    </row>
    <row r="92" customFormat="false" ht="16.5" hidden="false" customHeight="true" outlineLevel="1" collapsed="false">
      <c r="B92" s="496" t="s">
        <v>369</v>
      </c>
      <c r="C92" s="471" t="s">
        <v>364</v>
      </c>
      <c r="D92" s="481"/>
      <c r="E92" s="473" t="n">
        <f aca="false">+E19</f>
        <v>46296</v>
      </c>
      <c r="F92" s="473" t="n">
        <f aca="false">+F19</f>
        <v>46296</v>
      </c>
      <c r="G92" s="473" t="n">
        <f aca="false">+G19</f>
        <v>46296</v>
      </c>
      <c r="H92" s="473" t="n">
        <f aca="false">+H19</f>
        <v>46296</v>
      </c>
      <c r="I92" s="473" t="n">
        <f aca="false">+I19</f>
        <v>46296</v>
      </c>
      <c r="J92" s="473" t="n">
        <f aca="false">+J19</f>
        <v>46296</v>
      </c>
      <c r="K92" s="473" t="n">
        <f aca="false">+K19</f>
        <v>46419</v>
      </c>
      <c r="L92" s="473" t="n">
        <f aca="false">+L19</f>
        <v>46419</v>
      </c>
      <c r="M92" s="473" t="n">
        <f aca="false">+M19</f>
        <v>46419</v>
      </c>
      <c r="N92" s="473" t="n">
        <f aca="false">+N19</f>
        <v>46419</v>
      </c>
      <c r="O92" s="473" t="n">
        <f aca="false">+O19</f>
        <v>46203</v>
      </c>
      <c r="R92" s="473" t="n">
        <f aca="false">R19</f>
        <v>46203</v>
      </c>
      <c r="S92" s="473" t="n">
        <f aca="false">S19</f>
        <v>46173</v>
      </c>
      <c r="T92" s="473" t="n">
        <f aca="false">T19</f>
        <v>46173</v>
      </c>
      <c r="U92" s="473" t="n">
        <f aca="false">U19</f>
        <v>46173</v>
      </c>
      <c r="V92" s="473" t="n">
        <f aca="false">V19</f>
        <v>46173</v>
      </c>
      <c r="W92" s="473" t="n">
        <f aca="false">W19</f>
        <v>46203</v>
      </c>
    </row>
    <row r="93" customFormat="false" ht="16.5" hidden="false" customHeight="true" outlineLevel="1" collapsed="false">
      <c r="B93" s="496" t="s">
        <v>370</v>
      </c>
      <c r="C93" s="519" t="s">
        <v>378</v>
      </c>
      <c r="D93" s="519"/>
      <c r="E93" s="482"/>
      <c r="F93" s="482"/>
      <c r="G93" s="482"/>
      <c r="H93" s="482"/>
      <c r="I93" s="482"/>
      <c r="J93" s="482"/>
      <c r="K93" s="482"/>
      <c r="L93" s="482"/>
      <c r="M93" s="482"/>
      <c r="N93" s="482"/>
      <c r="O93" s="482"/>
      <c r="R93" s="482"/>
      <c r="S93" s="482"/>
      <c r="T93" s="482"/>
      <c r="U93" s="482"/>
      <c r="V93" s="482"/>
      <c r="W93" s="482"/>
    </row>
    <row r="94" customFormat="false" ht="16.5" hidden="false" customHeight="true" outlineLevel="1" collapsed="false">
      <c r="B94" s="495"/>
    </row>
    <row r="95" customFormat="false" ht="16.5" hidden="true" customHeight="true" outlineLevel="1" collapsed="false">
      <c r="B95" s="489" t="s">
        <v>379</v>
      </c>
      <c r="C95" s="510"/>
      <c r="D95" s="520"/>
      <c r="E95" s="521"/>
      <c r="F95" s="521"/>
      <c r="G95" s="521"/>
      <c r="H95" s="521"/>
      <c r="I95" s="521"/>
      <c r="J95" s="521"/>
      <c r="K95" s="521"/>
      <c r="L95" s="521"/>
      <c r="M95" s="521"/>
      <c r="N95" s="521"/>
      <c r="O95" s="521"/>
      <c r="R95" s="521"/>
      <c r="S95" s="521"/>
      <c r="T95" s="521"/>
      <c r="U95" s="521"/>
      <c r="V95" s="521"/>
      <c r="W95" s="521"/>
    </row>
    <row r="96" customFormat="false" ht="16.5" hidden="true" customHeight="true" outlineLevel="1" collapsed="false">
      <c r="B96" s="496" t="s">
        <v>97</v>
      </c>
      <c r="E96" s="524"/>
      <c r="F96" s="524"/>
      <c r="G96" s="524"/>
      <c r="H96" s="524"/>
      <c r="I96" s="524"/>
      <c r="J96" s="524"/>
      <c r="K96" s="524"/>
      <c r="L96" s="524"/>
      <c r="M96" s="524"/>
      <c r="N96" s="524"/>
      <c r="O96" s="524"/>
      <c r="R96" s="524"/>
      <c r="S96" s="524"/>
      <c r="T96" s="524"/>
      <c r="U96" s="524"/>
      <c r="V96" s="524"/>
      <c r="W96" s="524"/>
    </row>
    <row r="97" customFormat="false" ht="16.5" hidden="true" customHeight="true" outlineLevel="1" collapsed="false">
      <c r="B97" s="496" t="s">
        <v>356</v>
      </c>
      <c r="C97" s="474" t="s">
        <v>358</v>
      </c>
      <c r="D97" s="525" t="s">
        <v>380</v>
      </c>
      <c r="E97" s="531" t="s">
        <v>373</v>
      </c>
      <c r="F97" s="531" t="s">
        <v>373</v>
      </c>
      <c r="G97" s="531" t="s">
        <v>373</v>
      </c>
      <c r="H97" s="531" t="s">
        <v>373</v>
      </c>
      <c r="I97" s="531" t="s">
        <v>373</v>
      </c>
      <c r="J97" s="531" t="s">
        <v>373</v>
      </c>
      <c r="K97" s="531" t="s">
        <v>373</v>
      </c>
      <c r="L97" s="531" t="s">
        <v>373</v>
      </c>
      <c r="M97" s="531" t="s">
        <v>373</v>
      </c>
      <c r="N97" s="531" t="s">
        <v>373</v>
      </c>
      <c r="O97" s="531" t="s">
        <v>373</v>
      </c>
      <c r="R97" s="531" t="s">
        <v>373</v>
      </c>
      <c r="S97" s="531" t="s">
        <v>373</v>
      </c>
      <c r="T97" s="531" t="s">
        <v>373</v>
      </c>
      <c r="U97" s="531" t="s">
        <v>373</v>
      </c>
      <c r="V97" s="531" t="s">
        <v>373</v>
      </c>
      <c r="W97" s="531" t="s">
        <v>373</v>
      </c>
    </row>
    <row r="98" customFormat="false" ht="16.5" hidden="true" customHeight="true" outlineLevel="1" collapsed="false">
      <c r="B98" s="496" t="s">
        <v>360</v>
      </c>
      <c r="C98" s="471" t="s">
        <v>361</v>
      </c>
      <c r="D98" s="481"/>
      <c r="E98" s="527" t="s">
        <v>362</v>
      </c>
      <c r="F98" s="527" t="s">
        <v>362</v>
      </c>
      <c r="G98" s="527" t="s">
        <v>362</v>
      </c>
      <c r="H98" s="527" t="s">
        <v>362</v>
      </c>
      <c r="I98" s="527" t="s">
        <v>362</v>
      </c>
      <c r="J98" s="527" t="s">
        <v>362</v>
      </c>
      <c r="K98" s="527" t="s">
        <v>362</v>
      </c>
      <c r="L98" s="527" t="s">
        <v>362</v>
      </c>
      <c r="M98" s="527" t="s">
        <v>362</v>
      </c>
      <c r="N98" s="527" t="s">
        <v>362</v>
      </c>
      <c r="O98" s="527" t="s">
        <v>362</v>
      </c>
      <c r="R98" s="527" t="s">
        <v>362</v>
      </c>
      <c r="S98" s="527" t="s">
        <v>362</v>
      </c>
      <c r="T98" s="527" t="s">
        <v>362</v>
      </c>
      <c r="U98" s="527" t="s">
        <v>362</v>
      </c>
      <c r="V98" s="527" t="s">
        <v>362</v>
      </c>
      <c r="W98" s="527" t="s">
        <v>362</v>
      </c>
    </row>
    <row r="99" customFormat="false" ht="16.5" hidden="true" customHeight="true" outlineLevel="1" collapsed="false">
      <c r="B99" s="496" t="s">
        <v>363</v>
      </c>
      <c r="C99" s="471" t="s">
        <v>364</v>
      </c>
      <c r="D99" s="481" t="s">
        <v>375</v>
      </c>
      <c r="E99" s="528" t="n">
        <f aca="false">+EDATE(E16,-25)</f>
        <v>45383</v>
      </c>
      <c r="F99" s="528" t="n">
        <f aca="false">+EDATE(F16,-25)</f>
        <v>45383</v>
      </c>
      <c r="G99" s="528" t="n">
        <f aca="false">+EDATE(G16,-25)</f>
        <v>45383</v>
      </c>
      <c r="H99" s="528" t="n">
        <f aca="false">+EDATE(H16,-25)</f>
        <v>45383</v>
      </c>
      <c r="I99" s="528" t="n">
        <f aca="false">+EDATE(I16,-25)</f>
        <v>45383</v>
      </c>
      <c r="J99" s="528" t="n">
        <f aca="false">+EDATE(J16,-25)</f>
        <v>45383</v>
      </c>
      <c r="K99" s="528" t="n">
        <f aca="false">+EDATE(K16,-25)</f>
        <v>45505</v>
      </c>
      <c r="L99" s="528" t="n">
        <f aca="false">+EDATE(L16,-25)</f>
        <v>45505</v>
      </c>
      <c r="M99" s="528" t="n">
        <f aca="false">+EDATE(M16,-25)</f>
        <v>45505</v>
      </c>
      <c r="N99" s="528" t="n">
        <f aca="false">+EDATE(N16,-25)</f>
        <v>45505</v>
      </c>
      <c r="O99" s="528" t="n">
        <f aca="false">+EDATE(O16,-25)</f>
        <v>45260</v>
      </c>
      <c r="R99" s="528" t="n">
        <f aca="false">+EDATE(R16,-25)</f>
        <v>45200</v>
      </c>
      <c r="S99" s="528" t="n">
        <f aca="false">+EDATE(S16,-25)</f>
        <v>45200</v>
      </c>
      <c r="T99" s="528" t="n">
        <f aca="false">+EDATE(T16,-25)</f>
        <v>45200</v>
      </c>
      <c r="U99" s="528" t="n">
        <f aca="false">+EDATE(U16,-25)</f>
        <v>45200</v>
      </c>
      <c r="V99" s="528" t="n">
        <f aca="false">+EDATE(V16,-25)</f>
        <v>45200</v>
      </c>
      <c r="W99" s="528" t="n">
        <f aca="false">+EDATE(W16,-25)</f>
        <v>45260</v>
      </c>
    </row>
    <row r="100" customFormat="false" ht="16.5" hidden="true" customHeight="true" outlineLevel="1" collapsed="false">
      <c r="B100" s="496" t="s">
        <v>366</v>
      </c>
      <c r="C100" s="471" t="s">
        <v>339</v>
      </c>
      <c r="D100" s="481" t="s">
        <v>367</v>
      </c>
      <c r="E100" s="528" t="str">
        <f aca="false">+'[5]입력 시트(0124)'!E99</f>
        <v>N/A</v>
      </c>
      <c r="F100" s="528" t="str">
        <f aca="false">+'[5]입력 시트(0124)'!F99</f>
        <v>N/A</v>
      </c>
      <c r="G100" s="528" t="str">
        <f aca="false">+'[5]입력 시트(0124)'!G99</f>
        <v>N/A</v>
      </c>
      <c r="H100" s="528" t="str">
        <f aca="false">+'[5]입력 시트(0124)'!H99</f>
        <v>N/A</v>
      </c>
      <c r="I100" s="528" t="str">
        <f aca="false">+'[5]입력 시트(0124)'!I99</f>
        <v>N/A</v>
      </c>
      <c r="J100" s="528" t="s">
        <v>328</v>
      </c>
      <c r="K100" s="528" t="s">
        <v>328</v>
      </c>
      <c r="L100" s="528" t="s">
        <v>328</v>
      </c>
      <c r="M100" s="528" t="s">
        <v>328</v>
      </c>
      <c r="N100" s="528" t="n">
        <f aca="false">+'[5]입력 시트(0124)'!N99</f>
        <v>0</v>
      </c>
      <c r="O100" s="528" t="n">
        <f aca="false">+'[5]입력 시트(0124)'!Q99</f>
        <v>0</v>
      </c>
      <c r="R100" s="528" t="n">
        <f aca="false">+'[5]입력 시트(0124)'!T99</f>
        <v>0</v>
      </c>
      <c r="S100" s="528" t="n">
        <f aca="false">+'[5]입력 시트(0124)'!U99</f>
        <v>0</v>
      </c>
      <c r="T100" s="528" t="n">
        <f aca="false">+'[5]입력 시트(0124)'!V99</f>
        <v>0</v>
      </c>
      <c r="U100" s="528" t="n">
        <f aca="false">+'[5]입력 시트(0124)'!W99</f>
        <v>0</v>
      </c>
      <c r="V100" s="528" t="n">
        <f aca="false">+'[5]입력 시트(0124)'!X99</f>
        <v>0</v>
      </c>
      <c r="W100" s="528" t="s">
        <v>328</v>
      </c>
    </row>
    <row r="101" customFormat="false" ht="16.5" hidden="true" customHeight="true" outlineLevel="1" collapsed="false">
      <c r="B101" s="496" t="s">
        <v>369</v>
      </c>
      <c r="C101" s="471" t="s">
        <v>364</v>
      </c>
      <c r="D101" s="481"/>
      <c r="E101" s="528" t="n">
        <f aca="false">+'[5]입력 시트(0124)'!E100</f>
        <v>45901</v>
      </c>
      <c r="F101" s="528" t="n">
        <f aca="false">+'[5]입력 시트(0124)'!F100</f>
        <v>45901</v>
      </c>
      <c r="G101" s="528" t="n">
        <f aca="false">+'[5]입력 시트(0124)'!G100</f>
        <v>45901</v>
      </c>
      <c r="H101" s="528" t="n">
        <f aca="false">+'[5]입력 시트(0124)'!H100</f>
        <v>45901</v>
      </c>
      <c r="I101" s="528" t="n">
        <f aca="false">+'[5]입력 시트(0124)'!I100</f>
        <v>45931</v>
      </c>
      <c r="J101" s="528" t="n">
        <f aca="false">+'[5]입력 시트(0124)'!J100</f>
        <v>0</v>
      </c>
      <c r="K101" s="528" t="n">
        <f aca="false">+'[5]입력 시트(0124)'!K100</f>
        <v>0</v>
      </c>
      <c r="L101" s="528" t="n">
        <f aca="false">+'[5]입력 시트(0124)'!L100</f>
        <v>0</v>
      </c>
      <c r="M101" s="528" t="n">
        <f aca="false">+'[5]입력 시트(0124)'!M100</f>
        <v>0</v>
      </c>
      <c r="N101" s="528" t="n">
        <f aca="false">+'[5]입력 시트(0124)'!N100</f>
        <v>0</v>
      </c>
      <c r="O101" s="528" t="n">
        <f aca="false">+'[5]입력 시트(0124)'!Q100</f>
        <v>0</v>
      </c>
      <c r="R101" s="528" t="n">
        <f aca="false">+'[5]입력 시트(0124)'!T100</f>
        <v>0</v>
      </c>
      <c r="S101" s="528" t="n">
        <f aca="false">+'[5]입력 시트(0124)'!U100</f>
        <v>0</v>
      </c>
      <c r="T101" s="528" t="n">
        <f aca="false">+'[5]입력 시트(0124)'!V100</f>
        <v>0</v>
      </c>
      <c r="U101" s="528" t="n">
        <f aca="false">+'[5]입력 시트(0124)'!W100</f>
        <v>0</v>
      </c>
      <c r="V101" s="528" t="n">
        <f aca="false">+'[5]입력 시트(0124)'!X100</f>
        <v>0</v>
      </c>
      <c r="W101" s="528" t="n">
        <f aca="false">+'[5]입력 시트(0124)'!Y100</f>
        <v>0</v>
      </c>
    </row>
    <row r="102" customFormat="false" ht="16.5" hidden="true" customHeight="true" outlineLevel="1" collapsed="false">
      <c r="B102" s="496" t="s">
        <v>370</v>
      </c>
      <c r="C102" s="529" t="s">
        <v>376</v>
      </c>
      <c r="D102" s="529"/>
      <c r="E102" s="530"/>
      <c r="F102" s="530"/>
      <c r="G102" s="530"/>
      <c r="H102" s="530"/>
      <c r="I102" s="530"/>
      <c r="J102" s="530"/>
      <c r="K102" s="530"/>
      <c r="L102" s="530"/>
      <c r="M102" s="530"/>
      <c r="N102" s="530"/>
      <c r="O102" s="530"/>
      <c r="R102" s="530"/>
      <c r="S102" s="530"/>
      <c r="T102" s="530"/>
      <c r="U102" s="530"/>
      <c r="V102" s="530"/>
      <c r="W102" s="530"/>
    </row>
    <row r="103" customFormat="false" ht="16.5" hidden="true" customHeight="true" outlineLevel="1" collapsed="false">
      <c r="B103" s="495"/>
    </row>
    <row r="104" customFormat="false" ht="16.5" hidden="false" customHeight="true" outlineLevel="1" collapsed="false">
      <c r="B104" s="489" t="s">
        <v>381</v>
      </c>
      <c r="C104" s="510"/>
      <c r="D104" s="520"/>
      <c r="E104" s="521"/>
      <c r="F104" s="521"/>
      <c r="G104" s="521"/>
      <c r="H104" s="521"/>
      <c r="I104" s="521"/>
      <c r="J104" s="521"/>
      <c r="K104" s="521"/>
      <c r="L104" s="521"/>
      <c r="M104" s="521"/>
      <c r="N104" s="521"/>
      <c r="O104" s="521"/>
      <c r="R104" s="521"/>
      <c r="S104" s="521"/>
      <c r="T104" s="521"/>
      <c r="U104" s="521"/>
      <c r="V104" s="521"/>
      <c r="W104" s="521"/>
    </row>
    <row r="105" customFormat="false" ht="16.5" hidden="false" customHeight="true" outlineLevel="1" collapsed="false">
      <c r="B105" s="496" t="s">
        <v>97</v>
      </c>
      <c r="E105" s="478"/>
      <c r="F105" s="478"/>
      <c r="G105" s="478"/>
      <c r="H105" s="478"/>
      <c r="I105" s="478"/>
      <c r="J105" s="478"/>
      <c r="K105" s="478"/>
      <c r="L105" s="478"/>
      <c r="M105" s="478"/>
      <c r="N105" s="478"/>
      <c r="O105" s="478"/>
      <c r="R105" s="478"/>
      <c r="S105" s="478"/>
      <c r="T105" s="478"/>
      <c r="U105" s="478"/>
      <c r="V105" s="478"/>
      <c r="W105" s="478"/>
    </row>
    <row r="106" customFormat="false" ht="16.5" hidden="false" customHeight="true" outlineLevel="1" collapsed="false">
      <c r="B106" s="496" t="s">
        <v>356</v>
      </c>
      <c r="C106" s="474" t="s">
        <v>358</v>
      </c>
      <c r="D106" s="513" t="s">
        <v>359</v>
      </c>
      <c r="E106" s="514" t="e">
        <f aca="false">+#REF!</f>
        <v>#REF!</v>
      </c>
      <c r="F106" s="514" t="e">
        <f aca="false">+#REF!</f>
        <v>#REF!</v>
      </c>
      <c r="G106" s="514" t="e">
        <f aca="false">+#REF!</f>
        <v>#REF!</v>
      </c>
      <c r="H106" s="514" t="e">
        <f aca="false">+#REF!</f>
        <v>#REF!</v>
      </c>
      <c r="I106" s="514" t="e">
        <f aca="false">+#REF!</f>
        <v>#REF!</v>
      </c>
      <c r="J106" s="514" t="e">
        <f aca="false">+#REF!</f>
        <v>#REF!</v>
      </c>
      <c r="K106" s="514" t="e">
        <f aca="false">+#REF!</f>
        <v>#REF!</v>
      </c>
      <c r="L106" s="514" t="e">
        <f aca="false">+#REF!</f>
        <v>#REF!</v>
      </c>
      <c r="M106" s="514" t="e">
        <f aca="false">+#REF!</f>
        <v>#REF!</v>
      </c>
      <c r="N106" s="514" t="e">
        <f aca="false">+#REF!</f>
        <v>#REF!</v>
      </c>
      <c r="O106" s="532" t="e">
        <f aca="false">+'input 기초'!#ref!</f>
        <v>#VALUE!</v>
      </c>
      <c r="R106" s="532" t="e">
        <f aca="false">+'input 기초'!#ref!</f>
        <v>#VALUE!</v>
      </c>
      <c r="S106" s="532" t="e">
        <f aca="false">+'input 기초'!#ref!</f>
        <v>#VALUE!</v>
      </c>
      <c r="T106" s="532" t="e">
        <f aca="false">+'input 기초'!#ref!</f>
        <v>#VALUE!</v>
      </c>
      <c r="U106" s="532" t="e">
        <f aca="false">+'input 기초'!#ref!</f>
        <v>#VALUE!</v>
      </c>
      <c r="V106" s="532" t="e">
        <f aca="false">+'input 기초'!#ref!</f>
        <v>#VALUE!</v>
      </c>
      <c r="W106" s="532" t="e">
        <f aca="false">+'input 기초'!#ref!</f>
        <v>#VALUE!</v>
      </c>
    </row>
    <row r="107" customFormat="false" ht="16.5" hidden="false" customHeight="true" outlineLevel="1" collapsed="false">
      <c r="B107" s="496" t="s">
        <v>360</v>
      </c>
      <c r="C107" s="471" t="s">
        <v>361</v>
      </c>
      <c r="D107" s="481"/>
      <c r="E107" s="517" t="s">
        <v>362</v>
      </c>
      <c r="F107" s="517" t="s">
        <v>362</v>
      </c>
      <c r="G107" s="517" t="s">
        <v>362</v>
      </c>
      <c r="H107" s="517" t="s">
        <v>362</v>
      </c>
      <c r="I107" s="517" t="s">
        <v>362</v>
      </c>
      <c r="J107" s="517" t="s">
        <v>362</v>
      </c>
      <c r="K107" s="517" t="s">
        <v>362</v>
      </c>
      <c r="L107" s="517" t="s">
        <v>362</v>
      </c>
      <c r="M107" s="517" t="s">
        <v>362</v>
      </c>
      <c r="N107" s="517" t="s">
        <v>362</v>
      </c>
      <c r="O107" s="517" t="s">
        <v>362</v>
      </c>
      <c r="R107" s="517" t="s">
        <v>362</v>
      </c>
      <c r="S107" s="517" t="s">
        <v>362</v>
      </c>
      <c r="T107" s="517" t="s">
        <v>362</v>
      </c>
      <c r="U107" s="517" t="s">
        <v>362</v>
      </c>
      <c r="V107" s="517" t="s">
        <v>362</v>
      </c>
      <c r="W107" s="517" t="s">
        <v>362</v>
      </c>
    </row>
    <row r="108" customFormat="false" ht="16.5" hidden="false" customHeight="true" outlineLevel="1" collapsed="false">
      <c r="B108" s="496" t="s">
        <v>363</v>
      </c>
      <c r="C108" s="471" t="s">
        <v>364</v>
      </c>
      <c r="D108" s="481" t="s">
        <v>365</v>
      </c>
      <c r="E108" s="473" t="n">
        <f aca="false">+E18</f>
        <v>46204</v>
      </c>
      <c r="F108" s="473" t="n">
        <f aca="false">+F18</f>
        <v>46204</v>
      </c>
      <c r="G108" s="473" t="n">
        <f aca="false">+G18</f>
        <v>46204</v>
      </c>
      <c r="H108" s="473" t="n">
        <f aca="false">+H18</f>
        <v>46204</v>
      </c>
      <c r="I108" s="473" t="n">
        <f aca="false">+I18</f>
        <v>46204</v>
      </c>
      <c r="J108" s="473" t="n">
        <f aca="false">+J18</f>
        <v>46204</v>
      </c>
      <c r="K108" s="473" t="n">
        <f aca="false">+K18</f>
        <v>46327</v>
      </c>
      <c r="L108" s="473" t="n">
        <f aca="false">+L18</f>
        <v>46327</v>
      </c>
      <c r="M108" s="473" t="n">
        <f aca="false">+M18</f>
        <v>46327</v>
      </c>
      <c r="N108" s="473" t="n">
        <f aca="false">+N18</f>
        <v>46327</v>
      </c>
      <c r="O108" s="473" t="n">
        <f aca="false">+O18</f>
        <v>0</v>
      </c>
      <c r="R108" s="473" t="n">
        <v>46112</v>
      </c>
      <c r="S108" s="473" t="n">
        <v>46112</v>
      </c>
      <c r="T108" s="473" t="n">
        <v>46112</v>
      </c>
      <c r="U108" s="473" t="n">
        <v>46112</v>
      </c>
      <c r="V108" s="473" t="n">
        <v>46112</v>
      </c>
      <c r="W108" s="473" t="n">
        <v>46112</v>
      </c>
    </row>
    <row r="109" customFormat="false" ht="16.5" hidden="false" customHeight="true" outlineLevel="1" collapsed="false">
      <c r="B109" s="496" t="s">
        <v>366</v>
      </c>
      <c r="C109" s="471" t="s">
        <v>339</v>
      </c>
      <c r="D109" s="481" t="s">
        <v>367</v>
      </c>
      <c r="E109" s="473" t="str">
        <f aca="false">+'[5]입력 시트(0124)'!E108</f>
        <v>N/A</v>
      </c>
      <c r="F109" s="473" t="str">
        <f aca="false">+'[5]입력 시트(0124)'!F108</f>
        <v>N/A</v>
      </c>
      <c r="G109" s="473" t="str">
        <f aca="false">+'[5]입력 시트(0124)'!G108</f>
        <v>N/A</v>
      </c>
      <c r="H109" s="473" t="str">
        <f aca="false">+'[5]입력 시트(0124)'!H108</f>
        <v>N/A</v>
      </c>
      <c r="I109" s="473" t="str">
        <f aca="false">+'[5]입력 시트(0124)'!I108</f>
        <v>N/A</v>
      </c>
      <c r="J109" s="473" t="s">
        <v>328</v>
      </c>
      <c r="K109" s="473" t="s">
        <v>328</v>
      </c>
      <c r="L109" s="473" t="s">
        <v>328</v>
      </c>
      <c r="M109" s="473" t="s">
        <v>328</v>
      </c>
      <c r="N109" s="473" t="s">
        <v>328</v>
      </c>
      <c r="O109" s="473" t="s">
        <v>328</v>
      </c>
      <c r="R109" s="473" t="n">
        <f aca="false">+'[5]입력 시트(0124)'!T108</f>
        <v>0</v>
      </c>
      <c r="S109" s="473" t="n">
        <f aca="false">+'[5]입력 시트(0124)'!U108</f>
        <v>0</v>
      </c>
      <c r="T109" s="473" t="n">
        <f aca="false">+'[5]입력 시트(0124)'!V108</f>
        <v>0</v>
      </c>
      <c r="U109" s="473" t="n">
        <f aca="false">+'[5]입력 시트(0124)'!W108</f>
        <v>0</v>
      </c>
      <c r="V109" s="473" t="n">
        <f aca="false">+'[5]입력 시트(0124)'!X108</f>
        <v>0</v>
      </c>
      <c r="W109" s="473" t="s">
        <v>328</v>
      </c>
    </row>
    <row r="110" customFormat="false" ht="16.5" hidden="false" customHeight="true" outlineLevel="1" collapsed="false">
      <c r="B110" s="496" t="s">
        <v>369</v>
      </c>
      <c r="C110" s="471" t="s">
        <v>364</v>
      </c>
      <c r="D110" s="481"/>
      <c r="E110" s="473" t="n">
        <f aca="false">+E19</f>
        <v>46296</v>
      </c>
      <c r="F110" s="473" t="n">
        <f aca="false">+F19</f>
        <v>46296</v>
      </c>
      <c r="G110" s="473" t="n">
        <f aca="false">+G19</f>
        <v>46296</v>
      </c>
      <c r="H110" s="473" t="n">
        <f aca="false">+H19</f>
        <v>46296</v>
      </c>
      <c r="I110" s="473" t="n">
        <f aca="false">+I19</f>
        <v>46296</v>
      </c>
      <c r="J110" s="473" t="n">
        <f aca="false">+J19</f>
        <v>46296</v>
      </c>
      <c r="K110" s="473" t="n">
        <f aca="false">+K19</f>
        <v>46419</v>
      </c>
      <c r="L110" s="473" t="n">
        <f aca="false">+L19</f>
        <v>46419</v>
      </c>
      <c r="M110" s="473" t="n">
        <f aca="false">+M19</f>
        <v>46419</v>
      </c>
      <c r="N110" s="473" t="n">
        <f aca="false">+N19</f>
        <v>46419</v>
      </c>
      <c r="O110" s="473" t="n">
        <f aca="false">+O19</f>
        <v>46203</v>
      </c>
      <c r="R110" s="473" t="n">
        <f aca="false">R19</f>
        <v>46203</v>
      </c>
      <c r="S110" s="473" t="n">
        <f aca="false">S19</f>
        <v>46173</v>
      </c>
      <c r="T110" s="473" t="n">
        <f aca="false">T19</f>
        <v>46173</v>
      </c>
      <c r="U110" s="473" t="n">
        <f aca="false">U19</f>
        <v>46173</v>
      </c>
      <c r="V110" s="473" t="n">
        <f aca="false">V19</f>
        <v>46173</v>
      </c>
      <c r="W110" s="473" t="n">
        <f aca="false">W19</f>
        <v>46203</v>
      </c>
    </row>
    <row r="111" customFormat="false" ht="16.5" hidden="false" customHeight="true" outlineLevel="1" collapsed="false">
      <c r="B111" s="496" t="s">
        <v>370</v>
      </c>
      <c r="C111" s="519" t="s">
        <v>382</v>
      </c>
      <c r="D111" s="519"/>
      <c r="E111" s="482"/>
      <c r="F111" s="482"/>
      <c r="G111" s="482"/>
      <c r="H111" s="482"/>
      <c r="I111" s="482"/>
      <c r="J111" s="482"/>
      <c r="K111" s="482"/>
      <c r="L111" s="482"/>
      <c r="M111" s="482"/>
      <c r="N111" s="482"/>
      <c r="O111" s="482"/>
      <c r="R111" s="482"/>
      <c r="S111" s="482"/>
      <c r="T111" s="482"/>
      <c r="U111" s="482"/>
      <c r="V111" s="482"/>
      <c r="W111" s="482"/>
    </row>
    <row r="112" customFormat="false" ht="16.5" hidden="false" customHeight="true" outlineLevel="1" collapsed="false">
      <c r="B112" s="495"/>
      <c r="E112" s="533"/>
      <c r="F112" s="533"/>
      <c r="G112" s="533"/>
      <c r="H112" s="533"/>
      <c r="I112" s="533"/>
      <c r="J112" s="533"/>
      <c r="K112" s="533"/>
      <c r="L112" s="533"/>
      <c r="M112" s="533"/>
      <c r="N112" s="533"/>
      <c r="O112" s="533"/>
      <c r="R112" s="533"/>
      <c r="S112" s="533"/>
      <c r="T112" s="533"/>
      <c r="U112" s="533"/>
      <c r="V112" s="533"/>
      <c r="W112" s="533"/>
    </row>
    <row r="113" customFormat="false" ht="16.5" hidden="true" customHeight="true" outlineLevel="1" collapsed="false">
      <c r="B113" s="489" t="s">
        <v>383</v>
      </c>
      <c r="C113" s="510"/>
      <c r="D113" s="520"/>
      <c r="E113" s="521"/>
      <c r="F113" s="521"/>
      <c r="G113" s="521"/>
      <c r="H113" s="521"/>
      <c r="I113" s="521"/>
      <c r="J113" s="521"/>
      <c r="K113" s="521"/>
      <c r="L113" s="521"/>
      <c r="M113" s="521"/>
      <c r="N113" s="521"/>
      <c r="O113" s="521"/>
      <c r="R113" s="521"/>
      <c r="S113" s="521"/>
      <c r="T113" s="521"/>
      <c r="U113" s="521"/>
      <c r="V113" s="521"/>
      <c r="W113" s="521"/>
    </row>
    <row r="114" customFormat="false" ht="16.5" hidden="true" customHeight="true" outlineLevel="1" collapsed="false">
      <c r="B114" s="496" t="s">
        <v>97</v>
      </c>
      <c r="E114" s="478"/>
      <c r="F114" s="478"/>
      <c r="G114" s="478"/>
      <c r="H114" s="478"/>
      <c r="I114" s="478"/>
      <c r="J114" s="478"/>
      <c r="K114" s="478"/>
      <c r="L114" s="478"/>
      <c r="M114" s="478"/>
      <c r="N114" s="478"/>
      <c r="O114" s="478"/>
      <c r="R114" s="478"/>
      <c r="S114" s="478"/>
      <c r="T114" s="478"/>
      <c r="U114" s="478"/>
      <c r="V114" s="478"/>
      <c r="W114" s="478"/>
    </row>
    <row r="115" customFormat="false" ht="16.5" hidden="true" customHeight="true" outlineLevel="1" collapsed="false">
      <c r="B115" s="496" t="s">
        <v>356</v>
      </c>
      <c r="C115" s="474" t="s">
        <v>358</v>
      </c>
      <c r="D115" s="513" t="s">
        <v>380</v>
      </c>
      <c r="E115" s="534"/>
      <c r="F115" s="534"/>
      <c r="G115" s="534"/>
      <c r="H115" s="534"/>
      <c r="I115" s="534"/>
      <c r="J115" s="534"/>
      <c r="K115" s="534"/>
      <c r="L115" s="534"/>
      <c r="M115" s="534"/>
      <c r="N115" s="534"/>
      <c r="O115" s="534"/>
      <c r="R115" s="534"/>
      <c r="S115" s="534"/>
      <c r="T115" s="534"/>
      <c r="U115" s="534"/>
      <c r="V115" s="534"/>
      <c r="W115" s="534"/>
    </row>
    <row r="116" customFormat="false" ht="16.5" hidden="true" customHeight="true" outlineLevel="1" collapsed="false">
      <c r="B116" s="496" t="s">
        <v>360</v>
      </c>
      <c r="C116" s="471" t="s">
        <v>361</v>
      </c>
      <c r="D116" s="481"/>
      <c r="E116" s="517" t="s">
        <v>362</v>
      </c>
      <c r="F116" s="517" t="s">
        <v>362</v>
      </c>
      <c r="G116" s="517" t="s">
        <v>362</v>
      </c>
      <c r="H116" s="517" t="s">
        <v>362</v>
      </c>
      <c r="I116" s="517" t="s">
        <v>362</v>
      </c>
      <c r="J116" s="517" t="s">
        <v>362</v>
      </c>
      <c r="K116" s="517" t="s">
        <v>362</v>
      </c>
      <c r="L116" s="517" t="s">
        <v>362</v>
      </c>
      <c r="M116" s="517" t="s">
        <v>362</v>
      </c>
      <c r="N116" s="517" t="s">
        <v>362</v>
      </c>
      <c r="O116" s="517" t="s">
        <v>362</v>
      </c>
      <c r="R116" s="517" t="s">
        <v>362</v>
      </c>
      <c r="S116" s="517" t="s">
        <v>362</v>
      </c>
      <c r="T116" s="517" t="s">
        <v>362</v>
      </c>
      <c r="U116" s="517" t="s">
        <v>362</v>
      </c>
      <c r="V116" s="517" t="s">
        <v>362</v>
      </c>
      <c r="W116" s="517" t="s">
        <v>362</v>
      </c>
    </row>
    <row r="117" customFormat="false" ht="16.5" hidden="true" customHeight="true" outlineLevel="1" collapsed="false">
      <c r="B117" s="496" t="s">
        <v>363</v>
      </c>
      <c r="C117" s="471" t="s">
        <v>364</v>
      </c>
      <c r="D117" s="481" t="s">
        <v>365</v>
      </c>
      <c r="E117" s="473" t="s">
        <v>373</v>
      </c>
      <c r="F117" s="473" t="s">
        <v>373</v>
      </c>
      <c r="G117" s="473" t="s">
        <v>373</v>
      </c>
      <c r="H117" s="473" t="n">
        <f aca="false">+'[5]입력 시트(0124)'!H116</f>
        <v>45901</v>
      </c>
      <c r="I117" s="473" t="n">
        <f aca="false">+'[5]입력 시트(0124)'!I116</f>
        <v>45931</v>
      </c>
      <c r="J117" s="473" t="n">
        <v>45931</v>
      </c>
      <c r="K117" s="473" t="n">
        <v>45931</v>
      </c>
      <c r="L117" s="473" t="n">
        <v>45931</v>
      </c>
      <c r="M117" s="473" t="n">
        <v>45931</v>
      </c>
      <c r="N117" s="473" t="n">
        <f aca="false">+'[5]입력 시트(0124)'!N116</f>
        <v>0</v>
      </c>
      <c r="O117" s="473" t="n">
        <f aca="false">+'[5]입력 시트(0124)'!Q116</f>
        <v>0</v>
      </c>
      <c r="R117" s="473" t="n">
        <f aca="false">+'[5]입력 시트(0124)'!T116</f>
        <v>0</v>
      </c>
      <c r="S117" s="473" t="n">
        <f aca="false">+'[5]입력 시트(0124)'!U116</f>
        <v>0</v>
      </c>
      <c r="T117" s="473" t="n">
        <f aca="false">+'[5]입력 시트(0124)'!V116</f>
        <v>0</v>
      </c>
      <c r="U117" s="473" t="n">
        <f aca="false">+'[5]입력 시트(0124)'!W116</f>
        <v>0</v>
      </c>
      <c r="V117" s="473" t="n">
        <f aca="false">+'[5]입력 시트(0124)'!X116</f>
        <v>0</v>
      </c>
      <c r="W117" s="473" t="n">
        <v>45931</v>
      </c>
    </row>
    <row r="118" customFormat="false" ht="16.5" hidden="true" customHeight="true" outlineLevel="1" collapsed="false">
      <c r="B118" s="496" t="s">
        <v>366</v>
      </c>
      <c r="C118" s="471" t="s">
        <v>339</v>
      </c>
      <c r="D118" s="481" t="s">
        <v>367</v>
      </c>
      <c r="E118" s="473" t="str">
        <f aca="false">+'[5]입력 시트(0124)'!E117</f>
        <v>N/A</v>
      </c>
      <c r="F118" s="473" t="str">
        <f aca="false">+'[5]입력 시트(0124)'!F117</f>
        <v>N/A</v>
      </c>
      <c r="G118" s="473" t="str">
        <f aca="false">+'[5]입력 시트(0124)'!G117</f>
        <v>N/A</v>
      </c>
      <c r="H118" s="473" t="str">
        <f aca="false">+'[5]입력 시트(0124)'!H117</f>
        <v>N/A</v>
      </c>
      <c r="I118" s="473" t="str">
        <f aca="false">+'[5]입력 시트(0124)'!I117</f>
        <v>N/A</v>
      </c>
      <c r="J118" s="473" t="s">
        <v>328</v>
      </c>
      <c r="K118" s="473" t="s">
        <v>328</v>
      </c>
      <c r="L118" s="473" t="s">
        <v>328</v>
      </c>
      <c r="M118" s="473" t="s">
        <v>328</v>
      </c>
      <c r="N118" s="473" t="s">
        <v>328</v>
      </c>
      <c r="O118" s="473" t="s">
        <v>328</v>
      </c>
      <c r="R118" s="473" t="n">
        <f aca="false">+'[5]입력 시트(0124)'!T117</f>
        <v>0</v>
      </c>
      <c r="S118" s="473" t="n">
        <f aca="false">+'[5]입력 시트(0124)'!U117</f>
        <v>0</v>
      </c>
      <c r="T118" s="473" t="n">
        <f aca="false">+'[5]입력 시트(0124)'!V117</f>
        <v>0</v>
      </c>
      <c r="U118" s="473" t="n">
        <f aca="false">+'[5]입력 시트(0124)'!W117</f>
        <v>0</v>
      </c>
      <c r="V118" s="473" t="n">
        <f aca="false">+'[5]입력 시트(0124)'!X117</f>
        <v>0</v>
      </c>
      <c r="W118" s="473" t="s">
        <v>328</v>
      </c>
    </row>
    <row r="119" customFormat="false" ht="16.5" hidden="true" customHeight="true" outlineLevel="1" collapsed="false">
      <c r="B119" s="496" t="s">
        <v>369</v>
      </c>
      <c r="C119" s="471" t="s">
        <v>364</v>
      </c>
      <c r="D119" s="481"/>
      <c r="E119" s="473" t="s">
        <v>373</v>
      </c>
      <c r="F119" s="473" t="s">
        <v>373</v>
      </c>
      <c r="G119" s="473" t="s">
        <v>373</v>
      </c>
      <c r="H119" s="473" t="n">
        <f aca="false">+'[5]입력 시트(0124)'!H118</f>
        <v>45901</v>
      </c>
      <c r="I119" s="473" t="n">
        <f aca="false">+'[5]입력 시트(0124)'!I118</f>
        <v>45931</v>
      </c>
      <c r="J119" s="473" t="n">
        <v>45931</v>
      </c>
      <c r="K119" s="473" t="n">
        <v>45931</v>
      </c>
      <c r="L119" s="473" t="n">
        <v>45931</v>
      </c>
      <c r="M119" s="473" t="n">
        <v>45931</v>
      </c>
      <c r="N119" s="473" t="n">
        <f aca="false">+'[5]입력 시트(0124)'!N118</f>
        <v>0</v>
      </c>
      <c r="O119" s="473" t="n">
        <f aca="false">+'[5]입력 시트(0124)'!Q118</f>
        <v>0</v>
      </c>
      <c r="R119" s="473" t="n">
        <f aca="false">+'[5]입력 시트(0124)'!T118</f>
        <v>0</v>
      </c>
      <c r="S119" s="473" t="n">
        <f aca="false">+'[5]입력 시트(0124)'!U118</f>
        <v>0</v>
      </c>
      <c r="T119" s="473" t="n">
        <f aca="false">+'[5]입력 시트(0124)'!V118</f>
        <v>0</v>
      </c>
      <c r="U119" s="473" t="n">
        <f aca="false">+'[5]입력 시트(0124)'!W118</f>
        <v>0</v>
      </c>
      <c r="V119" s="473" t="n">
        <f aca="false">+'[5]입력 시트(0124)'!X118</f>
        <v>0</v>
      </c>
      <c r="W119" s="473" t="n">
        <v>45931</v>
      </c>
    </row>
    <row r="120" customFormat="false" ht="16.5" hidden="true" customHeight="true" outlineLevel="1" collapsed="false">
      <c r="B120" s="496" t="s">
        <v>370</v>
      </c>
      <c r="C120" s="519" t="s">
        <v>384</v>
      </c>
      <c r="D120" s="519"/>
      <c r="E120" s="482"/>
      <c r="F120" s="482"/>
      <c r="G120" s="482"/>
      <c r="H120" s="482"/>
      <c r="I120" s="482"/>
      <c r="J120" s="482"/>
      <c r="K120" s="482"/>
      <c r="L120" s="482"/>
      <c r="M120" s="482"/>
      <c r="N120" s="482"/>
      <c r="O120" s="482"/>
      <c r="R120" s="482"/>
      <c r="S120" s="482"/>
      <c r="T120" s="482"/>
      <c r="U120" s="482"/>
      <c r="V120" s="482"/>
      <c r="W120" s="482"/>
    </row>
    <row r="121" customFormat="false" ht="16.5" hidden="true" customHeight="true" outlineLevel="1" collapsed="false">
      <c r="B121" s="495"/>
      <c r="D121" s="507"/>
      <c r="E121" s="535"/>
      <c r="F121" s="535"/>
      <c r="G121" s="535"/>
      <c r="H121" s="535"/>
      <c r="I121" s="535"/>
      <c r="J121" s="535"/>
      <c r="K121" s="535"/>
      <c r="L121" s="535"/>
      <c r="M121" s="535"/>
      <c r="N121" s="535"/>
      <c r="O121" s="535"/>
      <c r="R121" s="535"/>
      <c r="S121" s="535"/>
      <c r="T121" s="535"/>
      <c r="U121" s="535"/>
      <c r="V121" s="535"/>
      <c r="W121" s="535"/>
    </row>
    <row r="122" customFormat="false" ht="16.5" hidden="true" customHeight="true" outlineLevel="1" collapsed="false">
      <c r="B122" s="489" t="s">
        <v>385</v>
      </c>
      <c r="C122" s="510"/>
      <c r="D122" s="520"/>
      <c r="E122" s="536" t="e">
        <f aca="false">+E125/E24</f>
        <v>#REF!</v>
      </c>
      <c r="F122" s="536"/>
      <c r="G122" s="536"/>
      <c r="H122" s="536"/>
      <c r="I122" s="536"/>
      <c r="J122" s="536" t="e">
        <f aca="false">+J125/J24</f>
        <v>#REF!</v>
      </c>
      <c r="K122" s="536" t="e">
        <f aca="false">+K125/K24</f>
        <v>#REF!</v>
      </c>
      <c r="L122" s="536" t="e">
        <f aca="false">+L125/L24</f>
        <v>#REF!</v>
      </c>
      <c r="M122" s="536" t="e">
        <f aca="false">+M125/M24</f>
        <v>#REF!</v>
      </c>
      <c r="N122" s="536" t="e">
        <f aca="false">+N125/N24</f>
        <v>#REF!</v>
      </c>
      <c r="O122" s="536" t="e">
        <f aca="false">+O125/O24</f>
        <v>#DIV/0!</v>
      </c>
      <c r="R122" s="536" t="e">
        <f aca="false">+R125/R24</f>
        <v>#VALUE!</v>
      </c>
      <c r="S122" s="536"/>
      <c r="T122" s="536"/>
      <c r="U122" s="536"/>
      <c r="V122" s="536"/>
      <c r="W122" s="536" t="e">
        <f aca="false">+W125/W24</f>
        <v>#VALUE!</v>
      </c>
    </row>
    <row r="123" customFormat="false" ht="16.5" hidden="true" customHeight="true" outlineLevel="1" collapsed="false">
      <c r="B123" s="496" t="s">
        <v>97</v>
      </c>
      <c r="E123" s="478"/>
      <c r="F123" s="478"/>
      <c r="G123" s="478"/>
      <c r="H123" s="478"/>
      <c r="I123" s="478"/>
      <c r="J123" s="478"/>
      <c r="K123" s="478"/>
      <c r="L123" s="478"/>
      <c r="M123" s="478"/>
      <c r="N123" s="478"/>
      <c r="O123" s="478"/>
      <c r="R123" s="478"/>
      <c r="S123" s="478"/>
      <c r="T123" s="478"/>
      <c r="U123" s="478"/>
      <c r="V123" s="478"/>
      <c r="W123" s="478"/>
    </row>
    <row r="124" customFormat="false" ht="16.5" hidden="true" customHeight="true" outlineLevel="1" collapsed="false">
      <c r="B124" s="496" t="s">
        <v>386</v>
      </c>
      <c r="E124" s="537" t="n">
        <v>0</v>
      </c>
      <c r="F124" s="537" t="n">
        <v>0</v>
      </c>
      <c r="G124" s="537" t="n">
        <v>0</v>
      </c>
      <c r="H124" s="537" t="n">
        <v>0</v>
      </c>
      <c r="I124" s="537" t="n">
        <v>0</v>
      </c>
      <c r="J124" s="537" t="n">
        <v>0</v>
      </c>
      <c r="K124" s="537" t="n">
        <v>0</v>
      </c>
      <c r="L124" s="537" t="n">
        <v>0</v>
      </c>
      <c r="M124" s="537" t="n">
        <v>0</v>
      </c>
      <c r="N124" s="537" t="n">
        <v>0</v>
      </c>
      <c r="O124" s="537" t="n">
        <v>0</v>
      </c>
      <c r="R124" s="537" t="n">
        <v>0</v>
      </c>
      <c r="S124" s="537" t="n">
        <v>0</v>
      </c>
      <c r="T124" s="537" t="n">
        <v>0</v>
      </c>
      <c r="U124" s="537" t="n">
        <v>0</v>
      </c>
      <c r="V124" s="537" t="n">
        <v>0</v>
      </c>
      <c r="W124" s="537" t="n">
        <v>0</v>
      </c>
    </row>
    <row r="125" customFormat="false" ht="16.5" hidden="true" customHeight="true" outlineLevel="1" collapsed="false">
      <c r="B125" s="496" t="s">
        <v>356</v>
      </c>
      <c r="C125" s="474" t="s">
        <v>358</v>
      </c>
      <c r="D125" s="513" t="s">
        <v>359</v>
      </c>
      <c r="E125" s="538"/>
      <c r="F125" s="538"/>
      <c r="G125" s="538"/>
      <c r="H125" s="538"/>
      <c r="I125" s="538"/>
      <c r="J125" s="538"/>
      <c r="K125" s="538"/>
      <c r="L125" s="538"/>
      <c r="M125" s="538"/>
      <c r="N125" s="538"/>
      <c r="O125" s="538"/>
      <c r="R125" s="538" t="e">
        <f aca="false">+'input 기초'!#ref!</f>
        <v>#VALUE!</v>
      </c>
      <c r="S125" s="538" t="e">
        <f aca="false">+'input 기초'!#ref!</f>
        <v>#VALUE!</v>
      </c>
      <c r="T125" s="538" t="e">
        <f aca="false">+'input 기초'!#ref!</f>
        <v>#VALUE!</v>
      </c>
      <c r="U125" s="538" t="e">
        <f aca="false">+'input 기초'!#ref!</f>
        <v>#VALUE!</v>
      </c>
      <c r="V125" s="538" t="e">
        <f aca="false">+'input 기초'!#ref!</f>
        <v>#VALUE!</v>
      </c>
      <c r="W125" s="538" t="e">
        <f aca="false">+'input 기초'!#ref!</f>
        <v>#VALUE!</v>
      </c>
    </row>
    <row r="126" customFormat="false" ht="16.5" hidden="true" customHeight="true" outlineLevel="1" collapsed="false">
      <c r="B126" s="496" t="s">
        <v>360</v>
      </c>
      <c r="C126" s="471" t="s">
        <v>361</v>
      </c>
      <c r="D126" s="481"/>
      <c r="E126" s="517" t="s">
        <v>362</v>
      </c>
      <c r="F126" s="517" t="s">
        <v>362</v>
      </c>
      <c r="G126" s="517" t="s">
        <v>362</v>
      </c>
      <c r="H126" s="517" t="s">
        <v>362</v>
      </c>
      <c r="I126" s="517" t="s">
        <v>362</v>
      </c>
      <c r="J126" s="517" t="s">
        <v>362</v>
      </c>
      <c r="K126" s="517" t="s">
        <v>362</v>
      </c>
      <c r="L126" s="517" t="s">
        <v>362</v>
      </c>
      <c r="M126" s="517" t="s">
        <v>362</v>
      </c>
      <c r="N126" s="517" t="s">
        <v>362</v>
      </c>
      <c r="O126" s="517" t="s">
        <v>362</v>
      </c>
      <c r="R126" s="517" t="s">
        <v>362</v>
      </c>
      <c r="S126" s="517" t="s">
        <v>362</v>
      </c>
      <c r="T126" s="517" t="s">
        <v>362</v>
      </c>
      <c r="U126" s="517" t="s">
        <v>362</v>
      </c>
      <c r="V126" s="517" t="s">
        <v>362</v>
      </c>
      <c r="W126" s="517" t="s">
        <v>362</v>
      </c>
    </row>
    <row r="127" customFormat="false" ht="16.5" hidden="true" customHeight="true" outlineLevel="1" collapsed="false">
      <c r="B127" s="496" t="s">
        <v>363</v>
      </c>
      <c r="C127" s="471" t="s">
        <v>364</v>
      </c>
      <c r="D127" s="481" t="s">
        <v>365</v>
      </c>
      <c r="E127" s="473" t="n">
        <f aca="false">+E18</f>
        <v>46204</v>
      </c>
      <c r="F127" s="473" t="n">
        <f aca="false">+F18</f>
        <v>46204</v>
      </c>
      <c r="G127" s="473" t="n">
        <f aca="false">+G18</f>
        <v>46204</v>
      </c>
      <c r="H127" s="473" t="n">
        <f aca="false">H19</f>
        <v>46296</v>
      </c>
      <c r="I127" s="473" t="n">
        <f aca="false">I19</f>
        <v>46296</v>
      </c>
      <c r="J127" s="473" t="n">
        <f aca="false">J19</f>
        <v>46296</v>
      </c>
      <c r="K127" s="473" t="n">
        <f aca="false">K19</f>
        <v>46419</v>
      </c>
      <c r="L127" s="473" t="n">
        <f aca="false">L19</f>
        <v>46419</v>
      </c>
      <c r="M127" s="473" t="n">
        <f aca="false">M19</f>
        <v>46419</v>
      </c>
      <c r="N127" s="473" t="n">
        <f aca="false">N19</f>
        <v>46419</v>
      </c>
      <c r="O127" s="473" t="n">
        <f aca="false">O19</f>
        <v>46203</v>
      </c>
      <c r="R127" s="473" t="n">
        <f aca="false">R19</f>
        <v>46203</v>
      </c>
      <c r="S127" s="473" t="n">
        <f aca="false">S19</f>
        <v>46173</v>
      </c>
      <c r="T127" s="473" t="n">
        <f aca="false">T19</f>
        <v>46173</v>
      </c>
      <c r="U127" s="473" t="n">
        <f aca="false">U19</f>
        <v>46173</v>
      </c>
      <c r="V127" s="473" t="n">
        <f aca="false">V19</f>
        <v>46173</v>
      </c>
      <c r="W127" s="473" t="n">
        <f aca="false">W19</f>
        <v>46203</v>
      </c>
    </row>
    <row r="128" customFormat="false" ht="16.5" hidden="true" customHeight="true" outlineLevel="1" collapsed="false">
      <c r="B128" s="496" t="s">
        <v>366</v>
      </c>
      <c r="C128" s="471" t="s">
        <v>339</v>
      </c>
      <c r="D128" s="481" t="s">
        <v>367</v>
      </c>
      <c r="E128" s="473" t="str">
        <f aca="false">+'[5]입력 시트(0124)'!E127</f>
        <v>N/A</v>
      </c>
      <c r="F128" s="473" t="s">
        <v>328</v>
      </c>
      <c r="G128" s="473" t="s">
        <v>328</v>
      </c>
      <c r="H128" s="473" t="s">
        <v>328</v>
      </c>
      <c r="I128" s="473" t="s">
        <v>328</v>
      </c>
      <c r="J128" s="473" t="s">
        <v>328</v>
      </c>
      <c r="K128" s="473" t="s">
        <v>328</v>
      </c>
      <c r="L128" s="473" t="s">
        <v>328</v>
      </c>
      <c r="M128" s="473" t="s">
        <v>328</v>
      </c>
      <c r="N128" s="473" t="s">
        <v>328</v>
      </c>
      <c r="O128" s="473" t="s">
        <v>328</v>
      </c>
      <c r="R128" s="473" t="n">
        <f aca="false">+'[5]입력 시트(0124)'!T127</f>
        <v>0</v>
      </c>
      <c r="S128" s="473" t="s">
        <v>328</v>
      </c>
      <c r="T128" s="473" t="s">
        <v>328</v>
      </c>
      <c r="U128" s="473" t="s">
        <v>328</v>
      </c>
      <c r="V128" s="473" t="s">
        <v>328</v>
      </c>
      <c r="W128" s="473" t="s">
        <v>328</v>
      </c>
    </row>
    <row r="129" customFormat="false" ht="16.5" hidden="true" customHeight="true" outlineLevel="1" collapsed="false">
      <c r="B129" s="496" t="s">
        <v>369</v>
      </c>
      <c r="C129" s="471" t="s">
        <v>364</v>
      </c>
      <c r="D129" s="481"/>
      <c r="E129" s="473" t="n">
        <f aca="false">+E19</f>
        <v>46296</v>
      </c>
      <c r="F129" s="473" t="n">
        <f aca="false">+F19</f>
        <v>46296</v>
      </c>
      <c r="G129" s="473" t="n">
        <f aca="false">+G19</f>
        <v>46296</v>
      </c>
      <c r="H129" s="473" t="n">
        <f aca="false">H19</f>
        <v>46296</v>
      </c>
      <c r="I129" s="473" t="n">
        <f aca="false">I19</f>
        <v>46296</v>
      </c>
      <c r="J129" s="473" t="n">
        <f aca="false">J19</f>
        <v>46296</v>
      </c>
      <c r="K129" s="473" t="n">
        <f aca="false">K19</f>
        <v>46419</v>
      </c>
      <c r="L129" s="473" t="n">
        <f aca="false">L19</f>
        <v>46419</v>
      </c>
      <c r="M129" s="473" t="n">
        <f aca="false">M19</f>
        <v>46419</v>
      </c>
      <c r="N129" s="473" t="n">
        <f aca="false">N19</f>
        <v>46419</v>
      </c>
      <c r="O129" s="473" t="n">
        <f aca="false">O19</f>
        <v>46203</v>
      </c>
      <c r="R129" s="473" t="n">
        <f aca="false">R19</f>
        <v>46203</v>
      </c>
      <c r="S129" s="473" t="n">
        <f aca="false">S19</f>
        <v>46173</v>
      </c>
      <c r="T129" s="473" t="n">
        <f aca="false">T19</f>
        <v>46173</v>
      </c>
      <c r="U129" s="473" t="n">
        <f aca="false">U19</f>
        <v>46173</v>
      </c>
      <c r="V129" s="473" t="n">
        <f aca="false">V19</f>
        <v>46173</v>
      </c>
      <c r="W129" s="473" t="n">
        <f aca="false">W19</f>
        <v>46203</v>
      </c>
    </row>
    <row r="130" customFormat="false" ht="16.5" hidden="true" customHeight="true" outlineLevel="1" collapsed="false">
      <c r="B130" s="496" t="s">
        <v>370</v>
      </c>
      <c r="C130" s="539"/>
      <c r="D130" s="539"/>
      <c r="E130" s="482"/>
      <c r="F130" s="482"/>
      <c r="G130" s="482"/>
      <c r="H130" s="482"/>
      <c r="I130" s="482"/>
      <c r="J130" s="482"/>
      <c r="K130" s="482"/>
      <c r="L130" s="482"/>
      <c r="M130" s="482"/>
      <c r="N130" s="482"/>
      <c r="O130" s="482"/>
      <c r="R130" s="482"/>
      <c r="S130" s="482"/>
      <c r="T130" s="482"/>
      <c r="U130" s="482"/>
      <c r="V130" s="482"/>
      <c r="W130" s="482"/>
    </row>
    <row r="131" customFormat="false" ht="16.5" hidden="true" customHeight="true" outlineLevel="1" collapsed="false">
      <c r="B131" s="495"/>
      <c r="E131" s="540"/>
      <c r="F131" s="540"/>
      <c r="G131" s="540"/>
      <c r="H131" s="540"/>
      <c r="I131" s="540"/>
      <c r="J131" s="540"/>
      <c r="K131" s="540"/>
      <c r="L131" s="540"/>
      <c r="M131" s="540"/>
      <c r="N131" s="540"/>
      <c r="O131" s="540"/>
      <c r="R131" s="540"/>
      <c r="S131" s="540"/>
      <c r="T131" s="540"/>
      <c r="U131" s="540"/>
      <c r="V131" s="540"/>
      <c r="W131" s="540"/>
    </row>
    <row r="132" customFormat="false" ht="16.5" hidden="true" customHeight="true" outlineLevel="1" collapsed="false">
      <c r="B132" s="489" t="s">
        <v>387</v>
      </c>
      <c r="C132" s="510"/>
      <c r="D132" s="520"/>
      <c r="E132" s="521"/>
      <c r="F132" s="521"/>
      <c r="G132" s="521"/>
      <c r="H132" s="521"/>
      <c r="I132" s="521"/>
      <c r="J132" s="521"/>
      <c r="K132" s="521"/>
      <c r="L132" s="521"/>
      <c r="M132" s="521"/>
      <c r="N132" s="521"/>
      <c r="O132" s="521"/>
      <c r="R132" s="521"/>
      <c r="S132" s="521"/>
      <c r="T132" s="521"/>
      <c r="U132" s="521"/>
      <c r="V132" s="521"/>
      <c r="W132" s="521"/>
    </row>
    <row r="133" customFormat="false" ht="16.5" hidden="true" customHeight="true" outlineLevel="1" collapsed="false">
      <c r="B133" s="496" t="s">
        <v>97</v>
      </c>
      <c r="E133" s="478" t="s">
        <v>106</v>
      </c>
      <c r="F133" s="478" t="s">
        <v>106</v>
      </c>
      <c r="G133" s="478" t="s">
        <v>106</v>
      </c>
      <c r="H133" s="478" t="s">
        <v>106</v>
      </c>
      <c r="I133" s="478" t="s">
        <v>106</v>
      </c>
      <c r="J133" s="478" t="s">
        <v>106</v>
      </c>
      <c r="K133" s="478" t="s">
        <v>106</v>
      </c>
      <c r="L133" s="478" t="s">
        <v>106</v>
      </c>
      <c r="M133" s="478" t="s">
        <v>106</v>
      </c>
      <c r="N133" s="478" t="s">
        <v>106</v>
      </c>
      <c r="O133" s="478" t="s">
        <v>106</v>
      </c>
      <c r="R133" s="478" t="s">
        <v>106</v>
      </c>
      <c r="S133" s="478" t="s">
        <v>106</v>
      </c>
      <c r="T133" s="478" t="s">
        <v>106</v>
      </c>
      <c r="U133" s="478" t="s">
        <v>106</v>
      </c>
      <c r="V133" s="478" t="s">
        <v>106</v>
      </c>
      <c r="W133" s="478" t="s">
        <v>106</v>
      </c>
    </row>
    <row r="134" customFormat="false" ht="16.5" hidden="true" customHeight="true" outlineLevel="1" collapsed="false">
      <c r="B134" s="496" t="s">
        <v>356</v>
      </c>
      <c r="C134" s="474" t="s">
        <v>358</v>
      </c>
      <c r="D134" s="513" t="s">
        <v>359</v>
      </c>
      <c r="E134" s="541"/>
      <c r="F134" s="541"/>
      <c r="G134" s="541"/>
      <c r="H134" s="541"/>
      <c r="I134" s="541"/>
      <c r="J134" s="541"/>
      <c r="K134" s="541"/>
      <c r="L134" s="541"/>
      <c r="M134" s="541"/>
      <c r="N134" s="541"/>
      <c r="O134" s="541"/>
      <c r="R134" s="541"/>
      <c r="S134" s="541"/>
      <c r="T134" s="541"/>
      <c r="U134" s="541"/>
      <c r="V134" s="541"/>
      <c r="W134" s="541"/>
    </row>
    <row r="135" customFormat="false" ht="16.5" hidden="true" customHeight="true" outlineLevel="1" collapsed="false">
      <c r="B135" s="496" t="s">
        <v>360</v>
      </c>
      <c r="C135" s="471" t="s">
        <v>361</v>
      </c>
      <c r="D135" s="481"/>
      <c r="E135" s="517" t="n">
        <v>1</v>
      </c>
      <c r="F135" s="517" t="n">
        <v>1</v>
      </c>
      <c r="G135" s="517" t="n">
        <v>1</v>
      </c>
      <c r="H135" s="517" t="n">
        <v>1</v>
      </c>
      <c r="I135" s="517" t="n">
        <v>1</v>
      </c>
      <c r="J135" s="517" t="n">
        <v>1</v>
      </c>
      <c r="K135" s="517" t="n">
        <v>1</v>
      </c>
      <c r="L135" s="517" t="n">
        <v>1</v>
      </c>
      <c r="M135" s="517" t="n">
        <v>1</v>
      </c>
      <c r="N135" s="517" t="n">
        <v>1</v>
      </c>
      <c r="O135" s="517" t="n">
        <v>1</v>
      </c>
      <c r="R135" s="517" t="n">
        <v>1</v>
      </c>
      <c r="S135" s="517" t="n">
        <v>1</v>
      </c>
      <c r="T135" s="517" t="n">
        <v>1</v>
      </c>
      <c r="U135" s="517" t="n">
        <v>1</v>
      </c>
      <c r="V135" s="517" t="n">
        <v>1</v>
      </c>
      <c r="W135" s="517" t="n">
        <v>1</v>
      </c>
    </row>
    <row r="136" customFormat="false" ht="16.5" hidden="true" customHeight="true" outlineLevel="1" collapsed="false">
      <c r="B136" s="496" t="s">
        <v>363</v>
      </c>
      <c r="C136" s="471" t="s">
        <v>364</v>
      </c>
      <c r="D136" s="481" t="s">
        <v>365</v>
      </c>
      <c r="E136" s="473"/>
      <c r="F136" s="473"/>
      <c r="G136" s="473"/>
      <c r="H136" s="473"/>
      <c r="I136" s="473"/>
      <c r="J136" s="473"/>
      <c r="K136" s="473"/>
      <c r="L136" s="473"/>
      <c r="M136" s="473"/>
      <c r="N136" s="473"/>
      <c r="O136" s="473"/>
      <c r="R136" s="473"/>
      <c r="S136" s="473"/>
      <c r="T136" s="473"/>
      <c r="U136" s="473"/>
      <c r="V136" s="473"/>
      <c r="W136" s="473"/>
    </row>
    <row r="137" customFormat="false" ht="16.5" hidden="true" customHeight="true" outlineLevel="1" collapsed="false">
      <c r="B137" s="496" t="s">
        <v>366</v>
      </c>
      <c r="C137" s="471" t="s">
        <v>339</v>
      </c>
      <c r="D137" s="481" t="s">
        <v>367</v>
      </c>
      <c r="E137" s="473"/>
      <c r="F137" s="473"/>
      <c r="G137" s="473"/>
      <c r="H137" s="473"/>
      <c r="I137" s="473"/>
      <c r="J137" s="473"/>
      <c r="K137" s="473"/>
      <c r="L137" s="473"/>
      <c r="M137" s="473"/>
      <c r="N137" s="473"/>
      <c r="O137" s="473"/>
      <c r="R137" s="473"/>
      <c r="S137" s="473"/>
      <c r="T137" s="473"/>
      <c r="U137" s="473"/>
      <c r="V137" s="473"/>
      <c r="W137" s="473"/>
    </row>
    <row r="138" customFormat="false" ht="16.5" hidden="true" customHeight="true" outlineLevel="1" collapsed="false">
      <c r="B138" s="496" t="s">
        <v>369</v>
      </c>
      <c r="C138" s="471" t="s">
        <v>364</v>
      </c>
      <c r="D138" s="481"/>
      <c r="E138" s="473"/>
      <c r="F138" s="473"/>
      <c r="G138" s="473"/>
      <c r="H138" s="473"/>
      <c r="I138" s="473"/>
      <c r="J138" s="473"/>
      <c r="K138" s="473"/>
      <c r="L138" s="473"/>
      <c r="M138" s="473"/>
      <c r="N138" s="473"/>
      <c r="O138" s="473"/>
      <c r="R138" s="473"/>
      <c r="S138" s="473"/>
      <c r="T138" s="473"/>
      <c r="U138" s="473"/>
      <c r="V138" s="473"/>
      <c r="W138" s="473"/>
    </row>
    <row r="139" customFormat="false" ht="16.5" hidden="true" customHeight="true" outlineLevel="1" collapsed="false">
      <c r="B139" s="496" t="s">
        <v>370</v>
      </c>
      <c r="C139" s="542" t="s">
        <v>328</v>
      </c>
      <c r="E139" s="482"/>
      <c r="F139" s="482"/>
      <c r="G139" s="482"/>
      <c r="H139" s="482"/>
      <c r="I139" s="482"/>
      <c r="J139" s="482"/>
      <c r="K139" s="482"/>
      <c r="L139" s="482"/>
      <c r="M139" s="482"/>
      <c r="N139" s="482"/>
      <c r="O139" s="482"/>
      <c r="R139" s="482"/>
      <c r="S139" s="482"/>
      <c r="T139" s="482"/>
      <c r="U139" s="482"/>
      <c r="V139" s="482"/>
      <c r="W139" s="482"/>
    </row>
    <row r="140" customFormat="false" ht="16.5" hidden="true" customHeight="true" outlineLevel="1" collapsed="false">
      <c r="B140" s="495"/>
    </row>
    <row r="141" customFormat="false" ht="16.5" hidden="true" customHeight="true" outlineLevel="1" collapsed="false">
      <c r="B141" s="489" t="s">
        <v>388</v>
      </c>
      <c r="C141" s="510"/>
      <c r="D141" s="520"/>
      <c r="E141" s="521"/>
      <c r="F141" s="521"/>
      <c r="G141" s="521"/>
      <c r="H141" s="521"/>
      <c r="I141" s="521"/>
      <c r="J141" s="521"/>
      <c r="K141" s="521"/>
      <c r="L141" s="521"/>
      <c r="M141" s="521"/>
      <c r="N141" s="521"/>
      <c r="O141" s="521"/>
      <c r="R141" s="521"/>
      <c r="S141" s="521"/>
      <c r="T141" s="521"/>
      <c r="U141" s="521"/>
      <c r="V141" s="521"/>
      <c r="W141" s="521"/>
    </row>
    <row r="142" customFormat="false" ht="16.5" hidden="true" customHeight="true" outlineLevel="1" collapsed="false">
      <c r="B142" s="496" t="s">
        <v>97</v>
      </c>
      <c r="E142" s="478" t="s">
        <v>106</v>
      </c>
      <c r="F142" s="478" t="s">
        <v>106</v>
      </c>
      <c r="G142" s="478" t="s">
        <v>106</v>
      </c>
      <c r="H142" s="478" t="s">
        <v>106</v>
      </c>
      <c r="I142" s="478" t="s">
        <v>106</v>
      </c>
      <c r="J142" s="478" t="s">
        <v>106</v>
      </c>
      <c r="K142" s="478" t="s">
        <v>106</v>
      </c>
      <c r="L142" s="478" t="s">
        <v>106</v>
      </c>
      <c r="M142" s="478" t="s">
        <v>106</v>
      </c>
      <c r="N142" s="478" t="s">
        <v>106</v>
      </c>
      <c r="O142" s="478" t="s">
        <v>106</v>
      </c>
      <c r="R142" s="478" t="s">
        <v>106</v>
      </c>
      <c r="S142" s="478" t="s">
        <v>106</v>
      </c>
      <c r="T142" s="478" t="s">
        <v>106</v>
      </c>
      <c r="U142" s="478" t="s">
        <v>106</v>
      </c>
      <c r="V142" s="478" t="s">
        <v>106</v>
      </c>
      <c r="W142" s="478" t="s">
        <v>106</v>
      </c>
    </row>
    <row r="143" customFormat="false" ht="16.5" hidden="true" customHeight="true" outlineLevel="1" collapsed="false">
      <c r="B143" s="496" t="s">
        <v>356</v>
      </c>
      <c r="C143" s="474" t="s">
        <v>358</v>
      </c>
      <c r="D143" s="513" t="s">
        <v>359</v>
      </c>
      <c r="E143" s="541"/>
      <c r="F143" s="541"/>
      <c r="G143" s="541"/>
      <c r="H143" s="541"/>
      <c r="I143" s="541"/>
      <c r="J143" s="541"/>
      <c r="K143" s="541"/>
      <c r="L143" s="541"/>
      <c r="M143" s="541"/>
      <c r="N143" s="541"/>
      <c r="O143" s="541"/>
      <c r="R143" s="541"/>
      <c r="S143" s="541"/>
      <c r="T143" s="541"/>
      <c r="U143" s="541"/>
      <c r="V143" s="541"/>
      <c r="W143" s="541"/>
    </row>
    <row r="144" customFormat="false" ht="16.5" hidden="true" customHeight="true" outlineLevel="1" collapsed="false">
      <c r="B144" s="496" t="s">
        <v>360</v>
      </c>
      <c r="C144" s="471" t="s">
        <v>361</v>
      </c>
      <c r="D144" s="481"/>
      <c r="E144" s="517" t="n">
        <v>1</v>
      </c>
      <c r="F144" s="517" t="n">
        <v>1</v>
      </c>
      <c r="G144" s="517" t="n">
        <v>1</v>
      </c>
      <c r="H144" s="517" t="n">
        <v>1</v>
      </c>
      <c r="I144" s="517" t="n">
        <v>1</v>
      </c>
      <c r="J144" s="517" t="n">
        <v>1</v>
      </c>
      <c r="K144" s="517" t="n">
        <v>1</v>
      </c>
      <c r="L144" s="517" t="n">
        <v>1</v>
      </c>
      <c r="M144" s="517" t="n">
        <v>1</v>
      </c>
      <c r="N144" s="517" t="n">
        <v>1</v>
      </c>
      <c r="O144" s="517" t="n">
        <v>1</v>
      </c>
      <c r="R144" s="517" t="n">
        <v>1</v>
      </c>
      <c r="S144" s="517" t="n">
        <v>1</v>
      </c>
      <c r="T144" s="517" t="n">
        <v>1</v>
      </c>
      <c r="U144" s="517" t="n">
        <v>1</v>
      </c>
      <c r="V144" s="517" t="n">
        <v>1</v>
      </c>
      <c r="W144" s="517" t="n">
        <v>1</v>
      </c>
    </row>
    <row r="145" customFormat="false" ht="16.5" hidden="true" customHeight="true" outlineLevel="1" collapsed="false">
      <c r="B145" s="496" t="s">
        <v>363</v>
      </c>
      <c r="C145" s="471" t="s">
        <v>364</v>
      </c>
      <c r="D145" s="481" t="s">
        <v>365</v>
      </c>
      <c r="E145" s="473"/>
      <c r="F145" s="473"/>
      <c r="G145" s="473"/>
      <c r="H145" s="473"/>
      <c r="I145" s="473"/>
      <c r="J145" s="473"/>
      <c r="K145" s="473"/>
      <c r="L145" s="473"/>
      <c r="M145" s="473"/>
      <c r="N145" s="473"/>
      <c r="O145" s="473"/>
      <c r="R145" s="473"/>
      <c r="S145" s="473"/>
      <c r="T145" s="473"/>
      <c r="U145" s="473"/>
      <c r="V145" s="473"/>
      <c r="W145" s="473"/>
    </row>
    <row r="146" customFormat="false" ht="16.5" hidden="true" customHeight="true" outlineLevel="1" collapsed="false">
      <c r="B146" s="496" t="s">
        <v>366</v>
      </c>
      <c r="C146" s="471" t="s">
        <v>339</v>
      </c>
      <c r="D146" s="481" t="s">
        <v>367</v>
      </c>
      <c r="E146" s="473"/>
      <c r="F146" s="473"/>
      <c r="G146" s="473"/>
      <c r="H146" s="473"/>
      <c r="I146" s="473"/>
      <c r="J146" s="473"/>
      <c r="K146" s="473"/>
      <c r="L146" s="473"/>
      <c r="M146" s="473"/>
      <c r="N146" s="473"/>
      <c r="O146" s="473"/>
      <c r="R146" s="473"/>
      <c r="S146" s="473"/>
      <c r="T146" s="473"/>
      <c r="U146" s="473"/>
      <c r="V146" s="473"/>
      <c r="W146" s="473"/>
    </row>
    <row r="147" customFormat="false" ht="16.5" hidden="true" customHeight="true" outlineLevel="1" collapsed="false">
      <c r="B147" s="496" t="s">
        <v>369</v>
      </c>
      <c r="C147" s="471" t="s">
        <v>364</v>
      </c>
      <c r="D147" s="481"/>
      <c r="E147" s="473"/>
      <c r="F147" s="473"/>
      <c r="G147" s="473"/>
      <c r="H147" s="473"/>
      <c r="I147" s="473"/>
      <c r="J147" s="473"/>
      <c r="K147" s="473"/>
      <c r="L147" s="473"/>
      <c r="M147" s="473"/>
      <c r="N147" s="473"/>
      <c r="O147" s="473"/>
      <c r="R147" s="473"/>
      <c r="S147" s="473"/>
      <c r="T147" s="473"/>
      <c r="U147" s="473"/>
      <c r="V147" s="473"/>
      <c r="W147" s="473"/>
    </row>
    <row r="148" customFormat="false" ht="16.5" hidden="true" customHeight="true" outlineLevel="1" collapsed="false">
      <c r="B148" s="496" t="s">
        <v>370</v>
      </c>
      <c r="C148" s="542" t="s">
        <v>328</v>
      </c>
      <c r="E148" s="482"/>
      <c r="F148" s="482"/>
      <c r="G148" s="482"/>
      <c r="H148" s="482"/>
      <c r="I148" s="482"/>
      <c r="J148" s="482"/>
      <c r="K148" s="482"/>
      <c r="L148" s="482"/>
      <c r="M148" s="482"/>
      <c r="N148" s="482"/>
      <c r="O148" s="482"/>
      <c r="R148" s="482"/>
      <c r="S148" s="482"/>
      <c r="T148" s="482"/>
      <c r="U148" s="482"/>
      <c r="V148" s="482"/>
      <c r="W148" s="482"/>
    </row>
    <row r="149" customFormat="false" ht="16.5" hidden="true" customHeight="true" outlineLevel="1" collapsed="false">
      <c r="B149" s="495"/>
    </row>
    <row r="150" customFormat="false" ht="16.5" hidden="false" customHeight="true" outlineLevel="1" collapsed="false">
      <c r="B150" s="489" t="s">
        <v>389</v>
      </c>
      <c r="C150" s="510"/>
      <c r="D150" s="520"/>
      <c r="E150" s="521"/>
      <c r="F150" s="521"/>
      <c r="G150" s="521"/>
      <c r="H150" s="521"/>
      <c r="I150" s="521"/>
      <c r="J150" s="521"/>
      <c r="K150" s="521"/>
      <c r="L150" s="521"/>
      <c r="M150" s="521"/>
      <c r="N150" s="521"/>
      <c r="O150" s="521"/>
      <c r="R150" s="521"/>
      <c r="S150" s="521"/>
      <c r="T150" s="521"/>
      <c r="U150" s="521"/>
      <c r="V150" s="521"/>
      <c r="W150" s="521"/>
    </row>
    <row r="151" customFormat="false" ht="16.5" hidden="false" customHeight="true" outlineLevel="1" collapsed="false">
      <c r="B151" s="496" t="s">
        <v>97</v>
      </c>
      <c r="E151" s="478"/>
      <c r="F151" s="478"/>
      <c r="G151" s="478"/>
      <c r="H151" s="478"/>
      <c r="I151" s="478"/>
      <c r="J151" s="478"/>
      <c r="K151" s="478"/>
      <c r="L151" s="478"/>
      <c r="M151" s="478"/>
      <c r="N151" s="478"/>
      <c r="O151" s="478"/>
      <c r="R151" s="478"/>
      <c r="S151" s="478"/>
      <c r="T151" s="478"/>
      <c r="U151" s="478"/>
      <c r="V151" s="478"/>
      <c r="W151" s="478"/>
    </row>
    <row r="152" customFormat="false" ht="16.5" hidden="false" customHeight="true" outlineLevel="1" collapsed="false">
      <c r="B152" s="496" t="s">
        <v>356</v>
      </c>
      <c r="C152" s="474" t="s">
        <v>358</v>
      </c>
      <c r="D152" s="513" t="s">
        <v>359</v>
      </c>
      <c r="E152" s="538" t="e">
        <f aca="false">+#REF!</f>
        <v>#REF!</v>
      </c>
      <c r="F152" s="538" t="e">
        <f aca="false">+#REF!</f>
        <v>#REF!</v>
      </c>
      <c r="G152" s="538" t="e">
        <f aca="false">+#REF!</f>
        <v>#REF!</v>
      </c>
      <c r="H152" s="538" t="e">
        <f aca="false">+#REF!</f>
        <v>#REF!</v>
      </c>
      <c r="I152" s="538" t="e">
        <f aca="false">+#REF!</f>
        <v>#REF!</v>
      </c>
      <c r="J152" s="538" t="e">
        <f aca="false">+#REF!</f>
        <v>#REF!</v>
      </c>
      <c r="K152" s="538" t="e">
        <f aca="false">+#REF!</f>
        <v>#REF!</v>
      </c>
      <c r="L152" s="538" t="e">
        <f aca="false">+#REF!</f>
        <v>#REF!</v>
      </c>
      <c r="M152" s="538" t="e">
        <f aca="false">+#REF!</f>
        <v>#REF!</v>
      </c>
      <c r="N152" s="538" t="e">
        <f aca="false">+#REF!</f>
        <v>#REF!</v>
      </c>
      <c r="O152" s="543"/>
      <c r="R152" s="543" t="e">
        <f aca="false">+'input 기초'!#ref!</f>
        <v>#VALUE!</v>
      </c>
      <c r="S152" s="543" t="e">
        <f aca="false">+'input 기초'!#ref!</f>
        <v>#VALUE!</v>
      </c>
      <c r="T152" s="543" t="e">
        <f aca="false">+'input 기초'!#ref!</f>
        <v>#VALUE!</v>
      </c>
      <c r="U152" s="543" t="e">
        <f aca="false">+'input 기초'!#ref!</f>
        <v>#VALUE!</v>
      </c>
      <c r="V152" s="543" t="e">
        <f aca="false">+'input 기초'!#ref!</f>
        <v>#VALUE!</v>
      </c>
      <c r="W152" s="543" t="e">
        <f aca="false">+'input 기초'!#ref!</f>
        <v>#VALUE!</v>
      </c>
    </row>
    <row r="153" customFormat="false" ht="16.5" hidden="false" customHeight="true" outlineLevel="1" collapsed="false">
      <c r="B153" s="496" t="s">
        <v>360</v>
      </c>
      <c r="C153" s="471" t="s">
        <v>361</v>
      </c>
      <c r="D153" s="481"/>
      <c r="E153" s="517" t="n">
        <v>1</v>
      </c>
      <c r="F153" s="517" t="n">
        <v>1</v>
      </c>
      <c r="G153" s="517" t="n">
        <v>1</v>
      </c>
      <c r="H153" s="517" t="n">
        <v>1</v>
      </c>
      <c r="I153" s="517" t="n">
        <v>1</v>
      </c>
      <c r="J153" s="517" t="n">
        <v>1</v>
      </c>
      <c r="K153" s="517" t="n">
        <v>1</v>
      </c>
      <c r="L153" s="517" t="n">
        <v>1</v>
      </c>
      <c r="M153" s="517" t="n">
        <v>1</v>
      </c>
      <c r="N153" s="517" t="n">
        <v>1</v>
      </c>
      <c r="O153" s="517" t="n">
        <v>1</v>
      </c>
      <c r="R153" s="517" t="n">
        <v>1</v>
      </c>
      <c r="S153" s="517" t="n">
        <v>1</v>
      </c>
      <c r="T153" s="517" t="n">
        <v>1</v>
      </c>
      <c r="U153" s="517" t="n">
        <v>1</v>
      </c>
      <c r="V153" s="517" t="n">
        <v>1</v>
      </c>
      <c r="W153" s="517" t="n">
        <v>1</v>
      </c>
    </row>
    <row r="154" customFormat="false" ht="16.5" hidden="false" customHeight="true" outlineLevel="1" collapsed="false">
      <c r="B154" s="496" t="s">
        <v>363</v>
      </c>
      <c r="C154" s="471" t="s">
        <v>364</v>
      </c>
      <c r="D154" s="481" t="s">
        <v>365</v>
      </c>
      <c r="E154" s="473" t="n">
        <f aca="false">+E18</f>
        <v>46204</v>
      </c>
      <c r="F154" s="473" t="n">
        <f aca="false">+F18</f>
        <v>46204</v>
      </c>
      <c r="G154" s="473" t="n">
        <f aca="false">+G18</f>
        <v>46204</v>
      </c>
      <c r="H154" s="473" t="n">
        <f aca="false">H19</f>
        <v>46296</v>
      </c>
      <c r="I154" s="473" t="n">
        <f aca="false">I19</f>
        <v>46296</v>
      </c>
      <c r="J154" s="473" t="n">
        <f aca="false">J19</f>
        <v>46296</v>
      </c>
      <c r="K154" s="473" t="n">
        <f aca="false">K19</f>
        <v>46419</v>
      </c>
      <c r="L154" s="473" t="n">
        <f aca="false">L19</f>
        <v>46419</v>
      </c>
      <c r="M154" s="473" t="n">
        <f aca="false">M19</f>
        <v>46419</v>
      </c>
      <c r="N154" s="473" t="n">
        <f aca="false">N19</f>
        <v>46419</v>
      </c>
      <c r="O154" s="473" t="n">
        <f aca="false">O19</f>
        <v>46203</v>
      </c>
      <c r="R154" s="473" t="n">
        <f aca="false">R19</f>
        <v>46203</v>
      </c>
      <c r="S154" s="473" t="n">
        <f aca="false">S19</f>
        <v>46173</v>
      </c>
      <c r="T154" s="473" t="n">
        <f aca="false">T19</f>
        <v>46173</v>
      </c>
      <c r="U154" s="473" t="n">
        <f aca="false">U19</f>
        <v>46173</v>
      </c>
      <c r="V154" s="473" t="n">
        <f aca="false">V19</f>
        <v>46173</v>
      </c>
      <c r="W154" s="473" t="n">
        <f aca="false">W19</f>
        <v>46203</v>
      </c>
    </row>
    <row r="155" customFormat="false" ht="16.5" hidden="false" customHeight="true" outlineLevel="1" collapsed="false">
      <c r="B155" s="496" t="s">
        <v>366</v>
      </c>
      <c r="C155" s="471" t="s">
        <v>339</v>
      </c>
      <c r="D155" s="481" t="s">
        <v>367</v>
      </c>
      <c r="E155" s="473" t="str">
        <f aca="false">+'[5]입력 시트(0124)'!E154</f>
        <v>CPI</v>
      </c>
      <c r="F155" s="473" t="str">
        <f aca="false">+'[5]입력 시트(0124)'!F154</f>
        <v>CPI</v>
      </c>
      <c r="G155" s="473" t="str">
        <f aca="false">+'[5]입력 시트(0124)'!G154</f>
        <v>CPI</v>
      </c>
      <c r="H155" s="473" t="str">
        <f aca="false">+'[5]입력 시트(0124)'!H154</f>
        <v>CPI</v>
      </c>
      <c r="I155" s="473" t="str">
        <f aca="false">+'[5]입력 시트(0124)'!I154</f>
        <v>CPI</v>
      </c>
      <c r="J155" s="473" t="s">
        <v>368</v>
      </c>
      <c r="K155" s="473" t="s">
        <v>368</v>
      </c>
      <c r="L155" s="473" t="s">
        <v>368</v>
      </c>
      <c r="M155" s="473" t="s">
        <v>368</v>
      </c>
      <c r="N155" s="473" t="s">
        <v>368</v>
      </c>
      <c r="O155" s="473" t="s">
        <v>368</v>
      </c>
      <c r="R155" s="473" t="n">
        <f aca="false">+'[5]입력 시트(0124)'!T154</f>
        <v>0</v>
      </c>
      <c r="S155" s="473" t="n">
        <f aca="false">+'[5]입력 시트(0124)'!U154</f>
        <v>0</v>
      </c>
      <c r="T155" s="473" t="n">
        <f aca="false">+'[5]입력 시트(0124)'!V154</f>
        <v>0</v>
      </c>
      <c r="U155" s="473" t="n">
        <f aca="false">+'[5]입력 시트(0124)'!W154</f>
        <v>0</v>
      </c>
      <c r="V155" s="473" t="n">
        <f aca="false">+'[5]입력 시트(0124)'!X154</f>
        <v>0</v>
      </c>
      <c r="W155" s="473" t="s">
        <v>368</v>
      </c>
    </row>
    <row r="156" customFormat="false" ht="16.5" hidden="false" customHeight="true" outlineLevel="1" collapsed="false">
      <c r="B156" s="496" t="s">
        <v>369</v>
      </c>
      <c r="C156" s="471" t="s">
        <v>364</v>
      </c>
      <c r="D156" s="481"/>
      <c r="E156" s="473" t="n">
        <f aca="false">+E19</f>
        <v>46296</v>
      </c>
      <c r="F156" s="473" t="n">
        <f aca="false">+F19</f>
        <v>46296</v>
      </c>
      <c r="G156" s="473" t="n">
        <f aca="false">+G19</f>
        <v>46296</v>
      </c>
      <c r="H156" s="473" t="n">
        <f aca="false">H19</f>
        <v>46296</v>
      </c>
      <c r="I156" s="473" t="n">
        <f aca="false">I19</f>
        <v>46296</v>
      </c>
      <c r="J156" s="473" t="n">
        <f aca="false">J19</f>
        <v>46296</v>
      </c>
      <c r="K156" s="473" t="n">
        <f aca="false">K19</f>
        <v>46419</v>
      </c>
      <c r="L156" s="473" t="n">
        <f aca="false">L19</f>
        <v>46419</v>
      </c>
      <c r="M156" s="473" t="n">
        <f aca="false">M19</f>
        <v>46419</v>
      </c>
      <c r="N156" s="473" t="n">
        <f aca="false">N19</f>
        <v>46419</v>
      </c>
      <c r="O156" s="473" t="n">
        <f aca="false">O19</f>
        <v>46203</v>
      </c>
      <c r="R156" s="473" t="n">
        <f aca="false">R19</f>
        <v>46203</v>
      </c>
      <c r="S156" s="473" t="n">
        <f aca="false">S19</f>
        <v>46173</v>
      </c>
      <c r="T156" s="473" t="n">
        <f aca="false">T19</f>
        <v>46173</v>
      </c>
      <c r="U156" s="473" t="n">
        <f aca="false">U19</f>
        <v>46173</v>
      </c>
      <c r="V156" s="473" t="n">
        <f aca="false">V19</f>
        <v>46173</v>
      </c>
      <c r="W156" s="473" t="n">
        <f aca="false">W19</f>
        <v>46203</v>
      </c>
    </row>
    <row r="157" customFormat="false" ht="34.5" hidden="false" customHeight="true" outlineLevel="1" collapsed="false">
      <c r="B157" s="496" t="s">
        <v>370</v>
      </c>
      <c r="C157" s="519" t="s">
        <v>390</v>
      </c>
      <c r="D157" s="519"/>
      <c r="E157" s="482"/>
      <c r="F157" s="482"/>
      <c r="G157" s="482"/>
      <c r="H157" s="482"/>
      <c r="I157" s="482"/>
      <c r="J157" s="482"/>
      <c r="K157" s="482"/>
      <c r="L157" s="482"/>
      <c r="M157" s="482"/>
      <c r="N157" s="482"/>
      <c r="O157" s="482"/>
      <c r="R157" s="482"/>
      <c r="S157" s="482"/>
      <c r="T157" s="482"/>
      <c r="U157" s="482"/>
      <c r="V157" s="482"/>
      <c r="W157" s="482"/>
    </row>
    <row r="158" customFormat="false" ht="16.5" hidden="false" customHeight="true" outlineLevel="1" collapsed="false">
      <c r="B158" s="495"/>
    </row>
    <row r="159" s="458" customFormat="true" ht="13.8" hidden="false" customHeight="false" outlineLevel="0" collapsed="false">
      <c r="C159" s="459"/>
      <c r="E159" s="544"/>
      <c r="F159" s="544"/>
      <c r="G159" s="544"/>
      <c r="H159" s="544"/>
      <c r="I159" s="544"/>
      <c r="J159" s="544"/>
      <c r="K159" s="544"/>
      <c r="L159" s="544"/>
      <c r="M159" s="544"/>
      <c r="N159" s="544"/>
      <c r="O159" s="545" t="s">
        <v>391</v>
      </c>
      <c r="P159" s="546"/>
      <c r="Q159" s="547"/>
      <c r="R159" s="544"/>
      <c r="S159" s="544"/>
      <c r="T159" s="544"/>
      <c r="U159" s="544"/>
      <c r="V159" s="544"/>
      <c r="W159" s="544"/>
    </row>
    <row r="160" s="458" customFormat="true" ht="27.75" hidden="false" customHeight="true" outlineLevel="0" collapsed="false">
      <c r="B160" s="464" t="s">
        <v>392</v>
      </c>
      <c r="C160" s="505"/>
      <c r="D160" s="505" t="s">
        <v>355</v>
      </c>
      <c r="E160" s="506" t="s">
        <v>356</v>
      </c>
      <c r="F160" s="506" t="s">
        <v>356</v>
      </c>
      <c r="G160" s="506" t="s">
        <v>356</v>
      </c>
      <c r="H160" s="506" t="s">
        <v>356</v>
      </c>
      <c r="I160" s="506" t="s">
        <v>356</v>
      </c>
      <c r="J160" s="506" t="s">
        <v>356</v>
      </c>
      <c r="K160" s="506" t="s">
        <v>356</v>
      </c>
      <c r="L160" s="506" t="s">
        <v>356</v>
      </c>
      <c r="M160" s="506" t="s">
        <v>356</v>
      </c>
      <c r="N160" s="506" t="s">
        <v>356</v>
      </c>
      <c r="O160" s="506" t="s">
        <v>356</v>
      </c>
      <c r="P160" s="547"/>
      <c r="R160" s="506" t="s">
        <v>356</v>
      </c>
      <c r="S160" s="506" t="s">
        <v>356</v>
      </c>
      <c r="T160" s="506" t="s">
        <v>356</v>
      </c>
      <c r="U160" s="506" t="s">
        <v>356</v>
      </c>
      <c r="V160" s="506" t="s">
        <v>356</v>
      </c>
      <c r="W160" s="506" t="s">
        <v>356</v>
      </c>
    </row>
    <row r="161" s="548" customFormat="true" ht="15.65" hidden="false" customHeight="false" outlineLevel="1" collapsed="false">
      <c r="D161" s="549"/>
      <c r="E161" s="550"/>
      <c r="F161" s="550"/>
      <c r="G161" s="550"/>
      <c r="H161" s="551"/>
      <c r="I161" s="551"/>
      <c r="J161" s="551" t="e">
        <f aca="false">+J183+J219</f>
        <v>#REF!</v>
      </c>
      <c r="K161" s="551" t="e">
        <f aca="false">+K183+K219</f>
        <v>#REF!</v>
      </c>
      <c r="L161" s="551" t="e">
        <f aca="false">+L183+L219</f>
        <v>#REF!</v>
      </c>
      <c r="M161" s="551" t="e">
        <f aca="false">+M183+M219</f>
        <v>#REF!</v>
      </c>
      <c r="N161" s="551" t="e">
        <f aca="false">+N183+N219</f>
        <v>#REF!</v>
      </c>
      <c r="O161" s="552" t="n">
        <f aca="false">+O183+O219</f>
        <v>0</v>
      </c>
      <c r="P161" s="553"/>
      <c r="R161" s="552" t="e">
        <f aca="false">+R183+R219</f>
        <v>#VALUE!</v>
      </c>
      <c r="S161" s="552"/>
      <c r="T161" s="552"/>
      <c r="U161" s="552"/>
      <c r="V161" s="552"/>
      <c r="W161" s="552" t="e">
        <f aca="false">+W183+W219</f>
        <v>#VALUE!</v>
      </c>
    </row>
    <row r="162" s="554" customFormat="true" ht="15.65" hidden="false" customHeight="false" outlineLevel="1" collapsed="false">
      <c r="E162" s="555"/>
      <c r="F162" s="556"/>
      <c r="G162" s="556"/>
      <c r="H162" s="556"/>
      <c r="I162" s="556"/>
      <c r="J162" s="556"/>
      <c r="K162" s="556"/>
      <c r="L162" s="556"/>
      <c r="M162" s="556"/>
      <c r="N162" s="556"/>
      <c r="O162" s="557" t="n">
        <f aca="false">O165+O183+O201</f>
        <v>0</v>
      </c>
      <c r="P162" s="553"/>
      <c r="R162" s="557" t="e">
        <f aca="false">R165+R183+R201</f>
        <v>#VALUE!</v>
      </c>
      <c r="S162" s="557" t="e">
        <f aca="false">S165+S183+S201</f>
        <v>#VALUE!</v>
      </c>
      <c r="T162" s="557" t="e">
        <f aca="false">T165+T183+T201</f>
        <v>#VALUE!</v>
      </c>
      <c r="U162" s="557" t="e">
        <f aca="false">U165+U183+U201</f>
        <v>#VALUE!</v>
      </c>
      <c r="V162" s="557" t="e">
        <f aca="false">V165+V183+V201</f>
        <v>#VALUE!</v>
      </c>
      <c r="W162" s="557" t="e">
        <f aca="false">W165+W183+W201</f>
        <v>#VALUE!</v>
      </c>
    </row>
    <row r="163" s="455" customFormat="true" ht="14.9" hidden="false" customHeight="false" outlineLevel="1" collapsed="false">
      <c r="B163" s="482" t="s">
        <v>393</v>
      </c>
      <c r="E163" s="512" t="e">
        <f aca="false">+E165+E183+E201+E219+E236+E268=#REF!</f>
        <v>#REF!</v>
      </c>
      <c r="F163" s="512" t="e">
        <f aca="false">+F165+F183+F201+F219+F236+F268=#REF!</f>
        <v>#REF!</v>
      </c>
      <c r="G163" s="512" t="e">
        <f aca="false">+G165+G183+G201+G219+G236+G268=#REF!</f>
        <v>#REF!</v>
      </c>
      <c r="H163" s="512" t="e">
        <f aca="false">+H165+H183+H201+H219+H236+H268=#REF!</f>
        <v>#REF!</v>
      </c>
      <c r="I163" s="512" t="e">
        <f aca="false">+I165+I183+I201+I219+I236+I268=#REF!</f>
        <v>#REF!</v>
      </c>
      <c r="J163" s="512" t="e">
        <f aca="false">+J165+J183+J201+J219+J236+J268=#REF!</f>
        <v>#REF!</v>
      </c>
      <c r="K163" s="512" t="e">
        <f aca="false">+K165+K183+K201+K219+K236+K268=#REF!</f>
        <v>#REF!</v>
      </c>
      <c r="L163" s="512" t="e">
        <f aca="false">+L165+L183+L201+L219+L236+L268=#REF!</f>
        <v>#REF!</v>
      </c>
      <c r="M163" s="512" t="e">
        <f aca="false">+M165+M183+M201+M219+M236+M268=#REF!</f>
        <v>#REF!</v>
      </c>
      <c r="N163" s="512" t="e">
        <f aca="false">+N165+N183+N201+N219+N236+N268=#REF!</f>
        <v>#REF!</v>
      </c>
      <c r="O163" s="512"/>
      <c r="R163" s="512" t="e">
        <f aca="false">+R165+R183+R201+R219='input 기초'!#ref!+'input 기초'!#ref!</f>
        <v>#VALUE!</v>
      </c>
      <c r="S163" s="512" t="e">
        <f aca="false">+S165+S183+S201+S219='input 기초'!#ref!+'input 기초'!#ref!</f>
        <v>#VALUE!</v>
      </c>
      <c r="T163" s="512" t="e">
        <f aca="false">+T165+T183+T201+T219='input 기초'!#ref!+'input 기초'!#ref!</f>
        <v>#VALUE!</v>
      </c>
      <c r="U163" s="512" t="e">
        <f aca="false">+U165+U183+U201+U219='input 기초'!#ref!+'input 기초'!#ref!</f>
        <v>#VALUE!</v>
      </c>
      <c r="V163" s="512" t="e">
        <f aca="false">+V165+V183+V201+V219='input 기초'!#ref!+'input 기초'!#ref!</f>
        <v>#VALUE!</v>
      </c>
      <c r="W163" s="512" t="e">
        <f aca="false">+W165+W183+W201+W219='input 기초'!#ref!+'input 기초'!#ref!</f>
        <v>#VALUE!</v>
      </c>
    </row>
    <row r="164" s="455" customFormat="true" ht="16.5" hidden="false" customHeight="true" outlineLevel="1" collapsed="false">
      <c r="B164" s="496" t="s">
        <v>97</v>
      </c>
      <c r="E164" s="478"/>
      <c r="F164" s="478"/>
      <c r="G164" s="478"/>
      <c r="H164" s="478"/>
      <c r="I164" s="478"/>
      <c r="J164" s="478"/>
      <c r="K164" s="478"/>
      <c r="L164" s="478"/>
      <c r="M164" s="478"/>
      <c r="N164" s="478"/>
      <c r="O164" s="478"/>
      <c r="R164" s="478"/>
      <c r="S164" s="478"/>
      <c r="T164" s="478"/>
      <c r="U164" s="478"/>
      <c r="V164" s="478"/>
      <c r="W164" s="478"/>
    </row>
    <row r="165" customFormat="false" ht="14.9" hidden="false" customHeight="false" outlineLevel="1" collapsed="false">
      <c r="B165" s="496" t="s">
        <v>356</v>
      </c>
      <c r="D165" s="513" t="s">
        <v>394</v>
      </c>
      <c r="E165" s="514" t="e">
        <f aca="false">+#REF!</f>
        <v>#REF!</v>
      </c>
      <c r="F165" s="514" t="e">
        <f aca="false">+#REF!</f>
        <v>#REF!</v>
      </c>
      <c r="G165" s="514" t="e">
        <f aca="false">+#REF!</f>
        <v>#REF!</v>
      </c>
      <c r="H165" s="514" t="e">
        <f aca="false">+#REF!</f>
        <v>#REF!</v>
      </c>
      <c r="I165" s="514" t="e">
        <f aca="false">+#REF!</f>
        <v>#REF!</v>
      </c>
      <c r="J165" s="514" t="e">
        <f aca="false">+#REF!</f>
        <v>#REF!</v>
      </c>
      <c r="K165" s="514" t="e">
        <f aca="false">+#REF!</f>
        <v>#REF!</v>
      </c>
      <c r="L165" s="514" t="e">
        <f aca="false">+#REF!</f>
        <v>#REF!</v>
      </c>
      <c r="M165" s="514" t="e">
        <f aca="false">+#REF!</f>
        <v>#REF!</v>
      </c>
      <c r="N165" s="514" t="e">
        <f aca="false">+#REF!</f>
        <v>#REF!</v>
      </c>
      <c r="O165" s="543"/>
      <c r="R165" s="543" t="e">
        <f aca="false">+'input 기초'!#ref!</f>
        <v>#VALUE!</v>
      </c>
      <c r="S165" s="543" t="e">
        <f aca="false">+'input 기초'!#ref!</f>
        <v>#VALUE!</v>
      </c>
      <c r="T165" s="543" t="e">
        <f aca="false">+'input 기초'!#ref!</f>
        <v>#VALUE!</v>
      </c>
      <c r="U165" s="543" t="e">
        <f aca="false">+'input 기초'!#ref!</f>
        <v>#VALUE!</v>
      </c>
      <c r="V165" s="543" t="e">
        <f aca="false">+'input 기초'!#ref!</f>
        <v>#VALUE!</v>
      </c>
      <c r="W165" s="543" t="e">
        <f aca="false">+'input 기초'!#ref!</f>
        <v>#VALUE!</v>
      </c>
    </row>
    <row r="166" customFormat="false" ht="16.5" hidden="false" customHeight="true" outlineLevel="1" collapsed="false">
      <c r="B166" s="496" t="s">
        <v>360</v>
      </c>
      <c r="D166" s="481" t="s">
        <v>361</v>
      </c>
      <c r="E166" s="558" t="n">
        <v>1</v>
      </c>
      <c r="F166" s="558" t="n">
        <v>1</v>
      </c>
      <c r="G166" s="558" t="n">
        <v>1</v>
      </c>
      <c r="H166" s="558" t="n">
        <v>1</v>
      </c>
      <c r="I166" s="558" t="n">
        <v>1</v>
      </c>
      <c r="J166" s="558" t="n">
        <v>1</v>
      </c>
      <c r="K166" s="558" t="n">
        <v>1</v>
      </c>
      <c r="L166" s="558" t="n">
        <v>1</v>
      </c>
      <c r="M166" s="558" t="n">
        <v>1</v>
      </c>
      <c r="N166" s="558" t="n">
        <v>1</v>
      </c>
      <c r="O166" s="558" t="n">
        <v>1</v>
      </c>
      <c r="R166" s="558" t="n">
        <v>1</v>
      </c>
      <c r="S166" s="558" t="n">
        <v>1</v>
      </c>
      <c r="T166" s="558" t="n">
        <v>1</v>
      </c>
      <c r="U166" s="558" t="n">
        <v>1</v>
      </c>
      <c r="V166" s="558" t="n">
        <v>1</v>
      </c>
      <c r="W166" s="558" t="n">
        <v>1</v>
      </c>
    </row>
    <row r="167" customFormat="false" ht="16.5" hidden="false" customHeight="true" outlineLevel="1" collapsed="false">
      <c r="B167" s="496" t="s">
        <v>363</v>
      </c>
      <c r="D167" s="481" t="s">
        <v>364</v>
      </c>
      <c r="E167" s="559" t="n">
        <f aca="false">+E18</f>
        <v>46204</v>
      </c>
      <c r="F167" s="559" t="n">
        <f aca="false">+F18</f>
        <v>46204</v>
      </c>
      <c r="G167" s="559" t="n">
        <f aca="false">+G18</f>
        <v>46204</v>
      </c>
      <c r="H167" s="559" t="n">
        <f aca="false">+H18</f>
        <v>46204</v>
      </c>
      <c r="I167" s="559" t="n">
        <f aca="false">+I18</f>
        <v>46204</v>
      </c>
      <c r="J167" s="559" t="n">
        <f aca="false">+J18</f>
        <v>46204</v>
      </c>
      <c r="K167" s="559" t="n">
        <f aca="false">+K18</f>
        <v>46327</v>
      </c>
      <c r="L167" s="559" t="n">
        <f aca="false">+L18</f>
        <v>46327</v>
      </c>
      <c r="M167" s="559" t="n">
        <f aca="false">+M18</f>
        <v>46327</v>
      </c>
      <c r="N167" s="559" t="n">
        <f aca="false">+N18</f>
        <v>46327</v>
      </c>
      <c r="O167" s="559"/>
      <c r="R167" s="559"/>
      <c r="S167" s="559"/>
      <c r="T167" s="559"/>
      <c r="U167" s="559"/>
      <c r="V167" s="559"/>
      <c r="W167" s="559"/>
    </row>
    <row r="168" customFormat="false" ht="16.5" hidden="false" customHeight="true" outlineLevel="1" collapsed="false">
      <c r="B168" s="496" t="s">
        <v>366</v>
      </c>
      <c r="D168" s="481" t="s">
        <v>339</v>
      </c>
      <c r="E168" s="560"/>
      <c r="F168" s="560"/>
      <c r="G168" s="560"/>
      <c r="H168" s="560"/>
      <c r="I168" s="560"/>
      <c r="J168" s="560"/>
      <c r="K168" s="560"/>
      <c r="L168" s="560"/>
      <c r="M168" s="560"/>
      <c r="N168" s="560"/>
      <c r="O168" s="560"/>
      <c r="R168" s="560"/>
      <c r="S168" s="560"/>
      <c r="T168" s="560"/>
      <c r="U168" s="560"/>
      <c r="V168" s="560"/>
      <c r="W168" s="560"/>
    </row>
    <row r="169" customFormat="false" ht="14.9" hidden="false" customHeight="false" outlineLevel="1" collapsed="false">
      <c r="B169" s="496" t="s">
        <v>395</v>
      </c>
      <c r="C169" s="542" t="s">
        <v>396</v>
      </c>
      <c r="D169" s="455" t="n">
        <v>1</v>
      </c>
      <c r="E169" s="561" t="n">
        <v>0.5</v>
      </c>
      <c r="F169" s="561" t="n">
        <v>0.5</v>
      </c>
      <c r="G169" s="561" t="n">
        <v>0.5</v>
      </c>
      <c r="H169" s="561" t="n">
        <v>0.5</v>
      </c>
      <c r="I169" s="561" t="n">
        <v>0.5</v>
      </c>
      <c r="J169" s="561" t="n">
        <v>0.5</v>
      </c>
      <c r="K169" s="561" t="n">
        <v>0.5</v>
      </c>
      <c r="L169" s="561" t="n">
        <v>0.5</v>
      </c>
      <c r="M169" s="561" t="n">
        <v>0.5</v>
      </c>
      <c r="N169" s="561" t="n">
        <v>0.5</v>
      </c>
      <c r="O169" s="561" t="n">
        <v>0.5</v>
      </c>
      <c r="R169" s="561" t="n">
        <v>0.5</v>
      </c>
      <c r="S169" s="561" t="n">
        <v>0.5</v>
      </c>
      <c r="T169" s="561" t="n">
        <v>0.5</v>
      </c>
      <c r="U169" s="561" t="n">
        <v>0.5</v>
      </c>
      <c r="V169" s="561" t="n">
        <v>0.5</v>
      </c>
      <c r="W169" s="561" t="n">
        <v>0.5</v>
      </c>
    </row>
    <row r="170" customFormat="false" ht="14.9" hidden="false" customHeight="false" outlineLevel="1" collapsed="false">
      <c r="B170" s="495"/>
      <c r="C170" s="542" t="s">
        <v>339</v>
      </c>
      <c r="D170" s="455" t="n">
        <f aca="false">+D169+1</f>
        <v>2</v>
      </c>
      <c r="E170" s="561" t="n">
        <v>0</v>
      </c>
      <c r="F170" s="561" t="n">
        <v>0</v>
      </c>
      <c r="G170" s="561" t="n">
        <v>0</v>
      </c>
      <c r="H170" s="561" t="n">
        <v>0</v>
      </c>
      <c r="I170" s="561" t="n">
        <v>0</v>
      </c>
      <c r="J170" s="561" t="n">
        <v>0</v>
      </c>
      <c r="K170" s="561" t="n">
        <v>0</v>
      </c>
      <c r="L170" s="561" t="n">
        <v>0</v>
      </c>
      <c r="M170" s="561" t="n">
        <v>0</v>
      </c>
      <c r="N170" s="561" t="n">
        <v>0</v>
      </c>
      <c r="O170" s="561" t="n">
        <v>0</v>
      </c>
      <c r="R170" s="561" t="n">
        <v>0</v>
      </c>
      <c r="S170" s="561" t="n">
        <v>0</v>
      </c>
      <c r="T170" s="561" t="n">
        <v>0</v>
      </c>
      <c r="U170" s="561" t="n">
        <v>0</v>
      </c>
      <c r="V170" s="561" t="n">
        <v>0</v>
      </c>
      <c r="W170" s="561" t="n">
        <v>0</v>
      </c>
    </row>
    <row r="171" customFormat="false" ht="14.9" hidden="false" customHeight="false" outlineLevel="1" collapsed="false">
      <c r="B171" s="495"/>
      <c r="C171" s="542" t="s">
        <v>339</v>
      </c>
      <c r="D171" s="455" t="n">
        <f aca="false">+D170+1</f>
        <v>3</v>
      </c>
      <c r="E171" s="561" t="n">
        <v>0.4</v>
      </c>
      <c r="F171" s="561" t="n">
        <v>0.4</v>
      </c>
      <c r="G171" s="561" t="n">
        <v>0.4</v>
      </c>
      <c r="H171" s="561" t="n">
        <v>0.4</v>
      </c>
      <c r="I171" s="561" t="n">
        <v>0.4</v>
      </c>
      <c r="J171" s="561" t="n">
        <v>0.4</v>
      </c>
      <c r="K171" s="561" t="n">
        <v>0.4</v>
      </c>
      <c r="L171" s="561" t="n">
        <v>0.4</v>
      </c>
      <c r="M171" s="561" t="n">
        <v>0.4</v>
      </c>
      <c r="N171" s="561" t="n">
        <v>0.4</v>
      </c>
      <c r="O171" s="561" t="n">
        <v>0</v>
      </c>
      <c r="R171" s="561" t="n">
        <v>0</v>
      </c>
      <c r="S171" s="561" t="n">
        <v>0</v>
      </c>
      <c r="T171" s="561" t="n">
        <v>0</v>
      </c>
      <c r="U171" s="561" t="n">
        <v>0</v>
      </c>
      <c r="V171" s="561" t="n">
        <v>0</v>
      </c>
      <c r="W171" s="561" t="n">
        <v>0</v>
      </c>
    </row>
    <row r="172" customFormat="false" ht="14.9" hidden="false" customHeight="false" outlineLevel="1" collapsed="false">
      <c r="B172" s="495"/>
      <c r="C172" s="542" t="s">
        <v>339</v>
      </c>
      <c r="D172" s="455" t="n">
        <f aca="false">+D171+1</f>
        <v>4</v>
      </c>
      <c r="E172" s="561" t="n">
        <v>0.1</v>
      </c>
      <c r="F172" s="561" t="n">
        <v>0.1</v>
      </c>
      <c r="G172" s="561" t="n">
        <v>0.1</v>
      </c>
      <c r="H172" s="561" t="n">
        <v>0.1</v>
      </c>
      <c r="I172" s="561" t="n">
        <v>0.1</v>
      </c>
      <c r="J172" s="561" t="n">
        <v>0.1</v>
      </c>
      <c r="K172" s="561" t="n">
        <v>0.1</v>
      </c>
      <c r="L172" s="561" t="n">
        <v>0.1</v>
      </c>
      <c r="M172" s="561" t="n">
        <v>0.1</v>
      </c>
      <c r="N172" s="561" t="n">
        <v>0.1</v>
      </c>
      <c r="O172" s="561" t="n">
        <v>0.4</v>
      </c>
      <c r="R172" s="561" t="n">
        <v>0.4</v>
      </c>
      <c r="S172" s="561" t="n">
        <v>0.4</v>
      </c>
      <c r="T172" s="561" t="n">
        <v>0.4</v>
      </c>
      <c r="U172" s="561" t="n">
        <v>0.4</v>
      </c>
      <c r="V172" s="561" t="n">
        <v>0.4</v>
      </c>
      <c r="W172" s="561" t="n">
        <v>0.4</v>
      </c>
    </row>
    <row r="173" customFormat="false" ht="14.9" hidden="false" customHeight="false" outlineLevel="1" collapsed="false">
      <c r="B173" s="495"/>
      <c r="C173" s="542" t="s">
        <v>339</v>
      </c>
      <c r="D173" s="455" t="n">
        <f aca="false">+D172+1</f>
        <v>5</v>
      </c>
      <c r="E173" s="561" t="n">
        <v>0</v>
      </c>
      <c r="F173" s="561" t="n">
        <v>0</v>
      </c>
      <c r="G173" s="561" t="n">
        <v>0</v>
      </c>
      <c r="H173" s="561" t="n">
        <v>0</v>
      </c>
      <c r="I173" s="561" t="n">
        <v>0</v>
      </c>
      <c r="J173" s="561" t="n">
        <v>0</v>
      </c>
      <c r="K173" s="561" t="n">
        <v>0</v>
      </c>
      <c r="L173" s="561" t="n">
        <v>0</v>
      </c>
      <c r="M173" s="561" t="n">
        <v>0</v>
      </c>
      <c r="N173" s="561" t="n">
        <v>0</v>
      </c>
      <c r="O173" s="561" t="n">
        <v>0.1</v>
      </c>
      <c r="R173" s="561" t="n">
        <v>0.1</v>
      </c>
      <c r="S173" s="561" t="n">
        <v>0.1</v>
      </c>
      <c r="T173" s="561" t="n">
        <v>0.1</v>
      </c>
      <c r="U173" s="561" t="n">
        <v>0.1</v>
      </c>
      <c r="V173" s="561" t="n">
        <v>0.1</v>
      </c>
      <c r="W173" s="561" t="n">
        <v>0.1</v>
      </c>
    </row>
    <row r="174" customFormat="false" ht="14.9" hidden="false" customHeight="false" outlineLevel="1" collapsed="false">
      <c r="B174" s="495"/>
      <c r="C174" s="542" t="s">
        <v>339</v>
      </c>
      <c r="D174" s="455" t="n">
        <f aca="false">+D173+1</f>
        <v>6</v>
      </c>
      <c r="E174" s="561" t="n">
        <v>0</v>
      </c>
      <c r="F174" s="561" t="n">
        <v>0</v>
      </c>
      <c r="G174" s="561" t="n">
        <v>0</v>
      </c>
      <c r="H174" s="561" t="n">
        <v>0</v>
      </c>
      <c r="I174" s="561" t="n">
        <v>0</v>
      </c>
      <c r="J174" s="561" t="n">
        <v>0</v>
      </c>
      <c r="K174" s="561" t="n">
        <v>0</v>
      </c>
      <c r="L174" s="561" t="n">
        <v>0</v>
      </c>
      <c r="M174" s="561" t="n">
        <v>0</v>
      </c>
      <c r="N174" s="561" t="n">
        <v>0</v>
      </c>
      <c r="O174" s="561" t="n">
        <v>0</v>
      </c>
      <c r="R174" s="561" t="n">
        <v>0</v>
      </c>
      <c r="S174" s="561" t="n">
        <v>0</v>
      </c>
      <c r="T174" s="561" t="n">
        <v>0</v>
      </c>
      <c r="U174" s="561" t="n">
        <v>0</v>
      </c>
      <c r="V174" s="561" t="n">
        <v>0</v>
      </c>
      <c r="W174" s="561" t="n">
        <v>0</v>
      </c>
    </row>
    <row r="175" customFormat="false" ht="14.9" hidden="false" customHeight="false" outlineLevel="1" collapsed="false">
      <c r="B175" s="495"/>
      <c r="C175" s="542" t="s">
        <v>339</v>
      </c>
      <c r="D175" s="455" t="n">
        <f aca="false">+D174+1</f>
        <v>7</v>
      </c>
      <c r="E175" s="561" t="n">
        <v>0</v>
      </c>
      <c r="F175" s="561" t="n">
        <v>0</v>
      </c>
      <c r="G175" s="561" t="n">
        <v>0</v>
      </c>
      <c r="H175" s="561" t="n">
        <v>0</v>
      </c>
      <c r="I175" s="561" t="n">
        <v>0</v>
      </c>
      <c r="J175" s="561" t="n">
        <v>0</v>
      </c>
      <c r="K175" s="561" t="n">
        <v>0</v>
      </c>
      <c r="L175" s="561" t="n">
        <v>0</v>
      </c>
      <c r="M175" s="561" t="n">
        <v>0</v>
      </c>
      <c r="N175" s="561" t="n">
        <v>0</v>
      </c>
      <c r="O175" s="561" t="n">
        <v>0</v>
      </c>
      <c r="R175" s="561" t="n">
        <v>0</v>
      </c>
      <c r="S175" s="561" t="n">
        <v>0</v>
      </c>
      <c r="T175" s="561" t="n">
        <v>0</v>
      </c>
      <c r="U175" s="561" t="n">
        <v>0</v>
      </c>
      <c r="V175" s="561" t="n">
        <v>0</v>
      </c>
      <c r="W175" s="561" t="n">
        <v>0</v>
      </c>
    </row>
    <row r="176" customFormat="false" ht="12.75" hidden="false" customHeight="false" outlineLevel="2" collapsed="false">
      <c r="B176" s="495"/>
      <c r="C176" s="542" t="s">
        <v>339</v>
      </c>
      <c r="D176" s="455" t="n">
        <f aca="false">+D175+1</f>
        <v>8</v>
      </c>
      <c r="E176" s="561"/>
      <c r="F176" s="561"/>
      <c r="G176" s="561"/>
      <c r="H176" s="561"/>
      <c r="I176" s="561"/>
      <c r="J176" s="561"/>
      <c r="K176" s="561"/>
      <c r="L176" s="561"/>
      <c r="M176" s="561"/>
      <c r="N176" s="561"/>
      <c r="O176" s="561"/>
      <c r="R176" s="561"/>
      <c r="S176" s="561"/>
      <c r="T176" s="561"/>
      <c r="U176" s="561"/>
      <c r="V176" s="561"/>
      <c r="W176" s="561"/>
    </row>
    <row r="177" customFormat="false" ht="12.75" hidden="false" customHeight="false" outlineLevel="2" collapsed="false">
      <c r="B177" s="495"/>
      <c r="C177" s="542" t="s">
        <v>339</v>
      </c>
      <c r="D177" s="455" t="n">
        <f aca="false">+D176+1</f>
        <v>9</v>
      </c>
      <c r="E177" s="561"/>
      <c r="F177" s="561"/>
      <c r="G177" s="561"/>
      <c r="H177" s="561"/>
      <c r="I177" s="561"/>
      <c r="J177" s="561"/>
      <c r="K177" s="561"/>
      <c r="L177" s="561"/>
      <c r="M177" s="561"/>
      <c r="N177" s="561"/>
      <c r="O177" s="561"/>
      <c r="R177" s="561"/>
      <c r="S177" s="561"/>
      <c r="T177" s="561"/>
      <c r="U177" s="561"/>
      <c r="V177" s="561"/>
      <c r="W177" s="561"/>
    </row>
    <row r="178" customFormat="false" ht="12.75" hidden="false" customHeight="false" outlineLevel="2" collapsed="false">
      <c r="B178" s="495"/>
      <c r="C178" s="542" t="s">
        <v>339</v>
      </c>
      <c r="D178" s="455" t="n">
        <f aca="false">+D177+1</f>
        <v>10</v>
      </c>
      <c r="E178" s="561"/>
      <c r="F178" s="561"/>
      <c r="G178" s="561"/>
      <c r="H178" s="561"/>
      <c r="I178" s="561"/>
      <c r="J178" s="561"/>
      <c r="K178" s="561"/>
      <c r="L178" s="561"/>
      <c r="M178" s="561"/>
      <c r="N178" s="561"/>
      <c r="O178" s="561"/>
      <c r="R178" s="561"/>
      <c r="S178" s="561"/>
      <c r="T178" s="561"/>
      <c r="U178" s="561"/>
      <c r="V178" s="561"/>
      <c r="W178" s="561"/>
    </row>
    <row r="179" customFormat="false" ht="13.4" hidden="false" customHeight="true" outlineLevel="1" collapsed="false">
      <c r="B179" s="496" t="s">
        <v>370</v>
      </c>
      <c r="C179" s="519" t="s">
        <v>397</v>
      </c>
      <c r="D179" s="519"/>
      <c r="E179" s="562"/>
      <c r="F179" s="562"/>
      <c r="G179" s="562"/>
      <c r="H179" s="562"/>
      <c r="I179" s="562"/>
      <c r="J179" s="562"/>
      <c r="K179" s="562"/>
      <c r="L179" s="562"/>
      <c r="M179" s="562"/>
      <c r="N179" s="562"/>
      <c r="O179" s="562"/>
      <c r="R179" s="562"/>
      <c r="S179" s="562"/>
      <c r="T179" s="562"/>
      <c r="U179" s="562"/>
      <c r="V179" s="562"/>
      <c r="W179" s="562"/>
    </row>
    <row r="180" customFormat="false" ht="12.75" hidden="false" customHeight="false" outlineLevel="1" collapsed="false">
      <c r="E180" s="535"/>
      <c r="F180" s="535"/>
      <c r="G180" s="535"/>
      <c r="H180" s="535"/>
      <c r="I180" s="535"/>
      <c r="J180" s="535"/>
      <c r="K180" s="535"/>
      <c r="L180" s="535"/>
      <c r="M180" s="535"/>
      <c r="N180" s="535"/>
      <c r="O180" s="535"/>
      <c r="R180" s="535"/>
      <c r="S180" s="535"/>
      <c r="T180" s="535"/>
      <c r="U180" s="535"/>
      <c r="V180" s="535"/>
      <c r="W180" s="535"/>
    </row>
    <row r="181" customFormat="false" ht="14.9" hidden="false" customHeight="false" outlineLevel="1" collapsed="false">
      <c r="B181" s="482" t="s">
        <v>398</v>
      </c>
      <c r="D181" s="520"/>
      <c r="E181" s="536" t="e">
        <f aca="false">+E183/E24</f>
        <v>#REF!</v>
      </c>
      <c r="F181" s="536"/>
      <c r="G181" s="536"/>
      <c r="H181" s="536"/>
      <c r="I181" s="536"/>
      <c r="J181" s="536" t="e">
        <f aca="false">+J183/J24</f>
        <v>#REF!</v>
      </c>
      <c r="K181" s="536" t="e">
        <f aca="false">+K183/K24</f>
        <v>#REF!</v>
      </c>
      <c r="L181" s="536" t="e">
        <f aca="false">+L183/L24</f>
        <v>#REF!</v>
      </c>
      <c r="M181" s="536" t="e">
        <f aca="false">+M183/M24</f>
        <v>#REF!</v>
      </c>
      <c r="N181" s="536" t="e">
        <f aca="false">+N183/N24</f>
        <v>#REF!</v>
      </c>
      <c r="O181" s="536" t="e">
        <f aca="false">+O183/O24</f>
        <v>#DIV/0!</v>
      </c>
      <c r="R181" s="536" t="e">
        <f aca="false">+R183/R24</f>
        <v>#VALUE!</v>
      </c>
      <c r="S181" s="536"/>
      <c r="T181" s="536"/>
      <c r="U181" s="536"/>
      <c r="V181" s="536"/>
      <c r="W181" s="536" t="e">
        <f aca="false">+W183/W24</f>
        <v>#VALUE!</v>
      </c>
    </row>
    <row r="182" customFormat="false" ht="16.5" hidden="false" customHeight="true" outlineLevel="1" collapsed="false">
      <c r="B182" s="496" t="s">
        <v>97</v>
      </c>
      <c r="C182" s="563"/>
      <c r="D182" s="564"/>
      <c r="E182" s="478"/>
      <c r="F182" s="478"/>
      <c r="G182" s="478"/>
      <c r="H182" s="478"/>
      <c r="I182" s="478"/>
      <c r="J182" s="478"/>
      <c r="K182" s="478"/>
      <c r="L182" s="478"/>
      <c r="M182" s="478"/>
      <c r="N182" s="478"/>
      <c r="O182" s="478"/>
      <c r="P182" s="515"/>
      <c r="R182" s="478"/>
      <c r="S182" s="478"/>
      <c r="T182" s="478"/>
      <c r="U182" s="478"/>
      <c r="V182" s="478"/>
      <c r="W182" s="478"/>
    </row>
    <row r="183" customFormat="false" ht="14.9" hidden="false" customHeight="false" outlineLevel="1" collapsed="false">
      <c r="B183" s="496" t="s">
        <v>356</v>
      </c>
      <c r="D183" s="513" t="s">
        <v>399</v>
      </c>
      <c r="E183" s="514" t="e">
        <f aca="false">+#REF!</f>
        <v>#REF!</v>
      </c>
      <c r="F183" s="514" t="e">
        <f aca="false">+#REF!</f>
        <v>#REF!</v>
      </c>
      <c r="G183" s="514" t="e">
        <f aca="false">+#REF!</f>
        <v>#REF!</v>
      </c>
      <c r="H183" s="514" t="e">
        <f aca="false">+#REF!</f>
        <v>#REF!</v>
      </c>
      <c r="I183" s="514" t="e">
        <f aca="false">+#REF!</f>
        <v>#REF!</v>
      </c>
      <c r="J183" s="514" t="e">
        <f aca="false">+#REF!</f>
        <v>#REF!</v>
      </c>
      <c r="K183" s="514" t="e">
        <f aca="false">+#REF!</f>
        <v>#REF!</v>
      </c>
      <c r="L183" s="514" t="e">
        <f aca="false">+#REF!</f>
        <v>#REF!</v>
      </c>
      <c r="M183" s="514" t="e">
        <f aca="false">+#REF!</f>
        <v>#REF!</v>
      </c>
      <c r="N183" s="514" t="e">
        <f aca="false">+#REF!</f>
        <v>#REF!</v>
      </c>
      <c r="O183" s="543"/>
      <c r="P183" s="565"/>
      <c r="R183" s="543" t="e">
        <f aca="false">+'input 기초'!#ref!</f>
        <v>#VALUE!</v>
      </c>
      <c r="S183" s="543" t="e">
        <f aca="false">+'input 기초'!#ref!</f>
        <v>#VALUE!</v>
      </c>
      <c r="T183" s="543" t="e">
        <f aca="false">+'input 기초'!#ref!</f>
        <v>#VALUE!</v>
      </c>
      <c r="U183" s="543" t="e">
        <f aca="false">+'input 기초'!#ref!</f>
        <v>#VALUE!</v>
      </c>
      <c r="V183" s="543" t="e">
        <f aca="false">+'input 기초'!#ref!</f>
        <v>#VALUE!</v>
      </c>
      <c r="W183" s="543" t="e">
        <f aca="false">+'input 기초'!#ref!</f>
        <v>#VALUE!</v>
      </c>
    </row>
    <row r="184" customFormat="false" ht="16.5" hidden="false" customHeight="true" outlineLevel="1" collapsed="false">
      <c r="B184" s="496" t="s">
        <v>360</v>
      </c>
      <c r="D184" s="481" t="s">
        <v>361</v>
      </c>
      <c r="E184" s="558" t="n">
        <v>1</v>
      </c>
      <c r="F184" s="558" t="n">
        <v>1</v>
      </c>
      <c r="G184" s="558" t="n">
        <v>1</v>
      </c>
      <c r="H184" s="558" t="n">
        <v>1</v>
      </c>
      <c r="I184" s="558" t="n">
        <v>1</v>
      </c>
      <c r="J184" s="558" t="n">
        <v>1</v>
      </c>
      <c r="K184" s="558" t="n">
        <v>1</v>
      </c>
      <c r="L184" s="558" t="n">
        <v>1</v>
      </c>
      <c r="M184" s="558" t="n">
        <v>1</v>
      </c>
      <c r="N184" s="558" t="n">
        <v>1</v>
      </c>
      <c r="O184" s="558" t="n">
        <v>1</v>
      </c>
      <c r="R184" s="558" t="n">
        <v>1</v>
      </c>
      <c r="S184" s="558" t="n">
        <v>1</v>
      </c>
      <c r="T184" s="558" t="n">
        <v>1</v>
      </c>
      <c r="U184" s="558" t="n">
        <v>1</v>
      </c>
      <c r="V184" s="558" t="n">
        <v>1</v>
      </c>
      <c r="W184" s="558" t="n">
        <v>1</v>
      </c>
    </row>
    <row r="185" customFormat="false" ht="16.5" hidden="false" customHeight="true" outlineLevel="1" collapsed="false">
      <c r="B185" s="496" t="s">
        <v>363</v>
      </c>
      <c r="C185" s="542" t="s">
        <v>400</v>
      </c>
      <c r="D185" s="481" t="s">
        <v>364</v>
      </c>
      <c r="E185" s="559" t="n">
        <f aca="false">+E18</f>
        <v>46204</v>
      </c>
      <c r="F185" s="559" t="n">
        <f aca="false">+F18</f>
        <v>46204</v>
      </c>
      <c r="G185" s="559" t="n">
        <f aca="false">+G18</f>
        <v>46204</v>
      </c>
      <c r="H185" s="559" t="n">
        <f aca="false">+H18</f>
        <v>46204</v>
      </c>
      <c r="I185" s="559" t="n">
        <f aca="false">+I18</f>
        <v>46204</v>
      </c>
      <c r="J185" s="559" t="n">
        <f aca="false">+J18</f>
        <v>46204</v>
      </c>
      <c r="K185" s="559" t="n">
        <f aca="false">+K18</f>
        <v>46327</v>
      </c>
      <c r="L185" s="559" t="n">
        <f aca="false">+L18</f>
        <v>46327</v>
      </c>
      <c r="M185" s="559" t="n">
        <f aca="false">+M18</f>
        <v>46327</v>
      </c>
      <c r="N185" s="559" t="n">
        <f aca="false">+N18</f>
        <v>46327</v>
      </c>
      <c r="O185" s="559" t="n">
        <f aca="false">+O18</f>
        <v>0</v>
      </c>
      <c r="R185" s="559"/>
      <c r="S185" s="559"/>
      <c r="T185" s="559"/>
      <c r="U185" s="559"/>
      <c r="V185" s="559"/>
      <c r="W185" s="559"/>
    </row>
    <row r="186" customFormat="false" ht="16.5" hidden="false" customHeight="true" outlineLevel="1" collapsed="false">
      <c r="B186" s="496" t="s">
        <v>366</v>
      </c>
      <c r="D186" s="481" t="s">
        <v>339</v>
      </c>
      <c r="E186" s="560"/>
      <c r="F186" s="560"/>
      <c r="G186" s="560"/>
      <c r="H186" s="560"/>
      <c r="I186" s="560"/>
      <c r="J186" s="560"/>
      <c r="K186" s="560"/>
      <c r="L186" s="560"/>
      <c r="M186" s="560"/>
      <c r="N186" s="560"/>
      <c r="O186" s="560"/>
      <c r="R186" s="560"/>
      <c r="S186" s="560"/>
      <c r="T186" s="560"/>
      <c r="U186" s="560"/>
      <c r="V186" s="560"/>
      <c r="W186" s="560"/>
    </row>
    <row r="187" customFormat="false" ht="14.9" hidden="false" customHeight="false" outlineLevel="1" collapsed="false">
      <c r="B187" s="496" t="s">
        <v>395</v>
      </c>
      <c r="C187" s="542" t="s">
        <v>396</v>
      </c>
      <c r="D187" s="455" t="n">
        <v>1</v>
      </c>
      <c r="E187" s="561" t="n">
        <v>1</v>
      </c>
      <c r="F187" s="561" t="n">
        <v>1</v>
      </c>
      <c r="G187" s="561" t="n">
        <v>1</v>
      </c>
      <c r="H187" s="561" t="n">
        <v>1</v>
      </c>
      <c r="I187" s="561" t="n">
        <v>1</v>
      </c>
      <c r="J187" s="561" t="n">
        <v>1</v>
      </c>
      <c r="K187" s="561" t="n">
        <v>1</v>
      </c>
      <c r="L187" s="561" t="n">
        <v>1</v>
      </c>
      <c r="M187" s="561" t="n">
        <v>1</v>
      </c>
      <c r="N187" s="561" t="n">
        <v>1</v>
      </c>
      <c r="O187" s="561" t="n">
        <v>1</v>
      </c>
      <c r="R187" s="561" t="n">
        <v>1</v>
      </c>
      <c r="S187" s="561" t="n">
        <v>1</v>
      </c>
      <c r="T187" s="561" t="n">
        <v>1</v>
      </c>
      <c r="U187" s="561" t="n">
        <v>1</v>
      </c>
      <c r="V187" s="561" t="n">
        <v>1</v>
      </c>
      <c r="W187" s="561" t="n">
        <v>1</v>
      </c>
    </row>
    <row r="188" customFormat="false" ht="14.9" hidden="false" customHeight="false" outlineLevel="1" collapsed="false">
      <c r="B188" s="495"/>
      <c r="C188" s="542" t="s">
        <v>339</v>
      </c>
      <c r="D188" s="455" t="n">
        <f aca="false">+D187+1</f>
        <v>2</v>
      </c>
      <c r="E188" s="561" t="n">
        <f aca="false">+'[5]입력 시트(0124)'!E200</f>
        <v>0</v>
      </c>
      <c r="F188" s="561" t="n">
        <f aca="false">+'[5]입력 시트(0124)'!F200</f>
        <v>0</v>
      </c>
      <c r="G188" s="561" t="n">
        <f aca="false">+'[5]입력 시트(0124)'!G200</f>
        <v>0</v>
      </c>
      <c r="H188" s="561" t="n">
        <f aca="false">+'[5]입력 시트(0124)'!H200</f>
        <v>0</v>
      </c>
      <c r="I188" s="561" t="n">
        <f aca="false">+'[5]입력 시트(0124)'!I200</f>
        <v>0</v>
      </c>
      <c r="J188" s="561" t="n">
        <v>0</v>
      </c>
      <c r="K188" s="561" t="n">
        <v>0</v>
      </c>
      <c r="L188" s="561" t="n">
        <v>0</v>
      </c>
      <c r="M188" s="561" t="n">
        <v>0</v>
      </c>
      <c r="N188" s="561" t="n">
        <v>0</v>
      </c>
      <c r="O188" s="561" t="n">
        <v>0</v>
      </c>
      <c r="R188" s="561" t="n">
        <f aca="false">+'[5]입력 시트(0124)'!T200</f>
        <v>0</v>
      </c>
      <c r="S188" s="561" t="n">
        <f aca="false">+'[5]입력 시트(0124)'!U200</f>
        <v>0</v>
      </c>
      <c r="T188" s="561" t="n">
        <f aca="false">+'[5]입력 시트(0124)'!V200</f>
        <v>0</v>
      </c>
      <c r="U188" s="561" t="n">
        <f aca="false">+'[5]입력 시트(0124)'!W200</f>
        <v>0</v>
      </c>
      <c r="V188" s="561" t="n">
        <f aca="false">+'[5]입력 시트(0124)'!X200</f>
        <v>0</v>
      </c>
      <c r="W188" s="561" t="n">
        <v>0</v>
      </c>
    </row>
    <row r="189" customFormat="false" ht="14.9" hidden="false" customHeight="false" outlineLevel="1" collapsed="false">
      <c r="B189" s="495"/>
      <c r="C189" s="542" t="s">
        <v>339</v>
      </c>
      <c r="D189" s="455" t="n">
        <f aca="false">+D188+1</f>
        <v>3</v>
      </c>
      <c r="E189" s="561" t="n">
        <f aca="false">+'[5]입력 시트(0124)'!E201</f>
        <v>0</v>
      </c>
      <c r="F189" s="561" t="n">
        <f aca="false">+'[5]입력 시트(0124)'!F201</f>
        <v>0</v>
      </c>
      <c r="G189" s="561" t="n">
        <f aca="false">+'[5]입력 시트(0124)'!G201</f>
        <v>0</v>
      </c>
      <c r="H189" s="561" t="n">
        <f aca="false">+'[5]입력 시트(0124)'!H201</f>
        <v>0</v>
      </c>
      <c r="I189" s="561" t="n">
        <f aca="false">+'[5]입력 시트(0124)'!I201</f>
        <v>0</v>
      </c>
      <c r="J189" s="561" t="n">
        <v>0</v>
      </c>
      <c r="K189" s="561" t="n">
        <v>0</v>
      </c>
      <c r="L189" s="561" t="n">
        <v>0</v>
      </c>
      <c r="M189" s="561" t="n">
        <v>0</v>
      </c>
      <c r="N189" s="561" t="n">
        <v>0</v>
      </c>
      <c r="O189" s="561" t="n">
        <v>0</v>
      </c>
      <c r="R189" s="561" t="n">
        <f aca="false">+'[5]입력 시트(0124)'!T201</f>
        <v>0</v>
      </c>
      <c r="S189" s="561" t="n">
        <f aca="false">+'[5]입력 시트(0124)'!U201</f>
        <v>0</v>
      </c>
      <c r="T189" s="561" t="n">
        <f aca="false">+'[5]입력 시트(0124)'!V201</f>
        <v>0</v>
      </c>
      <c r="U189" s="561" t="n">
        <f aca="false">+'[5]입력 시트(0124)'!W201</f>
        <v>0</v>
      </c>
      <c r="V189" s="561" t="n">
        <f aca="false">+'[5]입력 시트(0124)'!X201</f>
        <v>0</v>
      </c>
      <c r="W189" s="561" t="n">
        <v>0</v>
      </c>
    </row>
    <row r="190" customFormat="false" ht="14.9" hidden="false" customHeight="false" outlineLevel="1" collapsed="false">
      <c r="B190" s="495"/>
      <c r="C190" s="542" t="s">
        <v>339</v>
      </c>
      <c r="D190" s="455" t="n">
        <f aca="false">+D189+1</f>
        <v>4</v>
      </c>
      <c r="E190" s="561" t="n">
        <f aca="false">+'[5]입력 시트(0124)'!E202</f>
        <v>0</v>
      </c>
      <c r="F190" s="561" t="n">
        <f aca="false">+'[5]입력 시트(0124)'!F202</f>
        <v>0</v>
      </c>
      <c r="G190" s="561" t="n">
        <f aca="false">+'[5]입력 시트(0124)'!G202</f>
        <v>0</v>
      </c>
      <c r="H190" s="561" t="n">
        <f aca="false">+'[5]입력 시트(0124)'!H202</f>
        <v>0</v>
      </c>
      <c r="I190" s="561" t="n">
        <f aca="false">+'[5]입력 시트(0124)'!I202</f>
        <v>0</v>
      </c>
      <c r="J190" s="561" t="n">
        <v>0</v>
      </c>
      <c r="K190" s="561" t="n">
        <v>0</v>
      </c>
      <c r="L190" s="561" t="n">
        <v>0</v>
      </c>
      <c r="M190" s="561" t="n">
        <v>0</v>
      </c>
      <c r="N190" s="561" t="n">
        <v>0</v>
      </c>
      <c r="O190" s="561" t="n">
        <v>0</v>
      </c>
      <c r="R190" s="561" t="n">
        <f aca="false">+'[5]입력 시트(0124)'!T202</f>
        <v>0</v>
      </c>
      <c r="S190" s="561" t="n">
        <f aca="false">+'[5]입력 시트(0124)'!U202</f>
        <v>0</v>
      </c>
      <c r="T190" s="561" t="n">
        <f aca="false">+'[5]입력 시트(0124)'!V202</f>
        <v>0</v>
      </c>
      <c r="U190" s="561" t="n">
        <f aca="false">+'[5]입력 시트(0124)'!W202</f>
        <v>0</v>
      </c>
      <c r="V190" s="561" t="n">
        <f aca="false">+'[5]입력 시트(0124)'!X202</f>
        <v>0</v>
      </c>
      <c r="W190" s="561" t="n">
        <v>0</v>
      </c>
    </row>
    <row r="191" customFormat="false" ht="14.9" hidden="false" customHeight="false" outlineLevel="1" collapsed="false">
      <c r="B191" s="495"/>
      <c r="C191" s="542" t="s">
        <v>339</v>
      </c>
      <c r="D191" s="455" t="n">
        <f aca="false">+D190+1</f>
        <v>5</v>
      </c>
      <c r="E191" s="561" t="n">
        <v>0</v>
      </c>
      <c r="F191" s="561" t="n">
        <v>0</v>
      </c>
      <c r="G191" s="561" t="n">
        <v>0</v>
      </c>
      <c r="H191" s="561" t="n">
        <v>0</v>
      </c>
      <c r="I191" s="561" t="n">
        <v>0</v>
      </c>
      <c r="J191" s="561" t="n">
        <v>0</v>
      </c>
      <c r="K191" s="561" t="n">
        <v>0</v>
      </c>
      <c r="L191" s="561" t="n">
        <v>0</v>
      </c>
      <c r="M191" s="561" t="n">
        <v>0</v>
      </c>
      <c r="N191" s="561" t="n">
        <v>0</v>
      </c>
      <c r="O191" s="561" t="n">
        <v>0</v>
      </c>
      <c r="R191" s="561" t="n">
        <v>0</v>
      </c>
      <c r="S191" s="561" t="n">
        <v>0</v>
      </c>
      <c r="T191" s="561" t="n">
        <v>0</v>
      </c>
      <c r="U191" s="561" t="n">
        <v>0</v>
      </c>
      <c r="V191" s="561" t="n">
        <v>0</v>
      </c>
      <c r="W191" s="561" t="n">
        <v>0</v>
      </c>
    </row>
    <row r="192" customFormat="false" ht="14.9" hidden="false" customHeight="false" outlineLevel="1" collapsed="false">
      <c r="B192" s="495"/>
      <c r="C192" s="542" t="s">
        <v>339</v>
      </c>
      <c r="D192" s="455" t="n">
        <f aca="false">+D191+1</f>
        <v>6</v>
      </c>
      <c r="E192" s="561" t="n">
        <f aca="false">+'[5]입력 시트(0124)'!E204</f>
        <v>0</v>
      </c>
      <c r="F192" s="561" t="n">
        <f aca="false">+'[5]입력 시트(0124)'!F204</f>
        <v>0</v>
      </c>
      <c r="G192" s="561" t="n">
        <f aca="false">+'[5]입력 시트(0124)'!G204</f>
        <v>0</v>
      </c>
      <c r="H192" s="561" t="n">
        <f aca="false">+'[5]입력 시트(0124)'!H204</f>
        <v>0</v>
      </c>
      <c r="I192" s="561" t="n">
        <f aca="false">+'[5]입력 시트(0124)'!I204</f>
        <v>0</v>
      </c>
      <c r="J192" s="561" t="n">
        <v>0</v>
      </c>
      <c r="K192" s="561" t="n">
        <v>0</v>
      </c>
      <c r="L192" s="561" t="n">
        <v>0</v>
      </c>
      <c r="M192" s="561" t="n">
        <v>0</v>
      </c>
      <c r="N192" s="561" t="n">
        <v>0</v>
      </c>
      <c r="O192" s="561" t="n">
        <v>0</v>
      </c>
      <c r="R192" s="561" t="n">
        <f aca="false">+'[5]입력 시트(0124)'!T204</f>
        <v>0</v>
      </c>
      <c r="S192" s="561" t="n">
        <f aca="false">+'[5]입력 시트(0124)'!U204</f>
        <v>0</v>
      </c>
      <c r="T192" s="561" t="n">
        <f aca="false">+'[5]입력 시트(0124)'!V204</f>
        <v>0</v>
      </c>
      <c r="U192" s="561" t="n">
        <f aca="false">+'[5]입력 시트(0124)'!W204</f>
        <v>0</v>
      </c>
      <c r="V192" s="561" t="n">
        <f aca="false">+'[5]입력 시트(0124)'!X204</f>
        <v>0</v>
      </c>
      <c r="W192" s="561" t="n">
        <v>0</v>
      </c>
    </row>
    <row r="193" customFormat="false" ht="14.9" hidden="false" customHeight="false" outlineLevel="1" collapsed="false">
      <c r="B193" s="495"/>
      <c r="C193" s="542" t="s">
        <v>339</v>
      </c>
      <c r="D193" s="455" t="n">
        <f aca="false">+D192+1</f>
        <v>7</v>
      </c>
      <c r="E193" s="561" t="n">
        <f aca="false">+'[5]입력 시트(0124)'!E205</f>
        <v>0</v>
      </c>
      <c r="F193" s="561" t="n">
        <f aca="false">+'[5]입력 시트(0124)'!F205</f>
        <v>0</v>
      </c>
      <c r="G193" s="561" t="n">
        <f aca="false">+'[5]입력 시트(0124)'!G205</f>
        <v>0</v>
      </c>
      <c r="H193" s="561" t="n">
        <f aca="false">+'[5]입력 시트(0124)'!H205</f>
        <v>0</v>
      </c>
      <c r="I193" s="561" t="n">
        <f aca="false">+'[5]입력 시트(0124)'!I205</f>
        <v>0</v>
      </c>
      <c r="J193" s="561" t="n">
        <v>0</v>
      </c>
      <c r="K193" s="561" t="n">
        <v>0</v>
      </c>
      <c r="L193" s="561" t="n">
        <v>0</v>
      </c>
      <c r="M193" s="561" t="n">
        <v>0</v>
      </c>
      <c r="N193" s="561" t="n">
        <v>0</v>
      </c>
      <c r="O193" s="561" t="n">
        <v>0</v>
      </c>
      <c r="R193" s="561" t="n">
        <f aca="false">+'[5]입력 시트(0124)'!T205</f>
        <v>0</v>
      </c>
      <c r="S193" s="561" t="n">
        <f aca="false">+'[5]입력 시트(0124)'!U205</f>
        <v>0</v>
      </c>
      <c r="T193" s="561" t="n">
        <f aca="false">+'[5]입력 시트(0124)'!V205</f>
        <v>0</v>
      </c>
      <c r="U193" s="561" t="n">
        <f aca="false">+'[5]입력 시트(0124)'!W205</f>
        <v>0</v>
      </c>
      <c r="V193" s="561" t="n">
        <f aca="false">+'[5]입력 시트(0124)'!X205</f>
        <v>0</v>
      </c>
      <c r="W193" s="561" t="n">
        <v>0</v>
      </c>
    </row>
    <row r="194" customFormat="false" ht="14.9" hidden="false" customHeight="false" outlineLevel="1" collapsed="false">
      <c r="B194" s="495"/>
      <c r="C194" s="542" t="s">
        <v>339</v>
      </c>
      <c r="D194" s="455" t="n">
        <f aca="false">+D193+1</f>
        <v>8</v>
      </c>
      <c r="E194" s="561" t="n">
        <f aca="false">+'[5]입력 시트(0124)'!E206</f>
        <v>0</v>
      </c>
      <c r="F194" s="561" t="n">
        <f aca="false">+'[5]입력 시트(0124)'!F206</f>
        <v>0</v>
      </c>
      <c r="G194" s="561" t="n">
        <f aca="false">+'[5]입력 시트(0124)'!G206</f>
        <v>0</v>
      </c>
      <c r="H194" s="561" t="n">
        <f aca="false">+'[5]입력 시트(0124)'!H206</f>
        <v>0</v>
      </c>
      <c r="I194" s="561" t="n">
        <f aca="false">+'[5]입력 시트(0124)'!I206</f>
        <v>0</v>
      </c>
      <c r="J194" s="561" t="n">
        <v>0</v>
      </c>
      <c r="K194" s="561" t="n">
        <v>0</v>
      </c>
      <c r="L194" s="561" t="n">
        <v>0</v>
      </c>
      <c r="M194" s="561" t="n">
        <v>0</v>
      </c>
      <c r="N194" s="561" t="n">
        <v>0</v>
      </c>
      <c r="O194" s="561" t="n">
        <v>0</v>
      </c>
      <c r="R194" s="561" t="n">
        <f aca="false">+'[5]입력 시트(0124)'!T206</f>
        <v>0</v>
      </c>
      <c r="S194" s="561" t="n">
        <f aca="false">+'[5]입력 시트(0124)'!U206</f>
        <v>0</v>
      </c>
      <c r="T194" s="561" t="n">
        <f aca="false">+'[5]입력 시트(0124)'!V206</f>
        <v>0</v>
      </c>
      <c r="U194" s="561" t="n">
        <f aca="false">+'[5]입력 시트(0124)'!W206</f>
        <v>0</v>
      </c>
      <c r="V194" s="561" t="n">
        <f aca="false">+'[5]입력 시트(0124)'!X206</f>
        <v>0</v>
      </c>
      <c r="W194" s="561" t="n">
        <v>0</v>
      </c>
    </row>
    <row r="195" customFormat="false" ht="14.9" hidden="false" customHeight="false" outlineLevel="1" collapsed="false">
      <c r="B195" s="495"/>
      <c r="C195" s="542" t="s">
        <v>339</v>
      </c>
      <c r="D195" s="455" t="n">
        <f aca="false">+D194+1</f>
        <v>9</v>
      </c>
      <c r="E195" s="561" t="n">
        <f aca="false">+'[5]입력 시트(0124)'!E207</f>
        <v>0</v>
      </c>
      <c r="F195" s="561" t="n">
        <f aca="false">+'[5]입력 시트(0124)'!F207</f>
        <v>0</v>
      </c>
      <c r="G195" s="561" t="n">
        <f aca="false">+'[5]입력 시트(0124)'!G207</f>
        <v>0</v>
      </c>
      <c r="H195" s="561" t="n">
        <f aca="false">+'[5]입력 시트(0124)'!H207</f>
        <v>0</v>
      </c>
      <c r="I195" s="561" t="n">
        <f aca="false">+'[5]입력 시트(0124)'!I207</f>
        <v>0</v>
      </c>
      <c r="J195" s="561" t="n">
        <v>0</v>
      </c>
      <c r="K195" s="561" t="n">
        <v>0</v>
      </c>
      <c r="L195" s="561" t="n">
        <v>0</v>
      </c>
      <c r="M195" s="561" t="n">
        <v>0</v>
      </c>
      <c r="N195" s="561" t="n">
        <v>0</v>
      </c>
      <c r="O195" s="561" t="n">
        <v>0</v>
      </c>
      <c r="R195" s="561" t="n">
        <f aca="false">+'[5]입력 시트(0124)'!T207</f>
        <v>0</v>
      </c>
      <c r="S195" s="561" t="n">
        <f aca="false">+'[5]입력 시트(0124)'!U207</f>
        <v>0</v>
      </c>
      <c r="T195" s="561" t="n">
        <f aca="false">+'[5]입력 시트(0124)'!V207</f>
        <v>0</v>
      </c>
      <c r="U195" s="561" t="n">
        <f aca="false">+'[5]입력 시트(0124)'!W207</f>
        <v>0</v>
      </c>
      <c r="V195" s="561" t="n">
        <f aca="false">+'[5]입력 시트(0124)'!X207</f>
        <v>0</v>
      </c>
      <c r="W195" s="561" t="n">
        <v>0</v>
      </c>
    </row>
    <row r="196" customFormat="false" ht="14.9" hidden="false" customHeight="false" outlineLevel="1" collapsed="false">
      <c r="B196" s="495"/>
      <c r="C196" s="542" t="s">
        <v>339</v>
      </c>
      <c r="D196" s="455" t="n">
        <f aca="false">+D195+1</f>
        <v>10</v>
      </c>
      <c r="E196" s="561" t="n">
        <f aca="false">+'[5]입력 시트(0124)'!E208</f>
        <v>0</v>
      </c>
      <c r="F196" s="561" t="n">
        <f aca="false">+'[5]입력 시트(0124)'!F208</f>
        <v>0</v>
      </c>
      <c r="G196" s="561" t="n">
        <f aca="false">+'[5]입력 시트(0124)'!G208</f>
        <v>0</v>
      </c>
      <c r="H196" s="561" t="n">
        <f aca="false">+'[5]입력 시트(0124)'!H208</f>
        <v>0</v>
      </c>
      <c r="I196" s="561" t="n">
        <f aca="false">+'[5]입력 시트(0124)'!I208</f>
        <v>0</v>
      </c>
      <c r="J196" s="561" t="n">
        <v>0</v>
      </c>
      <c r="K196" s="561" t="n">
        <v>0</v>
      </c>
      <c r="L196" s="561" t="n">
        <v>0</v>
      </c>
      <c r="M196" s="561" t="n">
        <v>0</v>
      </c>
      <c r="N196" s="561" t="n">
        <v>0</v>
      </c>
      <c r="O196" s="561" t="n">
        <v>0</v>
      </c>
      <c r="R196" s="561" t="n">
        <f aca="false">+'[5]입력 시트(0124)'!T208</f>
        <v>0</v>
      </c>
      <c r="S196" s="561" t="n">
        <f aca="false">+'[5]입력 시트(0124)'!U208</f>
        <v>0</v>
      </c>
      <c r="T196" s="561" t="n">
        <f aca="false">+'[5]입력 시트(0124)'!V208</f>
        <v>0</v>
      </c>
      <c r="U196" s="561" t="n">
        <f aca="false">+'[5]입력 시트(0124)'!W208</f>
        <v>0</v>
      </c>
      <c r="V196" s="561" t="n">
        <f aca="false">+'[5]입력 시트(0124)'!X208</f>
        <v>0</v>
      </c>
      <c r="W196" s="561" t="n">
        <v>0</v>
      </c>
    </row>
    <row r="197" customFormat="false" ht="12.75" hidden="false" customHeight="false" outlineLevel="1" collapsed="false">
      <c r="B197" s="496" t="s">
        <v>370</v>
      </c>
      <c r="C197" s="566"/>
      <c r="E197" s="562"/>
      <c r="F197" s="562"/>
      <c r="G197" s="562"/>
      <c r="H197" s="562"/>
      <c r="I197" s="562"/>
      <c r="J197" s="562"/>
      <c r="K197" s="562"/>
      <c r="L197" s="562"/>
      <c r="M197" s="562"/>
      <c r="N197" s="562"/>
      <c r="O197" s="562"/>
      <c r="R197" s="562"/>
      <c r="S197" s="562"/>
      <c r="T197" s="562"/>
      <c r="U197" s="562"/>
      <c r="V197" s="562"/>
      <c r="W197" s="562"/>
    </row>
    <row r="198" customFormat="false" ht="12.75" hidden="false" customHeight="false" outlineLevel="1" collapsed="false"/>
    <row r="199" customFormat="false" ht="14.9" hidden="false" customHeight="false" outlineLevel="1" collapsed="false">
      <c r="B199" s="482" t="s">
        <v>401</v>
      </c>
      <c r="D199" s="520"/>
      <c r="E199" s="521"/>
      <c r="F199" s="521"/>
      <c r="G199" s="521"/>
      <c r="H199" s="521"/>
      <c r="I199" s="521"/>
      <c r="J199" s="521"/>
      <c r="K199" s="521"/>
      <c r="L199" s="521"/>
      <c r="M199" s="521"/>
      <c r="N199" s="521"/>
      <c r="O199" s="521"/>
      <c r="R199" s="521"/>
      <c r="S199" s="521"/>
      <c r="T199" s="521"/>
      <c r="U199" s="521"/>
      <c r="V199" s="521"/>
      <c r="W199" s="521"/>
    </row>
    <row r="200" customFormat="false" ht="16.5" hidden="false" customHeight="true" outlineLevel="1" collapsed="false">
      <c r="B200" s="496" t="s">
        <v>97</v>
      </c>
      <c r="C200" s="563"/>
      <c r="D200" s="564"/>
      <c r="E200" s="478"/>
      <c r="F200" s="478"/>
      <c r="G200" s="478"/>
      <c r="H200" s="478"/>
      <c r="I200" s="478"/>
      <c r="J200" s="478"/>
      <c r="K200" s="478"/>
      <c r="L200" s="478"/>
      <c r="M200" s="478"/>
      <c r="N200" s="478"/>
      <c r="O200" s="478"/>
      <c r="R200" s="478"/>
      <c r="S200" s="478"/>
      <c r="T200" s="478"/>
      <c r="U200" s="478"/>
      <c r="V200" s="478"/>
      <c r="W200" s="478"/>
    </row>
    <row r="201" customFormat="false" ht="14.9" hidden="false" customHeight="false" outlineLevel="1" collapsed="false">
      <c r="B201" s="496" t="s">
        <v>356</v>
      </c>
      <c r="D201" s="513" t="s">
        <v>399</v>
      </c>
      <c r="E201" s="514" t="e">
        <f aca="false">+#REF!</f>
        <v>#REF!</v>
      </c>
      <c r="F201" s="514" t="e">
        <f aca="false">+#REF!</f>
        <v>#REF!</v>
      </c>
      <c r="G201" s="514" t="e">
        <f aca="false">+#REF!</f>
        <v>#REF!</v>
      </c>
      <c r="H201" s="514" t="e">
        <f aca="false">+#REF!</f>
        <v>#REF!</v>
      </c>
      <c r="I201" s="514" t="e">
        <f aca="false">+#REF!</f>
        <v>#REF!</v>
      </c>
      <c r="J201" s="514" t="e">
        <f aca="false">+#REF!</f>
        <v>#REF!</v>
      </c>
      <c r="K201" s="514" t="e">
        <f aca="false">+#REF!</f>
        <v>#REF!</v>
      </c>
      <c r="L201" s="514" t="e">
        <f aca="false">+#REF!</f>
        <v>#REF!</v>
      </c>
      <c r="M201" s="514" t="e">
        <f aca="false">+#REF!</f>
        <v>#REF!</v>
      </c>
      <c r="N201" s="514" t="e">
        <f aca="false">+#REF!</f>
        <v>#REF!</v>
      </c>
      <c r="O201" s="543"/>
      <c r="R201" s="543" t="e">
        <f aca="false">+'input 기초'!#ref!</f>
        <v>#VALUE!</v>
      </c>
      <c r="S201" s="543" t="e">
        <f aca="false">+'input 기초'!#ref!</f>
        <v>#VALUE!</v>
      </c>
      <c r="T201" s="543" t="e">
        <f aca="false">+'input 기초'!#ref!</f>
        <v>#VALUE!</v>
      </c>
      <c r="U201" s="543" t="e">
        <f aca="false">+'input 기초'!#ref!</f>
        <v>#VALUE!</v>
      </c>
      <c r="V201" s="543" t="e">
        <f aca="false">+'input 기초'!#ref!</f>
        <v>#VALUE!</v>
      </c>
      <c r="W201" s="543" t="e">
        <f aca="false">+'input 기초'!#ref!</f>
        <v>#VALUE!</v>
      </c>
    </row>
    <row r="202" customFormat="false" ht="16.5" hidden="false" customHeight="true" outlineLevel="1" collapsed="false">
      <c r="B202" s="496" t="s">
        <v>360</v>
      </c>
      <c r="D202" s="481" t="s">
        <v>361</v>
      </c>
      <c r="E202" s="567" t="s">
        <v>402</v>
      </c>
      <c r="F202" s="567" t="s">
        <v>402</v>
      </c>
      <c r="G202" s="567" t="s">
        <v>402</v>
      </c>
      <c r="H202" s="567" t="s">
        <v>402</v>
      </c>
      <c r="I202" s="567" t="s">
        <v>402</v>
      </c>
      <c r="J202" s="567" t="s">
        <v>402</v>
      </c>
      <c r="K202" s="567" t="s">
        <v>402</v>
      </c>
      <c r="L202" s="567" t="s">
        <v>402</v>
      </c>
      <c r="M202" s="567" t="s">
        <v>402</v>
      </c>
      <c r="N202" s="567" t="s">
        <v>402</v>
      </c>
      <c r="O202" s="567" t="s">
        <v>402</v>
      </c>
      <c r="R202" s="568" t="s">
        <v>402</v>
      </c>
      <c r="S202" s="568" t="s">
        <v>402</v>
      </c>
      <c r="T202" s="568" t="s">
        <v>402</v>
      </c>
      <c r="U202" s="568" t="s">
        <v>402</v>
      </c>
      <c r="V202" s="568" t="s">
        <v>402</v>
      </c>
      <c r="W202" s="568" t="s">
        <v>402</v>
      </c>
    </row>
    <row r="203" customFormat="false" ht="16.5" hidden="false" customHeight="true" outlineLevel="1" collapsed="false">
      <c r="B203" s="496" t="s">
        <v>363</v>
      </c>
      <c r="D203" s="481" t="s">
        <v>364</v>
      </c>
      <c r="E203" s="559" t="n">
        <f aca="false">E18</f>
        <v>46204</v>
      </c>
      <c r="F203" s="559" t="n">
        <f aca="false">F18</f>
        <v>46204</v>
      </c>
      <c r="G203" s="559" t="n">
        <f aca="false">G18</f>
        <v>46204</v>
      </c>
      <c r="H203" s="559" t="n">
        <f aca="false">H18</f>
        <v>46204</v>
      </c>
      <c r="I203" s="559" t="n">
        <f aca="false">I18</f>
        <v>46204</v>
      </c>
      <c r="J203" s="559" t="n">
        <f aca="false">J18</f>
        <v>46204</v>
      </c>
      <c r="K203" s="559" t="n">
        <f aca="false">K18</f>
        <v>46327</v>
      </c>
      <c r="L203" s="559" t="n">
        <f aca="false">L18</f>
        <v>46327</v>
      </c>
      <c r="M203" s="559" t="n">
        <f aca="false">M18</f>
        <v>46327</v>
      </c>
      <c r="N203" s="559" t="n">
        <f aca="false">N18</f>
        <v>46327</v>
      </c>
      <c r="O203" s="559" t="n">
        <f aca="false">O18</f>
        <v>0</v>
      </c>
      <c r="R203" s="559" t="n">
        <f aca="false">R18</f>
        <v>46053</v>
      </c>
      <c r="S203" s="559" t="n">
        <f aca="false">S18</f>
        <v>46022</v>
      </c>
      <c r="T203" s="559" t="n">
        <f aca="false">T18</f>
        <v>46022</v>
      </c>
      <c r="U203" s="559" t="n">
        <f aca="false">U18</f>
        <v>46022</v>
      </c>
      <c r="V203" s="559" t="n">
        <f aca="false">V18</f>
        <v>46022</v>
      </c>
      <c r="W203" s="559" t="n">
        <f aca="false">W18</f>
        <v>46053</v>
      </c>
    </row>
    <row r="204" customFormat="false" ht="16.5" hidden="false" customHeight="true" outlineLevel="1" collapsed="false">
      <c r="B204" s="496" t="s">
        <v>366</v>
      </c>
      <c r="D204" s="481" t="s">
        <v>339</v>
      </c>
      <c r="E204" s="560"/>
      <c r="F204" s="560"/>
      <c r="G204" s="560"/>
      <c r="H204" s="560"/>
      <c r="I204" s="560"/>
      <c r="J204" s="560"/>
      <c r="K204" s="560"/>
      <c r="L204" s="560"/>
      <c r="M204" s="560"/>
      <c r="N204" s="560"/>
      <c r="O204" s="560"/>
      <c r="R204" s="560"/>
      <c r="S204" s="560"/>
      <c r="T204" s="560"/>
      <c r="U204" s="560"/>
      <c r="V204" s="560"/>
      <c r="W204" s="560"/>
    </row>
    <row r="205" customFormat="false" ht="14.9" hidden="false" customHeight="false" outlineLevel="1" collapsed="false">
      <c r="B205" s="496" t="s">
        <v>395</v>
      </c>
      <c r="C205" s="542" t="s">
        <v>396</v>
      </c>
      <c r="D205" s="455" t="n">
        <v>1</v>
      </c>
      <c r="E205" s="561" t="n">
        <v>1</v>
      </c>
      <c r="F205" s="561" t="n">
        <v>1</v>
      </c>
      <c r="G205" s="561" t="n">
        <v>1</v>
      </c>
      <c r="H205" s="561" t="n">
        <v>1</v>
      </c>
      <c r="I205" s="561" t="n">
        <v>1</v>
      </c>
      <c r="J205" s="561" t="n">
        <v>1</v>
      </c>
      <c r="K205" s="561" t="n">
        <v>1</v>
      </c>
      <c r="L205" s="561" t="n">
        <v>1</v>
      </c>
      <c r="M205" s="561" t="n">
        <v>1</v>
      </c>
      <c r="N205" s="561" t="n">
        <v>1</v>
      </c>
      <c r="O205" s="561" t="n">
        <v>1</v>
      </c>
      <c r="R205" s="561" t="n">
        <v>1</v>
      </c>
      <c r="S205" s="561" t="n">
        <v>1</v>
      </c>
      <c r="T205" s="561" t="n">
        <v>1</v>
      </c>
      <c r="U205" s="561" t="n">
        <v>1</v>
      </c>
      <c r="V205" s="561" t="n">
        <v>1</v>
      </c>
      <c r="W205" s="561" t="n">
        <v>1</v>
      </c>
    </row>
    <row r="206" customFormat="false" ht="14.9" hidden="false" customHeight="false" outlineLevel="1" collapsed="false">
      <c r="B206" s="495"/>
      <c r="C206" s="542" t="s">
        <v>339</v>
      </c>
      <c r="D206" s="455" t="n">
        <f aca="false">+D205+1</f>
        <v>2</v>
      </c>
      <c r="E206" s="561" t="n">
        <f aca="false">+'[5]입력 시트(0124)'!E232</f>
        <v>0</v>
      </c>
      <c r="F206" s="561" t="n">
        <f aca="false">+'[5]입력 시트(0124)'!F232</f>
        <v>0</v>
      </c>
      <c r="G206" s="561" t="n">
        <f aca="false">+'[5]입력 시트(0124)'!G232</f>
        <v>0</v>
      </c>
      <c r="H206" s="561" t="n">
        <f aca="false">+'[5]입력 시트(0124)'!H232</f>
        <v>0</v>
      </c>
      <c r="I206" s="561" t="n">
        <f aca="false">+'[5]입력 시트(0124)'!I232</f>
        <v>0</v>
      </c>
      <c r="J206" s="561" t="n">
        <v>0</v>
      </c>
      <c r="K206" s="561" t="n">
        <v>0</v>
      </c>
      <c r="L206" s="561" t="n">
        <v>0</v>
      </c>
      <c r="M206" s="561" t="n">
        <v>0</v>
      </c>
      <c r="N206" s="561" t="n">
        <v>0</v>
      </c>
      <c r="O206" s="561" t="n">
        <v>0</v>
      </c>
      <c r="R206" s="561" t="n">
        <f aca="false">+'[5]입력 시트(0124)'!T232</f>
        <v>0</v>
      </c>
      <c r="S206" s="561" t="n">
        <f aca="false">+'[5]입력 시트(0124)'!U232</f>
        <v>0</v>
      </c>
      <c r="T206" s="561" t="n">
        <f aca="false">+'[5]입력 시트(0124)'!V232</f>
        <v>0</v>
      </c>
      <c r="U206" s="561" t="n">
        <f aca="false">+'[5]입력 시트(0124)'!W232</f>
        <v>0</v>
      </c>
      <c r="V206" s="561" t="n">
        <f aca="false">+'[5]입력 시트(0124)'!X232</f>
        <v>0</v>
      </c>
      <c r="W206" s="561" t="n">
        <v>0</v>
      </c>
    </row>
    <row r="207" customFormat="false" ht="14.9" hidden="false" customHeight="false" outlineLevel="1" collapsed="false">
      <c r="B207" s="495"/>
      <c r="C207" s="542" t="s">
        <v>339</v>
      </c>
      <c r="D207" s="455" t="n">
        <f aca="false">+D206+1</f>
        <v>3</v>
      </c>
      <c r="E207" s="561" t="n">
        <f aca="false">+'[5]입력 시트(0124)'!E233</f>
        <v>0</v>
      </c>
      <c r="F207" s="561" t="n">
        <f aca="false">+'[5]입력 시트(0124)'!F233</f>
        <v>0</v>
      </c>
      <c r="G207" s="561" t="n">
        <f aca="false">+'[5]입력 시트(0124)'!G233</f>
        <v>0</v>
      </c>
      <c r="H207" s="561" t="n">
        <f aca="false">+'[5]입력 시트(0124)'!H233</f>
        <v>0</v>
      </c>
      <c r="I207" s="561" t="n">
        <f aca="false">+'[5]입력 시트(0124)'!I233</f>
        <v>0</v>
      </c>
      <c r="J207" s="561" t="n">
        <v>0</v>
      </c>
      <c r="K207" s="561" t="n">
        <v>0</v>
      </c>
      <c r="L207" s="561" t="n">
        <v>0</v>
      </c>
      <c r="M207" s="561" t="n">
        <v>0</v>
      </c>
      <c r="N207" s="561" t="n">
        <v>0</v>
      </c>
      <c r="O207" s="561" t="n">
        <v>0</v>
      </c>
      <c r="R207" s="561" t="n">
        <f aca="false">+'[5]입력 시트(0124)'!T233</f>
        <v>0</v>
      </c>
      <c r="S207" s="561" t="n">
        <f aca="false">+'[5]입력 시트(0124)'!U233</f>
        <v>0</v>
      </c>
      <c r="T207" s="561" t="n">
        <f aca="false">+'[5]입력 시트(0124)'!V233</f>
        <v>0</v>
      </c>
      <c r="U207" s="561" t="n">
        <f aca="false">+'[5]입력 시트(0124)'!W233</f>
        <v>0</v>
      </c>
      <c r="V207" s="561" t="n">
        <f aca="false">+'[5]입력 시트(0124)'!X233</f>
        <v>0</v>
      </c>
      <c r="W207" s="561" t="n">
        <v>0</v>
      </c>
    </row>
    <row r="208" customFormat="false" ht="14.9" hidden="false" customHeight="false" outlineLevel="1" collapsed="false">
      <c r="B208" s="495"/>
      <c r="C208" s="542" t="s">
        <v>339</v>
      </c>
      <c r="D208" s="455" t="n">
        <f aca="false">+D207+1</f>
        <v>4</v>
      </c>
      <c r="E208" s="561" t="n">
        <f aca="false">+'[5]입력 시트(0124)'!E234</f>
        <v>0</v>
      </c>
      <c r="F208" s="561" t="n">
        <f aca="false">+'[5]입력 시트(0124)'!F234</f>
        <v>0</v>
      </c>
      <c r="G208" s="561" t="n">
        <f aca="false">+'[5]입력 시트(0124)'!G234</f>
        <v>0</v>
      </c>
      <c r="H208" s="561" t="n">
        <f aca="false">+'[5]입력 시트(0124)'!H234</f>
        <v>0</v>
      </c>
      <c r="I208" s="561" t="n">
        <f aca="false">+'[5]입력 시트(0124)'!I234</f>
        <v>0</v>
      </c>
      <c r="J208" s="561" t="n">
        <v>0</v>
      </c>
      <c r="K208" s="561" t="n">
        <v>0</v>
      </c>
      <c r="L208" s="561" t="n">
        <v>0</v>
      </c>
      <c r="M208" s="561" t="n">
        <v>0</v>
      </c>
      <c r="N208" s="561" t="n">
        <v>0</v>
      </c>
      <c r="O208" s="561" t="n">
        <v>0</v>
      </c>
      <c r="R208" s="561" t="n">
        <f aca="false">+'[5]입력 시트(0124)'!T234</f>
        <v>0</v>
      </c>
      <c r="S208" s="561" t="n">
        <f aca="false">+'[5]입력 시트(0124)'!U234</f>
        <v>0</v>
      </c>
      <c r="T208" s="561" t="n">
        <f aca="false">+'[5]입력 시트(0124)'!V234</f>
        <v>0</v>
      </c>
      <c r="U208" s="561" t="n">
        <f aca="false">+'[5]입력 시트(0124)'!W234</f>
        <v>0</v>
      </c>
      <c r="V208" s="561" t="n">
        <f aca="false">+'[5]입력 시트(0124)'!X234</f>
        <v>0</v>
      </c>
      <c r="W208" s="561" t="n">
        <v>0</v>
      </c>
    </row>
    <row r="209" customFormat="false" ht="14.9" hidden="false" customHeight="false" outlineLevel="1" collapsed="false">
      <c r="B209" s="495"/>
      <c r="C209" s="542" t="s">
        <v>339</v>
      </c>
      <c r="D209" s="455" t="n">
        <f aca="false">+D208+1</f>
        <v>5</v>
      </c>
      <c r="E209" s="561" t="n">
        <f aca="false">+'[5]입력 시트(0124)'!E235</f>
        <v>0</v>
      </c>
      <c r="F209" s="561" t="n">
        <f aca="false">+'[5]입력 시트(0124)'!F235</f>
        <v>0</v>
      </c>
      <c r="G209" s="561" t="n">
        <f aca="false">+'[5]입력 시트(0124)'!G235</f>
        <v>0</v>
      </c>
      <c r="H209" s="561" t="n">
        <f aca="false">+'[5]입력 시트(0124)'!H235</f>
        <v>0</v>
      </c>
      <c r="I209" s="561" t="n">
        <f aca="false">+'[5]입력 시트(0124)'!I235</f>
        <v>0</v>
      </c>
      <c r="J209" s="561" t="n">
        <v>0</v>
      </c>
      <c r="K209" s="561" t="n">
        <v>0</v>
      </c>
      <c r="L209" s="561" t="n">
        <v>0</v>
      </c>
      <c r="M209" s="561" t="n">
        <v>0</v>
      </c>
      <c r="N209" s="561" t="n">
        <v>0</v>
      </c>
      <c r="O209" s="561" t="n">
        <v>0</v>
      </c>
      <c r="R209" s="561" t="n">
        <f aca="false">+'[5]입력 시트(0124)'!T235</f>
        <v>0</v>
      </c>
      <c r="S209" s="561" t="n">
        <f aca="false">+'[5]입력 시트(0124)'!U235</f>
        <v>0</v>
      </c>
      <c r="T209" s="561" t="n">
        <f aca="false">+'[5]입력 시트(0124)'!V235</f>
        <v>0</v>
      </c>
      <c r="U209" s="561" t="n">
        <f aca="false">+'[5]입력 시트(0124)'!W235</f>
        <v>0</v>
      </c>
      <c r="V209" s="561" t="n">
        <f aca="false">+'[5]입력 시트(0124)'!X235</f>
        <v>0</v>
      </c>
      <c r="W209" s="561" t="n">
        <v>0</v>
      </c>
    </row>
    <row r="210" customFormat="false" ht="14.9" hidden="false" customHeight="false" outlineLevel="1" collapsed="false">
      <c r="B210" s="495"/>
      <c r="C210" s="542" t="s">
        <v>339</v>
      </c>
      <c r="D210" s="455" t="n">
        <f aca="false">+D209+1</f>
        <v>6</v>
      </c>
      <c r="E210" s="561" t="n">
        <f aca="false">+'[5]입력 시트(0124)'!E236</f>
        <v>0</v>
      </c>
      <c r="F210" s="561" t="n">
        <f aca="false">+'[5]입력 시트(0124)'!F236</f>
        <v>0</v>
      </c>
      <c r="G210" s="561" t="n">
        <f aca="false">+'[5]입력 시트(0124)'!G236</f>
        <v>0</v>
      </c>
      <c r="H210" s="561" t="n">
        <f aca="false">+'[5]입력 시트(0124)'!H236</f>
        <v>0</v>
      </c>
      <c r="I210" s="561" t="n">
        <f aca="false">+'[5]입력 시트(0124)'!I236</f>
        <v>0</v>
      </c>
      <c r="J210" s="561" t="n">
        <v>0</v>
      </c>
      <c r="K210" s="561" t="n">
        <v>0</v>
      </c>
      <c r="L210" s="561" t="n">
        <v>0</v>
      </c>
      <c r="M210" s="561" t="n">
        <v>0</v>
      </c>
      <c r="N210" s="561" t="n">
        <v>0</v>
      </c>
      <c r="O210" s="561" t="n">
        <v>0</v>
      </c>
      <c r="R210" s="561" t="n">
        <f aca="false">+'[5]입력 시트(0124)'!T236</f>
        <v>0</v>
      </c>
      <c r="S210" s="561" t="n">
        <f aca="false">+'[5]입력 시트(0124)'!U236</f>
        <v>0</v>
      </c>
      <c r="T210" s="561" t="n">
        <f aca="false">+'[5]입력 시트(0124)'!V236</f>
        <v>0</v>
      </c>
      <c r="U210" s="561" t="n">
        <f aca="false">+'[5]입력 시트(0124)'!W236</f>
        <v>0</v>
      </c>
      <c r="V210" s="561" t="n">
        <f aca="false">+'[5]입력 시트(0124)'!X236</f>
        <v>0</v>
      </c>
      <c r="W210" s="561" t="n">
        <v>0</v>
      </c>
    </row>
    <row r="211" customFormat="false" ht="14.9" hidden="false" customHeight="false" outlineLevel="1" collapsed="false">
      <c r="B211" s="495"/>
      <c r="C211" s="542" t="s">
        <v>339</v>
      </c>
      <c r="D211" s="455" t="n">
        <f aca="false">+D210+1</f>
        <v>7</v>
      </c>
      <c r="E211" s="561" t="n">
        <f aca="false">+'[5]입력 시트(0124)'!E237</f>
        <v>0</v>
      </c>
      <c r="F211" s="561" t="n">
        <f aca="false">+'[5]입력 시트(0124)'!F237</f>
        <v>0</v>
      </c>
      <c r="G211" s="561" t="n">
        <f aca="false">+'[5]입력 시트(0124)'!G237</f>
        <v>0</v>
      </c>
      <c r="H211" s="561" t="n">
        <f aca="false">+'[5]입력 시트(0124)'!H237</f>
        <v>0</v>
      </c>
      <c r="I211" s="561" t="n">
        <f aca="false">+'[5]입력 시트(0124)'!I237</f>
        <v>0</v>
      </c>
      <c r="J211" s="561" t="n">
        <v>0</v>
      </c>
      <c r="K211" s="561" t="n">
        <v>0</v>
      </c>
      <c r="L211" s="561" t="n">
        <v>0</v>
      </c>
      <c r="M211" s="561" t="n">
        <v>0</v>
      </c>
      <c r="N211" s="561" t="n">
        <v>0</v>
      </c>
      <c r="O211" s="561" t="n">
        <v>0</v>
      </c>
      <c r="R211" s="561" t="n">
        <f aca="false">+'[5]입력 시트(0124)'!T237</f>
        <v>0</v>
      </c>
      <c r="S211" s="561" t="n">
        <f aca="false">+'[5]입력 시트(0124)'!U237</f>
        <v>0</v>
      </c>
      <c r="T211" s="561" t="n">
        <f aca="false">+'[5]입력 시트(0124)'!V237</f>
        <v>0</v>
      </c>
      <c r="U211" s="561" t="n">
        <f aca="false">+'[5]입력 시트(0124)'!W237</f>
        <v>0</v>
      </c>
      <c r="V211" s="561" t="n">
        <f aca="false">+'[5]입력 시트(0124)'!X237</f>
        <v>0</v>
      </c>
      <c r="W211" s="561" t="n">
        <v>0</v>
      </c>
    </row>
    <row r="212" customFormat="false" ht="14.9" hidden="false" customHeight="false" outlineLevel="1" collapsed="false">
      <c r="B212" s="495"/>
      <c r="C212" s="542" t="s">
        <v>339</v>
      </c>
      <c r="D212" s="455" t="n">
        <f aca="false">+D211+1</f>
        <v>8</v>
      </c>
      <c r="E212" s="561" t="n">
        <f aca="false">+'[5]입력 시트(0124)'!E238</f>
        <v>0</v>
      </c>
      <c r="F212" s="561" t="n">
        <f aca="false">+'[5]입력 시트(0124)'!F238</f>
        <v>0</v>
      </c>
      <c r="G212" s="561" t="n">
        <f aca="false">+'[5]입력 시트(0124)'!G238</f>
        <v>0</v>
      </c>
      <c r="H212" s="561" t="n">
        <f aca="false">+'[5]입력 시트(0124)'!H238</f>
        <v>0</v>
      </c>
      <c r="I212" s="561" t="n">
        <f aca="false">+'[5]입력 시트(0124)'!I238</f>
        <v>0</v>
      </c>
      <c r="J212" s="561" t="n">
        <v>0</v>
      </c>
      <c r="K212" s="561" t="n">
        <v>0</v>
      </c>
      <c r="L212" s="561" t="n">
        <v>0</v>
      </c>
      <c r="M212" s="561" t="n">
        <v>0</v>
      </c>
      <c r="N212" s="561" t="n">
        <v>0</v>
      </c>
      <c r="O212" s="561" t="n">
        <v>0</v>
      </c>
      <c r="R212" s="561" t="n">
        <f aca="false">+'[5]입력 시트(0124)'!T238</f>
        <v>0</v>
      </c>
      <c r="S212" s="561" t="n">
        <f aca="false">+'[5]입력 시트(0124)'!U238</f>
        <v>0</v>
      </c>
      <c r="T212" s="561" t="n">
        <f aca="false">+'[5]입력 시트(0124)'!V238</f>
        <v>0</v>
      </c>
      <c r="U212" s="561" t="n">
        <f aca="false">+'[5]입력 시트(0124)'!W238</f>
        <v>0</v>
      </c>
      <c r="V212" s="561" t="n">
        <f aca="false">+'[5]입력 시트(0124)'!X238</f>
        <v>0</v>
      </c>
      <c r="W212" s="561" t="n">
        <v>0</v>
      </c>
    </row>
    <row r="213" customFormat="false" ht="14.9" hidden="false" customHeight="false" outlineLevel="1" collapsed="false">
      <c r="B213" s="495"/>
      <c r="C213" s="542" t="s">
        <v>339</v>
      </c>
      <c r="D213" s="455" t="n">
        <f aca="false">+D212+1</f>
        <v>9</v>
      </c>
      <c r="E213" s="561" t="n">
        <f aca="false">+'[5]입력 시트(0124)'!E239</f>
        <v>0</v>
      </c>
      <c r="F213" s="561" t="n">
        <f aca="false">+'[5]입력 시트(0124)'!F239</f>
        <v>0</v>
      </c>
      <c r="G213" s="561" t="n">
        <f aca="false">+'[5]입력 시트(0124)'!G239</f>
        <v>0</v>
      </c>
      <c r="H213" s="561" t="n">
        <f aca="false">+'[5]입력 시트(0124)'!H239</f>
        <v>0</v>
      </c>
      <c r="I213" s="561" t="n">
        <f aca="false">+'[5]입력 시트(0124)'!I239</f>
        <v>0</v>
      </c>
      <c r="J213" s="561" t="n">
        <v>0</v>
      </c>
      <c r="K213" s="561" t="n">
        <v>0</v>
      </c>
      <c r="L213" s="561" t="n">
        <v>0</v>
      </c>
      <c r="M213" s="561" t="n">
        <v>0</v>
      </c>
      <c r="N213" s="561" t="n">
        <v>0</v>
      </c>
      <c r="O213" s="561" t="n">
        <v>0</v>
      </c>
      <c r="R213" s="561" t="n">
        <f aca="false">+'[5]입력 시트(0124)'!T239</f>
        <v>0</v>
      </c>
      <c r="S213" s="561" t="n">
        <f aca="false">+'[5]입력 시트(0124)'!U239</f>
        <v>0</v>
      </c>
      <c r="T213" s="561" t="n">
        <f aca="false">+'[5]입력 시트(0124)'!V239</f>
        <v>0</v>
      </c>
      <c r="U213" s="561" t="n">
        <f aca="false">+'[5]입력 시트(0124)'!W239</f>
        <v>0</v>
      </c>
      <c r="V213" s="561" t="n">
        <f aca="false">+'[5]입력 시트(0124)'!X239</f>
        <v>0</v>
      </c>
      <c r="W213" s="561" t="n">
        <v>0</v>
      </c>
    </row>
    <row r="214" customFormat="false" ht="14.9" hidden="false" customHeight="false" outlineLevel="1" collapsed="false">
      <c r="B214" s="495"/>
      <c r="C214" s="542" t="s">
        <v>339</v>
      </c>
      <c r="D214" s="455" t="n">
        <f aca="false">+D213+1</f>
        <v>10</v>
      </c>
      <c r="E214" s="561" t="n">
        <f aca="false">+'[5]입력 시트(0124)'!E240</f>
        <v>0</v>
      </c>
      <c r="F214" s="561" t="n">
        <f aca="false">+'[5]입력 시트(0124)'!F240</f>
        <v>0</v>
      </c>
      <c r="G214" s="561" t="n">
        <f aca="false">+'[5]입력 시트(0124)'!G240</f>
        <v>0</v>
      </c>
      <c r="H214" s="561" t="n">
        <f aca="false">+'[5]입력 시트(0124)'!H240</f>
        <v>0</v>
      </c>
      <c r="I214" s="561" t="n">
        <f aca="false">+'[5]입력 시트(0124)'!I240</f>
        <v>0</v>
      </c>
      <c r="J214" s="561" t="n">
        <v>0</v>
      </c>
      <c r="K214" s="561" t="n">
        <v>0</v>
      </c>
      <c r="L214" s="561" t="n">
        <v>0</v>
      </c>
      <c r="M214" s="561" t="n">
        <v>0</v>
      </c>
      <c r="N214" s="561" t="n">
        <v>0</v>
      </c>
      <c r="O214" s="561" t="n">
        <v>0</v>
      </c>
      <c r="R214" s="561" t="n">
        <f aca="false">+'[5]입력 시트(0124)'!T240</f>
        <v>0</v>
      </c>
      <c r="S214" s="561" t="n">
        <f aca="false">+'[5]입력 시트(0124)'!U240</f>
        <v>0</v>
      </c>
      <c r="T214" s="561" t="n">
        <f aca="false">+'[5]입력 시트(0124)'!V240</f>
        <v>0</v>
      </c>
      <c r="U214" s="561" t="n">
        <f aca="false">+'[5]입력 시트(0124)'!W240</f>
        <v>0</v>
      </c>
      <c r="V214" s="561" t="n">
        <f aca="false">+'[5]입력 시트(0124)'!X240</f>
        <v>0</v>
      </c>
      <c r="W214" s="561" t="n">
        <v>0</v>
      </c>
    </row>
    <row r="215" customFormat="false" ht="12.75" hidden="false" customHeight="false" outlineLevel="1" collapsed="false">
      <c r="B215" s="496" t="s">
        <v>370</v>
      </c>
      <c r="C215" s="522"/>
      <c r="D215" s="522"/>
      <c r="E215" s="562"/>
      <c r="F215" s="562"/>
      <c r="G215" s="562"/>
      <c r="H215" s="562"/>
      <c r="I215" s="562"/>
      <c r="J215" s="562"/>
      <c r="K215" s="562"/>
      <c r="L215" s="562"/>
      <c r="M215" s="562"/>
      <c r="N215" s="562"/>
      <c r="O215" s="562"/>
      <c r="R215" s="562"/>
      <c r="S215" s="562"/>
      <c r="T215" s="562"/>
      <c r="U215" s="562"/>
      <c r="V215" s="562"/>
      <c r="W215" s="562"/>
    </row>
    <row r="216" customFormat="false" ht="12.75" hidden="false" customHeight="false" outlineLevel="1" collapsed="false">
      <c r="E216" s="569" t="e">
        <f aca="false">+SUM(#REF!)=E219</f>
        <v>#REF!</v>
      </c>
      <c r="F216" s="569" t="e">
        <f aca="false">+SUM(#REF!)=F219</f>
        <v>#REF!</v>
      </c>
      <c r="G216" s="569" t="e">
        <f aca="false">+SUM(#REF!)=G219</f>
        <v>#REF!</v>
      </c>
      <c r="H216" s="569" t="e">
        <f aca="false">+SUM(#REF!)=H219</f>
        <v>#REF!</v>
      </c>
      <c r="I216" s="569" t="e">
        <f aca="false">+SUM(#REF!)=I219</f>
        <v>#REF!</v>
      </c>
      <c r="J216" s="569" t="e">
        <f aca="false">+SUM(#REF!)=J219</f>
        <v>#REF!</v>
      </c>
      <c r="K216" s="569" t="e">
        <f aca="false">+SUM(#REF!)=K219</f>
        <v>#REF!</v>
      </c>
      <c r="L216" s="569" t="e">
        <f aca="false">+SUM(#REF!)=L219</f>
        <v>#REF!</v>
      </c>
      <c r="M216" s="569" t="e">
        <f aca="false">+SUM(#REF!)=M219</f>
        <v>#REF!</v>
      </c>
      <c r="N216" s="569" t="e">
        <f aca="false">+SUM(#REF!)=N219</f>
        <v>#REF!</v>
      </c>
      <c r="O216" s="569" t="e">
        <f aca="false">+SUM(#REF!)=O219</f>
        <v>#REF!</v>
      </c>
      <c r="R216" s="569" t="e">
        <f aca="false">+SUM(#REF!)=R219</f>
        <v>#REF!</v>
      </c>
      <c r="S216" s="569" t="e">
        <f aca="false">+SUM(#REF!)=S219</f>
        <v>#REF!</v>
      </c>
      <c r="T216" s="569" t="e">
        <f aca="false">+SUM(#REF!)=T219</f>
        <v>#REF!</v>
      </c>
      <c r="U216" s="569" t="e">
        <f aca="false">+SUM(#REF!)=U219</f>
        <v>#REF!</v>
      </c>
      <c r="V216" s="569" t="e">
        <f aca="false">+SUM(#REF!)=V219</f>
        <v>#REF!</v>
      </c>
      <c r="W216" s="569" t="e">
        <f aca="false">+SUM(#REF!)=W219</f>
        <v>#REF!</v>
      </c>
    </row>
    <row r="217" customFormat="false" ht="14.9" hidden="false" customHeight="false" outlineLevel="1" collapsed="false">
      <c r="B217" s="482" t="s">
        <v>403</v>
      </c>
      <c r="D217" s="520"/>
      <c r="E217" s="536" t="e">
        <f aca="false">620000000*E24=E219</f>
        <v>#REF!</v>
      </c>
      <c r="F217" s="536" t="e">
        <f aca="false">620000000*F24=F219</f>
        <v>#REF!</v>
      </c>
      <c r="G217" s="536" t="e">
        <f aca="false">620000000*G24=G219</f>
        <v>#REF!</v>
      </c>
      <c r="H217" s="536" t="e">
        <f aca="false">620000000*H24=H219</f>
        <v>#REF!</v>
      </c>
      <c r="I217" s="536" t="e">
        <f aca="false">620000000*I24=I219</f>
        <v>#REF!</v>
      </c>
      <c r="J217" s="536" t="e">
        <f aca="false">620000000*J24=J219</f>
        <v>#REF!</v>
      </c>
      <c r="K217" s="536" t="e">
        <f aca="false">620000000*K24=K219</f>
        <v>#REF!</v>
      </c>
      <c r="L217" s="536" t="e">
        <f aca="false">620000000*L24=L219</f>
        <v>#REF!</v>
      </c>
      <c r="M217" s="536" t="e">
        <f aca="false">620000000*M24=M219</f>
        <v>#REF!</v>
      </c>
      <c r="N217" s="536" t="e">
        <f aca="false">620000000*N24=N219</f>
        <v>#REF!</v>
      </c>
      <c r="O217" s="536" t="n">
        <f aca="false">620000000*O24=O219</f>
        <v>1</v>
      </c>
      <c r="R217" s="536" t="e">
        <f aca="false">620000000*R24=R219</f>
        <v>#VALUE!</v>
      </c>
      <c r="S217" s="536" t="e">
        <f aca="false">620000000*S24=S219</f>
        <v>#VALUE!</v>
      </c>
      <c r="T217" s="536" t="e">
        <f aca="false">620000000*T24=T219</f>
        <v>#VALUE!</v>
      </c>
      <c r="U217" s="536" t="e">
        <f aca="false">620000000*U24=U219</f>
        <v>#VALUE!</v>
      </c>
      <c r="V217" s="536" t="e">
        <f aca="false">620000000*V24=V219</f>
        <v>#VALUE!</v>
      </c>
      <c r="W217" s="536" t="e">
        <f aca="false">620000000*W24=W219</f>
        <v>#VALUE!</v>
      </c>
    </row>
    <row r="218" customFormat="false" ht="16.5" hidden="false" customHeight="true" outlineLevel="1" collapsed="false">
      <c r="B218" s="496" t="s">
        <v>97</v>
      </c>
      <c r="C218" s="563"/>
      <c r="D218" s="564"/>
      <c r="E218" s="478"/>
      <c r="F218" s="478"/>
      <c r="G218" s="478"/>
      <c r="H218" s="478"/>
      <c r="I218" s="478"/>
      <c r="J218" s="478"/>
      <c r="K218" s="478"/>
      <c r="L218" s="478"/>
      <c r="M218" s="478"/>
      <c r="N218" s="478"/>
      <c r="O218" s="478"/>
      <c r="R218" s="478"/>
      <c r="S218" s="478"/>
      <c r="T218" s="478"/>
      <c r="U218" s="478"/>
      <c r="V218" s="478"/>
      <c r="W218" s="478"/>
    </row>
    <row r="219" customFormat="false" ht="14.9" hidden="false" customHeight="false" outlineLevel="1" collapsed="false">
      <c r="B219" s="496" t="s">
        <v>356</v>
      </c>
      <c r="D219" s="513" t="s">
        <v>399</v>
      </c>
      <c r="E219" s="514" t="e">
        <f aca="false">+#REF!</f>
        <v>#REF!</v>
      </c>
      <c r="F219" s="514" t="e">
        <f aca="false">+#REF!</f>
        <v>#REF!</v>
      </c>
      <c r="G219" s="514" t="e">
        <f aca="false">+#REF!</f>
        <v>#REF!</v>
      </c>
      <c r="H219" s="514" t="e">
        <f aca="false">+#REF!</f>
        <v>#REF!</v>
      </c>
      <c r="I219" s="514" t="e">
        <f aca="false">+#REF!</f>
        <v>#REF!</v>
      </c>
      <c r="J219" s="514" t="e">
        <f aca="false">+#REF!</f>
        <v>#REF!</v>
      </c>
      <c r="K219" s="514" t="e">
        <f aca="false">+#REF!</f>
        <v>#REF!</v>
      </c>
      <c r="L219" s="514" t="e">
        <f aca="false">+#REF!</f>
        <v>#REF!</v>
      </c>
      <c r="M219" s="514" t="e">
        <f aca="false">+#REF!</f>
        <v>#REF!</v>
      </c>
      <c r="N219" s="514" t="e">
        <f aca="false">+#REF!</f>
        <v>#REF!</v>
      </c>
      <c r="O219" s="543"/>
      <c r="R219" s="543" t="e">
        <f aca="false">+'input 기초'!#ref!</f>
        <v>#VALUE!</v>
      </c>
      <c r="S219" s="543" t="e">
        <f aca="false">+'input 기초'!#ref!</f>
        <v>#VALUE!</v>
      </c>
      <c r="T219" s="543" t="e">
        <f aca="false">+'input 기초'!#ref!</f>
        <v>#VALUE!</v>
      </c>
      <c r="U219" s="543" t="e">
        <f aca="false">+'input 기초'!#ref!</f>
        <v>#VALUE!</v>
      </c>
      <c r="V219" s="543" t="e">
        <f aca="false">+'input 기초'!#ref!</f>
        <v>#VALUE!</v>
      </c>
      <c r="W219" s="543" t="e">
        <f aca="false">+'input 기초'!#ref!</f>
        <v>#VALUE!</v>
      </c>
    </row>
    <row r="220" customFormat="false" ht="16.5" hidden="false" customHeight="true" outlineLevel="1" collapsed="false">
      <c r="B220" s="496" t="s">
        <v>360</v>
      </c>
      <c r="C220" s="570"/>
      <c r="D220" s="481" t="s">
        <v>361</v>
      </c>
      <c r="E220" s="558" t="n">
        <v>0</v>
      </c>
      <c r="F220" s="558" t="n">
        <v>0</v>
      </c>
      <c r="G220" s="558" t="n">
        <v>0</v>
      </c>
      <c r="H220" s="558" t="n">
        <v>0</v>
      </c>
      <c r="I220" s="558" t="n">
        <v>0</v>
      </c>
      <c r="J220" s="558" t="n">
        <v>0</v>
      </c>
      <c r="K220" s="558" t="n">
        <v>0</v>
      </c>
      <c r="L220" s="558" t="n">
        <v>0</v>
      </c>
      <c r="M220" s="558" t="n">
        <v>0</v>
      </c>
      <c r="N220" s="558" t="n">
        <v>0</v>
      </c>
      <c r="O220" s="558" t="n">
        <v>0</v>
      </c>
      <c r="R220" s="558" t="n">
        <v>0</v>
      </c>
      <c r="S220" s="558" t="n">
        <v>0</v>
      </c>
      <c r="T220" s="558" t="n">
        <v>0</v>
      </c>
      <c r="U220" s="558" t="n">
        <v>0</v>
      </c>
      <c r="V220" s="558" t="n">
        <v>0</v>
      </c>
      <c r="W220" s="558" t="n">
        <v>0</v>
      </c>
    </row>
    <row r="221" customFormat="false" ht="16.5" hidden="false" customHeight="true" outlineLevel="1" collapsed="false">
      <c r="B221" s="496" t="s">
        <v>363</v>
      </c>
      <c r="D221" s="481" t="s">
        <v>364</v>
      </c>
      <c r="E221" s="559"/>
      <c r="F221" s="559"/>
      <c r="G221" s="559"/>
      <c r="H221" s="559"/>
      <c r="I221" s="559"/>
      <c r="J221" s="559"/>
      <c r="K221" s="559"/>
      <c r="L221" s="559"/>
      <c r="M221" s="559"/>
      <c r="N221" s="559"/>
      <c r="O221" s="559"/>
      <c r="R221" s="559"/>
      <c r="S221" s="559"/>
      <c r="T221" s="559"/>
      <c r="U221" s="559"/>
      <c r="V221" s="559"/>
      <c r="W221" s="559"/>
    </row>
    <row r="222" customFormat="false" ht="16.5" hidden="false" customHeight="true" outlineLevel="1" collapsed="false">
      <c r="B222" s="496" t="s">
        <v>366</v>
      </c>
      <c r="D222" s="481" t="s">
        <v>339</v>
      </c>
      <c r="E222" s="560"/>
      <c r="F222" s="560"/>
      <c r="G222" s="560"/>
      <c r="H222" s="560"/>
      <c r="I222" s="560"/>
      <c r="J222" s="560"/>
      <c r="K222" s="560"/>
      <c r="L222" s="560"/>
      <c r="M222" s="560"/>
      <c r="N222" s="560"/>
      <c r="O222" s="560"/>
      <c r="R222" s="560"/>
      <c r="S222" s="560"/>
      <c r="T222" s="560"/>
      <c r="U222" s="560"/>
      <c r="V222" s="560"/>
      <c r="W222" s="560"/>
    </row>
    <row r="223" customFormat="false" ht="14.9" hidden="false" customHeight="false" outlineLevel="1" collapsed="false">
      <c r="B223" s="496" t="s">
        <v>395</v>
      </c>
      <c r="C223" s="542" t="s">
        <v>396</v>
      </c>
      <c r="D223" s="455" t="n">
        <v>1</v>
      </c>
      <c r="E223" s="561" t="n">
        <v>0.2</v>
      </c>
      <c r="F223" s="561" t="n">
        <v>0.2</v>
      </c>
      <c r="G223" s="561" t="n">
        <v>0.2</v>
      </c>
      <c r="H223" s="561" t="n">
        <v>0.2</v>
      </c>
      <c r="I223" s="561" t="n">
        <v>0.3</v>
      </c>
      <c r="J223" s="561" t="n">
        <v>0.3</v>
      </c>
      <c r="K223" s="561" t="n">
        <v>0.3</v>
      </c>
      <c r="L223" s="561" t="n">
        <v>0.3</v>
      </c>
      <c r="M223" s="561" t="n">
        <v>0.3</v>
      </c>
      <c r="N223" s="561" t="n">
        <v>0.3</v>
      </c>
      <c r="O223" s="561" t="n">
        <v>0.3</v>
      </c>
      <c r="R223" s="561" t="n">
        <v>0.3</v>
      </c>
      <c r="S223" s="561" t="n">
        <v>0.3</v>
      </c>
      <c r="T223" s="561" t="n">
        <v>0.3</v>
      </c>
      <c r="U223" s="561" t="n">
        <v>0.3</v>
      </c>
      <c r="V223" s="561" t="n">
        <v>0.3</v>
      </c>
      <c r="W223" s="561" t="n">
        <v>0.3</v>
      </c>
    </row>
    <row r="224" customFormat="false" ht="14.9" hidden="false" customHeight="false" outlineLevel="1" collapsed="false">
      <c r="B224" s="495"/>
      <c r="C224" s="542" t="s">
        <v>339</v>
      </c>
      <c r="D224" s="455" t="n">
        <f aca="false">+D223+1</f>
        <v>2</v>
      </c>
      <c r="E224" s="561" t="n">
        <f aca="false">+'[5]입력 시트(0124)'!E264</f>
        <v>0</v>
      </c>
      <c r="F224" s="561" t="n">
        <f aca="false">+'[5]입력 시트(0124)'!F264</f>
        <v>0</v>
      </c>
      <c r="G224" s="561" t="n">
        <f aca="false">+'[5]입력 시트(0124)'!G264</f>
        <v>0</v>
      </c>
      <c r="H224" s="561" t="n">
        <f aca="false">+'[5]입력 시트(0124)'!H264</f>
        <v>0</v>
      </c>
      <c r="I224" s="561" t="n">
        <f aca="false">+'[5]입력 시트(0124)'!I264</f>
        <v>0</v>
      </c>
      <c r="J224" s="561" t="n">
        <v>0</v>
      </c>
      <c r="K224" s="561" t="n">
        <v>0</v>
      </c>
      <c r="L224" s="561" t="n">
        <v>0</v>
      </c>
      <c r="M224" s="561" t="n">
        <v>0</v>
      </c>
      <c r="N224" s="561" t="n">
        <v>0</v>
      </c>
      <c r="O224" s="561" t="n">
        <v>0</v>
      </c>
      <c r="R224" s="561" t="n">
        <f aca="false">+'[5]입력 시트(0124)'!T264</f>
        <v>0</v>
      </c>
      <c r="S224" s="561" t="n">
        <f aca="false">+'[5]입력 시트(0124)'!U264</f>
        <v>0</v>
      </c>
      <c r="T224" s="561" t="n">
        <f aca="false">+'[5]입력 시트(0124)'!V264</f>
        <v>0</v>
      </c>
      <c r="U224" s="561" t="n">
        <f aca="false">+'[5]입력 시트(0124)'!W264</f>
        <v>0</v>
      </c>
      <c r="V224" s="561" t="n">
        <f aca="false">+'[5]입력 시트(0124)'!X264</f>
        <v>0</v>
      </c>
      <c r="W224" s="561" t="n">
        <v>0</v>
      </c>
    </row>
    <row r="225" customFormat="false" ht="14.9" hidden="false" customHeight="false" outlineLevel="1" collapsed="false">
      <c r="B225" s="495"/>
      <c r="C225" s="542" t="s">
        <v>339</v>
      </c>
      <c r="D225" s="455" t="n">
        <f aca="false">+D224+1</f>
        <v>3</v>
      </c>
      <c r="E225" s="561" t="n">
        <v>0.2</v>
      </c>
      <c r="F225" s="561" t="n">
        <v>0.2</v>
      </c>
      <c r="G225" s="561" t="n">
        <v>0.2</v>
      </c>
      <c r="H225" s="561" t="n">
        <v>0.2</v>
      </c>
      <c r="I225" s="561" t="n">
        <v>0.1</v>
      </c>
      <c r="J225" s="561" t="n">
        <v>0.1</v>
      </c>
      <c r="K225" s="561" t="n">
        <v>0.1</v>
      </c>
      <c r="L225" s="561" t="n">
        <v>0.1</v>
      </c>
      <c r="M225" s="561" t="n">
        <v>0.1</v>
      </c>
      <c r="N225" s="561" t="n">
        <v>0.1</v>
      </c>
      <c r="O225" s="561" t="n">
        <v>0.1</v>
      </c>
      <c r="R225" s="561" t="n">
        <v>0.1</v>
      </c>
      <c r="S225" s="561" t="n">
        <v>0.1</v>
      </c>
      <c r="T225" s="561" t="n">
        <v>0.1</v>
      </c>
      <c r="U225" s="561" t="n">
        <v>0.1</v>
      </c>
      <c r="V225" s="561" t="n">
        <v>0.1</v>
      </c>
      <c r="W225" s="561" t="n">
        <v>0.1</v>
      </c>
    </row>
    <row r="226" customFormat="false" ht="14.9" hidden="false" customHeight="false" outlineLevel="1" collapsed="false">
      <c r="B226" s="495"/>
      <c r="C226" s="542" t="s">
        <v>339</v>
      </c>
      <c r="D226" s="455" t="n">
        <f aca="false">+D225+1</f>
        <v>4</v>
      </c>
      <c r="E226" s="561" t="n">
        <v>0.5</v>
      </c>
      <c r="F226" s="561" t="n">
        <v>0.5</v>
      </c>
      <c r="G226" s="561" t="n">
        <v>0.5</v>
      </c>
      <c r="H226" s="561" t="n">
        <v>0.5</v>
      </c>
      <c r="I226" s="561" t="n">
        <v>0.5</v>
      </c>
      <c r="J226" s="561" t="n">
        <v>0.5</v>
      </c>
      <c r="K226" s="561" t="n">
        <v>0.5</v>
      </c>
      <c r="L226" s="561" t="n">
        <v>0.5</v>
      </c>
      <c r="M226" s="561" t="n">
        <v>0.5</v>
      </c>
      <c r="N226" s="561" t="n">
        <v>0.5</v>
      </c>
      <c r="O226" s="561" t="n">
        <v>0.5</v>
      </c>
      <c r="R226" s="561" t="n">
        <v>0.5</v>
      </c>
      <c r="S226" s="561" t="n">
        <v>0.5</v>
      </c>
      <c r="T226" s="561" t="n">
        <v>0.5</v>
      </c>
      <c r="U226" s="561" t="n">
        <v>0.5</v>
      </c>
      <c r="V226" s="561" t="n">
        <v>0.5</v>
      </c>
      <c r="W226" s="561" t="n">
        <v>0.5</v>
      </c>
    </row>
    <row r="227" customFormat="false" ht="14.9" hidden="false" customHeight="false" outlineLevel="1" collapsed="false">
      <c r="B227" s="495"/>
      <c r="C227" s="542" t="s">
        <v>339</v>
      </c>
      <c r="D227" s="455" t="n">
        <f aca="false">+D226+1</f>
        <v>5</v>
      </c>
      <c r="E227" s="561" t="n">
        <f aca="false">+'[5]입력 시트(0124)'!E267</f>
        <v>0</v>
      </c>
      <c r="F227" s="561" t="n">
        <f aca="false">+'[5]입력 시트(0124)'!F267</f>
        <v>0</v>
      </c>
      <c r="G227" s="561" t="n">
        <f aca="false">+'[5]입력 시트(0124)'!G267</f>
        <v>0</v>
      </c>
      <c r="H227" s="561" t="n">
        <f aca="false">+'[5]입력 시트(0124)'!H267</f>
        <v>0</v>
      </c>
      <c r="I227" s="561" t="n">
        <f aca="false">+'[5]입력 시트(0124)'!I267</f>
        <v>0</v>
      </c>
      <c r="J227" s="561" t="n">
        <v>0</v>
      </c>
      <c r="K227" s="561" t="n">
        <v>0</v>
      </c>
      <c r="L227" s="561" t="n">
        <v>0</v>
      </c>
      <c r="M227" s="561" t="n">
        <v>0</v>
      </c>
      <c r="N227" s="561" t="n">
        <v>0</v>
      </c>
      <c r="O227" s="561" t="n">
        <v>0</v>
      </c>
      <c r="R227" s="561" t="n">
        <f aca="false">+'[5]입력 시트(0124)'!T267</f>
        <v>0</v>
      </c>
      <c r="S227" s="561" t="n">
        <f aca="false">+'[5]입력 시트(0124)'!U267</f>
        <v>0</v>
      </c>
      <c r="T227" s="561" t="n">
        <f aca="false">+'[5]입력 시트(0124)'!V267</f>
        <v>0</v>
      </c>
      <c r="U227" s="561" t="n">
        <f aca="false">+'[5]입력 시트(0124)'!W267</f>
        <v>0</v>
      </c>
      <c r="V227" s="561" t="n">
        <f aca="false">+'[5]입력 시트(0124)'!X267</f>
        <v>0</v>
      </c>
      <c r="W227" s="561" t="n">
        <v>0</v>
      </c>
    </row>
    <row r="228" customFormat="false" ht="14.9" hidden="false" customHeight="false" outlineLevel="1" collapsed="false">
      <c r="B228" s="495"/>
      <c r="C228" s="542" t="s">
        <v>339</v>
      </c>
      <c r="D228" s="455" t="n">
        <f aca="false">+D227+1</f>
        <v>6</v>
      </c>
      <c r="E228" s="561" t="n">
        <v>0</v>
      </c>
      <c r="F228" s="561" t="n">
        <v>0</v>
      </c>
      <c r="G228" s="561" t="n">
        <v>0</v>
      </c>
      <c r="H228" s="561" t="n">
        <v>0</v>
      </c>
      <c r="I228" s="561" t="n">
        <v>0</v>
      </c>
      <c r="J228" s="561" t="n">
        <v>0</v>
      </c>
      <c r="K228" s="561" t="n">
        <v>0</v>
      </c>
      <c r="L228" s="561" t="n">
        <v>0</v>
      </c>
      <c r="M228" s="561" t="n">
        <v>0</v>
      </c>
      <c r="N228" s="561" t="n">
        <v>0</v>
      </c>
      <c r="O228" s="561" t="n">
        <v>0</v>
      </c>
      <c r="R228" s="561" t="n">
        <v>0</v>
      </c>
      <c r="S228" s="561" t="n">
        <v>0</v>
      </c>
      <c r="T228" s="561" t="n">
        <v>0</v>
      </c>
      <c r="U228" s="561" t="n">
        <v>0</v>
      </c>
      <c r="V228" s="561" t="n">
        <v>0</v>
      </c>
      <c r="W228" s="561" t="n">
        <v>0</v>
      </c>
    </row>
    <row r="229" customFormat="false" ht="14.9" hidden="false" customHeight="false" outlineLevel="1" collapsed="false">
      <c r="B229" s="495"/>
      <c r="C229" s="542" t="s">
        <v>339</v>
      </c>
      <c r="D229" s="455" t="n">
        <f aca="false">+D228+1</f>
        <v>7</v>
      </c>
      <c r="E229" s="561" t="n">
        <v>0.1</v>
      </c>
      <c r="F229" s="561" t="n">
        <v>0.1</v>
      </c>
      <c r="G229" s="561" t="n">
        <v>0.1</v>
      </c>
      <c r="H229" s="561" t="n">
        <v>0.1</v>
      </c>
      <c r="I229" s="561" t="n">
        <v>0.1</v>
      </c>
      <c r="J229" s="561" t="n">
        <v>0.1</v>
      </c>
      <c r="K229" s="561" t="n">
        <v>0.1</v>
      </c>
      <c r="L229" s="561" t="n">
        <v>0.1</v>
      </c>
      <c r="M229" s="561" t="n">
        <v>0.1</v>
      </c>
      <c r="N229" s="561" t="n">
        <v>0.1</v>
      </c>
      <c r="O229" s="561" t="n">
        <v>0</v>
      </c>
      <c r="R229" s="561" t="n">
        <f aca="false">+'[5]입력 시트(0124)'!T269</f>
        <v>0</v>
      </c>
      <c r="S229" s="561" t="n">
        <f aca="false">+'[5]입력 시트(0124)'!U269</f>
        <v>0</v>
      </c>
      <c r="T229" s="561" t="n">
        <f aca="false">+'[5]입력 시트(0124)'!V269</f>
        <v>0</v>
      </c>
      <c r="U229" s="561" t="n">
        <f aca="false">+'[5]입력 시트(0124)'!W269</f>
        <v>0</v>
      </c>
      <c r="V229" s="561" t="n">
        <f aca="false">+'[5]입력 시트(0124)'!X269</f>
        <v>0</v>
      </c>
      <c r="W229" s="561" t="n">
        <v>0</v>
      </c>
    </row>
    <row r="230" customFormat="false" ht="14.9" hidden="false" customHeight="false" outlineLevel="1" collapsed="false">
      <c r="B230" s="495"/>
      <c r="C230" s="542" t="s">
        <v>339</v>
      </c>
      <c r="D230" s="455" t="n">
        <f aca="false">+D229+1</f>
        <v>8</v>
      </c>
      <c r="E230" s="561" t="n">
        <v>0</v>
      </c>
      <c r="F230" s="561" t="n">
        <v>0</v>
      </c>
      <c r="G230" s="561" t="n">
        <v>0</v>
      </c>
      <c r="H230" s="561" t="n">
        <v>0</v>
      </c>
      <c r="I230" s="561" t="n">
        <v>0</v>
      </c>
      <c r="J230" s="561" t="n">
        <v>0</v>
      </c>
      <c r="K230" s="561" t="n">
        <v>0</v>
      </c>
      <c r="L230" s="561" t="n">
        <v>0</v>
      </c>
      <c r="M230" s="561" t="n">
        <v>0</v>
      </c>
      <c r="N230" s="561" t="n">
        <v>0</v>
      </c>
      <c r="O230" s="561" t="n">
        <v>0</v>
      </c>
      <c r="R230" s="561" t="n">
        <f aca="false">+'[5]입력 시트(0124)'!T270</f>
        <v>0</v>
      </c>
      <c r="S230" s="561" t="n">
        <f aca="false">+'[5]입력 시트(0124)'!U270</f>
        <v>0</v>
      </c>
      <c r="T230" s="561" t="n">
        <f aca="false">+'[5]입력 시트(0124)'!V270</f>
        <v>0</v>
      </c>
      <c r="U230" s="561" t="n">
        <f aca="false">+'[5]입력 시트(0124)'!W270</f>
        <v>0</v>
      </c>
      <c r="V230" s="561" t="n">
        <f aca="false">+'[5]입력 시트(0124)'!X270</f>
        <v>0</v>
      </c>
      <c r="W230" s="561" t="n">
        <v>0</v>
      </c>
    </row>
    <row r="231" customFormat="false" ht="14.9" hidden="false" customHeight="false" outlineLevel="1" collapsed="false">
      <c r="B231" s="495"/>
      <c r="C231" s="542" t="s">
        <v>339</v>
      </c>
      <c r="D231" s="455" t="n">
        <f aca="false">+D230+1</f>
        <v>9</v>
      </c>
      <c r="E231" s="561" t="n">
        <v>0</v>
      </c>
      <c r="F231" s="561" t="n">
        <v>0</v>
      </c>
      <c r="G231" s="561" t="n">
        <v>0</v>
      </c>
      <c r="H231" s="561" t="n">
        <v>0</v>
      </c>
      <c r="I231" s="561" t="n">
        <v>0</v>
      </c>
      <c r="J231" s="561" t="n">
        <v>0</v>
      </c>
      <c r="K231" s="561" t="n">
        <v>0</v>
      </c>
      <c r="L231" s="561" t="n">
        <v>0</v>
      </c>
      <c r="M231" s="561" t="n">
        <v>0</v>
      </c>
      <c r="N231" s="561" t="n">
        <v>0</v>
      </c>
      <c r="O231" s="561" t="n">
        <v>0.1</v>
      </c>
      <c r="R231" s="561" t="n">
        <v>0.1</v>
      </c>
      <c r="S231" s="561" t="n">
        <v>0.1</v>
      </c>
      <c r="T231" s="561" t="n">
        <v>0.1</v>
      </c>
      <c r="U231" s="561" t="n">
        <v>0.1</v>
      </c>
      <c r="V231" s="561" t="n">
        <v>0.1</v>
      </c>
      <c r="W231" s="561" t="n">
        <v>0.1</v>
      </c>
    </row>
    <row r="232" customFormat="false" ht="14.9" hidden="false" customHeight="false" outlineLevel="1" collapsed="false">
      <c r="B232" s="495"/>
      <c r="C232" s="542" t="s">
        <v>339</v>
      </c>
      <c r="D232" s="455" t="n">
        <f aca="false">+D231+1</f>
        <v>10</v>
      </c>
      <c r="E232" s="561" t="n">
        <f aca="false">+'[5]입력 시트(0124)'!E272</f>
        <v>0</v>
      </c>
      <c r="F232" s="561" t="n">
        <f aca="false">+'[5]입력 시트(0124)'!F272</f>
        <v>0</v>
      </c>
      <c r="G232" s="561" t="n">
        <f aca="false">+'[5]입력 시트(0124)'!G272</f>
        <v>0</v>
      </c>
      <c r="H232" s="561" t="n">
        <f aca="false">+'[5]입력 시트(0124)'!H272</f>
        <v>0</v>
      </c>
      <c r="I232" s="561" t="n">
        <f aca="false">+'[5]입력 시트(0124)'!I272</f>
        <v>0</v>
      </c>
      <c r="J232" s="561" t="n">
        <v>0</v>
      </c>
      <c r="K232" s="561" t="n">
        <v>0</v>
      </c>
      <c r="L232" s="561" t="n">
        <v>0</v>
      </c>
      <c r="M232" s="561" t="n">
        <v>0</v>
      </c>
      <c r="N232" s="561" t="n">
        <v>0</v>
      </c>
      <c r="O232" s="561" t="n">
        <v>0</v>
      </c>
      <c r="R232" s="561" t="n">
        <f aca="false">+'[5]입력 시트(0124)'!T272</f>
        <v>0</v>
      </c>
      <c r="S232" s="561" t="n">
        <f aca="false">+'[5]입력 시트(0124)'!U272</f>
        <v>0</v>
      </c>
      <c r="T232" s="561" t="n">
        <f aca="false">+'[5]입력 시트(0124)'!V272</f>
        <v>0</v>
      </c>
      <c r="U232" s="561" t="n">
        <f aca="false">+'[5]입력 시트(0124)'!W272</f>
        <v>0</v>
      </c>
      <c r="V232" s="561" t="n">
        <f aca="false">+'[5]입력 시트(0124)'!X272</f>
        <v>0</v>
      </c>
      <c r="W232" s="561" t="n">
        <v>0</v>
      </c>
    </row>
    <row r="233" customFormat="false" ht="54" hidden="false" customHeight="true" outlineLevel="1" collapsed="false">
      <c r="B233" s="496" t="s">
        <v>370</v>
      </c>
      <c r="C233" s="571"/>
      <c r="D233" s="571"/>
      <c r="E233" s="562"/>
      <c r="F233" s="562"/>
      <c r="G233" s="562"/>
      <c r="H233" s="562"/>
      <c r="I233" s="562"/>
      <c r="J233" s="562"/>
      <c r="K233" s="562"/>
      <c r="L233" s="562"/>
      <c r="M233" s="562"/>
      <c r="N233" s="562"/>
      <c r="O233" s="562"/>
      <c r="R233" s="562"/>
      <c r="S233" s="562"/>
      <c r="T233" s="562"/>
      <c r="U233" s="562"/>
      <c r="V233" s="562"/>
      <c r="W233" s="562"/>
    </row>
    <row r="234" customFormat="false" ht="14.9" hidden="false" customHeight="false" outlineLevel="1" collapsed="false">
      <c r="B234" s="482" t="s">
        <v>404</v>
      </c>
      <c r="D234" s="520"/>
      <c r="E234" s="521"/>
      <c r="F234" s="521"/>
      <c r="G234" s="521"/>
      <c r="H234" s="521"/>
      <c r="I234" s="521"/>
      <c r="J234" s="521"/>
      <c r="K234" s="521"/>
      <c r="L234" s="521"/>
      <c r="M234" s="521"/>
      <c r="N234" s="521"/>
      <c r="O234" s="521"/>
      <c r="R234" s="521"/>
      <c r="S234" s="521"/>
      <c r="T234" s="521"/>
      <c r="U234" s="521"/>
      <c r="V234" s="521"/>
      <c r="W234" s="521"/>
    </row>
    <row r="235" customFormat="false" ht="16.5" hidden="false" customHeight="true" outlineLevel="1" collapsed="false">
      <c r="B235" s="496" t="s">
        <v>97</v>
      </c>
      <c r="C235" s="563"/>
      <c r="D235" s="564"/>
      <c r="E235" s="478"/>
      <c r="F235" s="478"/>
      <c r="G235" s="478"/>
      <c r="H235" s="478"/>
      <c r="I235" s="478"/>
      <c r="J235" s="478"/>
      <c r="K235" s="478"/>
      <c r="L235" s="478"/>
      <c r="M235" s="478"/>
      <c r="N235" s="478"/>
      <c r="O235" s="478"/>
      <c r="R235" s="478"/>
      <c r="S235" s="478"/>
      <c r="T235" s="478"/>
      <c r="U235" s="478"/>
      <c r="V235" s="478"/>
      <c r="W235" s="478" t="s">
        <v>106</v>
      </c>
    </row>
    <row r="236" customFormat="false" ht="14.9" hidden="false" customHeight="false" outlineLevel="1" collapsed="false">
      <c r="B236" s="496" t="s">
        <v>356</v>
      </c>
      <c r="D236" s="513" t="s">
        <v>394</v>
      </c>
      <c r="E236" s="543" t="e">
        <f aca="false">+#REF!</f>
        <v>#REF!</v>
      </c>
      <c r="F236" s="543" t="e">
        <f aca="false">+#REF!</f>
        <v>#REF!</v>
      </c>
      <c r="G236" s="543" t="e">
        <f aca="false">+#REF!</f>
        <v>#REF!</v>
      </c>
      <c r="H236" s="543" t="e">
        <f aca="false">+#REF!</f>
        <v>#REF!</v>
      </c>
      <c r="I236" s="543" t="e">
        <f aca="false">+#REF!</f>
        <v>#REF!</v>
      </c>
      <c r="J236" s="543" t="e">
        <f aca="false">+#REF!</f>
        <v>#REF!</v>
      </c>
      <c r="K236" s="543" t="n">
        <v>0</v>
      </c>
      <c r="L236" s="543" t="n">
        <v>0</v>
      </c>
      <c r="M236" s="543" t="n">
        <v>0</v>
      </c>
      <c r="N236" s="543" t="n">
        <v>0</v>
      </c>
      <c r="O236" s="543" t="n">
        <v>0</v>
      </c>
      <c r="R236" s="543" t="n">
        <v>0</v>
      </c>
      <c r="S236" s="543" t="n">
        <v>0</v>
      </c>
      <c r="T236" s="543" t="n">
        <v>0</v>
      </c>
      <c r="U236" s="543" t="n">
        <v>0</v>
      </c>
      <c r="V236" s="543" t="n">
        <v>0</v>
      </c>
      <c r="W236" s="543" t="n">
        <v>0</v>
      </c>
    </row>
    <row r="237" customFormat="false" ht="16.5" hidden="false" customHeight="true" outlineLevel="1" collapsed="false">
      <c r="B237" s="496" t="s">
        <v>360</v>
      </c>
      <c r="D237" s="481" t="s">
        <v>361</v>
      </c>
      <c r="E237" s="558" t="n">
        <v>0</v>
      </c>
      <c r="F237" s="558" t="n">
        <v>0</v>
      </c>
      <c r="G237" s="558" t="n">
        <v>0</v>
      </c>
      <c r="H237" s="558" t="n">
        <v>0</v>
      </c>
      <c r="I237" s="558" t="n">
        <v>0</v>
      </c>
      <c r="J237" s="558" t="n">
        <v>0</v>
      </c>
      <c r="K237" s="558" t="n">
        <v>0</v>
      </c>
      <c r="L237" s="558" t="n">
        <v>0</v>
      </c>
      <c r="M237" s="558" t="n">
        <v>0</v>
      </c>
      <c r="N237" s="558" t="n">
        <v>0</v>
      </c>
      <c r="O237" s="558" t="n">
        <v>0</v>
      </c>
      <c r="R237" s="558" t="n">
        <v>0</v>
      </c>
      <c r="S237" s="558" t="n">
        <v>0</v>
      </c>
      <c r="T237" s="558" t="n">
        <v>0</v>
      </c>
      <c r="U237" s="558" t="n">
        <v>0</v>
      </c>
      <c r="V237" s="558" t="n">
        <v>0</v>
      </c>
      <c r="W237" s="558" t="n">
        <v>0</v>
      </c>
    </row>
    <row r="238" customFormat="false" ht="16.5" hidden="false" customHeight="true" outlineLevel="1" collapsed="false">
      <c r="B238" s="496" t="s">
        <v>363</v>
      </c>
      <c r="D238" s="481" t="s">
        <v>364</v>
      </c>
      <c r="E238" s="559"/>
      <c r="F238" s="559"/>
      <c r="G238" s="559"/>
      <c r="H238" s="559"/>
      <c r="I238" s="559"/>
      <c r="J238" s="559"/>
      <c r="K238" s="559"/>
      <c r="L238" s="559"/>
      <c r="M238" s="559"/>
      <c r="N238" s="559"/>
      <c r="O238" s="559"/>
      <c r="R238" s="559"/>
      <c r="S238" s="559"/>
      <c r="T238" s="559"/>
      <c r="U238" s="559"/>
      <c r="V238" s="559"/>
      <c r="W238" s="559"/>
    </row>
    <row r="239" customFormat="false" ht="16.5" hidden="false" customHeight="true" outlineLevel="1" collapsed="false">
      <c r="B239" s="496" t="s">
        <v>366</v>
      </c>
      <c r="D239" s="481" t="s">
        <v>339</v>
      </c>
      <c r="E239" s="560"/>
      <c r="F239" s="560"/>
      <c r="G239" s="560"/>
      <c r="H239" s="560"/>
      <c r="I239" s="560"/>
      <c r="J239" s="560"/>
      <c r="K239" s="560"/>
      <c r="L239" s="560"/>
      <c r="M239" s="560"/>
      <c r="N239" s="560"/>
      <c r="O239" s="560"/>
      <c r="R239" s="560"/>
      <c r="S239" s="560"/>
      <c r="T239" s="560"/>
      <c r="U239" s="560"/>
      <c r="V239" s="560"/>
      <c r="W239" s="560"/>
    </row>
    <row r="240" customFormat="false" ht="14.9" hidden="false" customHeight="false" outlineLevel="1" collapsed="false">
      <c r="B240" s="496" t="s">
        <v>395</v>
      </c>
      <c r="C240" s="542" t="s">
        <v>396</v>
      </c>
      <c r="D240" s="455" t="n">
        <v>1</v>
      </c>
      <c r="E240" s="560" t="n">
        <v>1</v>
      </c>
      <c r="F240" s="560" t="n">
        <v>1</v>
      </c>
      <c r="G240" s="560" t="n">
        <v>1</v>
      </c>
      <c r="H240" s="560" t="n">
        <v>1</v>
      </c>
      <c r="I240" s="560" t="n">
        <v>1</v>
      </c>
      <c r="J240" s="560" t="n">
        <v>1</v>
      </c>
      <c r="K240" s="560"/>
      <c r="L240" s="560"/>
      <c r="M240" s="560"/>
      <c r="N240" s="560"/>
      <c r="O240" s="560"/>
      <c r="R240" s="560"/>
      <c r="S240" s="560"/>
      <c r="T240" s="560"/>
      <c r="U240" s="560"/>
      <c r="V240" s="560"/>
      <c r="W240" s="560"/>
    </row>
    <row r="241" customFormat="false" ht="12.75" hidden="false" customHeight="false" outlineLevel="1" collapsed="false">
      <c r="B241" s="495"/>
      <c r="C241" s="542" t="s">
        <v>339</v>
      </c>
      <c r="D241" s="455" t="n">
        <f aca="false">+D240+1</f>
        <v>2</v>
      </c>
      <c r="E241" s="561"/>
      <c r="F241" s="561"/>
      <c r="G241" s="561"/>
      <c r="H241" s="561"/>
      <c r="I241" s="561"/>
      <c r="J241" s="561"/>
      <c r="K241" s="561"/>
      <c r="L241" s="561"/>
      <c r="M241" s="561"/>
      <c r="N241" s="561"/>
      <c r="O241" s="561"/>
      <c r="R241" s="561"/>
      <c r="S241" s="561"/>
      <c r="T241" s="561"/>
      <c r="U241" s="561"/>
      <c r="V241" s="561"/>
      <c r="W241" s="561"/>
    </row>
    <row r="242" customFormat="false" ht="12.75" hidden="false" customHeight="false" outlineLevel="1" collapsed="false">
      <c r="B242" s="495"/>
      <c r="C242" s="542" t="s">
        <v>339</v>
      </c>
      <c r="D242" s="455" t="n">
        <f aca="false">+D241+1</f>
        <v>3</v>
      </c>
      <c r="E242" s="561"/>
      <c r="F242" s="561"/>
      <c r="G242" s="561"/>
      <c r="H242" s="561"/>
      <c r="I242" s="561"/>
      <c r="J242" s="561"/>
      <c r="K242" s="561"/>
      <c r="L242" s="561"/>
      <c r="M242" s="561"/>
      <c r="N242" s="561"/>
      <c r="O242" s="561"/>
      <c r="R242" s="561"/>
      <c r="S242" s="561"/>
      <c r="T242" s="561"/>
      <c r="U242" s="561"/>
      <c r="V242" s="561"/>
      <c r="W242" s="561"/>
    </row>
    <row r="243" customFormat="false" ht="12.75" hidden="false" customHeight="false" outlineLevel="1" collapsed="false">
      <c r="B243" s="495"/>
      <c r="C243" s="542" t="s">
        <v>339</v>
      </c>
      <c r="D243" s="455" t="n">
        <f aca="false">+D242+1</f>
        <v>4</v>
      </c>
      <c r="E243" s="561"/>
      <c r="F243" s="561"/>
      <c r="G243" s="561"/>
      <c r="H243" s="561"/>
      <c r="I243" s="561"/>
      <c r="J243" s="561"/>
      <c r="K243" s="561"/>
      <c r="L243" s="561"/>
      <c r="M243" s="561"/>
      <c r="N243" s="561"/>
      <c r="O243" s="561"/>
      <c r="R243" s="561"/>
      <c r="S243" s="561"/>
      <c r="T243" s="561"/>
      <c r="U243" s="561"/>
      <c r="V243" s="561"/>
      <c r="W243" s="561"/>
    </row>
    <row r="244" customFormat="false" ht="12.75" hidden="false" customHeight="false" outlineLevel="1" collapsed="false">
      <c r="B244" s="495"/>
      <c r="C244" s="542" t="s">
        <v>339</v>
      </c>
      <c r="D244" s="455" t="n">
        <f aca="false">+D243+1</f>
        <v>5</v>
      </c>
      <c r="E244" s="561"/>
      <c r="F244" s="561"/>
      <c r="G244" s="561"/>
      <c r="H244" s="561"/>
      <c r="I244" s="561"/>
      <c r="J244" s="561"/>
      <c r="K244" s="561"/>
      <c r="L244" s="561"/>
      <c r="M244" s="561"/>
      <c r="N244" s="561"/>
      <c r="O244" s="561"/>
      <c r="R244" s="561"/>
      <c r="S244" s="561"/>
      <c r="T244" s="561"/>
      <c r="U244" s="561"/>
      <c r="V244" s="561"/>
      <c r="W244" s="561"/>
    </row>
    <row r="245" customFormat="false" ht="12.75" hidden="false" customHeight="false" outlineLevel="1" collapsed="false">
      <c r="B245" s="495"/>
      <c r="C245" s="542" t="s">
        <v>339</v>
      </c>
      <c r="D245" s="455" t="n">
        <f aca="false">+D244+1</f>
        <v>6</v>
      </c>
      <c r="E245" s="561"/>
      <c r="F245" s="561"/>
      <c r="G245" s="561"/>
      <c r="H245" s="561"/>
      <c r="I245" s="561"/>
      <c r="J245" s="561"/>
      <c r="K245" s="561"/>
      <c r="L245" s="561"/>
      <c r="M245" s="561"/>
      <c r="N245" s="561"/>
      <c r="O245" s="561"/>
      <c r="R245" s="561"/>
      <c r="S245" s="561"/>
      <c r="T245" s="561"/>
      <c r="U245" s="561"/>
      <c r="V245" s="561"/>
      <c r="W245" s="561"/>
    </row>
    <row r="246" customFormat="false" ht="12.75" hidden="true" customHeight="false" outlineLevel="1" collapsed="false">
      <c r="B246" s="495"/>
      <c r="C246" s="542" t="s">
        <v>339</v>
      </c>
      <c r="D246" s="455" t="n">
        <f aca="false">+D245+1</f>
        <v>7</v>
      </c>
      <c r="E246" s="561"/>
      <c r="F246" s="561"/>
      <c r="G246" s="561"/>
      <c r="H246" s="561"/>
      <c r="I246" s="561"/>
      <c r="J246" s="561"/>
      <c r="K246" s="561"/>
      <c r="L246" s="561"/>
      <c r="M246" s="561"/>
      <c r="N246" s="561"/>
      <c r="O246" s="561"/>
      <c r="R246" s="561"/>
      <c r="S246" s="561"/>
      <c r="T246" s="561"/>
      <c r="U246" s="561"/>
      <c r="V246" s="561"/>
      <c r="W246" s="561"/>
    </row>
    <row r="247" customFormat="false" ht="12.75" hidden="true" customHeight="false" outlineLevel="1" collapsed="false">
      <c r="B247" s="495"/>
      <c r="C247" s="542" t="s">
        <v>339</v>
      </c>
      <c r="D247" s="455" t="n">
        <f aca="false">+D246+1</f>
        <v>8</v>
      </c>
      <c r="E247" s="561"/>
      <c r="F247" s="561"/>
      <c r="G247" s="561"/>
      <c r="H247" s="561"/>
      <c r="I247" s="561"/>
      <c r="J247" s="561"/>
      <c r="K247" s="561"/>
      <c r="L247" s="561"/>
      <c r="M247" s="561"/>
      <c r="N247" s="561"/>
      <c r="O247" s="561"/>
      <c r="R247" s="561"/>
      <c r="S247" s="561"/>
      <c r="T247" s="561"/>
      <c r="U247" s="561"/>
      <c r="V247" s="561"/>
      <c r="W247" s="561"/>
    </row>
    <row r="248" customFormat="false" ht="12.75" hidden="true" customHeight="false" outlineLevel="1" collapsed="false">
      <c r="B248" s="495"/>
      <c r="C248" s="542" t="s">
        <v>339</v>
      </c>
      <c r="D248" s="455" t="n">
        <f aca="false">+D247+1</f>
        <v>9</v>
      </c>
      <c r="E248" s="561"/>
      <c r="F248" s="561"/>
      <c r="G248" s="561"/>
      <c r="H248" s="561"/>
      <c r="I248" s="561"/>
      <c r="J248" s="561"/>
      <c r="K248" s="561"/>
      <c r="L248" s="561"/>
      <c r="M248" s="561"/>
      <c r="N248" s="561"/>
      <c r="O248" s="561"/>
      <c r="R248" s="561"/>
      <c r="S248" s="561"/>
      <c r="T248" s="561"/>
      <c r="U248" s="561"/>
      <c r="V248" s="561"/>
      <c r="W248" s="561"/>
    </row>
    <row r="249" customFormat="false" ht="12.75" hidden="true" customHeight="false" outlineLevel="1" collapsed="false">
      <c r="B249" s="495"/>
      <c r="C249" s="542" t="s">
        <v>339</v>
      </c>
      <c r="D249" s="455" t="n">
        <f aca="false">+D248+1</f>
        <v>10</v>
      </c>
      <c r="E249" s="561"/>
      <c r="F249" s="561"/>
      <c r="G249" s="561"/>
      <c r="H249" s="561"/>
      <c r="I249" s="561"/>
      <c r="J249" s="561"/>
      <c r="K249" s="561"/>
      <c r="L249" s="561"/>
      <c r="M249" s="561"/>
      <c r="N249" s="561"/>
      <c r="O249" s="561"/>
      <c r="R249" s="561"/>
      <c r="S249" s="561"/>
      <c r="T249" s="561"/>
      <c r="U249" s="561"/>
      <c r="V249" s="561"/>
      <c r="W249" s="561"/>
    </row>
    <row r="250" customFormat="false" ht="12.75" hidden="true" customHeight="false" outlineLevel="1" collapsed="false">
      <c r="B250" s="495"/>
      <c r="C250" s="542" t="s">
        <v>339</v>
      </c>
      <c r="D250" s="455" t="n">
        <f aca="false">+D249+1</f>
        <v>11</v>
      </c>
      <c r="E250" s="561"/>
      <c r="F250" s="561"/>
      <c r="G250" s="561"/>
      <c r="H250" s="561"/>
      <c r="I250" s="561"/>
      <c r="J250" s="561"/>
      <c r="K250" s="561"/>
      <c r="L250" s="561"/>
      <c r="M250" s="561"/>
      <c r="N250" s="561"/>
      <c r="O250" s="561"/>
      <c r="R250" s="561"/>
      <c r="S250" s="561"/>
      <c r="T250" s="561"/>
      <c r="U250" s="561"/>
      <c r="V250" s="561"/>
      <c r="W250" s="561"/>
    </row>
    <row r="251" customFormat="false" ht="12.75" hidden="true" customHeight="false" outlineLevel="1" collapsed="false">
      <c r="B251" s="495"/>
      <c r="C251" s="542" t="s">
        <v>339</v>
      </c>
      <c r="D251" s="455" t="n">
        <f aca="false">+D250+1</f>
        <v>12</v>
      </c>
      <c r="E251" s="561"/>
      <c r="F251" s="561"/>
      <c r="G251" s="561"/>
      <c r="H251" s="561"/>
      <c r="I251" s="561"/>
      <c r="J251" s="561"/>
      <c r="K251" s="561"/>
      <c r="L251" s="561"/>
      <c r="M251" s="561"/>
      <c r="N251" s="561"/>
      <c r="O251" s="561"/>
      <c r="R251" s="561"/>
      <c r="S251" s="561"/>
      <c r="T251" s="561"/>
      <c r="U251" s="561"/>
      <c r="V251" s="561"/>
      <c r="W251" s="561"/>
    </row>
    <row r="252" customFormat="false" ht="12.75" hidden="true" customHeight="false" outlineLevel="1" collapsed="false">
      <c r="B252" s="495"/>
      <c r="C252" s="542" t="s">
        <v>339</v>
      </c>
      <c r="D252" s="455" t="n">
        <f aca="false">+D251+1</f>
        <v>13</v>
      </c>
      <c r="E252" s="562"/>
      <c r="F252" s="562"/>
      <c r="G252" s="562"/>
      <c r="H252" s="562"/>
      <c r="I252" s="562"/>
      <c r="J252" s="562"/>
      <c r="K252" s="562"/>
      <c r="L252" s="562"/>
      <c r="M252" s="562"/>
      <c r="N252" s="562"/>
      <c r="O252" s="562"/>
      <c r="R252" s="562"/>
      <c r="S252" s="562"/>
      <c r="T252" s="562"/>
      <c r="U252" s="562"/>
      <c r="V252" s="562"/>
      <c r="W252" s="562"/>
    </row>
    <row r="253" customFormat="false" ht="12.75" hidden="true" customHeight="false" outlineLevel="1" collapsed="false">
      <c r="B253" s="495"/>
      <c r="C253" s="542" t="s">
        <v>339</v>
      </c>
      <c r="D253" s="455" t="n">
        <f aca="false">+D252+1</f>
        <v>14</v>
      </c>
      <c r="E253" s="562"/>
      <c r="F253" s="562"/>
      <c r="G253" s="562"/>
      <c r="H253" s="562"/>
      <c r="I253" s="562"/>
      <c r="J253" s="562"/>
      <c r="K253" s="562"/>
      <c r="L253" s="562"/>
      <c r="M253" s="562"/>
      <c r="N253" s="562"/>
      <c r="O253" s="562"/>
      <c r="R253" s="562"/>
      <c r="S253" s="562"/>
      <c r="T253" s="562"/>
      <c r="U253" s="562"/>
      <c r="V253" s="562"/>
      <c r="W253" s="562"/>
    </row>
    <row r="254" customFormat="false" ht="12.75" hidden="true" customHeight="false" outlineLevel="1" collapsed="false">
      <c r="B254" s="495"/>
      <c r="C254" s="542" t="s">
        <v>339</v>
      </c>
      <c r="D254" s="455" t="n">
        <f aca="false">+D253+1</f>
        <v>15</v>
      </c>
      <c r="E254" s="562"/>
      <c r="F254" s="562"/>
      <c r="G254" s="562"/>
      <c r="H254" s="562"/>
      <c r="I254" s="562"/>
      <c r="J254" s="562"/>
      <c r="K254" s="562"/>
      <c r="L254" s="562"/>
      <c r="M254" s="562"/>
      <c r="N254" s="562"/>
      <c r="O254" s="562"/>
      <c r="R254" s="562"/>
      <c r="S254" s="562"/>
      <c r="T254" s="562"/>
      <c r="U254" s="562"/>
      <c r="V254" s="562"/>
      <c r="W254" s="562"/>
    </row>
    <row r="255" customFormat="false" ht="12.75" hidden="true" customHeight="false" outlineLevel="1" collapsed="false">
      <c r="B255" s="495"/>
      <c r="C255" s="542" t="s">
        <v>339</v>
      </c>
      <c r="D255" s="455" t="n">
        <f aca="false">+D254+1</f>
        <v>16</v>
      </c>
      <c r="E255" s="562"/>
      <c r="F255" s="562"/>
      <c r="G255" s="562"/>
      <c r="H255" s="562"/>
      <c r="I255" s="562"/>
      <c r="J255" s="562"/>
      <c r="K255" s="562"/>
      <c r="L255" s="562"/>
      <c r="M255" s="562"/>
      <c r="N255" s="562"/>
      <c r="O255" s="562"/>
      <c r="R255" s="562"/>
      <c r="S255" s="562"/>
      <c r="T255" s="562"/>
      <c r="U255" s="562"/>
      <c r="V255" s="562"/>
      <c r="W255" s="562"/>
    </row>
    <row r="256" customFormat="false" ht="12.75" hidden="true" customHeight="false" outlineLevel="1" collapsed="false">
      <c r="B256" s="495"/>
      <c r="C256" s="542" t="s">
        <v>339</v>
      </c>
      <c r="D256" s="455" t="n">
        <f aca="false">+D255+1</f>
        <v>17</v>
      </c>
      <c r="E256" s="562"/>
      <c r="F256" s="562"/>
      <c r="G256" s="562"/>
      <c r="H256" s="562"/>
      <c r="I256" s="562"/>
      <c r="J256" s="562"/>
      <c r="K256" s="562"/>
      <c r="L256" s="562"/>
      <c r="M256" s="562"/>
      <c r="N256" s="562"/>
      <c r="O256" s="562"/>
      <c r="R256" s="562"/>
      <c r="S256" s="562"/>
      <c r="T256" s="562"/>
      <c r="U256" s="562"/>
      <c r="V256" s="562"/>
      <c r="W256" s="562"/>
    </row>
    <row r="257" customFormat="false" ht="12.75" hidden="true" customHeight="false" outlineLevel="1" collapsed="false">
      <c r="B257" s="495"/>
      <c r="C257" s="542" t="s">
        <v>339</v>
      </c>
      <c r="D257" s="455" t="n">
        <f aca="false">+D256+1</f>
        <v>18</v>
      </c>
      <c r="E257" s="562"/>
      <c r="F257" s="562"/>
      <c r="G257" s="562"/>
      <c r="H257" s="562"/>
      <c r="I257" s="562"/>
      <c r="J257" s="562"/>
      <c r="K257" s="562"/>
      <c r="L257" s="562"/>
      <c r="M257" s="562"/>
      <c r="N257" s="562"/>
      <c r="O257" s="562"/>
      <c r="R257" s="562"/>
      <c r="S257" s="562"/>
      <c r="T257" s="562"/>
      <c r="U257" s="562"/>
      <c r="V257" s="562"/>
      <c r="W257" s="562"/>
    </row>
    <row r="258" customFormat="false" ht="12.75" hidden="true" customHeight="false" outlineLevel="1" collapsed="false">
      <c r="B258" s="495"/>
      <c r="C258" s="542" t="s">
        <v>339</v>
      </c>
      <c r="D258" s="455" t="n">
        <f aca="false">+D257+1</f>
        <v>19</v>
      </c>
      <c r="E258" s="562"/>
      <c r="F258" s="562"/>
      <c r="G258" s="562"/>
      <c r="H258" s="562"/>
      <c r="I258" s="562"/>
      <c r="J258" s="562"/>
      <c r="K258" s="562"/>
      <c r="L258" s="562"/>
      <c r="M258" s="562"/>
      <c r="N258" s="562"/>
      <c r="O258" s="562"/>
      <c r="R258" s="562"/>
      <c r="S258" s="562"/>
      <c r="T258" s="562"/>
      <c r="U258" s="562"/>
      <c r="V258" s="562"/>
      <c r="W258" s="562"/>
    </row>
    <row r="259" customFormat="false" ht="12.75" hidden="true" customHeight="false" outlineLevel="1" collapsed="false">
      <c r="B259" s="495"/>
      <c r="C259" s="542" t="s">
        <v>339</v>
      </c>
      <c r="D259" s="455" t="n">
        <f aca="false">+D258+1</f>
        <v>20</v>
      </c>
      <c r="E259" s="562"/>
      <c r="F259" s="562"/>
      <c r="G259" s="562"/>
      <c r="H259" s="562"/>
      <c r="I259" s="562"/>
      <c r="J259" s="562"/>
      <c r="K259" s="562"/>
      <c r="L259" s="562"/>
      <c r="M259" s="562"/>
      <c r="N259" s="562"/>
      <c r="O259" s="562"/>
      <c r="R259" s="562"/>
      <c r="S259" s="562"/>
      <c r="T259" s="562"/>
      <c r="U259" s="562"/>
      <c r="V259" s="562"/>
      <c r="W259" s="562"/>
    </row>
    <row r="260" customFormat="false" ht="12.75" hidden="true" customHeight="false" outlineLevel="1" collapsed="false">
      <c r="B260" s="495"/>
      <c r="C260" s="542" t="s">
        <v>339</v>
      </c>
      <c r="D260" s="455" t="n">
        <f aca="false">+D259+1</f>
        <v>21</v>
      </c>
      <c r="E260" s="562"/>
      <c r="F260" s="562"/>
      <c r="G260" s="562"/>
      <c r="H260" s="562"/>
      <c r="I260" s="562"/>
      <c r="J260" s="562"/>
      <c r="K260" s="562"/>
      <c r="L260" s="562"/>
      <c r="M260" s="562"/>
      <c r="N260" s="562"/>
      <c r="O260" s="562"/>
      <c r="R260" s="562"/>
      <c r="S260" s="562"/>
      <c r="T260" s="562"/>
      <c r="U260" s="562"/>
      <c r="V260" s="562"/>
      <c r="W260" s="562"/>
    </row>
    <row r="261" customFormat="false" ht="12.75" hidden="true" customHeight="false" outlineLevel="1" collapsed="false">
      <c r="B261" s="495"/>
      <c r="C261" s="542" t="s">
        <v>339</v>
      </c>
      <c r="D261" s="455" t="n">
        <f aca="false">+D260+1</f>
        <v>22</v>
      </c>
      <c r="E261" s="562"/>
      <c r="F261" s="562"/>
      <c r="G261" s="562"/>
      <c r="H261" s="562"/>
      <c r="I261" s="562"/>
      <c r="J261" s="562"/>
      <c r="K261" s="562"/>
      <c r="L261" s="562"/>
      <c r="M261" s="562"/>
      <c r="N261" s="562"/>
      <c r="O261" s="562"/>
      <c r="R261" s="562"/>
      <c r="S261" s="562"/>
      <c r="T261" s="562"/>
      <c r="U261" s="562"/>
      <c r="V261" s="562"/>
      <c r="W261" s="562"/>
    </row>
    <row r="262" customFormat="false" ht="12.75" hidden="true" customHeight="false" outlineLevel="1" collapsed="false">
      <c r="B262" s="495"/>
      <c r="C262" s="542" t="s">
        <v>339</v>
      </c>
      <c r="D262" s="455" t="n">
        <f aca="false">+D261+1</f>
        <v>23</v>
      </c>
      <c r="E262" s="562"/>
      <c r="F262" s="562"/>
      <c r="G262" s="562"/>
      <c r="H262" s="562"/>
      <c r="I262" s="562"/>
      <c r="J262" s="562"/>
      <c r="K262" s="562"/>
      <c r="L262" s="562"/>
      <c r="M262" s="562"/>
      <c r="N262" s="562"/>
      <c r="O262" s="562"/>
      <c r="R262" s="562"/>
      <c r="S262" s="562"/>
      <c r="T262" s="562"/>
      <c r="U262" s="562"/>
      <c r="V262" s="562"/>
      <c r="W262" s="562"/>
    </row>
    <row r="263" customFormat="false" ht="12.75" hidden="true" customHeight="false" outlineLevel="1" collapsed="false">
      <c r="B263" s="495"/>
      <c r="C263" s="542" t="s">
        <v>339</v>
      </c>
      <c r="D263" s="455" t="n">
        <f aca="false">+D262+1</f>
        <v>24</v>
      </c>
      <c r="E263" s="562"/>
      <c r="F263" s="562"/>
      <c r="G263" s="562"/>
      <c r="H263" s="562"/>
      <c r="I263" s="562"/>
      <c r="J263" s="562"/>
      <c r="K263" s="562"/>
      <c r="L263" s="562"/>
      <c r="M263" s="562"/>
      <c r="N263" s="562"/>
      <c r="O263" s="562"/>
      <c r="R263" s="562"/>
      <c r="S263" s="562"/>
      <c r="T263" s="562"/>
      <c r="U263" s="562"/>
      <c r="V263" s="562"/>
      <c r="W263" s="562"/>
    </row>
    <row r="264" customFormat="false" ht="12.75" hidden="false" customHeight="false" outlineLevel="1" collapsed="false">
      <c r="B264" s="496" t="s">
        <v>370</v>
      </c>
      <c r="C264" s="572"/>
      <c r="D264" s="572"/>
      <c r="E264" s="562"/>
      <c r="F264" s="562"/>
      <c r="G264" s="562"/>
      <c r="H264" s="562"/>
      <c r="I264" s="562"/>
      <c r="J264" s="562"/>
      <c r="K264" s="562"/>
      <c r="L264" s="562"/>
      <c r="M264" s="562"/>
      <c r="N264" s="562"/>
      <c r="O264" s="562"/>
      <c r="R264" s="562"/>
      <c r="S264" s="562"/>
      <c r="T264" s="562"/>
      <c r="U264" s="562"/>
      <c r="V264" s="562"/>
      <c r="W264" s="562"/>
    </row>
    <row r="265" customFormat="false" ht="12.75" hidden="false" customHeight="false" outlineLevel="1" collapsed="false">
      <c r="E265" s="573"/>
      <c r="F265" s="573"/>
      <c r="G265" s="573"/>
      <c r="H265" s="573"/>
      <c r="I265" s="573"/>
      <c r="J265" s="573"/>
      <c r="K265" s="573"/>
      <c r="L265" s="573"/>
      <c r="M265" s="573"/>
      <c r="N265" s="573"/>
      <c r="O265" s="573"/>
      <c r="R265" s="573"/>
      <c r="S265" s="573"/>
      <c r="T265" s="573"/>
      <c r="U265" s="573"/>
      <c r="V265" s="573"/>
      <c r="W265" s="573"/>
    </row>
    <row r="266" customFormat="false" ht="14.9" hidden="false" customHeight="false" outlineLevel="1" collapsed="false">
      <c r="B266" s="482" t="s">
        <v>405</v>
      </c>
      <c r="D266" s="520"/>
      <c r="E266" s="521"/>
      <c r="F266" s="521"/>
      <c r="G266" s="521"/>
      <c r="H266" s="521"/>
      <c r="I266" s="521"/>
      <c r="J266" s="521"/>
      <c r="K266" s="521"/>
      <c r="L266" s="521"/>
      <c r="M266" s="521"/>
      <c r="N266" s="521"/>
      <c r="O266" s="521"/>
      <c r="R266" s="521"/>
      <c r="S266" s="521"/>
      <c r="T266" s="521"/>
      <c r="U266" s="521"/>
      <c r="V266" s="521"/>
      <c r="W266" s="521"/>
    </row>
    <row r="267" customFormat="false" ht="16.5" hidden="false" customHeight="true" outlineLevel="1" collapsed="false">
      <c r="B267" s="496" t="s">
        <v>97</v>
      </c>
      <c r="C267" s="563"/>
      <c r="D267" s="564"/>
      <c r="E267" s="478"/>
      <c r="F267" s="478"/>
      <c r="G267" s="478"/>
      <c r="H267" s="478"/>
      <c r="I267" s="478"/>
      <c r="J267" s="478"/>
      <c r="K267" s="478"/>
      <c r="L267" s="478"/>
      <c r="M267" s="478"/>
      <c r="N267" s="478"/>
      <c r="O267" s="478" t="s">
        <v>106</v>
      </c>
      <c r="R267" s="478" t="s">
        <v>106</v>
      </c>
      <c r="S267" s="478" t="s">
        <v>106</v>
      </c>
      <c r="T267" s="478" t="s">
        <v>106</v>
      </c>
      <c r="U267" s="478" t="s">
        <v>106</v>
      </c>
      <c r="V267" s="478" t="s">
        <v>106</v>
      </c>
      <c r="W267" s="478" t="s">
        <v>106</v>
      </c>
    </row>
    <row r="268" customFormat="false" ht="14.9" hidden="false" customHeight="false" outlineLevel="1" collapsed="false">
      <c r="B268" s="496" t="s">
        <v>356</v>
      </c>
      <c r="D268" s="513" t="s">
        <v>394</v>
      </c>
      <c r="E268" s="543" t="e">
        <f aca="false">+#REF!</f>
        <v>#REF!</v>
      </c>
      <c r="F268" s="543" t="e">
        <f aca="false">+#REF!</f>
        <v>#REF!</v>
      </c>
      <c r="G268" s="543" t="e">
        <f aca="false">+#REF!</f>
        <v>#REF!</v>
      </c>
      <c r="H268" s="543" t="e">
        <f aca="false">+#REF!</f>
        <v>#REF!</v>
      </c>
      <c r="I268" s="543" t="e">
        <f aca="false">+#REF!</f>
        <v>#REF!</v>
      </c>
      <c r="J268" s="543" t="e">
        <f aca="false">+#REF!</f>
        <v>#REF!</v>
      </c>
      <c r="K268" s="543" t="e">
        <f aca="false">+#REF!</f>
        <v>#REF!</v>
      </c>
      <c r="L268" s="543" t="e">
        <f aca="false">+#REF!</f>
        <v>#REF!</v>
      </c>
      <c r="M268" s="543" t="e">
        <f aca="false">+#REF!</f>
        <v>#REF!</v>
      </c>
      <c r="N268" s="543" t="e">
        <f aca="false">+#REF!</f>
        <v>#REF!</v>
      </c>
      <c r="O268" s="574" t="n">
        <v>0</v>
      </c>
      <c r="R268" s="574" t="n">
        <f aca="false">+'[5]입력 시트(0124)'!T366</f>
        <v>0</v>
      </c>
      <c r="S268" s="574" t="n">
        <f aca="false">+'[5]입력 시트(0124)'!U366</f>
        <v>0</v>
      </c>
      <c r="T268" s="574" t="n">
        <f aca="false">+'[5]입력 시트(0124)'!V366</f>
        <v>0</v>
      </c>
      <c r="U268" s="574" t="n">
        <f aca="false">+'[5]입력 시트(0124)'!W366</f>
        <v>0</v>
      </c>
      <c r="V268" s="574" t="n">
        <f aca="false">+'[5]입력 시트(0124)'!X366</f>
        <v>0</v>
      </c>
      <c r="W268" s="574" t="n">
        <v>0</v>
      </c>
    </row>
    <row r="269" customFormat="false" ht="16.5" hidden="false" customHeight="true" outlineLevel="1" collapsed="false">
      <c r="B269" s="496" t="s">
        <v>360</v>
      </c>
      <c r="D269" s="481" t="s">
        <v>361</v>
      </c>
      <c r="E269" s="558" t="n">
        <v>0</v>
      </c>
      <c r="F269" s="558" t="n">
        <v>0</v>
      </c>
      <c r="G269" s="558" t="n">
        <v>0</v>
      </c>
      <c r="H269" s="558" t="n">
        <v>0</v>
      </c>
      <c r="I269" s="558" t="n">
        <v>0</v>
      </c>
      <c r="J269" s="558" t="n">
        <v>0</v>
      </c>
      <c r="K269" s="558" t="n">
        <v>0</v>
      </c>
      <c r="L269" s="558" t="n">
        <v>0</v>
      </c>
      <c r="M269" s="558" t="n">
        <v>0</v>
      </c>
      <c r="N269" s="558" t="n">
        <v>0</v>
      </c>
      <c r="O269" s="558" t="n">
        <v>0</v>
      </c>
      <c r="R269" s="558" t="n">
        <v>0</v>
      </c>
      <c r="S269" s="558" t="n">
        <v>0</v>
      </c>
      <c r="T269" s="558" t="n">
        <v>0</v>
      </c>
      <c r="U269" s="558" t="n">
        <v>0</v>
      </c>
      <c r="V269" s="558" t="n">
        <v>0</v>
      </c>
      <c r="W269" s="558" t="n">
        <v>0</v>
      </c>
    </row>
    <row r="270" customFormat="false" ht="16.5" hidden="false" customHeight="true" outlineLevel="1" collapsed="false">
      <c r="B270" s="496" t="s">
        <v>363</v>
      </c>
      <c r="D270" s="481" t="s">
        <v>364</v>
      </c>
      <c r="E270" s="559" t="n">
        <f aca="false">+E19</f>
        <v>46296</v>
      </c>
      <c r="F270" s="559" t="n">
        <f aca="false">+F19</f>
        <v>46296</v>
      </c>
      <c r="G270" s="559" t="n">
        <f aca="false">+G19</f>
        <v>46296</v>
      </c>
      <c r="H270" s="559" t="n">
        <f aca="false">+H19</f>
        <v>46296</v>
      </c>
      <c r="I270" s="559" t="n">
        <f aca="false">+I19</f>
        <v>46296</v>
      </c>
      <c r="J270" s="559" t="n">
        <f aca="false">+J19</f>
        <v>46296</v>
      </c>
      <c r="K270" s="559" t="n">
        <f aca="false">+K19</f>
        <v>46419</v>
      </c>
      <c r="L270" s="559" t="n">
        <f aca="false">+L19</f>
        <v>46419</v>
      </c>
      <c r="M270" s="559" t="n">
        <f aca="false">+M19</f>
        <v>46419</v>
      </c>
      <c r="N270" s="559" t="n">
        <f aca="false">+N19</f>
        <v>46419</v>
      </c>
      <c r="O270" s="559"/>
      <c r="R270" s="559"/>
      <c r="S270" s="559"/>
      <c r="T270" s="559"/>
      <c r="U270" s="559"/>
      <c r="V270" s="559"/>
      <c r="W270" s="559"/>
    </row>
    <row r="271" customFormat="false" ht="16.5" hidden="false" customHeight="true" outlineLevel="1" collapsed="false">
      <c r="B271" s="496" t="s">
        <v>366</v>
      </c>
      <c r="D271" s="481" t="s">
        <v>339</v>
      </c>
      <c r="E271" s="560"/>
      <c r="F271" s="560"/>
      <c r="G271" s="560"/>
      <c r="H271" s="560"/>
      <c r="I271" s="560"/>
      <c r="J271" s="560"/>
      <c r="K271" s="560"/>
      <c r="L271" s="560"/>
      <c r="M271" s="560"/>
      <c r="N271" s="560"/>
      <c r="O271" s="560"/>
      <c r="R271" s="560"/>
      <c r="S271" s="560"/>
      <c r="T271" s="560"/>
      <c r="U271" s="560"/>
      <c r="V271" s="560"/>
      <c r="W271" s="560"/>
    </row>
    <row r="272" customFormat="false" ht="14.9" hidden="false" customHeight="false" outlineLevel="1" collapsed="false">
      <c r="B272" s="496" t="s">
        <v>395</v>
      </c>
      <c r="C272" s="542" t="s">
        <v>396</v>
      </c>
      <c r="D272" s="455" t="n">
        <v>1</v>
      </c>
      <c r="E272" s="560" t="n">
        <f aca="false">+'[5]입력 시트(0124)'!E370</f>
        <v>1</v>
      </c>
      <c r="F272" s="560" t="n">
        <f aca="false">+'[5]입력 시트(0124)'!F370</f>
        <v>1</v>
      </c>
      <c r="G272" s="560" t="n">
        <f aca="false">+'[5]입력 시트(0124)'!G370</f>
        <v>1</v>
      </c>
      <c r="H272" s="560" t="n">
        <f aca="false">+'[5]입력 시트(0124)'!H370</f>
        <v>1</v>
      </c>
      <c r="I272" s="560" t="n">
        <f aca="false">+'[5]입력 시트(0124)'!I370</f>
        <v>1</v>
      </c>
      <c r="J272" s="560" t="n">
        <f aca="false">+'[5]입력 시트(0124)'!F370</f>
        <v>1</v>
      </c>
      <c r="K272" s="560" t="n">
        <f aca="false">+'[5]입력 시트(0124)'!G370</f>
        <v>1</v>
      </c>
      <c r="L272" s="560" t="n">
        <f aca="false">+'[5]입력 시트(0124)'!H370</f>
        <v>1</v>
      </c>
      <c r="M272" s="560" t="n">
        <f aca="false">+'[5]입력 시트(0124)'!I370</f>
        <v>1</v>
      </c>
      <c r="N272" s="560" t="n">
        <v>1</v>
      </c>
      <c r="O272" s="560" t="n">
        <v>1</v>
      </c>
      <c r="R272" s="560" t="n">
        <f aca="false">+'[5]입력 시트(0124)'!T370</f>
        <v>0</v>
      </c>
      <c r="S272" s="560" t="n">
        <f aca="false">+'[5]입력 시트(0124)'!U370</f>
        <v>0</v>
      </c>
      <c r="T272" s="560" t="n">
        <f aca="false">+'[5]입력 시트(0124)'!V370</f>
        <v>0</v>
      </c>
      <c r="U272" s="560" t="n">
        <f aca="false">+'[5]입력 시트(0124)'!W370</f>
        <v>0</v>
      </c>
      <c r="V272" s="560" t="n">
        <f aca="false">+'[5]입력 시트(0124)'!X370</f>
        <v>0</v>
      </c>
      <c r="W272" s="560" t="n">
        <f aca="false">+'[5]입력 시트(0124)'!U370</f>
        <v>0</v>
      </c>
    </row>
    <row r="273" customFormat="false" ht="12.75" hidden="false" customHeight="false" outlineLevel="1" collapsed="false">
      <c r="B273" s="495"/>
      <c r="C273" s="542" t="s">
        <v>339</v>
      </c>
      <c r="D273" s="455" t="n">
        <f aca="false">+D272+1</f>
        <v>2</v>
      </c>
      <c r="E273" s="561"/>
      <c r="F273" s="561"/>
      <c r="G273" s="561"/>
      <c r="H273" s="561"/>
      <c r="I273" s="561"/>
      <c r="J273" s="561"/>
      <c r="K273" s="561"/>
      <c r="L273" s="561"/>
      <c r="M273" s="561"/>
      <c r="N273" s="561"/>
      <c r="O273" s="561"/>
      <c r="R273" s="561"/>
      <c r="S273" s="561"/>
      <c r="T273" s="561"/>
      <c r="U273" s="561"/>
      <c r="V273" s="561"/>
      <c r="W273" s="561"/>
    </row>
    <row r="274" customFormat="false" ht="12.75" hidden="false" customHeight="false" outlineLevel="1" collapsed="false">
      <c r="B274" s="495"/>
      <c r="C274" s="542" t="s">
        <v>339</v>
      </c>
      <c r="D274" s="455" t="n">
        <f aca="false">+D273+1</f>
        <v>3</v>
      </c>
      <c r="E274" s="561"/>
      <c r="F274" s="561"/>
      <c r="G274" s="561"/>
      <c r="H274" s="561"/>
      <c r="I274" s="561"/>
      <c r="J274" s="561"/>
      <c r="K274" s="561"/>
      <c r="L274" s="561"/>
      <c r="M274" s="561"/>
      <c r="N274" s="561"/>
      <c r="O274" s="561"/>
      <c r="R274" s="561"/>
      <c r="S274" s="561"/>
      <c r="T274" s="561"/>
      <c r="U274" s="561"/>
      <c r="V274" s="561"/>
      <c r="W274" s="561"/>
    </row>
    <row r="275" customFormat="false" ht="12.75" hidden="false" customHeight="false" outlineLevel="1" collapsed="false">
      <c r="B275" s="495"/>
      <c r="C275" s="542" t="s">
        <v>339</v>
      </c>
      <c r="D275" s="455" t="n">
        <f aca="false">+D274+1</f>
        <v>4</v>
      </c>
      <c r="E275" s="561"/>
      <c r="F275" s="561"/>
      <c r="G275" s="561"/>
      <c r="H275" s="561"/>
      <c r="I275" s="561"/>
      <c r="J275" s="561"/>
      <c r="K275" s="561"/>
      <c r="L275" s="561"/>
      <c r="M275" s="561"/>
      <c r="N275" s="561"/>
      <c r="O275" s="561"/>
      <c r="R275" s="561"/>
      <c r="S275" s="561"/>
      <c r="T275" s="561"/>
      <c r="U275" s="561"/>
      <c r="V275" s="561"/>
      <c r="W275" s="561"/>
    </row>
    <row r="276" customFormat="false" ht="12.75" hidden="false" customHeight="false" outlineLevel="1" collapsed="false">
      <c r="B276" s="495"/>
      <c r="C276" s="542" t="s">
        <v>339</v>
      </c>
      <c r="D276" s="455" t="n">
        <f aca="false">+D275+1</f>
        <v>5</v>
      </c>
      <c r="E276" s="561"/>
      <c r="F276" s="561"/>
      <c r="G276" s="561"/>
      <c r="H276" s="561"/>
      <c r="I276" s="561"/>
      <c r="J276" s="561"/>
      <c r="K276" s="561"/>
      <c r="L276" s="561"/>
      <c r="M276" s="561"/>
      <c r="N276" s="561"/>
      <c r="O276" s="561"/>
      <c r="R276" s="561"/>
      <c r="S276" s="561"/>
      <c r="T276" s="561"/>
      <c r="U276" s="561"/>
      <c r="V276" s="561"/>
      <c r="W276" s="561"/>
    </row>
    <row r="277" customFormat="false" ht="12.75" hidden="false" customHeight="false" outlineLevel="1" collapsed="false">
      <c r="B277" s="495"/>
      <c r="C277" s="542" t="s">
        <v>339</v>
      </c>
      <c r="D277" s="455" t="n">
        <f aca="false">+D276+1</f>
        <v>6</v>
      </c>
      <c r="E277" s="561"/>
      <c r="F277" s="561"/>
      <c r="G277" s="561"/>
      <c r="H277" s="561"/>
      <c r="I277" s="561"/>
      <c r="J277" s="561"/>
      <c r="K277" s="561"/>
      <c r="L277" s="561"/>
      <c r="M277" s="561"/>
      <c r="N277" s="561"/>
      <c r="O277" s="561"/>
      <c r="R277" s="561"/>
      <c r="S277" s="561"/>
      <c r="T277" s="561"/>
      <c r="U277" s="561"/>
      <c r="V277" s="561"/>
      <c r="W277" s="561"/>
    </row>
    <row r="278" customFormat="false" ht="12.75" hidden="true" customHeight="false" outlineLevel="1" collapsed="false">
      <c r="B278" s="495"/>
      <c r="C278" s="542" t="s">
        <v>339</v>
      </c>
      <c r="D278" s="455" t="n">
        <f aca="false">+D277+1</f>
        <v>7</v>
      </c>
      <c r="E278" s="561"/>
      <c r="F278" s="561"/>
      <c r="G278" s="561"/>
      <c r="H278" s="561"/>
      <c r="I278" s="561"/>
      <c r="J278" s="561"/>
      <c r="K278" s="561"/>
      <c r="L278" s="561"/>
      <c r="M278" s="561"/>
      <c r="N278" s="561"/>
      <c r="O278" s="561"/>
      <c r="R278" s="561"/>
      <c r="S278" s="561"/>
      <c r="T278" s="561"/>
      <c r="U278" s="561"/>
      <c r="V278" s="561"/>
      <c r="W278" s="561"/>
    </row>
    <row r="279" customFormat="false" ht="12.75" hidden="true" customHeight="false" outlineLevel="1" collapsed="false">
      <c r="B279" s="495"/>
      <c r="C279" s="542" t="s">
        <v>339</v>
      </c>
      <c r="D279" s="455" t="n">
        <f aca="false">+D278+1</f>
        <v>8</v>
      </c>
      <c r="E279" s="561"/>
      <c r="F279" s="561"/>
      <c r="G279" s="561"/>
      <c r="H279" s="561"/>
      <c r="I279" s="561"/>
      <c r="J279" s="561"/>
      <c r="K279" s="561"/>
      <c r="L279" s="561"/>
      <c r="M279" s="561"/>
      <c r="N279" s="561"/>
      <c r="O279" s="561"/>
      <c r="R279" s="561"/>
      <c r="S279" s="561"/>
      <c r="T279" s="561"/>
      <c r="U279" s="561"/>
      <c r="V279" s="561"/>
      <c r="W279" s="561"/>
    </row>
    <row r="280" customFormat="false" ht="12.75" hidden="true" customHeight="false" outlineLevel="1" collapsed="false">
      <c r="B280" s="495"/>
      <c r="C280" s="542" t="s">
        <v>339</v>
      </c>
      <c r="D280" s="455" t="n">
        <f aca="false">+D279+1</f>
        <v>9</v>
      </c>
      <c r="E280" s="561"/>
      <c r="F280" s="561"/>
      <c r="G280" s="561"/>
      <c r="H280" s="561"/>
      <c r="I280" s="561"/>
      <c r="J280" s="561"/>
      <c r="K280" s="561"/>
      <c r="L280" s="561"/>
      <c r="M280" s="561"/>
      <c r="N280" s="561"/>
      <c r="O280" s="561"/>
      <c r="R280" s="561"/>
      <c r="S280" s="561"/>
      <c r="T280" s="561"/>
      <c r="U280" s="561"/>
      <c r="V280" s="561"/>
      <c r="W280" s="561"/>
    </row>
    <row r="281" customFormat="false" ht="12.75" hidden="true" customHeight="false" outlineLevel="1" collapsed="false">
      <c r="B281" s="495"/>
      <c r="C281" s="542" t="s">
        <v>339</v>
      </c>
      <c r="D281" s="455" t="n">
        <f aca="false">+D280+1</f>
        <v>10</v>
      </c>
      <c r="E281" s="561"/>
      <c r="F281" s="561"/>
      <c r="G281" s="561"/>
      <c r="H281" s="561"/>
      <c r="I281" s="561"/>
      <c r="J281" s="561"/>
      <c r="K281" s="561"/>
      <c r="L281" s="561"/>
      <c r="M281" s="561"/>
      <c r="N281" s="561"/>
      <c r="O281" s="561"/>
      <c r="R281" s="561"/>
      <c r="S281" s="561"/>
      <c r="T281" s="561"/>
      <c r="U281" s="561"/>
      <c r="V281" s="561"/>
      <c r="W281" s="561"/>
    </row>
    <row r="282" customFormat="false" ht="12.75" hidden="true" customHeight="false" outlineLevel="1" collapsed="false">
      <c r="B282" s="495"/>
      <c r="C282" s="542" t="s">
        <v>339</v>
      </c>
      <c r="D282" s="455" t="n">
        <f aca="false">+D281+1</f>
        <v>11</v>
      </c>
      <c r="E282" s="561"/>
      <c r="F282" s="561"/>
      <c r="G282" s="561"/>
      <c r="H282" s="561"/>
      <c r="I282" s="561"/>
      <c r="J282" s="561"/>
      <c r="K282" s="561"/>
      <c r="L282" s="561"/>
      <c r="M282" s="561"/>
      <c r="N282" s="561"/>
      <c r="O282" s="561"/>
      <c r="R282" s="561"/>
      <c r="S282" s="561"/>
      <c r="T282" s="561"/>
      <c r="U282" s="561"/>
      <c r="V282" s="561"/>
      <c r="W282" s="561"/>
    </row>
    <row r="283" customFormat="false" ht="12.75" hidden="true" customHeight="false" outlineLevel="1" collapsed="false">
      <c r="B283" s="495"/>
      <c r="C283" s="542" t="s">
        <v>339</v>
      </c>
      <c r="D283" s="455" t="n">
        <f aca="false">+D282+1</f>
        <v>12</v>
      </c>
      <c r="E283" s="561"/>
      <c r="F283" s="561"/>
      <c r="G283" s="561"/>
      <c r="H283" s="561"/>
      <c r="I283" s="561"/>
      <c r="J283" s="561"/>
      <c r="K283" s="561"/>
      <c r="L283" s="561"/>
      <c r="M283" s="561"/>
      <c r="N283" s="561"/>
      <c r="O283" s="561"/>
      <c r="R283" s="561"/>
      <c r="S283" s="561"/>
      <c r="T283" s="561"/>
      <c r="U283" s="561"/>
      <c r="V283" s="561"/>
      <c r="W283" s="561"/>
    </row>
    <row r="284" customFormat="false" ht="12.75" hidden="true" customHeight="false" outlineLevel="1" collapsed="false">
      <c r="B284" s="495"/>
      <c r="C284" s="542" t="s">
        <v>339</v>
      </c>
      <c r="D284" s="455" t="n">
        <f aca="false">+D283+1</f>
        <v>13</v>
      </c>
      <c r="E284" s="562"/>
      <c r="F284" s="562"/>
      <c r="G284" s="562"/>
      <c r="H284" s="562"/>
      <c r="I284" s="562"/>
      <c r="J284" s="562"/>
      <c r="K284" s="562"/>
      <c r="L284" s="562"/>
      <c r="M284" s="562"/>
      <c r="N284" s="562"/>
      <c r="O284" s="562"/>
      <c r="R284" s="562"/>
      <c r="S284" s="562"/>
      <c r="T284" s="562"/>
      <c r="U284" s="562"/>
      <c r="V284" s="562"/>
      <c r="W284" s="562"/>
    </row>
    <row r="285" customFormat="false" ht="12.75" hidden="true" customHeight="false" outlineLevel="1" collapsed="false">
      <c r="B285" s="495"/>
      <c r="C285" s="542" t="s">
        <v>339</v>
      </c>
      <c r="D285" s="455" t="n">
        <f aca="false">+D284+1</f>
        <v>14</v>
      </c>
      <c r="E285" s="562"/>
      <c r="F285" s="562"/>
      <c r="G285" s="562"/>
      <c r="H285" s="562"/>
      <c r="I285" s="562"/>
      <c r="J285" s="562"/>
      <c r="K285" s="562"/>
      <c r="L285" s="562"/>
      <c r="M285" s="562"/>
      <c r="N285" s="562"/>
      <c r="O285" s="562"/>
      <c r="R285" s="562"/>
      <c r="S285" s="562"/>
      <c r="T285" s="562"/>
      <c r="U285" s="562"/>
      <c r="V285" s="562"/>
      <c r="W285" s="562"/>
    </row>
    <row r="286" customFormat="false" ht="12.75" hidden="true" customHeight="false" outlineLevel="1" collapsed="false">
      <c r="B286" s="495"/>
      <c r="C286" s="542" t="s">
        <v>339</v>
      </c>
      <c r="D286" s="455" t="n">
        <f aca="false">+D285+1</f>
        <v>15</v>
      </c>
      <c r="E286" s="562"/>
      <c r="F286" s="562"/>
      <c r="G286" s="562"/>
      <c r="H286" s="562"/>
      <c r="I286" s="562"/>
      <c r="J286" s="562"/>
      <c r="K286" s="562"/>
      <c r="L286" s="562"/>
      <c r="M286" s="562"/>
      <c r="N286" s="562"/>
      <c r="O286" s="562"/>
      <c r="R286" s="562"/>
      <c r="S286" s="562"/>
      <c r="T286" s="562"/>
      <c r="U286" s="562"/>
      <c r="V286" s="562"/>
      <c r="W286" s="562"/>
    </row>
    <row r="287" customFormat="false" ht="12.75" hidden="true" customHeight="false" outlineLevel="1" collapsed="false">
      <c r="B287" s="495"/>
      <c r="C287" s="542" t="s">
        <v>339</v>
      </c>
      <c r="D287" s="455" t="n">
        <f aca="false">+D286+1</f>
        <v>16</v>
      </c>
      <c r="E287" s="562"/>
      <c r="F287" s="562"/>
      <c r="G287" s="562"/>
      <c r="H287" s="562"/>
      <c r="I287" s="562"/>
      <c r="J287" s="562"/>
      <c r="K287" s="562"/>
      <c r="L287" s="562"/>
      <c r="M287" s="562"/>
      <c r="N287" s="562"/>
      <c r="O287" s="562"/>
      <c r="R287" s="562"/>
      <c r="S287" s="562"/>
      <c r="T287" s="562"/>
      <c r="U287" s="562"/>
      <c r="V287" s="562"/>
      <c r="W287" s="562"/>
    </row>
    <row r="288" customFormat="false" ht="12.75" hidden="true" customHeight="false" outlineLevel="1" collapsed="false">
      <c r="B288" s="495"/>
      <c r="C288" s="542" t="s">
        <v>339</v>
      </c>
      <c r="D288" s="455" t="n">
        <f aca="false">+D287+1</f>
        <v>17</v>
      </c>
      <c r="E288" s="562"/>
      <c r="F288" s="562"/>
      <c r="G288" s="562"/>
      <c r="H288" s="562"/>
      <c r="I288" s="562"/>
      <c r="J288" s="562"/>
      <c r="K288" s="562"/>
      <c r="L288" s="562"/>
      <c r="M288" s="562"/>
      <c r="N288" s="562"/>
      <c r="O288" s="562"/>
      <c r="R288" s="562"/>
      <c r="S288" s="562"/>
      <c r="T288" s="562"/>
      <c r="U288" s="562"/>
      <c r="V288" s="562"/>
      <c r="W288" s="562"/>
    </row>
    <row r="289" customFormat="false" ht="12.75" hidden="true" customHeight="false" outlineLevel="1" collapsed="false">
      <c r="B289" s="495"/>
      <c r="C289" s="542" t="s">
        <v>339</v>
      </c>
      <c r="D289" s="455" t="n">
        <f aca="false">+D288+1</f>
        <v>18</v>
      </c>
      <c r="E289" s="562"/>
      <c r="F289" s="562"/>
      <c r="G289" s="562"/>
      <c r="H289" s="562"/>
      <c r="I289" s="562"/>
      <c r="J289" s="562"/>
      <c r="K289" s="562"/>
      <c r="L289" s="562"/>
      <c r="M289" s="562"/>
      <c r="N289" s="562"/>
      <c r="O289" s="562"/>
      <c r="R289" s="562"/>
      <c r="S289" s="562"/>
      <c r="T289" s="562"/>
      <c r="U289" s="562"/>
      <c r="V289" s="562"/>
      <c r="W289" s="562"/>
    </row>
    <row r="290" customFormat="false" ht="12.75" hidden="true" customHeight="false" outlineLevel="1" collapsed="false">
      <c r="B290" s="495"/>
      <c r="C290" s="542" t="s">
        <v>339</v>
      </c>
      <c r="D290" s="455" t="n">
        <f aca="false">+D289+1</f>
        <v>19</v>
      </c>
      <c r="E290" s="562"/>
      <c r="F290" s="562"/>
      <c r="G290" s="562"/>
      <c r="H290" s="562"/>
      <c r="I290" s="562"/>
      <c r="J290" s="562"/>
      <c r="K290" s="562"/>
      <c r="L290" s="562"/>
      <c r="M290" s="562"/>
      <c r="N290" s="562"/>
      <c r="O290" s="562"/>
      <c r="R290" s="562"/>
      <c r="S290" s="562"/>
      <c r="T290" s="562"/>
      <c r="U290" s="562"/>
      <c r="V290" s="562"/>
      <c r="W290" s="562"/>
    </row>
    <row r="291" customFormat="false" ht="12.75" hidden="true" customHeight="false" outlineLevel="1" collapsed="false">
      <c r="B291" s="495"/>
      <c r="C291" s="542" t="s">
        <v>339</v>
      </c>
      <c r="D291" s="455" t="n">
        <f aca="false">+D290+1</f>
        <v>20</v>
      </c>
      <c r="E291" s="562"/>
      <c r="F291" s="562"/>
      <c r="G291" s="562"/>
      <c r="H291" s="562"/>
      <c r="I291" s="562"/>
      <c r="J291" s="562"/>
      <c r="K291" s="562"/>
      <c r="L291" s="562"/>
      <c r="M291" s="562"/>
      <c r="N291" s="562"/>
      <c r="O291" s="562"/>
      <c r="R291" s="562"/>
      <c r="S291" s="562"/>
      <c r="T291" s="562"/>
      <c r="U291" s="562"/>
      <c r="V291" s="562"/>
      <c r="W291" s="562"/>
    </row>
    <row r="292" customFormat="false" ht="12.75" hidden="true" customHeight="false" outlineLevel="1" collapsed="false">
      <c r="B292" s="495"/>
      <c r="C292" s="542" t="s">
        <v>339</v>
      </c>
      <c r="D292" s="455" t="n">
        <f aca="false">+D291+1</f>
        <v>21</v>
      </c>
      <c r="E292" s="562"/>
      <c r="F292" s="562"/>
      <c r="G292" s="562"/>
      <c r="H292" s="562"/>
      <c r="I292" s="562"/>
      <c r="J292" s="562"/>
      <c r="K292" s="562"/>
      <c r="L292" s="562"/>
      <c r="M292" s="562"/>
      <c r="N292" s="562"/>
      <c r="O292" s="562"/>
      <c r="R292" s="562"/>
      <c r="S292" s="562"/>
      <c r="T292" s="562"/>
      <c r="U292" s="562"/>
      <c r="V292" s="562"/>
      <c r="W292" s="562"/>
    </row>
    <row r="293" customFormat="false" ht="12.75" hidden="true" customHeight="false" outlineLevel="1" collapsed="false">
      <c r="B293" s="495"/>
      <c r="C293" s="542" t="s">
        <v>339</v>
      </c>
      <c r="D293" s="455" t="n">
        <f aca="false">+D292+1</f>
        <v>22</v>
      </c>
      <c r="E293" s="562"/>
      <c r="F293" s="562"/>
      <c r="G293" s="562"/>
      <c r="H293" s="562"/>
      <c r="I293" s="562"/>
      <c r="J293" s="562"/>
      <c r="K293" s="562"/>
      <c r="L293" s="562"/>
      <c r="M293" s="562"/>
      <c r="N293" s="562"/>
      <c r="O293" s="562"/>
      <c r="R293" s="562"/>
      <c r="S293" s="562"/>
      <c r="T293" s="562"/>
      <c r="U293" s="562"/>
      <c r="V293" s="562"/>
      <c r="W293" s="562"/>
    </row>
    <row r="294" customFormat="false" ht="12.75" hidden="true" customHeight="false" outlineLevel="1" collapsed="false">
      <c r="B294" s="495"/>
      <c r="C294" s="542" t="s">
        <v>339</v>
      </c>
      <c r="D294" s="455" t="n">
        <f aca="false">+D293+1</f>
        <v>23</v>
      </c>
      <c r="E294" s="562"/>
      <c r="F294" s="562"/>
      <c r="G294" s="562"/>
      <c r="H294" s="562"/>
      <c r="I294" s="562"/>
      <c r="J294" s="562"/>
      <c r="K294" s="562"/>
      <c r="L294" s="562"/>
      <c r="M294" s="562"/>
      <c r="N294" s="562"/>
      <c r="O294" s="562"/>
      <c r="R294" s="562"/>
      <c r="S294" s="562"/>
      <c r="T294" s="562"/>
      <c r="U294" s="562"/>
      <c r="V294" s="562"/>
      <c r="W294" s="562"/>
    </row>
    <row r="295" customFormat="false" ht="12.75" hidden="true" customHeight="false" outlineLevel="1" collapsed="false">
      <c r="B295" s="495"/>
      <c r="C295" s="542" t="s">
        <v>339</v>
      </c>
      <c r="D295" s="455" t="n">
        <f aca="false">+D294+1</f>
        <v>24</v>
      </c>
      <c r="E295" s="562"/>
      <c r="F295" s="562"/>
      <c r="G295" s="562"/>
      <c r="H295" s="562"/>
      <c r="I295" s="562"/>
      <c r="J295" s="562"/>
      <c r="K295" s="562"/>
      <c r="L295" s="562"/>
      <c r="M295" s="562"/>
      <c r="N295" s="562"/>
      <c r="O295" s="562"/>
      <c r="R295" s="562"/>
      <c r="S295" s="562"/>
      <c r="T295" s="562"/>
      <c r="U295" s="562"/>
      <c r="V295" s="562"/>
      <c r="W295" s="562"/>
    </row>
    <row r="296" customFormat="false" ht="12.75" hidden="false" customHeight="false" outlineLevel="1" collapsed="false">
      <c r="B296" s="496" t="s">
        <v>370</v>
      </c>
      <c r="E296" s="575"/>
      <c r="F296" s="575"/>
      <c r="G296" s="575"/>
      <c r="H296" s="575"/>
      <c r="I296" s="575"/>
      <c r="J296" s="575"/>
      <c r="K296" s="575"/>
      <c r="L296" s="575"/>
      <c r="M296" s="575"/>
      <c r="N296" s="575"/>
      <c r="O296" s="575"/>
      <c r="R296" s="575"/>
      <c r="S296" s="575"/>
      <c r="T296" s="575"/>
      <c r="U296" s="575"/>
      <c r="V296" s="575"/>
      <c r="W296" s="575"/>
    </row>
    <row r="297" customFormat="false" ht="12.75" hidden="false" customHeight="false" outlineLevel="1" collapsed="false"/>
    <row r="298" customFormat="false" ht="14.9" hidden="true" customHeight="false" outlineLevel="1" collapsed="false">
      <c r="B298" s="482" t="s">
        <v>406</v>
      </c>
      <c r="D298" s="520"/>
      <c r="E298" s="521"/>
      <c r="F298" s="521"/>
      <c r="G298" s="521"/>
      <c r="H298" s="521"/>
      <c r="I298" s="521"/>
      <c r="J298" s="521"/>
      <c r="K298" s="521"/>
      <c r="L298" s="521"/>
      <c r="M298" s="521"/>
      <c r="N298" s="521"/>
      <c r="O298" s="521"/>
      <c r="R298" s="521"/>
      <c r="S298" s="521"/>
      <c r="T298" s="521"/>
      <c r="U298" s="521"/>
      <c r="V298" s="521"/>
      <c r="W298" s="521"/>
    </row>
    <row r="299" customFormat="false" ht="16.5" hidden="true" customHeight="true" outlineLevel="1" collapsed="false">
      <c r="B299" s="496" t="s">
        <v>97</v>
      </c>
      <c r="C299" s="563"/>
      <c r="D299" s="564"/>
      <c r="E299" s="478" t="s">
        <v>106</v>
      </c>
      <c r="F299" s="478" t="s">
        <v>106</v>
      </c>
      <c r="G299" s="478" t="s">
        <v>106</v>
      </c>
      <c r="H299" s="478" t="s">
        <v>106</v>
      </c>
      <c r="I299" s="478" t="s">
        <v>106</v>
      </c>
      <c r="J299" s="478" t="s">
        <v>106</v>
      </c>
      <c r="K299" s="478" t="s">
        <v>106</v>
      </c>
      <c r="L299" s="478" t="s">
        <v>106</v>
      </c>
      <c r="M299" s="478" t="s">
        <v>106</v>
      </c>
      <c r="N299" s="478" t="s">
        <v>106</v>
      </c>
      <c r="O299" s="478" t="s">
        <v>106</v>
      </c>
      <c r="R299" s="478" t="s">
        <v>106</v>
      </c>
      <c r="S299" s="478" t="s">
        <v>106</v>
      </c>
      <c r="T299" s="478" t="s">
        <v>106</v>
      </c>
      <c r="U299" s="478" t="s">
        <v>106</v>
      </c>
      <c r="V299" s="478" t="s">
        <v>106</v>
      </c>
      <c r="W299" s="478" t="s">
        <v>106</v>
      </c>
    </row>
    <row r="300" customFormat="false" ht="14.9" hidden="true" customHeight="false" outlineLevel="1" collapsed="false">
      <c r="B300" s="496" t="s">
        <v>356</v>
      </c>
      <c r="D300" s="513" t="s">
        <v>394</v>
      </c>
      <c r="E300" s="574" t="n">
        <f aca="false">+'[5]입력 시트(0124)'!E398</f>
        <v>0</v>
      </c>
      <c r="F300" s="574" t="n">
        <f aca="false">+'[5]입력 시트(0124)'!F398</f>
        <v>0</v>
      </c>
      <c r="G300" s="574" t="n">
        <f aca="false">+'[5]입력 시트(0124)'!G398</f>
        <v>0</v>
      </c>
      <c r="H300" s="574" t="n">
        <f aca="false">+'[5]입력 시트(0124)'!H398</f>
        <v>0</v>
      </c>
      <c r="I300" s="574" t="n">
        <f aca="false">+'[5]입력 시트(0124)'!I398</f>
        <v>0</v>
      </c>
      <c r="J300" s="574" t="n">
        <f aca="false">+'[5]입력 시트(0124)'!J398</f>
        <v>0</v>
      </c>
      <c r="K300" s="574" t="n">
        <f aca="false">+'[5]입력 시트(0124)'!G398</f>
        <v>0</v>
      </c>
      <c r="L300" s="574" t="n">
        <f aca="false">+'[5]입력 시트(0124)'!H398</f>
        <v>0</v>
      </c>
      <c r="M300" s="574" t="n">
        <f aca="false">+'[5]입력 시트(0124)'!I398</f>
        <v>0</v>
      </c>
      <c r="N300" s="574" t="n">
        <f aca="false">+'[5]입력 시트(0124)'!N398</f>
        <v>0</v>
      </c>
      <c r="O300" s="574" t="n">
        <f aca="false">+'[5]입력 시트(0124)'!Q398</f>
        <v>0</v>
      </c>
      <c r="R300" s="574" t="n">
        <f aca="false">+'[5]입력 시트(0124)'!T398</f>
        <v>0</v>
      </c>
      <c r="S300" s="574" t="n">
        <f aca="false">+'[5]입력 시트(0124)'!U398</f>
        <v>0</v>
      </c>
      <c r="T300" s="574" t="n">
        <f aca="false">+'[5]입력 시트(0124)'!V398</f>
        <v>0</v>
      </c>
      <c r="U300" s="574" t="n">
        <f aca="false">+'[5]입력 시트(0124)'!W398</f>
        <v>0</v>
      </c>
      <c r="V300" s="574" t="n">
        <f aca="false">+'[5]입력 시트(0124)'!X398</f>
        <v>0</v>
      </c>
      <c r="W300" s="574" t="n">
        <f aca="false">+'[5]입력 시트(0124)'!Y398</f>
        <v>0</v>
      </c>
    </row>
    <row r="301" customFormat="false" ht="16.5" hidden="true" customHeight="true" outlineLevel="1" collapsed="false">
      <c r="B301" s="496" t="s">
        <v>360</v>
      </c>
      <c r="D301" s="481" t="s">
        <v>361</v>
      </c>
      <c r="E301" s="558" t="n">
        <v>0</v>
      </c>
      <c r="F301" s="558" t="n">
        <v>0</v>
      </c>
      <c r="G301" s="558" t="n">
        <v>0</v>
      </c>
      <c r="H301" s="558" t="n">
        <v>0</v>
      </c>
      <c r="I301" s="558" t="n">
        <v>0</v>
      </c>
      <c r="J301" s="558" t="n">
        <v>0</v>
      </c>
      <c r="K301" s="558" t="n">
        <v>0</v>
      </c>
      <c r="L301" s="558" t="n">
        <v>0</v>
      </c>
      <c r="M301" s="558" t="n">
        <v>0</v>
      </c>
      <c r="N301" s="558" t="n">
        <v>0</v>
      </c>
      <c r="O301" s="558" t="n">
        <v>0</v>
      </c>
      <c r="R301" s="558" t="n">
        <v>0</v>
      </c>
      <c r="S301" s="558" t="n">
        <v>0</v>
      </c>
      <c r="T301" s="558" t="n">
        <v>0</v>
      </c>
      <c r="U301" s="558" t="n">
        <v>0</v>
      </c>
      <c r="V301" s="558" t="n">
        <v>0</v>
      </c>
      <c r="W301" s="558" t="n">
        <v>0</v>
      </c>
    </row>
    <row r="302" customFormat="false" ht="16.5" hidden="true" customHeight="true" outlineLevel="1" collapsed="false">
      <c r="B302" s="496" t="s">
        <v>363</v>
      </c>
      <c r="D302" s="481" t="s">
        <v>364</v>
      </c>
      <c r="E302" s="559"/>
      <c r="F302" s="559"/>
      <c r="G302" s="559"/>
      <c r="H302" s="559"/>
      <c r="I302" s="559"/>
      <c r="J302" s="559"/>
      <c r="K302" s="559"/>
      <c r="L302" s="559"/>
      <c r="M302" s="559"/>
      <c r="N302" s="559"/>
      <c r="O302" s="559"/>
      <c r="R302" s="559"/>
      <c r="S302" s="559"/>
      <c r="T302" s="559"/>
      <c r="U302" s="559"/>
      <c r="V302" s="559"/>
      <c r="W302" s="559"/>
    </row>
    <row r="303" customFormat="false" ht="16.5" hidden="true" customHeight="true" outlineLevel="1" collapsed="false">
      <c r="B303" s="496" t="s">
        <v>366</v>
      </c>
      <c r="D303" s="481" t="s">
        <v>339</v>
      </c>
      <c r="E303" s="560"/>
      <c r="F303" s="560"/>
      <c r="G303" s="560"/>
      <c r="H303" s="560"/>
      <c r="I303" s="560"/>
      <c r="J303" s="560"/>
      <c r="K303" s="560"/>
      <c r="L303" s="560"/>
      <c r="M303" s="560"/>
      <c r="N303" s="560"/>
      <c r="O303" s="560"/>
      <c r="R303" s="560"/>
      <c r="S303" s="560"/>
      <c r="T303" s="560"/>
      <c r="U303" s="560"/>
      <c r="V303" s="560"/>
      <c r="W303" s="560"/>
    </row>
    <row r="304" customFormat="false" ht="14.9" hidden="true" customHeight="false" outlineLevel="1" collapsed="false">
      <c r="B304" s="576" t="s">
        <v>395</v>
      </c>
      <c r="C304" s="542" t="s">
        <v>396</v>
      </c>
      <c r="D304" s="455" t="n">
        <v>1</v>
      </c>
      <c r="E304" s="560" t="n">
        <f aca="false">+'[5]입력 시트(0124)'!E402</f>
        <v>0</v>
      </c>
      <c r="F304" s="560" t="n">
        <f aca="false">+'[5]입력 시트(0124)'!F402</f>
        <v>0</v>
      </c>
      <c r="G304" s="560" t="n">
        <f aca="false">+'[5]입력 시트(0124)'!G402</f>
        <v>0</v>
      </c>
      <c r="H304" s="560" t="n">
        <f aca="false">+'[5]입력 시트(0124)'!H402</f>
        <v>0</v>
      </c>
      <c r="I304" s="560" t="n">
        <f aca="false">+'[5]입력 시트(0124)'!I402</f>
        <v>0</v>
      </c>
      <c r="J304" s="560" t="n">
        <f aca="false">+'[5]입력 시트(0124)'!J402</f>
        <v>0</v>
      </c>
      <c r="K304" s="560" t="n">
        <f aca="false">+'[5]입력 시트(0124)'!G402</f>
        <v>0</v>
      </c>
      <c r="L304" s="560" t="n">
        <f aca="false">+'[5]입력 시트(0124)'!H402</f>
        <v>0</v>
      </c>
      <c r="M304" s="560" t="n">
        <f aca="false">+'[5]입력 시트(0124)'!I402</f>
        <v>0</v>
      </c>
      <c r="N304" s="560" t="n">
        <f aca="false">+'[5]입력 시트(0124)'!N402</f>
        <v>0</v>
      </c>
      <c r="O304" s="560" t="n">
        <f aca="false">+'[5]입력 시트(0124)'!Q402</f>
        <v>0</v>
      </c>
      <c r="R304" s="560" t="n">
        <f aca="false">+'[5]입력 시트(0124)'!T402</f>
        <v>0</v>
      </c>
      <c r="S304" s="560" t="n">
        <f aca="false">+'[5]입력 시트(0124)'!U402</f>
        <v>0</v>
      </c>
      <c r="T304" s="560" t="n">
        <f aca="false">+'[5]입력 시트(0124)'!V402</f>
        <v>0</v>
      </c>
      <c r="U304" s="560" t="n">
        <f aca="false">+'[5]입력 시트(0124)'!W402</f>
        <v>0</v>
      </c>
      <c r="V304" s="560" t="n">
        <f aca="false">+'[5]입력 시트(0124)'!X402</f>
        <v>0</v>
      </c>
      <c r="W304" s="560" t="n">
        <f aca="false">+'[5]입력 시트(0124)'!Y402</f>
        <v>0</v>
      </c>
    </row>
    <row r="305" customFormat="false" ht="14.9" hidden="true" customHeight="false" outlineLevel="1" collapsed="false">
      <c r="B305" s="495"/>
      <c r="C305" s="542" t="s">
        <v>339</v>
      </c>
      <c r="D305" s="455" t="n">
        <f aca="false">+D304+1</f>
        <v>2</v>
      </c>
      <c r="E305" s="560" t="n">
        <f aca="false">+'[5]입력 시트(0124)'!E403</f>
        <v>0</v>
      </c>
      <c r="F305" s="560" t="n">
        <f aca="false">+'[5]입력 시트(0124)'!F403</f>
        <v>0</v>
      </c>
      <c r="G305" s="560" t="n">
        <f aca="false">+'[5]입력 시트(0124)'!G403</f>
        <v>0</v>
      </c>
      <c r="H305" s="560" t="n">
        <f aca="false">+'[5]입력 시트(0124)'!H403</f>
        <v>0</v>
      </c>
      <c r="I305" s="560" t="n">
        <f aca="false">+'[5]입력 시트(0124)'!I403</f>
        <v>0</v>
      </c>
      <c r="J305" s="560" t="n">
        <f aca="false">+'[5]입력 시트(0124)'!J403</f>
        <v>0</v>
      </c>
      <c r="K305" s="560" t="n">
        <f aca="false">+'[5]입력 시트(0124)'!G403</f>
        <v>0</v>
      </c>
      <c r="L305" s="560" t="n">
        <f aca="false">+'[5]입력 시트(0124)'!H403</f>
        <v>0</v>
      </c>
      <c r="M305" s="560" t="n">
        <f aca="false">+'[5]입력 시트(0124)'!I403</f>
        <v>0</v>
      </c>
      <c r="N305" s="560" t="n">
        <f aca="false">+'[5]입력 시트(0124)'!N403</f>
        <v>0</v>
      </c>
      <c r="O305" s="560" t="n">
        <f aca="false">+'[5]입력 시트(0124)'!Q403</f>
        <v>0</v>
      </c>
      <c r="R305" s="560" t="n">
        <f aca="false">+'[5]입력 시트(0124)'!T403</f>
        <v>0</v>
      </c>
      <c r="S305" s="560" t="n">
        <f aca="false">+'[5]입력 시트(0124)'!U403</f>
        <v>0</v>
      </c>
      <c r="T305" s="560" t="n">
        <f aca="false">+'[5]입력 시트(0124)'!V403</f>
        <v>0</v>
      </c>
      <c r="U305" s="560" t="n">
        <f aca="false">+'[5]입력 시트(0124)'!W403</f>
        <v>0</v>
      </c>
      <c r="V305" s="560" t="n">
        <f aca="false">+'[5]입력 시트(0124)'!X403</f>
        <v>0</v>
      </c>
      <c r="W305" s="560" t="n">
        <f aca="false">+'[5]입력 시트(0124)'!Y403</f>
        <v>0</v>
      </c>
    </row>
    <row r="306" customFormat="false" ht="14.9" hidden="true" customHeight="false" outlineLevel="1" collapsed="false">
      <c r="B306" s="495"/>
      <c r="C306" s="542" t="s">
        <v>339</v>
      </c>
      <c r="D306" s="455" t="n">
        <f aca="false">+D305+1</f>
        <v>3</v>
      </c>
      <c r="E306" s="560" t="n">
        <f aca="false">+'[5]입력 시트(0124)'!E404</f>
        <v>0</v>
      </c>
      <c r="F306" s="560" t="n">
        <f aca="false">+'[5]입력 시트(0124)'!F404</f>
        <v>0</v>
      </c>
      <c r="G306" s="560" t="n">
        <f aca="false">+'[5]입력 시트(0124)'!G404</f>
        <v>0</v>
      </c>
      <c r="H306" s="560" t="n">
        <f aca="false">+'[5]입력 시트(0124)'!H404</f>
        <v>0</v>
      </c>
      <c r="I306" s="560" t="n">
        <f aca="false">+'[5]입력 시트(0124)'!I404</f>
        <v>0</v>
      </c>
      <c r="J306" s="560" t="n">
        <f aca="false">+'[5]입력 시트(0124)'!J404</f>
        <v>0</v>
      </c>
      <c r="K306" s="560" t="n">
        <f aca="false">+'[5]입력 시트(0124)'!G404</f>
        <v>0</v>
      </c>
      <c r="L306" s="560" t="n">
        <f aca="false">+'[5]입력 시트(0124)'!H404</f>
        <v>0</v>
      </c>
      <c r="M306" s="560" t="n">
        <f aca="false">+'[5]입력 시트(0124)'!I404</f>
        <v>0</v>
      </c>
      <c r="N306" s="560" t="n">
        <f aca="false">+'[5]입력 시트(0124)'!N404</f>
        <v>0</v>
      </c>
      <c r="O306" s="560" t="n">
        <f aca="false">+'[5]입력 시트(0124)'!Q404</f>
        <v>0</v>
      </c>
      <c r="R306" s="560" t="n">
        <f aca="false">+'[5]입력 시트(0124)'!T404</f>
        <v>0</v>
      </c>
      <c r="S306" s="560" t="n">
        <f aca="false">+'[5]입력 시트(0124)'!U404</f>
        <v>0</v>
      </c>
      <c r="T306" s="560" t="n">
        <f aca="false">+'[5]입력 시트(0124)'!V404</f>
        <v>0</v>
      </c>
      <c r="U306" s="560" t="n">
        <f aca="false">+'[5]입력 시트(0124)'!W404</f>
        <v>0</v>
      </c>
      <c r="V306" s="560" t="n">
        <f aca="false">+'[5]입력 시트(0124)'!X404</f>
        <v>0</v>
      </c>
      <c r="W306" s="560" t="n">
        <f aca="false">+'[5]입력 시트(0124)'!Y404</f>
        <v>0</v>
      </c>
    </row>
    <row r="307" customFormat="false" ht="14.9" hidden="true" customHeight="false" outlineLevel="1" collapsed="false">
      <c r="B307" s="495"/>
      <c r="C307" s="542" t="s">
        <v>339</v>
      </c>
      <c r="D307" s="455" t="n">
        <f aca="false">+D306+1</f>
        <v>4</v>
      </c>
      <c r="E307" s="560" t="n">
        <f aca="false">+'[5]입력 시트(0124)'!E405</f>
        <v>0</v>
      </c>
      <c r="F307" s="560" t="n">
        <f aca="false">+'[5]입력 시트(0124)'!F405</f>
        <v>0</v>
      </c>
      <c r="G307" s="560" t="n">
        <f aca="false">+'[5]입력 시트(0124)'!G405</f>
        <v>0</v>
      </c>
      <c r="H307" s="560" t="n">
        <f aca="false">+'[5]입력 시트(0124)'!H405</f>
        <v>0</v>
      </c>
      <c r="I307" s="560" t="n">
        <f aca="false">+'[5]입력 시트(0124)'!I405</f>
        <v>0</v>
      </c>
      <c r="J307" s="560" t="n">
        <f aca="false">+'[5]입력 시트(0124)'!J405</f>
        <v>0</v>
      </c>
      <c r="K307" s="560" t="n">
        <f aca="false">+'[5]입력 시트(0124)'!G405</f>
        <v>0</v>
      </c>
      <c r="L307" s="560" t="n">
        <f aca="false">+'[5]입력 시트(0124)'!H405</f>
        <v>0</v>
      </c>
      <c r="M307" s="560" t="n">
        <f aca="false">+'[5]입력 시트(0124)'!I405</f>
        <v>0</v>
      </c>
      <c r="N307" s="560" t="n">
        <f aca="false">+'[5]입력 시트(0124)'!N405</f>
        <v>0</v>
      </c>
      <c r="O307" s="560" t="n">
        <f aca="false">+'[5]입력 시트(0124)'!Q405</f>
        <v>0</v>
      </c>
      <c r="R307" s="560" t="n">
        <f aca="false">+'[5]입력 시트(0124)'!T405</f>
        <v>0</v>
      </c>
      <c r="S307" s="560" t="n">
        <f aca="false">+'[5]입력 시트(0124)'!U405</f>
        <v>0</v>
      </c>
      <c r="T307" s="560" t="n">
        <f aca="false">+'[5]입력 시트(0124)'!V405</f>
        <v>0</v>
      </c>
      <c r="U307" s="560" t="n">
        <f aca="false">+'[5]입력 시트(0124)'!W405</f>
        <v>0</v>
      </c>
      <c r="V307" s="560" t="n">
        <f aca="false">+'[5]입력 시트(0124)'!X405</f>
        <v>0</v>
      </c>
      <c r="W307" s="560" t="n">
        <f aca="false">+'[5]입력 시트(0124)'!Y405</f>
        <v>0</v>
      </c>
    </row>
    <row r="308" customFormat="false" ht="14.9" hidden="true" customHeight="false" outlineLevel="1" collapsed="false">
      <c r="B308" s="495"/>
      <c r="C308" s="542" t="s">
        <v>339</v>
      </c>
      <c r="D308" s="455" t="n">
        <f aca="false">+D307+1</f>
        <v>5</v>
      </c>
      <c r="E308" s="560" t="n">
        <f aca="false">+'[5]입력 시트(0124)'!E406</f>
        <v>0</v>
      </c>
      <c r="F308" s="560" t="n">
        <f aca="false">+'[5]입력 시트(0124)'!F406</f>
        <v>0</v>
      </c>
      <c r="G308" s="560" t="n">
        <f aca="false">+'[5]입력 시트(0124)'!G406</f>
        <v>0</v>
      </c>
      <c r="H308" s="560" t="n">
        <f aca="false">+'[5]입력 시트(0124)'!H406</f>
        <v>0</v>
      </c>
      <c r="I308" s="560" t="n">
        <f aca="false">+'[5]입력 시트(0124)'!I406</f>
        <v>0</v>
      </c>
      <c r="J308" s="560" t="n">
        <f aca="false">+'[5]입력 시트(0124)'!J406</f>
        <v>0</v>
      </c>
      <c r="K308" s="560" t="n">
        <f aca="false">+'[5]입력 시트(0124)'!G406</f>
        <v>0</v>
      </c>
      <c r="L308" s="560" t="n">
        <f aca="false">+'[5]입력 시트(0124)'!H406</f>
        <v>0</v>
      </c>
      <c r="M308" s="560" t="n">
        <f aca="false">+'[5]입력 시트(0124)'!I406</f>
        <v>0</v>
      </c>
      <c r="N308" s="560" t="n">
        <f aca="false">+'[5]입력 시트(0124)'!N406</f>
        <v>0</v>
      </c>
      <c r="O308" s="560" t="n">
        <f aca="false">+'[5]입력 시트(0124)'!Q406</f>
        <v>0</v>
      </c>
      <c r="R308" s="560" t="n">
        <f aca="false">+'[5]입력 시트(0124)'!T406</f>
        <v>0</v>
      </c>
      <c r="S308" s="560" t="n">
        <f aca="false">+'[5]입력 시트(0124)'!U406</f>
        <v>0</v>
      </c>
      <c r="T308" s="560" t="n">
        <f aca="false">+'[5]입력 시트(0124)'!V406</f>
        <v>0</v>
      </c>
      <c r="U308" s="560" t="n">
        <f aca="false">+'[5]입력 시트(0124)'!W406</f>
        <v>0</v>
      </c>
      <c r="V308" s="560" t="n">
        <f aca="false">+'[5]입력 시트(0124)'!X406</f>
        <v>0</v>
      </c>
      <c r="W308" s="560" t="n">
        <f aca="false">+'[5]입력 시트(0124)'!Y406</f>
        <v>0</v>
      </c>
    </row>
    <row r="309" customFormat="false" ht="14.9" hidden="true" customHeight="false" outlineLevel="1" collapsed="false">
      <c r="B309" s="495"/>
      <c r="C309" s="542" t="s">
        <v>339</v>
      </c>
      <c r="D309" s="455" t="n">
        <f aca="false">+D308+1</f>
        <v>6</v>
      </c>
      <c r="E309" s="560" t="n">
        <f aca="false">+'[5]입력 시트(0124)'!E407</f>
        <v>0</v>
      </c>
      <c r="F309" s="560" t="n">
        <f aca="false">+'[5]입력 시트(0124)'!F407</f>
        <v>0</v>
      </c>
      <c r="G309" s="560" t="n">
        <f aca="false">+'[5]입력 시트(0124)'!G407</f>
        <v>0</v>
      </c>
      <c r="H309" s="560" t="n">
        <f aca="false">+'[5]입력 시트(0124)'!H407</f>
        <v>0</v>
      </c>
      <c r="I309" s="560" t="n">
        <f aca="false">+'[5]입력 시트(0124)'!I407</f>
        <v>0</v>
      </c>
      <c r="J309" s="560" t="n">
        <f aca="false">+'[5]입력 시트(0124)'!J407</f>
        <v>0</v>
      </c>
      <c r="K309" s="560" t="n">
        <f aca="false">+'[5]입력 시트(0124)'!G407</f>
        <v>0</v>
      </c>
      <c r="L309" s="560" t="n">
        <f aca="false">+'[5]입력 시트(0124)'!H407</f>
        <v>0</v>
      </c>
      <c r="M309" s="560" t="n">
        <f aca="false">+'[5]입력 시트(0124)'!I407</f>
        <v>0</v>
      </c>
      <c r="N309" s="560" t="n">
        <f aca="false">+'[5]입력 시트(0124)'!N407</f>
        <v>0</v>
      </c>
      <c r="O309" s="560" t="n">
        <f aca="false">+'[5]입력 시트(0124)'!Q407</f>
        <v>0</v>
      </c>
      <c r="R309" s="560" t="n">
        <f aca="false">+'[5]입력 시트(0124)'!T407</f>
        <v>0</v>
      </c>
      <c r="S309" s="560" t="n">
        <f aca="false">+'[5]입력 시트(0124)'!U407</f>
        <v>0</v>
      </c>
      <c r="T309" s="560" t="n">
        <f aca="false">+'[5]입력 시트(0124)'!V407</f>
        <v>0</v>
      </c>
      <c r="U309" s="560" t="n">
        <f aca="false">+'[5]입력 시트(0124)'!W407</f>
        <v>0</v>
      </c>
      <c r="V309" s="560" t="n">
        <f aca="false">+'[5]입력 시트(0124)'!X407</f>
        <v>0</v>
      </c>
      <c r="W309" s="560" t="n">
        <f aca="false">+'[5]입력 시트(0124)'!Y407</f>
        <v>0</v>
      </c>
    </row>
    <row r="310" customFormat="false" ht="14.9" hidden="true" customHeight="false" outlineLevel="1" collapsed="false">
      <c r="B310" s="495"/>
      <c r="C310" s="542" t="s">
        <v>339</v>
      </c>
      <c r="D310" s="455" t="n">
        <f aca="false">+D309+1</f>
        <v>7</v>
      </c>
      <c r="E310" s="560" t="n">
        <f aca="false">+'[5]입력 시트(0124)'!E408</f>
        <v>0</v>
      </c>
      <c r="F310" s="560" t="n">
        <f aca="false">+'[5]입력 시트(0124)'!F408</f>
        <v>0</v>
      </c>
      <c r="G310" s="560" t="n">
        <f aca="false">+'[5]입력 시트(0124)'!G408</f>
        <v>0</v>
      </c>
      <c r="H310" s="560" t="n">
        <f aca="false">+'[5]입력 시트(0124)'!H408</f>
        <v>0</v>
      </c>
      <c r="I310" s="560" t="n">
        <f aca="false">+'[5]입력 시트(0124)'!I408</f>
        <v>0</v>
      </c>
      <c r="J310" s="560" t="n">
        <f aca="false">+'[5]입력 시트(0124)'!J408</f>
        <v>0</v>
      </c>
      <c r="K310" s="560" t="n">
        <f aca="false">+'[5]입력 시트(0124)'!G408</f>
        <v>0</v>
      </c>
      <c r="L310" s="560" t="n">
        <f aca="false">+'[5]입력 시트(0124)'!H408</f>
        <v>0</v>
      </c>
      <c r="M310" s="560" t="n">
        <f aca="false">+'[5]입력 시트(0124)'!I408</f>
        <v>0</v>
      </c>
      <c r="N310" s="560" t="n">
        <f aca="false">+'[5]입력 시트(0124)'!N408</f>
        <v>0</v>
      </c>
      <c r="O310" s="560" t="n">
        <f aca="false">+'[5]입력 시트(0124)'!Q408</f>
        <v>0</v>
      </c>
      <c r="R310" s="560" t="n">
        <f aca="false">+'[5]입력 시트(0124)'!T408</f>
        <v>0</v>
      </c>
      <c r="S310" s="560" t="n">
        <f aca="false">+'[5]입력 시트(0124)'!U408</f>
        <v>0</v>
      </c>
      <c r="T310" s="560" t="n">
        <f aca="false">+'[5]입력 시트(0124)'!V408</f>
        <v>0</v>
      </c>
      <c r="U310" s="560" t="n">
        <f aca="false">+'[5]입력 시트(0124)'!W408</f>
        <v>0</v>
      </c>
      <c r="V310" s="560" t="n">
        <f aca="false">+'[5]입력 시트(0124)'!X408</f>
        <v>0</v>
      </c>
      <c r="W310" s="560" t="n">
        <f aca="false">+'[5]입력 시트(0124)'!Y408</f>
        <v>0</v>
      </c>
    </row>
    <row r="311" customFormat="false" ht="14.9" hidden="true" customHeight="false" outlineLevel="1" collapsed="false">
      <c r="B311" s="495"/>
      <c r="C311" s="542" t="s">
        <v>339</v>
      </c>
      <c r="D311" s="455" t="n">
        <f aca="false">+D310+1</f>
        <v>8</v>
      </c>
      <c r="E311" s="560" t="n">
        <f aca="false">+'[5]입력 시트(0124)'!E409</f>
        <v>0</v>
      </c>
      <c r="F311" s="560" t="n">
        <f aca="false">+'[5]입력 시트(0124)'!F409</f>
        <v>0</v>
      </c>
      <c r="G311" s="560" t="n">
        <f aca="false">+'[5]입력 시트(0124)'!G409</f>
        <v>0</v>
      </c>
      <c r="H311" s="560" t="n">
        <f aca="false">+'[5]입력 시트(0124)'!H409</f>
        <v>0</v>
      </c>
      <c r="I311" s="560" t="n">
        <f aca="false">+'[5]입력 시트(0124)'!I409</f>
        <v>0</v>
      </c>
      <c r="J311" s="560" t="n">
        <f aca="false">+'[5]입력 시트(0124)'!J409</f>
        <v>0</v>
      </c>
      <c r="K311" s="560" t="n">
        <f aca="false">+'[5]입력 시트(0124)'!G409</f>
        <v>0</v>
      </c>
      <c r="L311" s="560" t="n">
        <f aca="false">+'[5]입력 시트(0124)'!H409</f>
        <v>0</v>
      </c>
      <c r="M311" s="560" t="n">
        <f aca="false">+'[5]입력 시트(0124)'!I409</f>
        <v>0</v>
      </c>
      <c r="N311" s="560" t="n">
        <f aca="false">+'[5]입력 시트(0124)'!N409</f>
        <v>0</v>
      </c>
      <c r="O311" s="560" t="n">
        <f aca="false">+'[5]입력 시트(0124)'!Q409</f>
        <v>0</v>
      </c>
      <c r="R311" s="560" t="n">
        <f aca="false">+'[5]입력 시트(0124)'!T409</f>
        <v>0</v>
      </c>
      <c r="S311" s="560" t="n">
        <f aca="false">+'[5]입력 시트(0124)'!U409</f>
        <v>0</v>
      </c>
      <c r="T311" s="560" t="n">
        <f aca="false">+'[5]입력 시트(0124)'!V409</f>
        <v>0</v>
      </c>
      <c r="U311" s="560" t="n">
        <f aca="false">+'[5]입력 시트(0124)'!W409</f>
        <v>0</v>
      </c>
      <c r="V311" s="560" t="n">
        <f aca="false">+'[5]입력 시트(0124)'!X409</f>
        <v>0</v>
      </c>
      <c r="W311" s="560" t="n">
        <f aca="false">+'[5]입력 시트(0124)'!Y409</f>
        <v>0</v>
      </c>
    </row>
    <row r="312" customFormat="false" ht="14.9" hidden="true" customHeight="false" outlineLevel="1" collapsed="false">
      <c r="B312" s="495"/>
      <c r="C312" s="542" t="s">
        <v>339</v>
      </c>
      <c r="D312" s="455" t="n">
        <f aca="false">+D311+1</f>
        <v>9</v>
      </c>
      <c r="E312" s="560" t="n">
        <f aca="false">+'[5]입력 시트(0124)'!E410</f>
        <v>0</v>
      </c>
      <c r="F312" s="560" t="n">
        <f aca="false">+'[5]입력 시트(0124)'!F410</f>
        <v>0</v>
      </c>
      <c r="G312" s="560" t="n">
        <f aca="false">+'[5]입력 시트(0124)'!G410</f>
        <v>0</v>
      </c>
      <c r="H312" s="560" t="n">
        <f aca="false">+'[5]입력 시트(0124)'!H410</f>
        <v>0</v>
      </c>
      <c r="I312" s="560" t="n">
        <f aca="false">+'[5]입력 시트(0124)'!I410</f>
        <v>0</v>
      </c>
      <c r="J312" s="560" t="n">
        <f aca="false">+'[5]입력 시트(0124)'!J410</f>
        <v>0</v>
      </c>
      <c r="K312" s="560" t="n">
        <f aca="false">+'[5]입력 시트(0124)'!G410</f>
        <v>0</v>
      </c>
      <c r="L312" s="560" t="n">
        <f aca="false">+'[5]입력 시트(0124)'!H410</f>
        <v>0</v>
      </c>
      <c r="M312" s="560" t="n">
        <f aca="false">+'[5]입력 시트(0124)'!I410</f>
        <v>0</v>
      </c>
      <c r="N312" s="560" t="n">
        <f aca="false">+'[5]입력 시트(0124)'!N410</f>
        <v>0</v>
      </c>
      <c r="O312" s="560" t="n">
        <f aca="false">+'[5]입력 시트(0124)'!Q410</f>
        <v>0</v>
      </c>
      <c r="R312" s="560" t="n">
        <f aca="false">+'[5]입력 시트(0124)'!T410</f>
        <v>0</v>
      </c>
      <c r="S312" s="560" t="n">
        <f aca="false">+'[5]입력 시트(0124)'!U410</f>
        <v>0</v>
      </c>
      <c r="T312" s="560" t="n">
        <f aca="false">+'[5]입력 시트(0124)'!V410</f>
        <v>0</v>
      </c>
      <c r="U312" s="560" t="n">
        <f aca="false">+'[5]입력 시트(0124)'!W410</f>
        <v>0</v>
      </c>
      <c r="V312" s="560" t="n">
        <f aca="false">+'[5]입력 시트(0124)'!X410</f>
        <v>0</v>
      </c>
      <c r="W312" s="560" t="n">
        <f aca="false">+'[5]입력 시트(0124)'!Y410</f>
        <v>0</v>
      </c>
    </row>
    <row r="313" customFormat="false" ht="14.9" hidden="true" customHeight="false" outlineLevel="1" collapsed="false">
      <c r="B313" s="495"/>
      <c r="C313" s="542" t="s">
        <v>339</v>
      </c>
      <c r="D313" s="455" t="n">
        <f aca="false">+D312+1</f>
        <v>10</v>
      </c>
      <c r="E313" s="560" t="n">
        <f aca="false">+'[5]입력 시트(0124)'!E411</f>
        <v>0</v>
      </c>
      <c r="F313" s="560" t="n">
        <f aca="false">+'[5]입력 시트(0124)'!F411</f>
        <v>0</v>
      </c>
      <c r="G313" s="560" t="n">
        <f aca="false">+'[5]입력 시트(0124)'!G411</f>
        <v>0</v>
      </c>
      <c r="H313" s="560" t="n">
        <f aca="false">+'[5]입력 시트(0124)'!H411</f>
        <v>0</v>
      </c>
      <c r="I313" s="560" t="n">
        <f aca="false">+'[5]입력 시트(0124)'!I411</f>
        <v>0</v>
      </c>
      <c r="J313" s="560" t="n">
        <f aca="false">+'[5]입력 시트(0124)'!J411</f>
        <v>0</v>
      </c>
      <c r="K313" s="560" t="n">
        <f aca="false">+'[5]입력 시트(0124)'!G411</f>
        <v>0</v>
      </c>
      <c r="L313" s="560" t="n">
        <f aca="false">+'[5]입력 시트(0124)'!H411</f>
        <v>0</v>
      </c>
      <c r="M313" s="560" t="n">
        <f aca="false">+'[5]입력 시트(0124)'!I411</f>
        <v>0</v>
      </c>
      <c r="N313" s="560" t="n">
        <f aca="false">+'[5]입력 시트(0124)'!N411</f>
        <v>0</v>
      </c>
      <c r="O313" s="560" t="n">
        <f aca="false">+'[5]입력 시트(0124)'!Q411</f>
        <v>0</v>
      </c>
      <c r="R313" s="560" t="n">
        <f aca="false">+'[5]입력 시트(0124)'!T411</f>
        <v>0</v>
      </c>
      <c r="S313" s="560" t="n">
        <f aca="false">+'[5]입력 시트(0124)'!U411</f>
        <v>0</v>
      </c>
      <c r="T313" s="560" t="n">
        <f aca="false">+'[5]입력 시트(0124)'!V411</f>
        <v>0</v>
      </c>
      <c r="U313" s="560" t="n">
        <f aca="false">+'[5]입력 시트(0124)'!W411</f>
        <v>0</v>
      </c>
      <c r="V313" s="560" t="n">
        <f aca="false">+'[5]입력 시트(0124)'!X411</f>
        <v>0</v>
      </c>
      <c r="W313" s="560" t="n">
        <f aca="false">+'[5]입력 시트(0124)'!Y411</f>
        <v>0</v>
      </c>
    </row>
    <row r="314" customFormat="false" ht="14.9" hidden="true" customHeight="false" outlineLevel="1" collapsed="false">
      <c r="B314" s="495"/>
      <c r="C314" s="542" t="s">
        <v>339</v>
      </c>
      <c r="D314" s="455" t="n">
        <f aca="false">+D313+1</f>
        <v>11</v>
      </c>
      <c r="E314" s="560" t="n">
        <f aca="false">+'[5]입력 시트(0124)'!E412</f>
        <v>0</v>
      </c>
      <c r="F314" s="560" t="n">
        <f aca="false">+'[5]입력 시트(0124)'!F412</f>
        <v>0</v>
      </c>
      <c r="G314" s="560" t="n">
        <f aca="false">+'[5]입력 시트(0124)'!G412</f>
        <v>0</v>
      </c>
      <c r="H314" s="560" t="n">
        <f aca="false">+'[5]입력 시트(0124)'!H412</f>
        <v>0</v>
      </c>
      <c r="I314" s="560" t="n">
        <f aca="false">+'[5]입력 시트(0124)'!I412</f>
        <v>0</v>
      </c>
      <c r="J314" s="560" t="n">
        <f aca="false">+'[5]입력 시트(0124)'!J412</f>
        <v>0</v>
      </c>
      <c r="K314" s="560" t="n">
        <f aca="false">+'[5]입력 시트(0124)'!G412</f>
        <v>0</v>
      </c>
      <c r="L314" s="560" t="n">
        <f aca="false">+'[5]입력 시트(0124)'!H412</f>
        <v>0</v>
      </c>
      <c r="M314" s="560" t="n">
        <f aca="false">+'[5]입력 시트(0124)'!I412</f>
        <v>0</v>
      </c>
      <c r="N314" s="560" t="n">
        <f aca="false">+'[5]입력 시트(0124)'!N412</f>
        <v>0</v>
      </c>
      <c r="O314" s="560" t="n">
        <f aca="false">+'[5]입력 시트(0124)'!Q412</f>
        <v>0</v>
      </c>
      <c r="R314" s="560" t="n">
        <f aca="false">+'[5]입력 시트(0124)'!T412</f>
        <v>0</v>
      </c>
      <c r="S314" s="560" t="n">
        <f aca="false">+'[5]입력 시트(0124)'!U412</f>
        <v>0</v>
      </c>
      <c r="T314" s="560" t="n">
        <f aca="false">+'[5]입력 시트(0124)'!V412</f>
        <v>0</v>
      </c>
      <c r="U314" s="560" t="n">
        <f aca="false">+'[5]입력 시트(0124)'!W412</f>
        <v>0</v>
      </c>
      <c r="V314" s="560" t="n">
        <f aca="false">+'[5]입력 시트(0124)'!X412</f>
        <v>0</v>
      </c>
      <c r="W314" s="560" t="n">
        <f aca="false">+'[5]입력 시트(0124)'!Y412</f>
        <v>0</v>
      </c>
    </row>
    <row r="315" customFormat="false" ht="14.9" hidden="true" customHeight="false" outlineLevel="1" collapsed="false">
      <c r="B315" s="495"/>
      <c r="C315" s="542" t="s">
        <v>339</v>
      </c>
      <c r="D315" s="455" t="n">
        <f aca="false">+D314+1</f>
        <v>12</v>
      </c>
      <c r="E315" s="560" t="n">
        <f aca="false">+'[5]입력 시트(0124)'!E413</f>
        <v>0</v>
      </c>
      <c r="F315" s="560" t="n">
        <f aca="false">+'[5]입력 시트(0124)'!F413</f>
        <v>0</v>
      </c>
      <c r="G315" s="560" t="n">
        <f aca="false">+'[5]입력 시트(0124)'!G413</f>
        <v>0</v>
      </c>
      <c r="H315" s="560" t="n">
        <f aca="false">+'[5]입력 시트(0124)'!H413</f>
        <v>0</v>
      </c>
      <c r="I315" s="560" t="n">
        <f aca="false">+'[5]입력 시트(0124)'!I413</f>
        <v>0</v>
      </c>
      <c r="J315" s="560" t="n">
        <f aca="false">+'[5]입력 시트(0124)'!J413</f>
        <v>0</v>
      </c>
      <c r="K315" s="560" t="n">
        <f aca="false">+'[5]입력 시트(0124)'!G413</f>
        <v>0</v>
      </c>
      <c r="L315" s="560" t="n">
        <f aca="false">+'[5]입력 시트(0124)'!H413</f>
        <v>0</v>
      </c>
      <c r="M315" s="560" t="n">
        <f aca="false">+'[5]입력 시트(0124)'!I413</f>
        <v>0</v>
      </c>
      <c r="N315" s="560" t="n">
        <f aca="false">+'[5]입력 시트(0124)'!N413</f>
        <v>0</v>
      </c>
      <c r="O315" s="560" t="n">
        <f aca="false">+'[5]입력 시트(0124)'!Q413</f>
        <v>0</v>
      </c>
      <c r="R315" s="560" t="n">
        <f aca="false">+'[5]입력 시트(0124)'!T413</f>
        <v>0</v>
      </c>
      <c r="S315" s="560" t="n">
        <f aca="false">+'[5]입력 시트(0124)'!U413</f>
        <v>0</v>
      </c>
      <c r="T315" s="560" t="n">
        <f aca="false">+'[5]입력 시트(0124)'!V413</f>
        <v>0</v>
      </c>
      <c r="U315" s="560" t="n">
        <f aca="false">+'[5]입력 시트(0124)'!W413</f>
        <v>0</v>
      </c>
      <c r="V315" s="560" t="n">
        <f aca="false">+'[5]입력 시트(0124)'!X413</f>
        <v>0</v>
      </c>
      <c r="W315" s="560" t="n">
        <f aca="false">+'[5]입력 시트(0124)'!Y413</f>
        <v>0</v>
      </c>
    </row>
    <row r="316" customFormat="false" ht="14.9" hidden="true" customHeight="false" outlineLevel="1" collapsed="false">
      <c r="B316" s="495"/>
      <c r="C316" s="542" t="s">
        <v>339</v>
      </c>
      <c r="D316" s="455" t="n">
        <f aca="false">+D315+1</f>
        <v>13</v>
      </c>
      <c r="E316" s="560" t="n">
        <f aca="false">+'[5]입력 시트(0124)'!E414</f>
        <v>0</v>
      </c>
      <c r="F316" s="560" t="n">
        <f aca="false">+'[5]입력 시트(0124)'!F414</f>
        <v>0</v>
      </c>
      <c r="G316" s="560" t="n">
        <f aca="false">+'[5]입력 시트(0124)'!G414</f>
        <v>0</v>
      </c>
      <c r="H316" s="560" t="n">
        <f aca="false">+'[5]입력 시트(0124)'!H414</f>
        <v>0</v>
      </c>
      <c r="I316" s="560" t="n">
        <f aca="false">+'[5]입력 시트(0124)'!I414</f>
        <v>0</v>
      </c>
      <c r="J316" s="560" t="n">
        <f aca="false">+'[5]입력 시트(0124)'!J414</f>
        <v>0</v>
      </c>
      <c r="K316" s="560" t="n">
        <f aca="false">+'[5]입력 시트(0124)'!G414</f>
        <v>0</v>
      </c>
      <c r="L316" s="560" t="n">
        <f aca="false">+'[5]입력 시트(0124)'!H414</f>
        <v>0</v>
      </c>
      <c r="M316" s="560" t="n">
        <f aca="false">+'[5]입력 시트(0124)'!I414</f>
        <v>0</v>
      </c>
      <c r="N316" s="560" t="n">
        <f aca="false">+'[5]입력 시트(0124)'!N414</f>
        <v>0</v>
      </c>
      <c r="O316" s="560" t="n">
        <f aca="false">+'[5]입력 시트(0124)'!Q414</f>
        <v>0</v>
      </c>
      <c r="R316" s="560" t="n">
        <f aca="false">+'[5]입력 시트(0124)'!T414</f>
        <v>0</v>
      </c>
      <c r="S316" s="560" t="n">
        <f aca="false">+'[5]입력 시트(0124)'!U414</f>
        <v>0</v>
      </c>
      <c r="T316" s="560" t="n">
        <f aca="false">+'[5]입력 시트(0124)'!V414</f>
        <v>0</v>
      </c>
      <c r="U316" s="560" t="n">
        <f aca="false">+'[5]입력 시트(0124)'!W414</f>
        <v>0</v>
      </c>
      <c r="V316" s="560" t="n">
        <f aca="false">+'[5]입력 시트(0124)'!X414</f>
        <v>0</v>
      </c>
      <c r="W316" s="560" t="n">
        <f aca="false">+'[5]입력 시트(0124)'!Y414</f>
        <v>0</v>
      </c>
    </row>
    <row r="317" customFormat="false" ht="14.9" hidden="true" customHeight="false" outlineLevel="1" collapsed="false">
      <c r="B317" s="495"/>
      <c r="C317" s="542" t="s">
        <v>339</v>
      </c>
      <c r="D317" s="455" t="n">
        <f aca="false">+D316+1</f>
        <v>14</v>
      </c>
      <c r="E317" s="560" t="n">
        <f aca="false">+'[5]입력 시트(0124)'!E415</f>
        <v>0</v>
      </c>
      <c r="F317" s="560" t="n">
        <f aca="false">+'[5]입력 시트(0124)'!F415</f>
        <v>0</v>
      </c>
      <c r="G317" s="560" t="n">
        <f aca="false">+'[5]입력 시트(0124)'!G415</f>
        <v>0</v>
      </c>
      <c r="H317" s="560" t="n">
        <f aca="false">+'[5]입력 시트(0124)'!H415</f>
        <v>0</v>
      </c>
      <c r="I317" s="560" t="n">
        <f aca="false">+'[5]입력 시트(0124)'!I415</f>
        <v>0</v>
      </c>
      <c r="J317" s="560" t="n">
        <f aca="false">+'[5]입력 시트(0124)'!J415</f>
        <v>0</v>
      </c>
      <c r="K317" s="560" t="n">
        <f aca="false">+'[5]입력 시트(0124)'!G415</f>
        <v>0</v>
      </c>
      <c r="L317" s="560" t="n">
        <f aca="false">+'[5]입력 시트(0124)'!H415</f>
        <v>0</v>
      </c>
      <c r="M317" s="560" t="n">
        <f aca="false">+'[5]입력 시트(0124)'!I415</f>
        <v>0</v>
      </c>
      <c r="N317" s="560" t="n">
        <f aca="false">+'[5]입력 시트(0124)'!N415</f>
        <v>0</v>
      </c>
      <c r="O317" s="560" t="n">
        <f aca="false">+'[5]입력 시트(0124)'!Q415</f>
        <v>0</v>
      </c>
      <c r="R317" s="560" t="n">
        <f aca="false">+'[5]입력 시트(0124)'!T415</f>
        <v>0</v>
      </c>
      <c r="S317" s="560" t="n">
        <f aca="false">+'[5]입력 시트(0124)'!U415</f>
        <v>0</v>
      </c>
      <c r="T317" s="560" t="n">
        <f aca="false">+'[5]입력 시트(0124)'!V415</f>
        <v>0</v>
      </c>
      <c r="U317" s="560" t="n">
        <f aca="false">+'[5]입력 시트(0124)'!W415</f>
        <v>0</v>
      </c>
      <c r="V317" s="560" t="n">
        <f aca="false">+'[5]입력 시트(0124)'!X415</f>
        <v>0</v>
      </c>
      <c r="W317" s="560" t="n">
        <f aca="false">+'[5]입력 시트(0124)'!Y415</f>
        <v>0</v>
      </c>
    </row>
    <row r="318" customFormat="false" ht="14.9" hidden="true" customHeight="false" outlineLevel="1" collapsed="false">
      <c r="B318" s="495"/>
      <c r="C318" s="542" t="s">
        <v>339</v>
      </c>
      <c r="D318" s="455" t="n">
        <f aca="false">+D317+1</f>
        <v>15</v>
      </c>
      <c r="E318" s="560" t="n">
        <f aca="false">+'[5]입력 시트(0124)'!E416</f>
        <v>0</v>
      </c>
      <c r="F318" s="560" t="n">
        <f aca="false">+'[5]입력 시트(0124)'!F416</f>
        <v>0</v>
      </c>
      <c r="G318" s="560" t="n">
        <f aca="false">+'[5]입력 시트(0124)'!G416</f>
        <v>0</v>
      </c>
      <c r="H318" s="560" t="n">
        <f aca="false">+'[5]입력 시트(0124)'!H416</f>
        <v>0</v>
      </c>
      <c r="I318" s="560" t="n">
        <f aca="false">+'[5]입력 시트(0124)'!I416</f>
        <v>0</v>
      </c>
      <c r="J318" s="560" t="n">
        <f aca="false">+'[5]입력 시트(0124)'!J416</f>
        <v>0</v>
      </c>
      <c r="K318" s="560" t="n">
        <f aca="false">+'[5]입력 시트(0124)'!G416</f>
        <v>0</v>
      </c>
      <c r="L318" s="560" t="n">
        <f aca="false">+'[5]입력 시트(0124)'!H416</f>
        <v>0</v>
      </c>
      <c r="M318" s="560" t="n">
        <f aca="false">+'[5]입력 시트(0124)'!I416</f>
        <v>0</v>
      </c>
      <c r="N318" s="560" t="n">
        <f aca="false">+'[5]입력 시트(0124)'!N416</f>
        <v>0</v>
      </c>
      <c r="O318" s="560" t="n">
        <f aca="false">+'[5]입력 시트(0124)'!Q416</f>
        <v>0</v>
      </c>
      <c r="R318" s="560" t="n">
        <f aca="false">+'[5]입력 시트(0124)'!T416</f>
        <v>0</v>
      </c>
      <c r="S318" s="560" t="n">
        <f aca="false">+'[5]입력 시트(0124)'!U416</f>
        <v>0</v>
      </c>
      <c r="T318" s="560" t="n">
        <f aca="false">+'[5]입력 시트(0124)'!V416</f>
        <v>0</v>
      </c>
      <c r="U318" s="560" t="n">
        <f aca="false">+'[5]입력 시트(0124)'!W416</f>
        <v>0</v>
      </c>
      <c r="V318" s="560" t="n">
        <f aca="false">+'[5]입력 시트(0124)'!X416</f>
        <v>0</v>
      </c>
      <c r="W318" s="560" t="n">
        <f aca="false">+'[5]입력 시트(0124)'!Y416</f>
        <v>0</v>
      </c>
    </row>
    <row r="319" customFormat="false" ht="14.9" hidden="true" customHeight="false" outlineLevel="1" collapsed="false">
      <c r="B319" s="495"/>
      <c r="C319" s="542" t="s">
        <v>339</v>
      </c>
      <c r="D319" s="455" t="n">
        <f aca="false">+D318+1</f>
        <v>16</v>
      </c>
      <c r="E319" s="560" t="n">
        <f aca="false">+'[5]입력 시트(0124)'!E417</f>
        <v>0</v>
      </c>
      <c r="F319" s="560" t="n">
        <f aca="false">+'[5]입력 시트(0124)'!F417</f>
        <v>0</v>
      </c>
      <c r="G319" s="560" t="n">
        <f aca="false">+'[5]입력 시트(0124)'!G417</f>
        <v>0</v>
      </c>
      <c r="H319" s="560" t="n">
        <f aca="false">+'[5]입력 시트(0124)'!H417</f>
        <v>0</v>
      </c>
      <c r="I319" s="560" t="n">
        <f aca="false">+'[5]입력 시트(0124)'!I417</f>
        <v>0</v>
      </c>
      <c r="J319" s="560" t="n">
        <f aca="false">+'[5]입력 시트(0124)'!J417</f>
        <v>0</v>
      </c>
      <c r="K319" s="560" t="n">
        <f aca="false">+'[5]입력 시트(0124)'!G417</f>
        <v>0</v>
      </c>
      <c r="L319" s="560" t="n">
        <f aca="false">+'[5]입력 시트(0124)'!H417</f>
        <v>0</v>
      </c>
      <c r="M319" s="560" t="n">
        <f aca="false">+'[5]입력 시트(0124)'!I417</f>
        <v>0</v>
      </c>
      <c r="N319" s="560" t="n">
        <f aca="false">+'[5]입력 시트(0124)'!N417</f>
        <v>0</v>
      </c>
      <c r="O319" s="560" t="n">
        <f aca="false">+'[5]입력 시트(0124)'!Q417</f>
        <v>0</v>
      </c>
      <c r="R319" s="560" t="n">
        <f aca="false">+'[5]입력 시트(0124)'!T417</f>
        <v>0</v>
      </c>
      <c r="S319" s="560" t="n">
        <f aca="false">+'[5]입력 시트(0124)'!U417</f>
        <v>0</v>
      </c>
      <c r="T319" s="560" t="n">
        <f aca="false">+'[5]입력 시트(0124)'!V417</f>
        <v>0</v>
      </c>
      <c r="U319" s="560" t="n">
        <f aca="false">+'[5]입력 시트(0124)'!W417</f>
        <v>0</v>
      </c>
      <c r="V319" s="560" t="n">
        <f aca="false">+'[5]입력 시트(0124)'!X417</f>
        <v>0</v>
      </c>
      <c r="W319" s="560" t="n">
        <f aca="false">+'[5]입력 시트(0124)'!Y417</f>
        <v>0</v>
      </c>
    </row>
    <row r="320" customFormat="false" ht="14.9" hidden="true" customHeight="false" outlineLevel="1" collapsed="false">
      <c r="B320" s="495"/>
      <c r="C320" s="542" t="s">
        <v>339</v>
      </c>
      <c r="D320" s="455" t="n">
        <f aca="false">+D319+1</f>
        <v>17</v>
      </c>
      <c r="E320" s="560" t="n">
        <f aca="false">+'[5]입력 시트(0124)'!E418</f>
        <v>0</v>
      </c>
      <c r="F320" s="560" t="n">
        <f aca="false">+'[5]입력 시트(0124)'!F418</f>
        <v>0</v>
      </c>
      <c r="G320" s="560" t="n">
        <f aca="false">+'[5]입력 시트(0124)'!G418</f>
        <v>0</v>
      </c>
      <c r="H320" s="560" t="n">
        <f aca="false">+'[5]입력 시트(0124)'!H418</f>
        <v>0</v>
      </c>
      <c r="I320" s="560" t="n">
        <f aca="false">+'[5]입력 시트(0124)'!I418</f>
        <v>0</v>
      </c>
      <c r="J320" s="560" t="n">
        <f aca="false">+'[5]입력 시트(0124)'!J418</f>
        <v>0</v>
      </c>
      <c r="K320" s="560" t="n">
        <f aca="false">+'[5]입력 시트(0124)'!G418</f>
        <v>0</v>
      </c>
      <c r="L320" s="560" t="n">
        <f aca="false">+'[5]입력 시트(0124)'!H418</f>
        <v>0</v>
      </c>
      <c r="M320" s="560" t="n">
        <f aca="false">+'[5]입력 시트(0124)'!I418</f>
        <v>0</v>
      </c>
      <c r="N320" s="560" t="n">
        <f aca="false">+'[5]입력 시트(0124)'!N418</f>
        <v>0</v>
      </c>
      <c r="O320" s="560" t="n">
        <f aca="false">+'[5]입력 시트(0124)'!Q418</f>
        <v>0</v>
      </c>
      <c r="R320" s="560" t="n">
        <f aca="false">+'[5]입력 시트(0124)'!T418</f>
        <v>0</v>
      </c>
      <c r="S320" s="560" t="n">
        <f aca="false">+'[5]입력 시트(0124)'!U418</f>
        <v>0</v>
      </c>
      <c r="T320" s="560" t="n">
        <f aca="false">+'[5]입력 시트(0124)'!V418</f>
        <v>0</v>
      </c>
      <c r="U320" s="560" t="n">
        <f aca="false">+'[5]입력 시트(0124)'!W418</f>
        <v>0</v>
      </c>
      <c r="V320" s="560" t="n">
        <f aca="false">+'[5]입력 시트(0124)'!X418</f>
        <v>0</v>
      </c>
      <c r="W320" s="560" t="n">
        <f aca="false">+'[5]입력 시트(0124)'!Y418</f>
        <v>0</v>
      </c>
    </row>
    <row r="321" customFormat="false" ht="14.9" hidden="true" customHeight="false" outlineLevel="1" collapsed="false">
      <c r="B321" s="495"/>
      <c r="C321" s="542" t="s">
        <v>339</v>
      </c>
      <c r="D321" s="455" t="n">
        <f aca="false">+D320+1</f>
        <v>18</v>
      </c>
      <c r="E321" s="560" t="n">
        <f aca="false">+'[5]입력 시트(0124)'!E419</f>
        <v>0</v>
      </c>
      <c r="F321" s="560" t="n">
        <f aca="false">+'[5]입력 시트(0124)'!F419</f>
        <v>0</v>
      </c>
      <c r="G321" s="560" t="n">
        <f aca="false">+'[5]입력 시트(0124)'!G419</f>
        <v>0</v>
      </c>
      <c r="H321" s="560" t="n">
        <f aca="false">+'[5]입력 시트(0124)'!H419</f>
        <v>0</v>
      </c>
      <c r="I321" s="560" t="n">
        <f aca="false">+'[5]입력 시트(0124)'!I419</f>
        <v>0</v>
      </c>
      <c r="J321" s="560" t="n">
        <f aca="false">+'[5]입력 시트(0124)'!J419</f>
        <v>0</v>
      </c>
      <c r="K321" s="560" t="n">
        <f aca="false">+'[5]입력 시트(0124)'!G419</f>
        <v>0</v>
      </c>
      <c r="L321" s="560" t="n">
        <f aca="false">+'[5]입력 시트(0124)'!H419</f>
        <v>0</v>
      </c>
      <c r="M321" s="560" t="n">
        <f aca="false">+'[5]입력 시트(0124)'!I419</f>
        <v>0</v>
      </c>
      <c r="N321" s="560" t="n">
        <f aca="false">+'[5]입력 시트(0124)'!N419</f>
        <v>0</v>
      </c>
      <c r="O321" s="560" t="n">
        <f aca="false">+'[5]입력 시트(0124)'!Q419</f>
        <v>0</v>
      </c>
      <c r="R321" s="560" t="n">
        <f aca="false">+'[5]입력 시트(0124)'!T419</f>
        <v>0</v>
      </c>
      <c r="S321" s="560" t="n">
        <f aca="false">+'[5]입력 시트(0124)'!U419</f>
        <v>0</v>
      </c>
      <c r="T321" s="560" t="n">
        <f aca="false">+'[5]입력 시트(0124)'!V419</f>
        <v>0</v>
      </c>
      <c r="U321" s="560" t="n">
        <f aca="false">+'[5]입력 시트(0124)'!W419</f>
        <v>0</v>
      </c>
      <c r="V321" s="560" t="n">
        <f aca="false">+'[5]입력 시트(0124)'!X419</f>
        <v>0</v>
      </c>
      <c r="W321" s="560" t="n">
        <f aca="false">+'[5]입력 시트(0124)'!Y419</f>
        <v>0</v>
      </c>
    </row>
    <row r="322" customFormat="false" ht="14.9" hidden="true" customHeight="false" outlineLevel="1" collapsed="false">
      <c r="B322" s="495"/>
      <c r="C322" s="542" t="s">
        <v>339</v>
      </c>
      <c r="D322" s="455" t="n">
        <f aca="false">+D321+1</f>
        <v>19</v>
      </c>
      <c r="E322" s="560" t="n">
        <f aca="false">+'[5]입력 시트(0124)'!E420</f>
        <v>0</v>
      </c>
      <c r="F322" s="560" t="n">
        <f aca="false">+'[5]입력 시트(0124)'!F420</f>
        <v>0</v>
      </c>
      <c r="G322" s="560" t="n">
        <f aca="false">+'[5]입력 시트(0124)'!G420</f>
        <v>0</v>
      </c>
      <c r="H322" s="560" t="n">
        <f aca="false">+'[5]입력 시트(0124)'!H420</f>
        <v>0</v>
      </c>
      <c r="I322" s="560" t="n">
        <f aca="false">+'[5]입력 시트(0124)'!I420</f>
        <v>0</v>
      </c>
      <c r="J322" s="560" t="n">
        <f aca="false">+'[5]입력 시트(0124)'!J420</f>
        <v>0</v>
      </c>
      <c r="K322" s="560" t="n">
        <f aca="false">+'[5]입력 시트(0124)'!G420</f>
        <v>0</v>
      </c>
      <c r="L322" s="560" t="n">
        <f aca="false">+'[5]입력 시트(0124)'!H420</f>
        <v>0</v>
      </c>
      <c r="M322" s="560" t="n">
        <f aca="false">+'[5]입력 시트(0124)'!I420</f>
        <v>0</v>
      </c>
      <c r="N322" s="560" t="n">
        <f aca="false">+'[5]입력 시트(0124)'!N420</f>
        <v>0</v>
      </c>
      <c r="O322" s="560" t="n">
        <f aca="false">+'[5]입력 시트(0124)'!Q420</f>
        <v>0</v>
      </c>
      <c r="R322" s="560" t="n">
        <f aca="false">+'[5]입력 시트(0124)'!T420</f>
        <v>0</v>
      </c>
      <c r="S322" s="560" t="n">
        <f aca="false">+'[5]입력 시트(0124)'!U420</f>
        <v>0</v>
      </c>
      <c r="T322" s="560" t="n">
        <f aca="false">+'[5]입력 시트(0124)'!V420</f>
        <v>0</v>
      </c>
      <c r="U322" s="560" t="n">
        <f aca="false">+'[5]입력 시트(0124)'!W420</f>
        <v>0</v>
      </c>
      <c r="V322" s="560" t="n">
        <f aca="false">+'[5]입력 시트(0124)'!X420</f>
        <v>0</v>
      </c>
      <c r="W322" s="560" t="n">
        <f aca="false">+'[5]입력 시트(0124)'!Y420</f>
        <v>0</v>
      </c>
    </row>
    <row r="323" customFormat="false" ht="14.9" hidden="true" customHeight="false" outlineLevel="1" collapsed="false">
      <c r="B323" s="495"/>
      <c r="C323" s="542" t="s">
        <v>339</v>
      </c>
      <c r="D323" s="455" t="n">
        <f aca="false">+D322+1</f>
        <v>20</v>
      </c>
      <c r="E323" s="560" t="n">
        <f aca="false">+'[5]입력 시트(0124)'!E421</f>
        <v>0</v>
      </c>
      <c r="F323" s="560" t="n">
        <f aca="false">+'[5]입력 시트(0124)'!F421</f>
        <v>0</v>
      </c>
      <c r="G323" s="560" t="n">
        <f aca="false">+'[5]입력 시트(0124)'!G421</f>
        <v>0</v>
      </c>
      <c r="H323" s="560" t="n">
        <f aca="false">+'[5]입력 시트(0124)'!H421</f>
        <v>0</v>
      </c>
      <c r="I323" s="560" t="n">
        <f aca="false">+'[5]입력 시트(0124)'!I421</f>
        <v>0</v>
      </c>
      <c r="J323" s="560" t="n">
        <f aca="false">+'[5]입력 시트(0124)'!J421</f>
        <v>0</v>
      </c>
      <c r="K323" s="560" t="n">
        <f aca="false">+'[5]입력 시트(0124)'!G421</f>
        <v>0</v>
      </c>
      <c r="L323" s="560" t="n">
        <f aca="false">+'[5]입력 시트(0124)'!H421</f>
        <v>0</v>
      </c>
      <c r="M323" s="560" t="n">
        <f aca="false">+'[5]입력 시트(0124)'!I421</f>
        <v>0</v>
      </c>
      <c r="N323" s="560" t="n">
        <f aca="false">+'[5]입력 시트(0124)'!N421</f>
        <v>0</v>
      </c>
      <c r="O323" s="560" t="n">
        <f aca="false">+'[5]입력 시트(0124)'!Q421</f>
        <v>0</v>
      </c>
      <c r="R323" s="560" t="n">
        <f aca="false">+'[5]입력 시트(0124)'!T421</f>
        <v>0</v>
      </c>
      <c r="S323" s="560" t="n">
        <f aca="false">+'[5]입력 시트(0124)'!U421</f>
        <v>0</v>
      </c>
      <c r="T323" s="560" t="n">
        <f aca="false">+'[5]입력 시트(0124)'!V421</f>
        <v>0</v>
      </c>
      <c r="U323" s="560" t="n">
        <f aca="false">+'[5]입력 시트(0124)'!W421</f>
        <v>0</v>
      </c>
      <c r="V323" s="560" t="n">
        <f aca="false">+'[5]입력 시트(0124)'!X421</f>
        <v>0</v>
      </c>
      <c r="W323" s="560" t="n">
        <f aca="false">+'[5]입력 시트(0124)'!Y421</f>
        <v>0</v>
      </c>
    </row>
    <row r="324" customFormat="false" ht="14.9" hidden="true" customHeight="false" outlineLevel="1" collapsed="false">
      <c r="B324" s="495"/>
      <c r="C324" s="542" t="s">
        <v>339</v>
      </c>
      <c r="D324" s="455" t="n">
        <f aca="false">+D323+1</f>
        <v>21</v>
      </c>
      <c r="E324" s="560" t="n">
        <f aca="false">+'[5]입력 시트(0124)'!E422</f>
        <v>0</v>
      </c>
      <c r="F324" s="560" t="n">
        <f aca="false">+'[5]입력 시트(0124)'!F422</f>
        <v>0</v>
      </c>
      <c r="G324" s="560" t="n">
        <f aca="false">+'[5]입력 시트(0124)'!G422</f>
        <v>0</v>
      </c>
      <c r="H324" s="560" t="n">
        <f aca="false">+'[5]입력 시트(0124)'!H422</f>
        <v>0</v>
      </c>
      <c r="I324" s="560" t="n">
        <f aca="false">+'[5]입력 시트(0124)'!I422</f>
        <v>0</v>
      </c>
      <c r="J324" s="560" t="n">
        <f aca="false">+'[5]입력 시트(0124)'!J422</f>
        <v>0</v>
      </c>
      <c r="K324" s="560" t="n">
        <f aca="false">+'[5]입력 시트(0124)'!G422</f>
        <v>0</v>
      </c>
      <c r="L324" s="560" t="n">
        <f aca="false">+'[5]입력 시트(0124)'!H422</f>
        <v>0</v>
      </c>
      <c r="M324" s="560" t="n">
        <f aca="false">+'[5]입력 시트(0124)'!I422</f>
        <v>0</v>
      </c>
      <c r="N324" s="560" t="n">
        <f aca="false">+'[5]입력 시트(0124)'!N422</f>
        <v>0</v>
      </c>
      <c r="O324" s="560" t="n">
        <f aca="false">+'[5]입력 시트(0124)'!Q422</f>
        <v>0</v>
      </c>
      <c r="R324" s="560" t="n">
        <f aca="false">+'[5]입력 시트(0124)'!T422</f>
        <v>0</v>
      </c>
      <c r="S324" s="560" t="n">
        <f aca="false">+'[5]입력 시트(0124)'!U422</f>
        <v>0</v>
      </c>
      <c r="T324" s="560" t="n">
        <f aca="false">+'[5]입력 시트(0124)'!V422</f>
        <v>0</v>
      </c>
      <c r="U324" s="560" t="n">
        <f aca="false">+'[5]입력 시트(0124)'!W422</f>
        <v>0</v>
      </c>
      <c r="V324" s="560" t="n">
        <f aca="false">+'[5]입력 시트(0124)'!X422</f>
        <v>0</v>
      </c>
      <c r="W324" s="560" t="n">
        <f aca="false">+'[5]입력 시트(0124)'!Y422</f>
        <v>0</v>
      </c>
    </row>
    <row r="325" customFormat="false" ht="14.9" hidden="true" customHeight="false" outlineLevel="1" collapsed="false">
      <c r="B325" s="495"/>
      <c r="C325" s="542" t="s">
        <v>339</v>
      </c>
      <c r="D325" s="455" t="n">
        <f aca="false">+D324+1</f>
        <v>22</v>
      </c>
      <c r="E325" s="560" t="n">
        <f aca="false">+'[5]입력 시트(0124)'!E423</f>
        <v>0</v>
      </c>
      <c r="F325" s="560" t="n">
        <f aca="false">+'[5]입력 시트(0124)'!F423</f>
        <v>0</v>
      </c>
      <c r="G325" s="560" t="n">
        <f aca="false">+'[5]입력 시트(0124)'!G423</f>
        <v>0</v>
      </c>
      <c r="H325" s="560" t="n">
        <f aca="false">+'[5]입력 시트(0124)'!H423</f>
        <v>0</v>
      </c>
      <c r="I325" s="560" t="n">
        <f aca="false">+'[5]입력 시트(0124)'!I423</f>
        <v>0</v>
      </c>
      <c r="J325" s="560" t="n">
        <f aca="false">+'[5]입력 시트(0124)'!J423</f>
        <v>0</v>
      </c>
      <c r="K325" s="560" t="n">
        <f aca="false">+'[5]입력 시트(0124)'!G423</f>
        <v>0</v>
      </c>
      <c r="L325" s="560" t="n">
        <f aca="false">+'[5]입력 시트(0124)'!H423</f>
        <v>0</v>
      </c>
      <c r="M325" s="560" t="n">
        <f aca="false">+'[5]입력 시트(0124)'!I423</f>
        <v>0</v>
      </c>
      <c r="N325" s="560" t="n">
        <f aca="false">+'[5]입력 시트(0124)'!N423</f>
        <v>0</v>
      </c>
      <c r="O325" s="560" t="n">
        <f aca="false">+'[5]입력 시트(0124)'!Q423</f>
        <v>0</v>
      </c>
      <c r="R325" s="560" t="n">
        <f aca="false">+'[5]입력 시트(0124)'!T423</f>
        <v>0</v>
      </c>
      <c r="S325" s="560" t="n">
        <f aca="false">+'[5]입력 시트(0124)'!U423</f>
        <v>0</v>
      </c>
      <c r="T325" s="560" t="n">
        <f aca="false">+'[5]입력 시트(0124)'!V423</f>
        <v>0</v>
      </c>
      <c r="U325" s="560" t="n">
        <f aca="false">+'[5]입력 시트(0124)'!W423</f>
        <v>0</v>
      </c>
      <c r="V325" s="560" t="n">
        <f aca="false">+'[5]입력 시트(0124)'!X423</f>
        <v>0</v>
      </c>
      <c r="W325" s="560" t="n">
        <f aca="false">+'[5]입력 시트(0124)'!Y423</f>
        <v>0</v>
      </c>
    </row>
    <row r="326" customFormat="false" ht="14.9" hidden="true" customHeight="false" outlineLevel="1" collapsed="false">
      <c r="B326" s="495"/>
      <c r="C326" s="542" t="s">
        <v>339</v>
      </c>
      <c r="D326" s="455" t="n">
        <f aca="false">+D325+1</f>
        <v>23</v>
      </c>
      <c r="E326" s="560" t="n">
        <f aca="false">+'[5]입력 시트(0124)'!E424</f>
        <v>0</v>
      </c>
      <c r="F326" s="560" t="n">
        <f aca="false">+'[5]입력 시트(0124)'!F424</f>
        <v>0</v>
      </c>
      <c r="G326" s="560" t="n">
        <f aca="false">+'[5]입력 시트(0124)'!G424</f>
        <v>0</v>
      </c>
      <c r="H326" s="560" t="n">
        <f aca="false">+'[5]입력 시트(0124)'!H424</f>
        <v>0</v>
      </c>
      <c r="I326" s="560" t="n">
        <f aca="false">+'[5]입력 시트(0124)'!I424</f>
        <v>0</v>
      </c>
      <c r="J326" s="560" t="n">
        <f aca="false">+'[5]입력 시트(0124)'!J424</f>
        <v>0</v>
      </c>
      <c r="K326" s="560" t="n">
        <f aca="false">+'[5]입력 시트(0124)'!G424</f>
        <v>0</v>
      </c>
      <c r="L326" s="560" t="n">
        <f aca="false">+'[5]입력 시트(0124)'!H424</f>
        <v>0</v>
      </c>
      <c r="M326" s="560" t="n">
        <f aca="false">+'[5]입력 시트(0124)'!I424</f>
        <v>0</v>
      </c>
      <c r="N326" s="560" t="n">
        <f aca="false">+'[5]입력 시트(0124)'!N424</f>
        <v>0</v>
      </c>
      <c r="O326" s="560" t="n">
        <f aca="false">+'[5]입력 시트(0124)'!Q424</f>
        <v>0</v>
      </c>
      <c r="R326" s="560" t="n">
        <f aca="false">+'[5]입력 시트(0124)'!T424</f>
        <v>0</v>
      </c>
      <c r="S326" s="560" t="n">
        <f aca="false">+'[5]입력 시트(0124)'!U424</f>
        <v>0</v>
      </c>
      <c r="T326" s="560" t="n">
        <f aca="false">+'[5]입력 시트(0124)'!V424</f>
        <v>0</v>
      </c>
      <c r="U326" s="560" t="n">
        <f aca="false">+'[5]입력 시트(0124)'!W424</f>
        <v>0</v>
      </c>
      <c r="V326" s="560" t="n">
        <f aca="false">+'[5]입력 시트(0124)'!X424</f>
        <v>0</v>
      </c>
      <c r="W326" s="560" t="n">
        <f aca="false">+'[5]입력 시트(0124)'!Y424</f>
        <v>0</v>
      </c>
    </row>
    <row r="327" customFormat="false" ht="14.9" hidden="true" customHeight="false" outlineLevel="1" collapsed="false">
      <c r="B327" s="495"/>
      <c r="C327" s="542" t="s">
        <v>339</v>
      </c>
      <c r="D327" s="455" t="n">
        <f aca="false">+D326+1</f>
        <v>24</v>
      </c>
      <c r="E327" s="560" t="n">
        <f aca="false">+'[5]입력 시트(0124)'!E425</f>
        <v>0</v>
      </c>
      <c r="F327" s="560" t="n">
        <f aca="false">+'[5]입력 시트(0124)'!F425</f>
        <v>0</v>
      </c>
      <c r="G327" s="560" t="n">
        <f aca="false">+'[5]입력 시트(0124)'!G425</f>
        <v>0</v>
      </c>
      <c r="H327" s="560" t="n">
        <f aca="false">+'[5]입력 시트(0124)'!H425</f>
        <v>0</v>
      </c>
      <c r="I327" s="560" t="n">
        <f aca="false">+'[5]입력 시트(0124)'!I425</f>
        <v>0</v>
      </c>
      <c r="J327" s="560" t="n">
        <f aca="false">+'[5]입력 시트(0124)'!J425</f>
        <v>0</v>
      </c>
      <c r="K327" s="560" t="n">
        <f aca="false">+'[5]입력 시트(0124)'!G425</f>
        <v>0</v>
      </c>
      <c r="L327" s="560" t="n">
        <f aca="false">+'[5]입력 시트(0124)'!H425</f>
        <v>0</v>
      </c>
      <c r="M327" s="560" t="n">
        <f aca="false">+'[5]입력 시트(0124)'!I425</f>
        <v>0</v>
      </c>
      <c r="N327" s="560" t="n">
        <f aca="false">+'[5]입력 시트(0124)'!N425</f>
        <v>0</v>
      </c>
      <c r="O327" s="560" t="n">
        <f aca="false">+'[5]입력 시트(0124)'!Q425</f>
        <v>0</v>
      </c>
      <c r="R327" s="560" t="n">
        <f aca="false">+'[5]입력 시트(0124)'!T425</f>
        <v>0</v>
      </c>
      <c r="S327" s="560" t="n">
        <f aca="false">+'[5]입력 시트(0124)'!U425</f>
        <v>0</v>
      </c>
      <c r="T327" s="560" t="n">
        <f aca="false">+'[5]입력 시트(0124)'!V425</f>
        <v>0</v>
      </c>
      <c r="U327" s="560" t="n">
        <f aca="false">+'[5]입력 시트(0124)'!W425</f>
        <v>0</v>
      </c>
      <c r="V327" s="560" t="n">
        <f aca="false">+'[5]입력 시트(0124)'!X425</f>
        <v>0</v>
      </c>
      <c r="W327" s="560" t="n">
        <f aca="false">+'[5]입력 시트(0124)'!Y425</f>
        <v>0</v>
      </c>
    </row>
    <row r="328" customFormat="false" ht="12.75" hidden="true" customHeight="false" outlineLevel="1" collapsed="false">
      <c r="B328" s="496" t="s">
        <v>370</v>
      </c>
      <c r="E328" s="562"/>
      <c r="F328" s="562"/>
      <c r="G328" s="562"/>
      <c r="H328" s="562"/>
      <c r="I328" s="562"/>
      <c r="J328" s="562"/>
      <c r="K328" s="562"/>
      <c r="L328" s="562"/>
      <c r="M328" s="562"/>
      <c r="N328" s="562"/>
      <c r="O328" s="562"/>
      <c r="R328" s="562"/>
      <c r="S328" s="562"/>
      <c r="T328" s="562"/>
      <c r="U328" s="562"/>
      <c r="V328" s="562"/>
      <c r="W328" s="562"/>
    </row>
  </sheetData>
  <mergeCells count="15">
    <mergeCell ref="C11:D11"/>
    <mergeCell ref="C12:D12"/>
    <mergeCell ref="C66:D67"/>
    <mergeCell ref="C75:D75"/>
    <mergeCell ref="C84:D84"/>
    <mergeCell ref="C93:D93"/>
    <mergeCell ref="C102:D102"/>
    <mergeCell ref="C111:D111"/>
    <mergeCell ref="C120:D120"/>
    <mergeCell ref="C130:D130"/>
    <mergeCell ref="C157:D157"/>
    <mergeCell ref="C179:D179"/>
    <mergeCell ref="C215:D215"/>
    <mergeCell ref="C233:D233"/>
    <mergeCell ref="C264:D2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2:W3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10" topLeftCell="G11" activePane="bottomRight" state="frozen"/>
      <selection pane="topLeft" activeCell="A1" activeCellId="0" sqref="A1"/>
      <selection pane="topRight" activeCell="G1" activeCellId="0" sqref="G1"/>
      <selection pane="bottomLeft" activeCell="A11" activeCellId="0" sqref="A11"/>
      <selection pane="bottomRight" activeCell="D13" activeCellId="0" sqref="D13"/>
    </sheetView>
  </sheetViews>
  <sheetFormatPr defaultColWidth="8" defaultRowHeight="12.75" zeroHeight="false" outlineLevelRow="0" outlineLevelCol="0"/>
  <cols>
    <col collapsed="false" customWidth="true" hidden="false" outlineLevel="0" max="1" min="1" style="257" width="1.5"/>
    <col collapsed="false" customWidth="true" hidden="false" outlineLevel="0" max="3" min="2" style="257" width="11"/>
    <col collapsed="false" customWidth="true" hidden="false" outlineLevel="0" max="4" min="4" style="257" width="22.5"/>
    <col collapsed="false" customWidth="true" hidden="false" outlineLevel="0" max="5" min="5" style="257" width="12.25"/>
    <col collapsed="false" customWidth="true" hidden="false" outlineLevel="0" max="7" min="6" style="150" width="13"/>
    <col collapsed="false" customWidth="true" hidden="false" outlineLevel="0" max="8" min="8" style="257" width="15.37"/>
    <col collapsed="false" customWidth="true" hidden="false" outlineLevel="0" max="10" min="9" style="257" width="12.75"/>
    <col collapsed="false" customWidth="true" hidden="false" outlineLevel="0" max="11" min="11" style="257" width="19.25"/>
    <col collapsed="false" customWidth="true" hidden="false" outlineLevel="0" max="12" min="12" style="150" width="7.88"/>
    <col collapsed="false" customWidth="true" hidden="false" outlineLevel="0" max="13" min="13" style="257" width="14.88"/>
    <col collapsed="false" customWidth="true" hidden="false" outlineLevel="0" max="14" min="14" style="150" width="7.88"/>
    <col collapsed="false" customWidth="true" hidden="false" outlineLevel="0" max="15" min="15" style="257" width="14.88"/>
    <col collapsed="false" customWidth="true" hidden="false" outlineLevel="0" max="16" min="16" style="257" width="18.75"/>
    <col collapsed="false" customWidth="true" hidden="false" outlineLevel="0" max="17" min="17" style="150" width="7.88"/>
    <col collapsed="false" customWidth="true" hidden="false" outlineLevel="0" max="18" min="18" style="257" width="14.88"/>
    <col collapsed="false" customWidth="true" hidden="false" outlineLevel="0" max="19" min="19" style="150" width="6.88"/>
    <col collapsed="false" customWidth="true" hidden="false" outlineLevel="0" max="20" min="20" style="257" width="14.88"/>
    <col collapsed="false" customWidth="true" hidden="false" outlineLevel="0" max="21" min="21" style="257" width="1.5"/>
    <col collapsed="false" customWidth="true" hidden="false" outlineLevel="0" max="22" min="22" style="257" width="10.25"/>
    <col collapsed="false" customWidth="true" hidden="false" outlineLevel="0" max="23" min="23" style="257" width="11.62"/>
    <col collapsed="false" customWidth="true" hidden="false" outlineLevel="0" max="24" min="24" style="257" width="9.37"/>
    <col collapsed="false" customWidth="false" hidden="false" outlineLevel="0" max="16384" min="25" style="257" width="8"/>
  </cols>
  <sheetData>
    <row r="2" customFormat="false" ht="12.75" hidden="false" customHeight="false" outlineLevel="0" collapsed="false">
      <c r="B2" s="149" t="s">
        <v>140</v>
      </c>
      <c r="C2" s="149"/>
      <c r="D2" s="149" t="s">
        <v>103</v>
      </c>
      <c r="E2" s="149"/>
    </row>
    <row r="3" customFormat="false" ht="41.75" hidden="false" customHeight="false" outlineLevel="0" collapsed="false">
      <c r="B3" s="151" t="s">
        <v>141</v>
      </c>
      <c r="C3" s="149"/>
      <c r="D3" s="149" t="s">
        <v>142</v>
      </c>
      <c r="E3" s="149"/>
    </row>
    <row r="4" customFormat="false" ht="28.35" hidden="false" customHeight="false" outlineLevel="0" collapsed="false">
      <c r="B4" s="151" t="s">
        <v>143</v>
      </c>
      <c r="C4" s="149"/>
      <c r="D4" s="149" t="s">
        <v>144</v>
      </c>
      <c r="E4" s="149"/>
    </row>
    <row r="5" customFormat="false" ht="12.75" hidden="false" customHeight="false" outlineLevel="0" collapsed="false">
      <c r="B5" s="149" t="s">
        <v>145</v>
      </c>
      <c r="C5" s="149"/>
      <c r="D5" s="149" t="s">
        <v>146</v>
      </c>
      <c r="E5" s="149"/>
    </row>
    <row r="6" customFormat="false" ht="28.35" hidden="false" customHeight="false" outlineLevel="0" collapsed="false">
      <c r="B6" s="151" t="s">
        <v>147</v>
      </c>
      <c r="C6" s="149"/>
      <c r="D6" s="149" t="s">
        <v>148</v>
      </c>
      <c r="E6" s="149"/>
    </row>
    <row r="7" customFormat="false" ht="28.35" hidden="false" customHeight="false" outlineLevel="0" collapsed="false">
      <c r="B7" s="151" t="s">
        <v>149</v>
      </c>
      <c r="C7" s="149"/>
      <c r="D7" s="149" t="s">
        <v>150</v>
      </c>
      <c r="E7" s="149"/>
    </row>
    <row r="8" customFormat="false" ht="12.75" hidden="false" customHeight="false" outlineLevel="0" collapsed="false">
      <c r="M8" s="577" t="s">
        <v>407</v>
      </c>
      <c r="O8" s="577" t="s">
        <v>408</v>
      </c>
      <c r="T8" s="296" t="s">
        <v>210</v>
      </c>
    </row>
    <row r="9" customFormat="false" ht="27" hidden="false" customHeight="true" outlineLevel="0" collapsed="false">
      <c r="B9" s="297" t="s">
        <v>96</v>
      </c>
      <c r="C9" s="298" t="s">
        <v>211</v>
      </c>
      <c r="D9" s="298" t="s">
        <v>122</v>
      </c>
      <c r="E9" s="297" t="s">
        <v>152</v>
      </c>
      <c r="F9" s="297" t="s">
        <v>123</v>
      </c>
      <c r="G9" s="299" t="s">
        <v>154</v>
      </c>
      <c r="H9" s="297" t="s">
        <v>109</v>
      </c>
      <c r="I9" s="299" t="s">
        <v>251</v>
      </c>
      <c r="J9" s="299" t="s">
        <v>252</v>
      </c>
      <c r="K9" s="300" t="s">
        <v>409</v>
      </c>
      <c r="L9" s="301" t="s">
        <v>197</v>
      </c>
      <c r="M9" s="301"/>
      <c r="N9" s="302" t="s">
        <v>161</v>
      </c>
      <c r="O9" s="302"/>
      <c r="P9" s="299" t="s">
        <v>253</v>
      </c>
      <c r="Q9" s="303" t="s">
        <v>163</v>
      </c>
      <c r="R9" s="303"/>
      <c r="S9" s="297" t="s">
        <v>254</v>
      </c>
      <c r="T9" s="297"/>
      <c r="V9" s="297" t="s">
        <v>167</v>
      </c>
    </row>
    <row r="10" customFormat="false" ht="27" hidden="false" customHeight="true" outlineLevel="0" collapsed="false">
      <c r="B10" s="297"/>
      <c r="C10" s="298"/>
      <c r="D10" s="298"/>
      <c r="E10" s="297"/>
      <c r="F10" s="297"/>
      <c r="G10" s="299"/>
      <c r="H10" s="297"/>
      <c r="I10" s="299"/>
      <c r="J10" s="299"/>
      <c r="K10" s="300"/>
      <c r="L10" s="304" t="s">
        <v>168</v>
      </c>
      <c r="M10" s="305" t="s">
        <v>169</v>
      </c>
      <c r="N10" s="306" t="s">
        <v>168</v>
      </c>
      <c r="O10" s="307" t="s">
        <v>169</v>
      </c>
      <c r="P10" s="299"/>
      <c r="Q10" s="307" t="s">
        <v>168</v>
      </c>
      <c r="R10" s="307" t="s">
        <v>169</v>
      </c>
      <c r="S10" s="297"/>
      <c r="T10" s="297"/>
      <c r="V10" s="297"/>
    </row>
    <row r="11" customFormat="false" ht="16.5" hidden="false" customHeight="true" outlineLevel="0" collapsed="false">
      <c r="B11" s="433" t="s">
        <v>103</v>
      </c>
      <c r="C11" s="308" t="s">
        <v>255</v>
      </c>
      <c r="D11" s="309" t="str">
        <f aca="false">+'GM Batch1'!C11</f>
        <v>YJ NANSAN 1</v>
      </c>
      <c r="E11" s="310" t="n">
        <v>1050000</v>
      </c>
      <c r="F11" s="311" t="n">
        <f aca="false">+'GM Batch1'!D11</f>
        <v>999.58</v>
      </c>
      <c r="G11" s="312" t="n">
        <f aca="false">+E11*F11*1.1/1470</f>
        <v>785384.285714286</v>
      </c>
      <c r="H11" s="313" t="n">
        <f aca="false">+I11+K11+P11</f>
        <v>288628725</v>
      </c>
      <c r="I11" s="313"/>
      <c r="J11" s="314"/>
      <c r="K11" s="315" t="n">
        <f aca="false">+M11+O11</f>
        <v>230902980</v>
      </c>
      <c r="L11" s="316" t="n">
        <f aca="false">+'GM Batch1'!AA11</f>
        <v>45920</v>
      </c>
      <c r="M11" s="317" t="n">
        <f aca="false">+'GM Batch1'!AD11</f>
        <v>230902980</v>
      </c>
      <c r="N11" s="319" t="n">
        <f aca="false">+'GM Batch1'!AH11</f>
        <v>45950</v>
      </c>
      <c r="O11" s="313" t="n">
        <f aca="false">+'GM Batch1'!AK11</f>
        <v>0</v>
      </c>
      <c r="P11" s="318" t="n">
        <f aca="false">+R11+T11</f>
        <v>57725745</v>
      </c>
      <c r="Q11" s="320"/>
      <c r="R11" s="321"/>
      <c r="S11" s="320"/>
      <c r="T11" s="313" t="n">
        <f aca="false">+'GM Batch1'!BM11</f>
        <v>57725745</v>
      </c>
      <c r="V11" s="322" t="n">
        <f aca="false">+I11+K11+P11=E11*F11*1.1</f>
        <v>0</v>
      </c>
      <c r="W11" s="323"/>
    </row>
    <row r="12" customFormat="false" ht="16.5" hidden="false" customHeight="true" outlineLevel="0" collapsed="false">
      <c r="B12" s="433"/>
      <c r="C12" s="433"/>
      <c r="D12" s="309" t="str">
        <f aca="false">+'GM Batch1'!C17</f>
        <v>YJ NANSAN 2</v>
      </c>
      <c r="E12" s="324" t="n">
        <v>1050000</v>
      </c>
      <c r="F12" s="325" t="n">
        <f aca="false">+'GM Batch1'!D17</f>
        <v>999.58</v>
      </c>
      <c r="G12" s="326" t="n">
        <f aca="false">+E12*F12*1.1/1470</f>
        <v>785384.285714286</v>
      </c>
      <c r="H12" s="318" t="n">
        <f aca="false">+I12+K12+P12</f>
        <v>288628725</v>
      </c>
      <c r="I12" s="318"/>
      <c r="J12" s="314"/>
      <c r="K12" s="315" t="n">
        <f aca="false">+M12+O12</f>
        <v>230902980</v>
      </c>
      <c r="L12" s="328" t="n">
        <f aca="false">+'GM Batch1'!AA17</f>
        <v>45920</v>
      </c>
      <c r="M12" s="329" t="n">
        <f aca="false">+'GM Batch1'!AD17</f>
        <v>230902980</v>
      </c>
      <c r="N12" s="330" t="n">
        <f aca="false">+'GM Batch1'!AH17</f>
        <v>45950</v>
      </c>
      <c r="O12" s="318" t="n">
        <f aca="false">+'GM Batch1'!AK17</f>
        <v>0</v>
      </c>
      <c r="P12" s="318" t="n">
        <f aca="false">+R12+T12</f>
        <v>57725745</v>
      </c>
      <c r="Q12" s="331"/>
      <c r="R12" s="332"/>
      <c r="S12" s="333"/>
      <c r="T12" s="318" t="n">
        <f aca="false">+'GM Batch1'!BM17</f>
        <v>57725745</v>
      </c>
      <c r="V12" s="334" t="n">
        <f aca="false">+I12+K12+P12=E12*F12*1.1</f>
        <v>0</v>
      </c>
      <c r="W12" s="323"/>
    </row>
    <row r="13" customFormat="false" ht="16.5" hidden="false" customHeight="true" outlineLevel="0" collapsed="false">
      <c r="B13" s="433"/>
      <c r="C13" s="433"/>
      <c r="D13" s="309" t="str">
        <f aca="false">+'GM Batch1'!C23</f>
        <v>YJ GASI 1</v>
      </c>
      <c r="E13" s="324" t="n">
        <v>1050000</v>
      </c>
      <c r="F13" s="325" t="n">
        <f aca="false">+'GM Batch1'!D23</f>
        <v>999.6</v>
      </c>
      <c r="G13" s="326" t="n">
        <f aca="false">+E13*F13*1.1/1470</f>
        <v>785400</v>
      </c>
      <c r="H13" s="318" t="n">
        <f aca="false">+I13+K13+P13</f>
        <v>288634500</v>
      </c>
      <c r="I13" s="318"/>
      <c r="J13" s="314"/>
      <c r="K13" s="315" t="n">
        <f aca="false">+M13+O13</f>
        <v>230907600</v>
      </c>
      <c r="L13" s="328" t="n">
        <f aca="false">+'GM Batch1'!AA23</f>
        <v>45920</v>
      </c>
      <c r="M13" s="329" t="n">
        <f aca="false">+'GM Batch1'!AD23</f>
        <v>230907600</v>
      </c>
      <c r="N13" s="330" t="n">
        <f aca="false">+'GM Batch1'!AH23</f>
        <v>45950</v>
      </c>
      <c r="O13" s="318" t="n">
        <f aca="false">+'GM Batch1'!AK23</f>
        <v>0</v>
      </c>
      <c r="P13" s="318" t="n">
        <f aca="false">+R13+T13</f>
        <v>57726900</v>
      </c>
      <c r="Q13" s="331"/>
      <c r="R13" s="332"/>
      <c r="S13" s="333"/>
      <c r="T13" s="318" t="n">
        <f aca="false">+'GM Batch1'!BM23</f>
        <v>57726900</v>
      </c>
      <c r="V13" s="435" t="b">
        <f aca="false">+I13+K13+P13=E13*F13*1.1</f>
        <v>0</v>
      </c>
      <c r="W13" s="323"/>
    </row>
    <row r="14" customFormat="false" ht="16.5" hidden="false" customHeight="true" outlineLevel="0" collapsed="false">
      <c r="B14" s="433"/>
      <c r="C14" s="433"/>
      <c r="D14" s="309" t="str">
        <f aca="false">+'GM Batch1'!C29</f>
        <v>YJ GASI 2</v>
      </c>
      <c r="E14" s="324" t="n">
        <v>1050000</v>
      </c>
      <c r="F14" s="335" t="n">
        <f aca="false">+'GM Batch1'!D29</f>
        <v>999.6</v>
      </c>
      <c r="G14" s="326" t="n">
        <f aca="false">+E14*F14*1.1/1470</f>
        <v>785400</v>
      </c>
      <c r="H14" s="318" t="n">
        <f aca="false">+I14+K14+P14</f>
        <v>288634500</v>
      </c>
      <c r="I14" s="318"/>
      <c r="J14" s="314"/>
      <c r="K14" s="315" t="n">
        <f aca="false">+M14+O14</f>
        <v>230907600</v>
      </c>
      <c r="L14" s="328" t="n">
        <f aca="false">+'GM Batch1'!AA29</f>
        <v>45920</v>
      </c>
      <c r="M14" s="336" t="n">
        <f aca="false">+'GM Batch1'!AD29</f>
        <v>230907600</v>
      </c>
      <c r="N14" s="330" t="n">
        <f aca="false">+'GM Batch1'!AH29</f>
        <v>45950</v>
      </c>
      <c r="O14" s="318" t="n">
        <f aca="false">+'GM Batch1'!AK29</f>
        <v>0</v>
      </c>
      <c r="P14" s="318" t="n">
        <f aca="false">+R14+T14</f>
        <v>57726900</v>
      </c>
      <c r="Q14" s="331"/>
      <c r="R14" s="332"/>
      <c r="S14" s="333"/>
      <c r="T14" s="318" t="n">
        <f aca="false">+'GM Batch1'!BM29</f>
        <v>57726900</v>
      </c>
      <c r="V14" s="435" t="b">
        <f aca="false">+I14+K14+P14=E14*F14*1.1</f>
        <v>0</v>
      </c>
      <c r="W14" s="323"/>
    </row>
    <row r="15" customFormat="false" ht="16.5" hidden="false" customHeight="true" outlineLevel="0" collapsed="false">
      <c r="B15" s="433"/>
      <c r="C15" s="433"/>
      <c r="D15" s="309" t="str">
        <f aca="false">+'GM Batch1'!C35</f>
        <v>Dream 1</v>
      </c>
      <c r="E15" s="324" t="n">
        <v>1050000</v>
      </c>
      <c r="F15" s="335" t="n">
        <f aca="false">+'GM Batch1'!D35</f>
        <v>999.24</v>
      </c>
      <c r="G15" s="326" t="n">
        <f aca="false">+E15*F15*1.1/1470</f>
        <v>785117.142857143</v>
      </c>
      <c r="H15" s="318" t="n">
        <f aca="false">+I15+K15+P15</f>
        <v>288530550</v>
      </c>
      <c r="I15" s="318"/>
      <c r="J15" s="314"/>
      <c r="K15" s="315" t="n">
        <f aca="false">+M15+O15</f>
        <v>0</v>
      </c>
      <c r="L15" s="328"/>
      <c r="M15" s="336"/>
      <c r="N15" s="330"/>
      <c r="O15" s="436"/>
      <c r="P15" s="318" t="n">
        <f aca="false">+R15+T15</f>
        <v>288530550</v>
      </c>
      <c r="Q15" s="331"/>
      <c r="R15" s="332"/>
      <c r="S15" s="333"/>
      <c r="T15" s="318" t="n">
        <f aca="false">+'GM Batch1'!AD35+'GM Batch1'!AK35+'GM Batch1'!BM35</f>
        <v>288530550</v>
      </c>
      <c r="V15" s="435" t="b">
        <f aca="false">+I15+K15+P15=E15*F15*1.1</f>
        <v>0</v>
      </c>
      <c r="W15" s="323"/>
    </row>
    <row r="16" customFormat="false" ht="16.5" hidden="false" customHeight="true" outlineLevel="0" collapsed="false">
      <c r="B16" s="433"/>
      <c r="C16" s="433"/>
      <c r="D16" s="309" t="str">
        <f aca="false">+'GM Batch1'!C41</f>
        <v>Dream 2</v>
      </c>
      <c r="E16" s="324" t="n">
        <v>1050000</v>
      </c>
      <c r="F16" s="335" t="n">
        <f aca="false">+'GM Batch1'!D41</f>
        <v>999.24</v>
      </c>
      <c r="G16" s="326" t="n">
        <f aca="false">+E16*F16*1.1/1470</f>
        <v>785117.142857143</v>
      </c>
      <c r="H16" s="318" t="n">
        <f aca="false">+I16+K16+P16</f>
        <v>288530550</v>
      </c>
      <c r="I16" s="318"/>
      <c r="J16" s="314"/>
      <c r="K16" s="315" t="n">
        <f aca="false">+M16+O16</f>
        <v>0</v>
      </c>
      <c r="L16" s="328"/>
      <c r="M16" s="329"/>
      <c r="N16" s="330"/>
      <c r="O16" s="436"/>
      <c r="P16" s="318" t="n">
        <f aca="false">+R16+T16</f>
        <v>288530550</v>
      </c>
      <c r="Q16" s="331"/>
      <c r="R16" s="332"/>
      <c r="S16" s="333"/>
      <c r="T16" s="318" t="n">
        <f aca="false">+'GM Batch1'!AD41+'GM Batch1'!AK41+'GM Batch1'!BM41</f>
        <v>288530550</v>
      </c>
      <c r="V16" s="435" t="b">
        <f aca="false">+I16+K16+P16=E16*F16*1.1</f>
        <v>0</v>
      </c>
      <c r="W16" s="323"/>
    </row>
    <row r="17" customFormat="false" ht="16.5" hidden="false" customHeight="true" outlineLevel="0" collapsed="false">
      <c r="B17" s="433"/>
      <c r="C17" s="433"/>
      <c r="D17" s="309" t="str">
        <f aca="false">+'GM Batch1'!C47</f>
        <v>JEIL TECH 1</v>
      </c>
      <c r="E17" s="324" t="n">
        <v>1050000</v>
      </c>
      <c r="F17" s="335" t="n">
        <f aca="false">+'GM Batch1'!D47</f>
        <v>999.44</v>
      </c>
      <c r="G17" s="326" t="n">
        <f aca="false">+E17*F17*1.1/1470</f>
        <v>785274.285714286</v>
      </c>
      <c r="H17" s="318" t="n">
        <f aca="false">+I17+K17+P17</f>
        <v>288588300</v>
      </c>
      <c r="I17" s="318"/>
      <c r="J17" s="314"/>
      <c r="K17" s="315" t="n">
        <f aca="false">+M17+O17</f>
        <v>0</v>
      </c>
      <c r="L17" s="328"/>
      <c r="M17" s="329"/>
      <c r="N17" s="330"/>
      <c r="O17" s="436"/>
      <c r="P17" s="318" t="n">
        <f aca="false">+R17+T17</f>
        <v>288588300</v>
      </c>
      <c r="Q17" s="331"/>
      <c r="R17" s="332"/>
      <c r="S17" s="333"/>
      <c r="T17" s="318" t="n">
        <f aca="false">+'GM Batch1'!AD47+'GM Batch1'!AK47+'GM Batch1'!BM47</f>
        <v>288588300</v>
      </c>
      <c r="V17" s="435" t="b">
        <f aca="false">+I17+K17+P17=E17*F17*1.1</f>
        <v>0</v>
      </c>
      <c r="W17" s="323"/>
    </row>
    <row r="18" customFormat="false" ht="16.5" hidden="false" customHeight="true" outlineLevel="0" collapsed="false">
      <c r="B18" s="433"/>
      <c r="C18" s="433"/>
      <c r="D18" s="309" t="str">
        <f aca="false">+'GM Batch1'!C53</f>
        <v>JEIL TECH 2</v>
      </c>
      <c r="E18" s="324" t="n">
        <v>1050000</v>
      </c>
      <c r="F18" s="335" t="n">
        <f aca="false">+'GM Batch1'!D53</f>
        <v>999.44</v>
      </c>
      <c r="G18" s="326" t="n">
        <f aca="false">+E18*F18*1.1/1470</f>
        <v>785274.285714286</v>
      </c>
      <c r="H18" s="318" t="n">
        <f aca="false">+I18+K18+P18</f>
        <v>288588300</v>
      </c>
      <c r="I18" s="318"/>
      <c r="J18" s="314"/>
      <c r="K18" s="315" t="n">
        <f aca="false">+M18+O18</f>
        <v>0</v>
      </c>
      <c r="L18" s="328"/>
      <c r="M18" s="336"/>
      <c r="N18" s="330"/>
      <c r="O18" s="436"/>
      <c r="P18" s="318" t="n">
        <f aca="false">+R18+T18</f>
        <v>288588300</v>
      </c>
      <c r="Q18" s="331"/>
      <c r="R18" s="436"/>
      <c r="S18" s="349"/>
      <c r="T18" s="318" t="n">
        <f aca="false">+'GM Batch1'!AD53+'GM Batch1'!AK53+'GM Batch1'!BM53</f>
        <v>288588300</v>
      </c>
      <c r="V18" s="349" t="n">
        <f aca="false">+I18+K18+P18=E18*F18*1.1</f>
        <v>0</v>
      </c>
      <c r="W18" s="323"/>
    </row>
    <row r="19" customFormat="false" ht="16.5" hidden="false" customHeight="true" outlineLevel="0" collapsed="false">
      <c r="B19" s="433"/>
      <c r="C19" s="433"/>
      <c r="D19" s="337" t="s">
        <v>109</v>
      </c>
      <c r="E19" s="337"/>
      <c r="F19" s="339" t="n">
        <f aca="false">SUM(F11:F18)</f>
        <v>7995.72</v>
      </c>
      <c r="G19" s="340" t="n">
        <f aca="false">SUM(G11:G18)</f>
        <v>6282351.42857143</v>
      </c>
      <c r="H19" s="341" t="n">
        <f aca="false">H20/1470</f>
        <v>1570587.85714286</v>
      </c>
      <c r="I19" s="341" t="n">
        <f aca="false">I20/1470</f>
        <v>0</v>
      </c>
      <c r="J19" s="314"/>
      <c r="K19" s="342" t="n">
        <f aca="false">K20/1470</f>
        <v>628313.714285714</v>
      </c>
      <c r="L19" s="343"/>
      <c r="M19" s="344" t="n">
        <f aca="false">M20/1470</f>
        <v>628313.714285714</v>
      </c>
      <c r="N19" s="346"/>
      <c r="O19" s="345" t="n">
        <f aca="false">O20/1470</f>
        <v>0</v>
      </c>
      <c r="P19" s="345" t="n">
        <f aca="false">P20/1470</f>
        <v>942274.142857143</v>
      </c>
      <c r="Q19" s="347"/>
      <c r="R19" s="345" t="n">
        <f aca="false">R20/1470</f>
        <v>0</v>
      </c>
      <c r="S19" s="348"/>
      <c r="T19" s="345" t="n">
        <f aca="false">T20/1470</f>
        <v>942274.142857143</v>
      </c>
      <c r="V19" s="349"/>
      <c r="W19" s="323"/>
    </row>
    <row r="20" customFormat="false" ht="16.5" hidden="false" customHeight="true" outlineLevel="0" collapsed="false">
      <c r="B20" s="433"/>
      <c r="C20" s="308"/>
      <c r="D20" s="337"/>
      <c r="E20" s="337"/>
      <c r="F20" s="339"/>
      <c r="G20" s="340"/>
      <c r="H20" s="351" t="n">
        <f aca="false">+SUM(H11:H18)</f>
        <v>2308764150</v>
      </c>
      <c r="I20" s="351" t="n">
        <f aca="false">+SUM(I11:I18)</f>
        <v>0</v>
      </c>
      <c r="J20" s="314"/>
      <c r="K20" s="352" t="n">
        <f aca="false">+SUM(K11:K18)</f>
        <v>923621160</v>
      </c>
      <c r="L20" s="353"/>
      <c r="M20" s="354" t="n">
        <f aca="false">+SUM(M11:M18)</f>
        <v>923621160</v>
      </c>
      <c r="N20" s="355"/>
      <c r="O20" s="351" t="n">
        <f aca="false">+SUM(O11:O18)</f>
        <v>0</v>
      </c>
      <c r="P20" s="351" t="n">
        <f aca="false">+SUM(P11:P18)</f>
        <v>1385142990</v>
      </c>
      <c r="Q20" s="356"/>
      <c r="R20" s="351" t="n">
        <f aca="false">+SUM(R11:R18)</f>
        <v>0</v>
      </c>
      <c r="S20" s="357"/>
      <c r="T20" s="351" t="n">
        <f aca="false">+SUM(T11:T18)</f>
        <v>1385142990</v>
      </c>
      <c r="V20" s="357"/>
      <c r="W20" s="323"/>
    </row>
    <row r="21" customFormat="false" ht="16.5" hidden="false" customHeight="true" outlineLevel="0" collapsed="false">
      <c r="B21" s="361" t="s">
        <v>109</v>
      </c>
      <c r="C21" s="361"/>
      <c r="D21" s="361"/>
      <c r="E21" s="361"/>
      <c r="F21" s="363" t="n">
        <f aca="false">+F19</f>
        <v>7995.72</v>
      </c>
      <c r="G21" s="364" t="n">
        <f aca="false">+G19</f>
        <v>6282351.42857143</v>
      </c>
      <c r="H21" s="578" t="n">
        <f aca="false">H22/1470</f>
        <v>1570587.85714286</v>
      </c>
      <c r="I21" s="578" t="n">
        <f aca="false">I22/1470</f>
        <v>0</v>
      </c>
      <c r="J21" s="578" t="n">
        <f aca="false">J22/1470</f>
        <v>378254.363877551</v>
      </c>
      <c r="K21" s="342" t="n">
        <f aca="false">K22/1470</f>
        <v>628313.714285714</v>
      </c>
      <c r="L21" s="579"/>
      <c r="M21" s="580" t="n">
        <f aca="false">M22/1470</f>
        <v>628313.714285714</v>
      </c>
      <c r="N21" s="581"/>
      <c r="O21" s="582" t="n">
        <f aca="false">O22/1470</f>
        <v>0</v>
      </c>
      <c r="P21" s="582" t="n">
        <f aca="false">P22/1470</f>
        <v>942274.142857143</v>
      </c>
      <c r="Q21" s="578"/>
      <c r="R21" s="582" t="n">
        <f aca="false">R22/1470</f>
        <v>0</v>
      </c>
      <c r="S21" s="578"/>
      <c r="T21" s="582" t="n">
        <f aca="false">T22/1470</f>
        <v>942274.142857143</v>
      </c>
      <c r="V21" s="583"/>
      <c r="W21" s="323"/>
    </row>
    <row r="22" customFormat="false" ht="16.5" hidden="false" customHeight="true" outlineLevel="0" collapsed="false">
      <c r="B22" s="361"/>
      <c r="C22" s="361"/>
      <c r="D22" s="361"/>
      <c r="E22" s="361"/>
      <c r="F22" s="363"/>
      <c r="G22" s="364"/>
      <c r="H22" s="271" t="n">
        <f aca="false">+H20</f>
        <v>2308764150</v>
      </c>
      <c r="I22" s="271" t="n">
        <f aca="false">+I20</f>
        <v>0</v>
      </c>
      <c r="J22" s="271" t="n">
        <f aca="false">+'Amount to be paid in 2025(Total'!J46</f>
        <v>556033914.9</v>
      </c>
      <c r="K22" s="272" t="n">
        <f aca="false">+K20</f>
        <v>923621160</v>
      </c>
      <c r="L22" s="372"/>
      <c r="M22" s="373" t="n">
        <f aca="false">+M20</f>
        <v>923621160</v>
      </c>
      <c r="N22" s="374"/>
      <c r="O22" s="271" t="n">
        <f aca="false">+O20</f>
        <v>0</v>
      </c>
      <c r="P22" s="271" t="n">
        <f aca="false">+P20</f>
        <v>1385142990</v>
      </c>
      <c r="Q22" s="271"/>
      <c r="R22" s="271" t="n">
        <f aca="false">+R20</f>
        <v>0</v>
      </c>
      <c r="S22" s="271"/>
      <c r="T22" s="271" t="n">
        <f aca="false">+T20</f>
        <v>1385142990</v>
      </c>
      <c r="V22" s="369"/>
      <c r="W22" s="323"/>
    </row>
    <row r="23" s="257" customFormat="true" ht="16.5" hidden="false" customHeight="true" outlineLevel="0" collapsed="false">
      <c r="J23" s="323"/>
      <c r="Q23" s="150"/>
    </row>
    <row r="24" s="257" customFormat="true" ht="16.5" hidden="false" customHeight="true" outlineLevel="0" collapsed="false">
      <c r="I24" s="323"/>
      <c r="J24" s="323"/>
      <c r="Q24" s="150"/>
    </row>
    <row r="25" s="257" customFormat="true" ht="16.5" hidden="false" customHeight="true" outlineLevel="0" collapsed="false">
      <c r="D25" s="375" t="s">
        <v>410</v>
      </c>
      <c r="E25" s="294" t="n">
        <v>220000000</v>
      </c>
      <c r="I25" s="323"/>
      <c r="J25" s="323"/>
      <c r="M25" s="323"/>
      <c r="O25" s="323"/>
      <c r="Q25" s="150"/>
      <c r="R25" s="323"/>
      <c r="T25" s="323"/>
    </row>
    <row r="26" s="257" customFormat="true" ht="16.5" hidden="false" customHeight="true" outlineLevel="0" collapsed="false">
      <c r="I26" s="323"/>
      <c r="J26" s="387"/>
      <c r="M26" s="323"/>
      <c r="Q26" s="150"/>
      <c r="T26" s="323"/>
    </row>
    <row r="27" s="257" customFormat="true" ht="16.5" hidden="false" customHeight="true" outlineLevel="0" collapsed="false">
      <c r="D27" s="309" t="s">
        <v>170</v>
      </c>
      <c r="E27" s="294" t="n">
        <f aca="false">+$E$25/8</f>
        <v>27500000</v>
      </c>
      <c r="I27" s="323"/>
      <c r="J27" s="387"/>
      <c r="M27" s="391"/>
      <c r="Q27" s="150"/>
    </row>
    <row r="28" s="257" customFormat="true" ht="16.5" hidden="false" customHeight="true" outlineLevel="0" collapsed="false">
      <c r="D28" s="309" t="s">
        <v>171</v>
      </c>
      <c r="E28" s="294" t="n">
        <f aca="false">+$E$25/8</f>
        <v>27500000</v>
      </c>
      <c r="I28" s="387"/>
      <c r="Q28" s="150"/>
    </row>
    <row r="29" customFormat="false" ht="16.5" hidden="false" customHeight="true" outlineLevel="0" collapsed="false">
      <c r="D29" s="309" t="s">
        <v>172</v>
      </c>
      <c r="E29" s="294" t="n">
        <f aca="false">+$E$25/8</f>
        <v>27500000</v>
      </c>
      <c r="F29" s="257"/>
    </row>
    <row r="30" customFormat="false" ht="16.5" hidden="false" customHeight="true" outlineLevel="0" collapsed="false">
      <c r="D30" s="309" t="s">
        <v>173</v>
      </c>
      <c r="E30" s="294" t="n">
        <f aca="false">+$E$25/8</f>
        <v>27500000</v>
      </c>
      <c r="F30" s="257"/>
    </row>
    <row r="31" customFormat="false" ht="16.5" hidden="false" customHeight="true" outlineLevel="0" collapsed="false">
      <c r="D31" s="309" t="s">
        <v>174</v>
      </c>
      <c r="E31" s="294" t="n">
        <f aca="false">+$E$25/8</f>
        <v>27500000</v>
      </c>
      <c r="F31" s="257"/>
    </row>
    <row r="32" customFormat="false" ht="16.5" hidden="false" customHeight="true" outlineLevel="0" collapsed="false">
      <c r="D32" s="309" t="s">
        <v>175</v>
      </c>
      <c r="E32" s="294" t="n">
        <f aca="false">+$E$25/8</f>
        <v>27500000</v>
      </c>
      <c r="F32" s="257"/>
    </row>
    <row r="33" customFormat="false" ht="16.5" hidden="false" customHeight="true" outlineLevel="0" collapsed="false">
      <c r="D33" s="309" t="s">
        <v>176</v>
      </c>
      <c r="E33" s="294" t="n">
        <f aca="false">+$E$25/8</f>
        <v>27500000</v>
      </c>
    </row>
    <row r="34" customFormat="false" ht="16.5" hidden="false" customHeight="true" outlineLevel="0" collapsed="false">
      <c r="D34" s="309" t="s">
        <v>177</v>
      </c>
      <c r="E34" s="294" t="n">
        <f aca="false">+$E$25/8</f>
        <v>27500000</v>
      </c>
    </row>
    <row r="35" customFormat="false" ht="16.5" hidden="false" customHeight="true" outlineLevel="0" collapsed="false"/>
    <row r="36" customFormat="false" ht="16.5" hidden="false" customHeight="true" outlineLevel="0" collapsed="false"/>
    <row r="37" customFormat="false" ht="16.5" hidden="false" customHeight="true" outlineLevel="0" collapsed="false"/>
    <row r="38" customFormat="false" ht="16.5" hidden="false" customHeight="true" outlineLevel="0" collapsed="false"/>
  </sheetData>
  <mergeCells count="25">
    <mergeCell ref="B9:B10"/>
    <mergeCell ref="C9:C10"/>
    <mergeCell ref="D9:D10"/>
    <mergeCell ref="E9:E10"/>
    <mergeCell ref="F9:F10"/>
    <mergeCell ref="G9:G10"/>
    <mergeCell ref="H9:H10"/>
    <mergeCell ref="I9:I10"/>
    <mergeCell ref="J9:J10"/>
    <mergeCell ref="K9:K10"/>
    <mergeCell ref="L9:M9"/>
    <mergeCell ref="N9:O9"/>
    <mergeCell ref="P9:P10"/>
    <mergeCell ref="Q9:R9"/>
    <mergeCell ref="S9:T10"/>
    <mergeCell ref="V9:V10"/>
    <mergeCell ref="B11:B20"/>
    <mergeCell ref="C11:C20"/>
    <mergeCell ref="J11:J20"/>
    <mergeCell ref="D19:E20"/>
    <mergeCell ref="F19:F20"/>
    <mergeCell ref="G19:G20"/>
    <mergeCell ref="B21:E22"/>
    <mergeCell ref="F21:F22"/>
    <mergeCell ref="G21:G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3" topLeftCell="I4" activePane="bottomRight" state="frozen"/>
      <selection pane="topLeft" activeCell="A1" activeCellId="0" sqref="A1"/>
      <selection pane="topRight" activeCell="I1" activeCellId="0" sqref="I1"/>
      <selection pane="bottomLeft" activeCell="A4" activeCellId="0" sqref="A4"/>
      <selection pane="bottomRight" activeCell="B4" activeCellId="0" sqref="B4"/>
    </sheetView>
  </sheetViews>
  <sheetFormatPr defaultColWidth="8" defaultRowHeight="12.75" zeroHeight="false" outlineLevelRow="0" outlineLevelCol="1"/>
  <cols>
    <col collapsed="false" customWidth="true" hidden="false" outlineLevel="0" max="1" min="1" style="257" width="1.5"/>
    <col collapsed="false" customWidth="false" hidden="false" outlineLevel="0" max="2" min="2" style="257" width="8"/>
    <col collapsed="false" customWidth="true" hidden="false" outlineLevel="0" max="3" min="3" style="257" width="23.88"/>
    <col collapsed="false" customWidth="true" hidden="false" outlineLevel="0" max="5" min="4" style="257" width="8.12"/>
    <col collapsed="false" customWidth="true" hidden="false" outlineLevel="0" max="7" min="6" style="584" width="9.25"/>
    <col collapsed="false" customWidth="true" hidden="false" outlineLevel="0" max="10" min="8" style="323" width="13.63"/>
    <col collapsed="false" customWidth="true" hidden="true" outlineLevel="1" max="15" min="11" style="323" width="13.63"/>
    <col collapsed="false" customWidth="true" hidden="true" outlineLevel="1" max="16" min="16" style="585" width="13.63"/>
    <col collapsed="false" customWidth="true" hidden="true" outlineLevel="1" max="18" min="17" style="323" width="13.63"/>
    <col collapsed="false" customWidth="true" hidden="false" outlineLevel="0" max="53" min="19" style="323" width="11.12"/>
    <col collapsed="false" customWidth="false" hidden="false" outlineLevel="0" max="68" min="54" style="323" width="8"/>
    <col collapsed="false" customWidth="false" hidden="false" outlineLevel="0" max="16384" min="69" style="257" width="8"/>
  </cols>
  <sheetData>
    <row r="2" customFormat="false" ht="14.9" hidden="false" customHeight="true" outlineLevel="0" collapsed="false">
      <c r="B2" s="297" t="s">
        <v>96</v>
      </c>
      <c r="C2" s="297" t="s">
        <v>36</v>
      </c>
      <c r="D2" s="299" t="s">
        <v>123</v>
      </c>
      <c r="E2" s="299" t="s">
        <v>411</v>
      </c>
      <c r="F2" s="586" t="s">
        <v>412</v>
      </c>
      <c r="G2" s="586" t="s">
        <v>413</v>
      </c>
      <c r="H2" s="587" t="s">
        <v>109</v>
      </c>
      <c r="I2" s="588" t="s">
        <v>414</v>
      </c>
      <c r="J2" s="588" t="s">
        <v>415</v>
      </c>
      <c r="K2" s="589" t="s">
        <v>416</v>
      </c>
      <c r="L2" s="589"/>
      <c r="M2" s="589"/>
      <c r="N2" s="589"/>
      <c r="O2" s="589"/>
      <c r="P2" s="589"/>
      <c r="Q2" s="589"/>
      <c r="R2" s="589"/>
      <c r="S2" s="587" t="s">
        <v>417</v>
      </c>
      <c r="T2" s="587"/>
      <c r="U2" s="587"/>
      <c r="V2" s="587"/>
      <c r="W2" s="587"/>
      <c r="X2" s="587" t="s">
        <v>418</v>
      </c>
      <c r="Y2" s="587"/>
      <c r="Z2" s="587"/>
      <c r="AA2" s="587"/>
      <c r="AB2" s="587"/>
      <c r="AC2" s="587" t="s">
        <v>419</v>
      </c>
      <c r="AD2" s="587"/>
      <c r="AE2" s="587"/>
      <c r="AF2" s="587"/>
      <c r="AG2" s="587"/>
      <c r="AH2" s="587" t="s">
        <v>420</v>
      </c>
      <c r="AI2" s="587"/>
      <c r="AJ2" s="587"/>
      <c r="AK2" s="587"/>
      <c r="AL2" s="587"/>
      <c r="AM2" s="587" t="s">
        <v>421</v>
      </c>
      <c r="AN2" s="587"/>
      <c r="AO2" s="587"/>
      <c r="AP2" s="587"/>
      <c r="AQ2" s="587"/>
      <c r="AR2" s="587" t="s">
        <v>422</v>
      </c>
      <c r="AS2" s="587"/>
      <c r="AT2" s="587"/>
      <c r="AU2" s="587"/>
      <c r="AV2" s="587"/>
      <c r="AW2" s="587" t="s">
        <v>423</v>
      </c>
      <c r="AX2" s="587"/>
      <c r="AY2" s="587"/>
      <c r="AZ2" s="587"/>
      <c r="BA2" s="587"/>
    </row>
    <row r="3" customFormat="false" ht="13.4" hidden="false" customHeight="false" outlineLevel="0" collapsed="false">
      <c r="B3" s="297"/>
      <c r="C3" s="297"/>
      <c r="D3" s="299"/>
      <c r="E3" s="299"/>
      <c r="F3" s="586"/>
      <c r="G3" s="586"/>
      <c r="H3" s="587"/>
      <c r="I3" s="588"/>
      <c r="J3" s="588"/>
      <c r="K3" s="590" t="s">
        <v>424</v>
      </c>
      <c r="L3" s="590" t="s">
        <v>425</v>
      </c>
      <c r="M3" s="590" t="s">
        <v>426</v>
      </c>
      <c r="N3" s="590" t="s">
        <v>427</v>
      </c>
      <c r="O3" s="590" t="s">
        <v>428</v>
      </c>
      <c r="P3" s="591" t="s">
        <v>429</v>
      </c>
      <c r="Q3" s="590" t="s">
        <v>430</v>
      </c>
      <c r="R3" s="590" t="s">
        <v>431</v>
      </c>
      <c r="S3" s="587" t="s">
        <v>168</v>
      </c>
      <c r="T3" s="592" t="n">
        <v>0.1</v>
      </c>
      <c r="U3" s="587" t="s">
        <v>168</v>
      </c>
      <c r="V3" s="593" t="s">
        <v>432</v>
      </c>
      <c r="W3" s="593" t="s">
        <v>433</v>
      </c>
      <c r="X3" s="587" t="s">
        <v>168</v>
      </c>
      <c r="Y3" s="592" t="n">
        <v>0.1</v>
      </c>
      <c r="Z3" s="587" t="s">
        <v>168</v>
      </c>
      <c r="AA3" s="593" t="s">
        <v>432</v>
      </c>
      <c r="AB3" s="593" t="s">
        <v>433</v>
      </c>
      <c r="AC3" s="587" t="s">
        <v>168</v>
      </c>
      <c r="AD3" s="592" t="n">
        <v>0.1</v>
      </c>
      <c r="AE3" s="587" t="s">
        <v>168</v>
      </c>
      <c r="AF3" s="593" t="s">
        <v>432</v>
      </c>
      <c r="AG3" s="593" t="s">
        <v>433</v>
      </c>
      <c r="AH3" s="587" t="s">
        <v>168</v>
      </c>
      <c r="AI3" s="592" t="n">
        <v>0.1</v>
      </c>
      <c r="AJ3" s="587" t="s">
        <v>168</v>
      </c>
      <c r="AK3" s="593" t="s">
        <v>432</v>
      </c>
      <c r="AL3" s="593" t="s">
        <v>433</v>
      </c>
      <c r="AM3" s="587" t="s">
        <v>168</v>
      </c>
      <c r="AN3" s="592" t="n">
        <v>0.3</v>
      </c>
      <c r="AO3" s="587" t="s">
        <v>168</v>
      </c>
      <c r="AP3" s="593" t="s">
        <v>432</v>
      </c>
      <c r="AQ3" s="593" t="s">
        <v>433</v>
      </c>
      <c r="AR3" s="587" t="s">
        <v>168</v>
      </c>
      <c r="AS3" s="592" t="n">
        <v>0.25</v>
      </c>
      <c r="AT3" s="587" t="s">
        <v>168</v>
      </c>
      <c r="AU3" s="593" t="s">
        <v>432</v>
      </c>
      <c r="AV3" s="593" t="s">
        <v>433</v>
      </c>
      <c r="AW3" s="587" t="s">
        <v>168</v>
      </c>
      <c r="AX3" s="592" t="n">
        <v>0.05</v>
      </c>
      <c r="AY3" s="587" t="s">
        <v>168</v>
      </c>
      <c r="AZ3" s="593" t="s">
        <v>432</v>
      </c>
      <c r="BA3" s="593" t="s">
        <v>433</v>
      </c>
    </row>
    <row r="4" customFormat="false" ht="12.75" hidden="false" customHeight="false" outlineLevel="0" collapsed="false">
      <c r="B4" s="594" t="s">
        <v>434</v>
      </c>
      <c r="C4" s="595"/>
      <c r="D4" s="596" t="n">
        <f aca="false">+SUM(D5:D18)</f>
        <v>7995.72</v>
      </c>
      <c r="E4" s="596" t="n">
        <f aca="false">+SUM(E5:E18)</f>
        <v>8000</v>
      </c>
      <c r="F4" s="597" t="n">
        <f aca="false">+F5</f>
        <v>1050000</v>
      </c>
      <c r="G4" s="597" t="n">
        <v>1050000</v>
      </c>
      <c r="H4" s="389" t="n">
        <f aca="false">+SUM(H5:H18)</f>
        <v>9240000000</v>
      </c>
      <c r="I4" s="389" t="n">
        <f aca="false">+SUM(I5:I18)</f>
        <v>3234000000</v>
      </c>
      <c r="J4" s="389" t="n">
        <f aca="false">+SUM(J5:J18)</f>
        <v>0</v>
      </c>
      <c r="K4" s="389" t="n">
        <f aca="false">+SUM(K5:K18)</f>
        <v>0</v>
      </c>
      <c r="L4" s="389" t="n">
        <f aca="false">+SUM(L5:L18)</f>
        <v>0</v>
      </c>
      <c r="M4" s="389" t="n">
        <f aca="false">+SUM(M5:M18)</f>
        <v>0</v>
      </c>
      <c r="N4" s="389" t="n">
        <f aca="false">+SUM(N5:N18)</f>
        <v>0</v>
      </c>
      <c r="O4" s="389" t="n">
        <f aca="false">+SUM(O5:O18)</f>
        <v>0</v>
      </c>
      <c r="P4" s="389"/>
      <c r="Q4" s="389" t="n">
        <f aca="false">+SUM(Q5:Q18)</f>
        <v>0</v>
      </c>
      <c r="R4" s="389" t="n">
        <f aca="false">+SUM(R5:R18)</f>
        <v>0</v>
      </c>
      <c r="S4" s="598"/>
      <c r="T4" s="389" t="n">
        <f aca="false">+SUM(T5:T18)</f>
        <v>924000000</v>
      </c>
      <c r="U4" s="389"/>
      <c r="V4" s="389" t="n">
        <f aca="false">+SUM(V5:V18)</f>
        <v>462000000</v>
      </c>
      <c r="W4" s="389" t="n">
        <f aca="false">+SUM(W5:W18)</f>
        <v>462000000</v>
      </c>
      <c r="X4" s="389"/>
      <c r="Y4" s="389" t="n">
        <f aca="false">+SUM(Y5:Y18)</f>
        <v>924000000</v>
      </c>
      <c r="Z4" s="389"/>
      <c r="AA4" s="389" t="n">
        <f aca="false">+SUM(AA5:AA18)</f>
        <v>462000000</v>
      </c>
      <c r="AB4" s="389" t="n">
        <f aca="false">+SUM(AB5:AB18)</f>
        <v>462000000</v>
      </c>
      <c r="AC4" s="389"/>
      <c r="AD4" s="389" t="n">
        <f aca="false">+SUM(AD5:AD18)</f>
        <v>924000000</v>
      </c>
      <c r="AE4" s="389"/>
      <c r="AF4" s="389" t="n">
        <f aca="false">+SUM(AF5:AF18)</f>
        <v>462000000</v>
      </c>
      <c r="AG4" s="389" t="n">
        <f aca="false">+SUM(AG5:AG18)</f>
        <v>462000000</v>
      </c>
      <c r="AH4" s="389"/>
      <c r="AI4" s="389" t="n">
        <f aca="false">+SUM(AI5:AI18)</f>
        <v>924000000</v>
      </c>
      <c r="AJ4" s="389"/>
      <c r="AK4" s="389" t="n">
        <f aca="false">+SUM(AK5:AK18)</f>
        <v>462000000</v>
      </c>
      <c r="AL4" s="389" t="n">
        <f aca="false">+SUM(AL5:AL18)</f>
        <v>462000000</v>
      </c>
      <c r="AM4" s="389"/>
      <c r="AN4" s="389" t="n">
        <f aca="false">+SUM(AN5:AN18)</f>
        <v>2772000000</v>
      </c>
      <c r="AO4" s="389"/>
      <c r="AP4" s="389" t="n">
        <f aca="false">+SUM(AP5:AP18)</f>
        <v>1386000000</v>
      </c>
      <c r="AQ4" s="389" t="n">
        <f aca="false">+SUM(AQ5:AQ18)</f>
        <v>1386000000</v>
      </c>
      <c r="AR4" s="389"/>
      <c r="AS4" s="389" t="n">
        <f aca="false">+SUM(AS5:AS18)</f>
        <v>2310000000</v>
      </c>
      <c r="AT4" s="389"/>
      <c r="AU4" s="389" t="n">
        <f aca="false">+SUM(AU5:AU18)</f>
        <v>0</v>
      </c>
      <c r="AV4" s="389" t="n">
        <f aca="false">+SUM(AV5:AV18)</f>
        <v>2310000000</v>
      </c>
      <c r="AW4" s="389"/>
      <c r="AX4" s="389" t="n">
        <f aca="false">+SUM(AX5:AX18)</f>
        <v>462000000</v>
      </c>
      <c r="AY4" s="389"/>
      <c r="AZ4" s="389" t="n">
        <f aca="false">+SUM(AZ5:AZ18)</f>
        <v>0</v>
      </c>
      <c r="BA4" s="389" t="n">
        <f aca="false">+SUM(BA5:BA18)</f>
        <v>462000000</v>
      </c>
      <c r="BC4" s="323" t="n">
        <f aca="false">+T4+Y4+AD4+AI4+AN4+AS4+AX4=E4*G4*1.1</f>
        <v>1</v>
      </c>
    </row>
    <row r="5" customFormat="false" ht="12.75" hidden="false" customHeight="false" outlineLevel="0" collapsed="false">
      <c r="B5" s="594"/>
      <c r="C5" s="596" t="str">
        <f aca="false">+'GM Batch1'!C11</f>
        <v>YJ NANSAN 1</v>
      </c>
      <c r="D5" s="596" t="n">
        <f aca="false">+'GM Batch1'!D11</f>
        <v>999.58</v>
      </c>
      <c r="E5" s="596" t="n">
        <v>1000</v>
      </c>
      <c r="F5" s="597" t="n">
        <v>1050000</v>
      </c>
      <c r="G5" s="597" t="n">
        <v>1050000</v>
      </c>
      <c r="H5" s="389" t="n">
        <f aca="false">+F5*E5*1.1</f>
        <v>1155000000</v>
      </c>
      <c r="I5" s="389" t="n">
        <f aca="false">+V5+AA5+AF5+AK5+AP5+AU5+AZ5</f>
        <v>808500000</v>
      </c>
      <c r="J5" s="389" t="n">
        <v>0</v>
      </c>
      <c r="K5" s="389" t="n">
        <f aca="false">+SUM(L5:O5)</f>
        <v>0</v>
      </c>
      <c r="L5" s="389"/>
      <c r="M5" s="389"/>
      <c r="N5" s="389"/>
      <c r="O5" s="389"/>
      <c r="P5" s="599"/>
      <c r="Q5" s="389"/>
      <c r="R5" s="389" t="n">
        <f aca="false">+K5-Q5</f>
        <v>0</v>
      </c>
      <c r="S5" s="598" t="n">
        <v>45915</v>
      </c>
      <c r="T5" s="389" t="n">
        <f aca="false">+ROUND($H5*T$3,)</f>
        <v>115500000</v>
      </c>
      <c r="U5" s="598" t="n">
        <v>45915</v>
      </c>
      <c r="V5" s="389" t="n">
        <v>115500000</v>
      </c>
      <c r="W5" s="389" t="n">
        <f aca="false">+T5-V5</f>
        <v>0</v>
      </c>
      <c r="X5" s="598" t="n">
        <v>45915</v>
      </c>
      <c r="Y5" s="389" t="n">
        <f aca="false">+ROUND($H5*Y$3,)</f>
        <v>115500000</v>
      </c>
      <c r="Z5" s="598" t="n">
        <v>45915</v>
      </c>
      <c r="AA5" s="389" t="n">
        <v>115500000</v>
      </c>
      <c r="AB5" s="389" t="n">
        <f aca="false">+Y5-AA5</f>
        <v>0</v>
      </c>
      <c r="AC5" s="598" t="n">
        <v>45980</v>
      </c>
      <c r="AD5" s="389" t="n">
        <f aca="false">+ROUND($H5*AD$3,)</f>
        <v>115500000</v>
      </c>
      <c r="AE5" s="598" t="n">
        <v>45980</v>
      </c>
      <c r="AF5" s="389" t="n">
        <v>115500000</v>
      </c>
      <c r="AG5" s="389" t="n">
        <f aca="false">+AD5-AF5</f>
        <v>0</v>
      </c>
      <c r="AH5" s="598" t="n">
        <v>45980</v>
      </c>
      <c r="AI5" s="389" t="n">
        <f aca="false">+ROUND($H5*AI$3,)</f>
        <v>115500000</v>
      </c>
      <c r="AJ5" s="598" t="n">
        <v>45980</v>
      </c>
      <c r="AK5" s="389" t="n">
        <v>115500000</v>
      </c>
      <c r="AL5" s="389" t="n">
        <f aca="false">+AI5-AK5</f>
        <v>0</v>
      </c>
      <c r="AM5" s="598" t="n">
        <v>46003</v>
      </c>
      <c r="AN5" s="389" t="n">
        <f aca="false">+ROUND($H5*AN$3,)</f>
        <v>346500000</v>
      </c>
      <c r="AO5" s="598" t="n">
        <v>46003</v>
      </c>
      <c r="AP5" s="389" t="n">
        <v>346500000</v>
      </c>
      <c r="AQ5" s="389" t="n">
        <f aca="false">+AN5-AP5</f>
        <v>0</v>
      </c>
      <c r="AR5" s="389"/>
      <c r="AS5" s="389" t="n">
        <f aca="false">+ROUND($H5*AS$3,)</f>
        <v>288750000</v>
      </c>
      <c r="AT5" s="598"/>
      <c r="AU5" s="389"/>
      <c r="AV5" s="389" t="n">
        <f aca="false">+AS5-AU5</f>
        <v>288750000</v>
      </c>
      <c r="AW5" s="598"/>
      <c r="AX5" s="389" t="n">
        <f aca="false">+ROUND($H5*AX$3,)</f>
        <v>57750000</v>
      </c>
      <c r="AY5" s="598"/>
      <c r="AZ5" s="389"/>
      <c r="BA5" s="389" t="n">
        <f aca="false">+AX5-AZ5</f>
        <v>57750000</v>
      </c>
      <c r="BC5" s="323" t="n">
        <f aca="false">+T5+Y5+AD5+AI5+AN5+AS5+AX5=E5*G5*1.1</f>
        <v>1</v>
      </c>
    </row>
    <row r="6" customFormat="false" ht="12.75" hidden="false" customHeight="false" outlineLevel="0" collapsed="false">
      <c r="B6" s="594"/>
      <c r="C6" s="596" t="str">
        <f aca="false">+'GM Batch1'!C17</f>
        <v>YJ NANSAN 2</v>
      </c>
      <c r="D6" s="596" t="n">
        <f aca="false">+'GM Batch1'!D17</f>
        <v>999.58</v>
      </c>
      <c r="E6" s="596" t="n">
        <v>1000</v>
      </c>
      <c r="F6" s="597" t="n">
        <v>1050000</v>
      </c>
      <c r="G6" s="597" t="n">
        <v>1050000</v>
      </c>
      <c r="H6" s="389" t="n">
        <f aca="false">+F6*E6*1.1</f>
        <v>1155000000</v>
      </c>
      <c r="I6" s="389" t="n">
        <f aca="false">+V6+AA6+AF6+AK6+AP6+AU6+AZ6</f>
        <v>808500000</v>
      </c>
      <c r="J6" s="389" t="n">
        <v>0</v>
      </c>
      <c r="K6" s="389" t="n">
        <f aca="false">+SUM(L6:O6)</f>
        <v>0</v>
      </c>
      <c r="L6" s="389"/>
      <c r="M6" s="389"/>
      <c r="N6" s="389"/>
      <c r="O6" s="389"/>
      <c r="P6" s="599"/>
      <c r="Q6" s="389"/>
      <c r="R6" s="389" t="n">
        <f aca="false">+K6-Q6</f>
        <v>0</v>
      </c>
      <c r="S6" s="598" t="n">
        <v>45915</v>
      </c>
      <c r="T6" s="389" t="n">
        <f aca="false">+ROUND($H6*T$3,)</f>
        <v>115500000</v>
      </c>
      <c r="U6" s="598" t="n">
        <v>45915</v>
      </c>
      <c r="V6" s="389" t="n">
        <v>115500000</v>
      </c>
      <c r="W6" s="389" t="n">
        <f aca="false">+T6-V6</f>
        <v>0</v>
      </c>
      <c r="X6" s="598" t="n">
        <v>45915</v>
      </c>
      <c r="Y6" s="389" t="n">
        <f aca="false">+ROUND($H6*Y$3,)</f>
        <v>115500000</v>
      </c>
      <c r="Z6" s="598" t="n">
        <v>45915</v>
      </c>
      <c r="AA6" s="389" t="n">
        <v>115500000</v>
      </c>
      <c r="AB6" s="389" t="n">
        <f aca="false">+Y6-AA6</f>
        <v>0</v>
      </c>
      <c r="AC6" s="598" t="n">
        <v>45980</v>
      </c>
      <c r="AD6" s="389" t="n">
        <f aca="false">+ROUND($H6*AD$3,)</f>
        <v>115500000</v>
      </c>
      <c r="AE6" s="598" t="n">
        <v>45980</v>
      </c>
      <c r="AF6" s="389" t="n">
        <v>115500000</v>
      </c>
      <c r="AG6" s="389" t="n">
        <f aca="false">+AD6-AF6</f>
        <v>0</v>
      </c>
      <c r="AH6" s="598" t="n">
        <v>45980</v>
      </c>
      <c r="AI6" s="389" t="n">
        <f aca="false">+ROUND($H6*AI$3,)</f>
        <v>115500000</v>
      </c>
      <c r="AJ6" s="598" t="n">
        <v>45980</v>
      </c>
      <c r="AK6" s="389" t="n">
        <v>115500000</v>
      </c>
      <c r="AL6" s="389" t="n">
        <f aca="false">+AI6-AK6</f>
        <v>0</v>
      </c>
      <c r="AM6" s="598" t="n">
        <v>46003</v>
      </c>
      <c r="AN6" s="389" t="n">
        <f aca="false">+ROUND($H6*AN$3,)</f>
        <v>346500000</v>
      </c>
      <c r="AO6" s="598" t="n">
        <v>46003</v>
      </c>
      <c r="AP6" s="389" t="n">
        <v>346500000</v>
      </c>
      <c r="AQ6" s="389" t="n">
        <f aca="false">+AN6-AP6</f>
        <v>0</v>
      </c>
      <c r="AR6" s="389"/>
      <c r="AS6" s="389" t="n">
        <f aca="false">+ROUND($H6*AS$3,)</f>
        <v>288750000</v>
      </c>
      <c r="AT6" s="598"/>
      <c r="AU6" s="389"/>
      <c r="AV6" s="389" t="n">
        <f aca="false">+AS6-AU6</f>
        <v>288750000</v>
      </c>
      <c r="AW6" s="598"/>
      <c r="AX6" s="389" t="n">
        <f aca="false">+ROUND($H6*AX$3,)</f>
        <v>57750000</v>
      </c>
      <c r="AY6" s="598"/>
      <c r="AZ6" s="389"/>
      <c r="BA6" s="389" t="n">
        <f aca="false">+AX6-AZ6</f>
        <v>57750000</v>
      </c>
      <c r="BC6" s="323" t="n">
        <f aca="false">+T6+Y6+AD6+AI6+AN6+AS6+AX6=E6*G6*1.1</f>
        <v>1</v>
      </c>
    </row>
    <row r="7" customFormat="false" ht="12.75" hidden="false" customHeight="false" outlineLevel="0" collapsed="false">
      <c r="B7" s="594"/>
      <c r="C7" s="596" t="str">
        <f aca="false">+'GM Batch1'!C23</f>
        <v>YJ GASI 1</v>
      </c>
      <c r="D7" s="596" t="n">
        <f aca="false">+'GM Batch1'!D23</f>
        <v>999.6</v>
      </c>
      <c r="E7" s="596" t="n">
        <v>1000</v>
      </c>
      <c r="F7" s="597" t="n">
        <v>1050000</v>
      </c>
      <c r="G7" s="597" t="n">
        <v>1050000</v>
      </c>
      <c r="H7" s="389" t="n">
        <f aca="false">+F7*E7*1.1</f>
        <v>1155000000</v>
      </c>
      <c r="I7" s="389" t="n">
        <f aca="false">+V7+AA7+AF7+AK7+AP7+AU7+AZ7</f>
        <v>808500000</v>
      </c>
      <c r="J7" s="389" t="n">
        <v>0</v>
      </c>
      <c r="K7" s="389" t="n">
        <f aca="false">+SUM(L7:O7)</f>
        <v>0</v>
      </c>
      <c r="L7" s="389"/>
      <c r="M7" s="389"/>
      <c r="N7" s="389"/>
      <c r="O7" s="389"/>
      <c r="P7" s="599"/>
      <c r="Q7" s="389"/>
      <c r="R7" s="389" t="n">
        <f aca="false">+K7-Q7</f>
        <v>0</v>
      </c>
      <c r="S7" s="598" t="n">
        <v>45915</v>
      </c>
      <c r="T7" s="389" t="n">
        <f aca="false">+ROUND($H7*T$3,)</f>
        <v>115500000</v>
      </c>
      <c r="U7" s="598" t="n">
        <v>45915</v>
      </c>
      <c r="V7" s="389" t="n">
        <v>115500000</v>
      </c>
      <c r="W7" s="389" t="n">
        <f aca="false">+T7-V7</f>
        <v>0</v>
      </c>
      <c r="X7" s="598" t="n">
        <v>45915</v>
      </c>
      <c r="Y7" s="389" t="n">
        <f aca="false">+ROUND($H7*Y$3,)</f>
        <v>115500000</v>
      </c>
      <c r="Z7" s="598" t="n">
        <v>45915</v>
      </c>
      <c r="AA7" s="389" t="n">
        <v>115500000</v>
      </c>
      <c r="AB7" s="389" t="n">
        <f aca="false">+Y7-AA7</f>
        <v>0</v>
      </c>
      <c r="AC7" s="598" t="n">
        <v>45980</v>
      </c>
      <c r="AD7" s="389" t="n">
        <f aca="false">+ROUND($H7*AD$3,)</f>
        <v>115500000</v>
      </c>
      <c r="AE7" s="598" t="n">
        <v>45980</v>
      </c>
      <c r="AF7" s="389" t="n">
        <v>115500000</v>
      </c>
      <c r="AG7" s="389" t="n">
        <f aca="false">+AD7-AF7</f>
        <v>0</v>
      </c>
      <c r="AH7" s="598" t="n">
        <v>46003</v>
      </c>
      <c r="AI7" s="389" t="n">
        <f aca="false">+ROUND($H7*AI$3,)</f>
        <v>115500000</v>
      </c>
      <c r="AJ7" s="598" t="n">
        <v>46003</v>
      </c>
      <c r="AK7" s="389" t="n">
        <v>115500000</v>
      </c>
      <c r="AL7" s="389" t="n">
        <f aca="false">+AI7-AK7</f>
        <v>0</v>
      </c>
      <c r="AM7" s="598" t="n">
        <v>46014</v>
      </c>
      <c r="AN7" s="389" t="n">
        <f aca="false">+ROUND($H7*AN$3,)</f>
        <v>346500000</v>
      </c>
      <c r="AO7" s="598" t="n">
        <v>46014</v>
      </c>
      <c r="AP7" s="389" t="n">
        <v>346500000</v>
      </c>
      <c r="AQ7" s="389" t="n">
        <f aca="false">+AN7-AP7</f>
        <v>0</v>
      </c>
      <c r="AR7" s="389"/>
      <c r="AS7" s="389" t="n">
        <f aca="false">+ROUND($H7*AS$3,)</f>
        <v>288750000</v>
      </c>
      <c r="AT7" s="598"/>
      <c r="AU7" s="389"/>
      <c r="AV7" s="389" t="n">
        <f aca="false">+AS7-AU7</f>
        <v>288750000</v>
      </c>
      <c r="AW7" s="598"/>
      <c r="AX7" s="389" t="n">
        <f aca="false">+ROUND($H7*AX$3,)</f>
        <v>57750000</v>
      </c>
      <c r="AY7" s="598"/>
      <c r="AZ7" s="389"/>
      <c r="BA7" s="389" t="n">
        <f aca="false">+AX7-AZ7</f>
        <v>57750000</v>
      </c>
      <c r="BC7" s="323" t="n">
        <f aca="false">+T7+Y7+AD7+AI7+AN7+AS7+AX7=E7*G7*1.1</f>
        <v>1</v>
      </c>
    </row>
    <row r="8" customFormat="false" ht="12.75" hidden="false" customHeight="false" outlineLevel="0" collapsed="false">
      <c r="B8" s="594"/>
      <c r="C8" s="596" t="str">
        <f aca="false">+'GM Batch1'!C29</f>
        <v>YJ GASI 2</v>
      </c>
      <c r="D8" s="596" t="n">
        <f aca="false">+'GM Batch1'!D29</f>
        <v>999.6</v>
      </c>
      <c r="E8" s="596" t="n">
        <v>1000</v>
      </c>
      <c r="F8" s="597" t="n">
        <v>1050000</v>
      </c>
      <c r="G8" s="597" t="n">
        <v>1050000</v>
      </c>
      <c r="H8" s="389" t="n">
        <f aca="false">+F8*E8*1.1</f>
        <v>1155000000</v>
      </c>
      <c r="I8" s="389" t="n">
        <f aca="false">+V8+AA8+AF8+AK8+AP8+AU8+AZ8</f>
        <v>808500000</v>
      </c>
      <c r="J8" s="389" t="n">
        <v>0</v>
      </c>
      <c r="K8" s="389" t="n">
        <f aca="false">+SUM(L8:O8)</f>
        <v>0</v>
      </c>
      <c r="L8" s="389"/>
      <c r="M8" s="389"/>
      <c r="N8" s="389"/>
      <c r="O8" s="389"/>
      <c r="P8" s="599"/>
      <c r="Q8" s="389"/>
      <c r="R8" s="389" t="n">
        <f aca="false">+K8-Q8</f>
        <v>0</v>
      </c>
      <c r="S8" s="598" t="n">
        <v>45915</v>
      </c>
      <c r="T8" s="389" t="n">
        <f aca="false">+ROUND($H8*T$3,)</f>
        <v>115500000</v>
      </c>
      <c r="U8" s="598" t="n">
        <v>45915</v>
      </c>
      <c r="V8" s="389" t="n">
        <v>115500000</v>
      </c>
      <c r="W8" s="389" t="n">
        <f aca="false">+T8-V8</f>
        <v>0</v>
      </c>
      <c r="X8" s="598" t="n">
        <v>45915</v>
      </c>
      <c r="Y8" s="389" t="n">
        <f aca="false">+ROUND($H8*Y$3,)</f>
        <v>115500000</v>
      </c>
      <c r="Z8" s="598" t="n">
        <v>45915</v>
      </c>
      <c r="AA8" s="389" t="n">
        <v>115500000</v>
      </c>
      <c r="AB8" s="389" t="n">
        <f aca="false">+Y8-AA8</f>
        <v>0</v>
      </c>
      <c r="AC8" s="598" t="n">
        <v>45980</v>
      </c>
      <c r="AD8" s="389" t="n">
        <f aca="false">+ROUND($H8*AD$3,)</f>
        <v>115500000</v>
      </c>
      <c r="AE8" s="598" t="n">
        <v>45980</v>
      </c>
      <c r="AF8" s="389" t="n">
        <v>115500000</v>
      </c>
      <c r="AG8" s="389" t="n">
        <f aca="false">+AD8-AF8</f>
        <v>0</v>
      </c>
      <c r="AH8" s="598" t="n">
        <v>46003</v>
      </c>
      <c r="AI8" s="389" t="n">
        <f aca="false">+ROUND($H8*AI$3,)</f>
        <v>115500000</v>
      </c>
      <c r="AJ8" s="598" t="n">
        <v>46003</v>
      </c>
      <c r="AK8" s="389" t="n">
        <v>115500000</v>
      </c>
      <c r="AL8" s="389" t="n">
        <f aca="false">+AI8-AK8</f>
        <v>0</v>
      </c>
      <c r="AM8" s="598" t="n">
        <v>46014</v>
      </c>
      <c r="AN8" s="389" t="n">
        <f aca="false">+ROUND($H8*AN$3,)</f>
        <v>346500000</v>
      </c>
      <c r="AO8" s="598" t="n">
        <v>46014</v>
      </c>
      <c r="AP8" s="389" t="n">
        <v>346500000</v>
      </c>
      <c r="AQ8" s="389" t="n">
        <f aca="false">+AN8-AP8</f>
        <v>0</v>
      </c>
      <c r="AR8" s="389"/>
      <c r="AS8" s="389" t="n">
        <f aca="false">+ROUND($H8*AS$3,)</f>
        <v>288750000</v>
      </c>
      <c r="AT8" s="598"/>
      <c r="AU8" s="389"/>
      <c r="AV8" s="389" t="n">
        <f aca="false">+AS8-AU8</f>
        <v>288750000</v>
      </c>
      <c r="AW8" s="598"/>
      <c r="AX8" s="389" t="n">
        <f aca="false">+ROUND($H8*AX$3,)</f>
        <v>57750000</v>
      </c>
      <c r="AY8" s="598"/>
      <c r="AZ8" s="389"/>
      <c r="BA8" s="389" t="n">
        <f aca="false">+AX8-AZ8</f>
        <v>57750000</v>
      </c>
      <c r="BC8" s="323" t="n">
        <f aca="false">+T8+Y8+AD8+AI8+AN8+AS8+AX8=E8*G8*1.1</f>
        <v>1</v>
      </c>
    </row>
    <row r="9" customFormat="false" ht="12.75" hidden="false" customHeight="false" outlineLevel="0" collapsed="false">
      <c r="B9" s="594"/>
      <c r="C9" s="596" t="str">
        <f aca="false">+'GM Batch1'!C35</f>
        <v>Dream 1</v>
      </c>
      <c r="D9" s="596" t="n">
        <f aca="false">+'GM Batch1'!D35</f>
        <v>999.24</v>
      </c>
      <c r="E9" s="596" t="n">
        <v>1000</v>
      </c>
      <c r="F9" s="597" t="n">
        <v>1050000</v>
      </c>
      <c r="G9" s="597" t="n">
        <v>1050000</v>
      </c>
      <c r="H9" s="389" t="n">
        <f aca="false">+F9*E9*1.1</f>
        <v>1155000000</v>
      </c>
      <c r="I9" s="389" t="n">
        <f aca="false">+V9+AA9+AF9+AK9+AP9+AU9+AZ9</f>
        <v>0</v>
      </c>
      <c r="J9" s="389" t="n">
        <v>0</v>
      </c>
      <c r="K9" s="389" t="n">
        <f aca="false">+SUM(L9:O9)</f>
        <v>0</v>
      </c>
      <c r="L9" s="389"/>
      <c r="M9" s="389"/>
      <c r="N9" s="389"/>
      <c r="O9" s="389"/>
      <c r="P9" s="599"/>
      <c r="Q9" s="389"/>
      <c r="R9" s="389" t="n">
        <f aca="false">+K9-Q9</f>
        <v>0</v>
      </c>
      <c r="S9" s="598"/>
      <c r="T9" s="389" t="n">
        <f aca="false">+ROUND($H9*T$3,)</f>
        <v>115500000</v>
      </c>
      <c r="U9" s="598"/>
      <c r="V9" s="389"/>
      <c r="W9" s="389" t="n">
        <f aca="false">+T9-V9</f>
        <v>115500000</v>
      </c>
      <c r="X9" s="598"/>
      <c r="Y9" s="389" t="n">
        <f aca="false">+ROUND($H9*Y$3,)</f>
        <v>115500000</v>
      </c>
      <c r="Z9" s="598"/>
      <c r="AA9" s="389"/>
      <c r="AB9" s="389" t="n">
        <f aca="false">+Y9-AA9</f>
        <v>115500000</v>
      </c>
      <c r="AC9" s="598"/>
      <c r="AD9" s="389" t="n">
        <f aca="false">+ROUND($H9*AD$3,)</f>
        <v>115500000</v>
      </c>
      <c r="AE9" s="598"/>
      <c r="AF9" s="389"/>
      <c r="AG9" s="389" t="n">
        <f aca="false">+AD9-AF9</f>
        <v>115500000</v>
      </c>
      <c r="AH9" s="389"/>
      <c r="AI9" s="389" t="n">
        <f aca="false">+ROUND($H9*AI$3,)</f>
        <v>115500000</v>
      </c>
      <c r="AJ9" s="598"/>
      <c r="AK9" s="389"/>
      <c r="AL9" s="389" t="n">
        <f aca="false">+AI9-AK9</f>
        <v>115500000</v>
      </c>
      <c r="AM9" s="598"/>
      <c r="AN9" s="389" t="n">
        <f aca="false">+ROUND($H9*AN$3,)</f>
        <v>346500000</v>
      </c>
      <c r="AO9" s="598"/>
      <c r="AP9" s="389"/>
      <c r="AQ9" s="389" t="n">
        <f aca="false">+AN9-AP9</f>
        <v>346500000</v>
      </c>
      <c r="AR9" s="389"/>
      <c r="AS9" s="389" t="n">
        <f aca="false">+ROUND($H9*AS$3,)</f>
        <v>288750000</v>
      </c>
      <c r="AT9" s="598"/>
      <c r="AU9" s="389"/>
      <c r="AV9" s="389" t="n">
        <f aca="false">+AS9-AU9</f>
        <v>288750000</v>
      </c>
      <c r="AW9" s="598"/>
      <c r="AX9" s="389" t="n">
        <f aca="false">+ROUND($H9*AX$3,)</f>
        <v>57750000</v>
      </c>
      <c r="AY9" s="598"/>
      <c r="AZ9" s="389"/>
      <c r="BA9" s="389" t="n">
        <f aca="false">+AX9-AZ9</f>
        <v>57750000</v>
      </c>
      <c r="BC9" s="323" t="n">
        <f aca="false">+T9+Y9+AD9+AI9+AN9+AS9+AX9=E9*G9*1.1</f>
        <v>1</v>
      </c>
    </row>
    <row r="10" customFormat="false" ht="12.75" hidden="false" customHeight="false" outlineLevel="0" collapsed="false">
      <c r="B10" s="594"/>
      <c r="C10" s="596" t="str">
        <f aca="false">+'GM Batch1'!C41</f>
        <v>Dream 2</v>
      </c>
      <c r="D10" s="596" t="n">
        <f aca="false">+'GM Batch1'!D41</f>
        <v>999.24</v>
      </c>
      <c r="E10" s="596" t="n">
        <v>1000</v>
      </c>
      <c r="F10" s="597" t="n">
        <v>1050000</v>
      </c>
      <c r="G10" s="597" t="n">
        <v>1050000</v>
      </c>
      <c r="H10" s="389" t="n">
        <f aca="false">+F10*E10*1.1</f>
        <v>1155000000</v>
      </c>
      <c r="I10" s="389" t="n">
        <f aca="false">+V10+AA10+AF10+AK10+AP10+AU10+AZ10</f>
        <v>0</v>
      </c>
      <c r="J10" s="389" t="n">
        <v>0</v>
      </c>
      <c r="K10" s="389" t="n">
        <f aca="false">+SUM(L10:O10)</f>
        <v>0</v>
      </c>
      <c r="L10" s="389"/>
      <c r="M10" s="389"/>
      <c r="N10" s="389"/>
      <c r="O10" s="389"/>
      <c r="P10" s="599"/>
      <c r="Q10" s="389"/>
      <c r="R10" s="389" t="n">
        <f aca="false">+K10-Q10</f>
        <v>0</v>
      </c>
      <c r="S10" s="598"/>
      <c r="T10" s="389" t="n">
        <f aca="false">+ROUND($H10*T$3,)</f>
        <v>115500000</v>
      </c>
      <c r="U10" s="598"/>
      <c r="V10" s="389"/>
      <c r="W10" s="389" t="n">
        <f aca="false">+T10-V10</f>
        <v>115500000</v>
      </c>
      <c r="X10" s="598"/>
      <c r="Y10" s="389" t="n">
        <f aca="false">+ROUND($H10*Y$3,)</f>
        <v>115500000</v>
      </c>
      <c r="Z10" s="598"/>
      <c r="AA10" s="389"/>
      <c r="AB10" s="389" t="n">
        <f aca="false">+Y10-AA10</f>
        <v>115500000</v>
      </c>
      <c r="AC10" s="598"/>
      <c r="AD10" s="389" t="n">
        <f aca="false">+ROUND($H10*AD$3,)</f>
        <v>115500000</v>
      </c>
      <c r="AE10" s="598"/>
      <c r="AF10" s="389"/>
      <c r="AG10" s="389" t="n">
        <f aca="false">+AD10-AF10</f>
        <v>115500000</v>
      </c>
      <c r="AH10" s="389"/>
      <c r="AI10" s="389" t="n">
        <f aca="false">+ROUND($H10*AI$3,)</f>
        <v>115500000</v>
      </c>
      <c r="AJ10" s="598"/>
      <c r="AK10" s="389"/>
      <c r="AL10" s="389" t="n">
        <f aca="false">+AI10-AK10</f>
        <v>115500000</v>
      </c>
      <c r="AM10" s="598"/>
      <c r="AN10" s="389" t="n">
        <f aca="false">+ROUND($H10*AN$3,)</f>
        <v>346500000</v>
      </c>
      <c r="AO10" s="598"/>
      <c r="AP10" s="389"/>
      <c r="AQ10" s="389" t="n">
        <f aca="false">+AN10-AP10</f>
        <v>346500000</v>
      </c>
      <c r="AR10" s="389"/>
      <c r="AS10" s="389" t="n">
        <f aca="false">+ROUND($H10*AS$3,)</f>
        <v>288750000</v>
      </c>
      <c r="AT10" s="598"/>
      <c r="AU10" s="389"/>
      <c r="AV10" s="389" t="n">
        <f aca="false">+AS10-AU10</f>
        <v>288750000</v>
      </c>
      <c r="AW10" s="598"/>
      <c r="AX10" s="389" t="n">
        <f aca="false">+ROUND($H10*AX$3,)</f>
        <v>57750000</v>
      </c>
      <c r="AY10" s="598"/>
      <c r="AZ10" s="389"/>
      <c r="BA10" s="389" t="n">
        <f aca="false">+AX10-AZ10</f>
        <v>57750000</v>
      </c>
      <c r="BC10" s="323" t="n">
        <f aca="false">+T10+Y10+AD10+AI10+AN10+AS10+AX10=E10*G10*1.1</f>
        <v>1</v>
      </c>
    </row>
    <row r="11" customFormat="false" ht="12.75" hidden="false" customHeight="false" outlineLevel="0" collapsed="false">
      <c r="B11" s="594"/>
      <c r="C11" s="596" t="str">
        <f aca="false">+'GM Batch1'!C47</f>
        <v>JEIL TECH 1</v>
      </c>
      <c r="D11" s="596" t="n">
        <f aca="false">+'GM Batch1'!D47</f>
        <v>999.44</v>
      </c>
      <c r="E11" s="596" t="n">
        <v>1000</v>
      </c>
      <c r="F11" s="597" t="n">
        <v>1050000</v>
      </c>
      <c r="G11" s="597" t="n">
        <v>1050000</v>
      </c>
      <c r="H11" s="389" t="n">
        <f aca="false">+F11*E11*1.1</f>
        <v>1155000000</v>
      </c>
      <c r="I11" s="389" t="n">
        <f aca="false">+V11+AA11+AF11+AK11+AP11+AU11+AZ11</f>
        <v>0</v>
      </c>
      <c r="J11" s="389" t="n">
        <v>0</v>
      </c>
      <c r="K11" s="389" t="n">
        <f aca="false">+SUM(L11:O11)</f>
        <v>0</v>
      </c>
      <c r="L11" s="389"/>
      <c r="M11" s="389"/>
      <c r="N11" s="389"/>
      <c r="O11" s="389"/>
      <c r="P11" s="599"/>
      <c r="Q11" s="389"/>
      <c r="R11" s="389" t="n">
        <f aca="false">+K11-Q11</f>
        <v>0</v>
      </c>
      <c r="S11" s="598"/>
      <c r="T11" s="389" t="n">
        <f aca="false">+ROUND($H11*T$3,)</f>
        <v>115500000</v>
      </c>
      <c r="U11" s="598"/>
      <c r="V11" s="389"/>
      <c r="W11" s="389" t="n">
        <f aca="false">+T11-V11</f>
        <v>115500000</v>
      </c>
      <c r="X11" s="598"/>
      <c r="Y11" s="389" t="n">
        <f aca="false">+ROUND($H11*Y$3,)</f>
        <v>115500000</v>
      </c>
      <c r="Z11" s="598"/>
      <c r="AA11" s="389"/>
      <c r="AB11" s="389" t="n">
        <f aca="false">+Y11-AA11</f>
        <v>115500000</v>
      </c>
      <c r="AC11" s="598"/>
      <c r="AD11" s="389" t="n">
        <f aca="false">+ROUND($H11*AD$3,)</f>
        <v>115500000</v>
      </c>
      <c r="AE11" s="598"/>
      <c r="AF11" s="389"/>
      <c r="AG11" s="389" t="n">
        <f aca="false">+AD11-AF11</f>
        <v>115500000</v>
      </c>
      <c r="AH11" s="389"/>
      <c r="AI11" s="389" t="n">
        <f aca="false">+ROUND($H11*AI$3,)</f>
        <v>115500000</v>
      </c>
      <c r="AJ11" s="598"/>
      <c r="AK11" s="389"/>
      <c r="AL11" s="389" t="n">
        <f aca="false">+AI11-AK11</f>
        <v>115500000</v>
      </c>
      <c r="AM11" s="598"/>
      <c r="AN11" s="389" t="n">
        <f aca="false">+ROUND($H11*AN$3,)</f>
        <v>346500000</v>
      </c>
      <c r="AO11" s="598"/>
      <c r="AP11" s="389"/>
      <c r="AQ11" s="389" t="n">
        <f aca="false">+AN11-AP11</f>
        <v>346500000</v>
      </c>
      <c r="AR11" s="389"/>
      <c r="AS11" s="389" t="n">
        <f aca="false">+ROUND($H11*AS$3,)</f>
        <v>288750000</v>
      </c>
      <c r="AT11" s="598"/>
      <c r="AU11" s="389"/>
      <c r="AV11" s="389" t="n">
        <f aca="false">+AS11-AU11</f>
        <v>288750000</v>
      </c>
      <c r="AW11" s="598"/>
      <c r="AX11" s="389" t="n">
        <f aca="false">+ROUND($H11*AX$3,)</f>
        <v>57750000</v>
      </c>
      <c r="AY11" s="598"/>
      <c r="AZ11" s="389"/>
      <c r="BA11" s="389" t="n">
        <f aca="false">+AX11-AZ11</f>
        <v>57750000</v>
      </c>
      <c r="BC11" s="323" t="n">
        <f aca="false">+T11+Y11+AD11+AI11+AN11+AS11+AX11=E11*G11*1.1</f>
        <v>1</v>
      </c>
    </row>
    <row r="12" customFormat="false" ht="12.75" hidden="false" customHeight="false" outlineLevel="0" collapsed="false">
      <c r="B12" s="594"/>
      <c r="C12" s="596" t="str">
        <f aca="false">+'GM Batch1'!C53</f>
        <v>JEIL TECH 2</v>
      </c>
      <c r="D12" s="596" t="n">
        <f aca="false">+'GM Batch1'!D53</f>
        <v>999.44</v>
      </c>
      <c r="E12" s="596" t="n">
        <v>1000</v>
      </c>
      <c r="F12" s="597" t="n">
        <v>1050000</v>
      </c>
      <c r="G12" s="597" t="n">
        <v>1050000</v>
      </c>
      <c r="H12" s="389" t="n">
        <f aca="false">+F12*E12*1.1</f>
        <v>1155000000</v>
      </c>
      <c r="I12" s="389" t="n">
        <f aca="false">+V12+AA12+AF12+AK12+AP12+AU12+AZ12</f>
        <v>0</v>
      </c>
      <c r="J12" s="389" t="n">
        <v>0</v>
      </c>
      <c r="K12" s="389" t="n">
        <f aca="false">+SUM(L12:O12)</f>
        <v>0</v>
      </c>
      <c r="L12" s="389"/>
      <c r="M12" s="389"/>
      <c r="N12" s="389"/>
      <c r="O12" s="389"/>
      <c r="P12" s="599"/>
      <c r="Q12" s="389"/>
      <c r="R12" s="389" t="n">
        <f aca="false">+K12-Q12</f>
        <v>0</v>
      </c>
      <c r="S12" s="598"/>
      <c r="T12" s="389" t="n">
        <f aca="false">+ROUND($H12*T$3,)</f>
        <v>115500000</v>
      </c>
      <c r="U12" s="598"/>
      <c r="V12" s="389"/>
      <c r="W12" s="389" t="n">
        <f aca="false">+T12-V12</f>
        <v>115500000</v>
      </c>
      <c r="X12" s="598"/>
      <c r="Y12" s="389" t="n">
        <f aca="false">+ROUND($H12*Y$3,)</f>
        <v>115500000</v>
      </c>
      <c r="Z12" s="598"/>
      <c r="AA12" s="389"/>
      <c r="AB12" s="389" t="n">
        <f aca="false">+Y12-AA12</f>
        <v>115500000</v>
      </c>
      <c r="AC12" s="598"/>
      <c r="AD12" s="389" t="n">
        <f aca="false">+ROUND($H12*AD$3,)</f>
        <v>115500000</v>
      </c>
      <c r="AE12" s="598"/>
      <c r="AF12" s="389"/>
      <c r="AG12" s="389" t="n">
        <f aca="false">+AD12-AF12</f>
        <v>115500000</v>
      </c>
      <c r="AH12" s="389"/>
      <c r="AI12" s="389" t="n">
        <f aca="false">+ROUND($H12*AI$3,)</f>
        <v>115500000</v>
      </c>
      <c r="AJ12" s="598"/>
      <c r="AK12" s="389"/>
      <c r="AL12" s="389" t="n">
        <f aca="false">+AI12-AK12</f>
        <v>115500000</v>
      </c>
      <c r="AM12" s="598"/>
      <c r="AN12" s="389" t="n">
        <f aca="false">+ROUND($H12*AN$3,)</f>
        <v>346500000</v>
      </c>
      <c r="AO12" s="598"/>
      <c r="AP12" s="389"/>
      <c r="AQ12" s="389" t="n">
        <f aca="false">+AN12-AP12</f>
        <v>346500000</v>
      </c>
      <c r="AR12" s="389"/>
      <c r="AS12" s="389" t="n">
        <f aca="false">+ROUND($H12*AS$3,)</f>
        <v>288750000</v>
      </c>
      <c r="AT12" s="598"/>
      <c r="AU12" s="389"/>
      <c r="AV12" s="389" t="n">
        <f aca="false">+AS12-AU12</f>
        <v>288750000</v>
      </c>
      <c r="AW12" s="598"/>
      <c r="AX12" s="389" t="n">
        <f aca="false">+ROUND($H12*AX$3,)</f>
        <v>57750000</v>
      </c>
      <c r="AY12" s="598"/>
      <c r="AZ12" s="389"/>
      <c r="BA12" s="389" t="n">
        <f aca="false">+AX12-AZ12</f>
        <v>57750000</v>
      </c>
      <c r="BC12" s="323" t="n">
        <f aca="false">+T12+Y12+AD12+AI12+AN12+AS12+AX12=E12*G12*1.1</f>
        <v>1</v>
      </c>
    </row>
    <row r="13" customFormat="false" ht="12.75" hidden="false" customHeight="false" outlineLevel="0" collapsed="false">
      <c r="B13" s="594"/>
      <c r="C13" s="596"/>
      <c r="D13" s="596"/>
      <c r="E13" s="596"/>
      <c r="F13" s="597"/>
      <c r="G13" s="597" t="n">
        <v>1050000</v>
      </c>
      <c r="H13" s="389" t="n">
        <f aca="false">+F13*E13*1.1</f>
        <v>0</v>
      </c>
      <c r="I13" s="389" t="n">
        <f aca="false">+V13+AA13+AF13+AK13+AP13+AU13+AZ13</f>
        <v>0</v>
      </c>
      <c r="J13" s="389" t="n">
        <v>0</v>
      </c>
      <c r="K13" s="389" t="n">
        <f aca="false">+SUM(L13:O13)</f>
        <v>0</v>
      </c>
      <c r="L13" s="389"/>
      <c r="M13" s="389"/>
      <c r="N13" s="389"/>
      <c r="O13" s="389"/>
      <c r="P13" s="599"/>
      <c r="Q13" s="389"/>
      <c r="R13" s="389" t="n">
        <f aca="false">+K13-Q13</f>
        <v>0</v>
      </c>
      <c r="S13" s="598"/>
      <c r="T13" s="389" t="n">
        <f aca="false">+ROUND($H13*T$3,)</f>
        <v>0</v>
      </c>
      <c r="U13" s="598"/>
      <c r="V13" s="389"/>
      <c r="W13" s="389" t="n">
        <f aca="false">+T13-V13</f>
        <v>0</v>
      </c>
      <c r="X13" s="598"/>
      <c r="Y13" s="389" t="n">
        <f aca="false">+ROUND($H13*Y$3,)</f>
        <v>0</v>
      </c>
      <c r="Z13" s="598"/>
      <c r="AA13" s="389"/>
      <c r="AB13" s="389" t="n">
        <f aca="false">+Y13-AA13</f>
        <v>0</v>
      </c>
      <c r="AC13" s="598"/>
      <c r="AD13" s="389" t="n">
        <f aca="false">+ROUND($H13*AD$3,)</f>
        <v>0</v>
      </c>
      <c r="AE13" s="598"/>
      <c r="AF13" s="389"/>
      <c r="AG13" s="389" t="n">
        <f aca="false">+AD13-AF13</f>
        <v>0</v>
      </c>
      <c r="AH13" s="389"/>
      <c r="AI13" s="389" t="n">
        <f aca="false">+ROUND($H13*AI$3,)</f>
        <v>0</v>
      </c>
      <c r="AJ13" s="598"/>
      <c r="AK13" s="389"/>
      <c r="AL13" s="389" t="n">
        <f aca="false">+AI13-AK13</f>
        <v>0</v>
      </c>
      <c r="AM13" s="598"/>
      <c r="AN13" s="389" t="n">
        <f aca="false">+ROUND($H13*AN$3,)</f>
        <v>0</v>
      </c>
      <c r="AO13" s="598"/>
      <c r="AP13" s="389"/>
      <c r="AQ13" s="389" t="n">
        <f aca="false">+AN13-AP13</f>
        <v>0</v>
      </c>
      <c r="AR13" s="389"/>
      <c r="AS13" s="389" t="n">
        <f aca="false">+ROUND($H13*AS$3,)</f>
        <v>0</v>
      </c>
      <c r="AT13" s="598"/>
      <c r="AU13" s="389"/>
      <c r="AV13" s="389" t="n">
        <f aca="false">+AS13-AU13</f>
        <v>0</v>
      </c>
      <c r="AW13" s="598"/>
      <c r="AX13" s="389" t="n">
        <f aca="false">+ROUND($H13*AX$3,)</f>
        <v>0</v>
      </c>
      <c r="AY13" s="598"/>
      <c r="AZ13" s="389"/>
      <c r="BA13" s="389" t="n">
        <f aca="false">+AX13-AZ13</f>
        <v>0</v>
      </c>
      <c r="BC13" s="323" t="n">
        <f aca="false">+T13+Y13+AD13+AI13+AN13+AS13+AX13=E13*G13*1.1</f>
        <v>1</v>
      </c>
    </row>
    <row r="14" customFormat="false" ht="12.75" hidden="false" customHeight="false" outlineLevel="0" collapsed="false">
      <c r="B14" s="594"/>
      <c r="C14" s="596"/>
      <c r="D14" s="596"/>
      <c r="E14" s="596"/>
      <c r="F14" s="597"/>
      <c r="G14" s="597" t="n">
        <v>1050000</v>
      </c>
      <c r="H14" s="389" t="n">
        <f aca="false">+F14*E14*1.1</f>
        <v>0</v>
      </c>
      <c r="I14" s="389" t="n">
        <f aca="false">+V14+AA14+AF14+AK14+AP14+AU14+AZ14</f>
        <v>0</v>
      </c>
      <c r="J14" s="389" t="n">
        <v>0</v>
      </c>
      <c r="K14" s="389" t="n">
        <f aca="false">+SUM(L14:O14)</f>
        <v>0</v>
      </c>
      <c r="L14" s="389"/>
      <c r="M14" s="389"/>
      <c r="N14" s="389"/>
      <c r="O14" s="389"/>
      <c r="P14" s="599"/>
      <c r="Q14" s="389"/>
      <c r="R14" s="389" t="n">
        <f aca="false">+K14-Q14</f>
        <v>0</v>
      </c>
      <c r="S14" s="598"/>
      <c r="T14" s="389" t="n">
        <f aca="false">+ROUND($H14*T$3,)</f>
        <v>0</v>
      </c>
      <c r="U14" s="598"/>
      <c r="V14" s="389"/>
      <c r="W14" s="389" t="n">
        <f aca="false">+T14-V14</f>
        <v>0</v>
      </c>
      <c r="X14" s="598"/>
      <c r="Y14" s="389" t="n">
        <f aca="false">+ROUND($H14*Y$3,)</f>
        <v>0</v>
      </c>
      <c r="Z14" s="598"/>
      <c r="AA14" s="389"/>
      <c r="AB14" s="389" t="n">
        <f aca="false">+Y14-AA14</f>
        <v>0</v>
      </c>
      <c r="AC14" s="598"/>
      <c r="AD14" s="389" t="n">
        <f aca="false">+ROUND($H14*AD$3,)</f>
        <v>0</v>
      </c>
      <c r="AE14" s="598"/>
      <c r="AF14" s="389"/>
      <c r="AG14" s="389" t="n">
        <f aca="false">+AD14-AF14</f>
        <v>0</v>
      </c>
      <c r="AH14" s="389"/>
      <c r="AI14" s="389" t="n">
        <f aca="false">+ROUND($H14*AI$3,)</f>
        <v>0</v>
      </c>
      <c r="AJ14" s="598"/>
      <c r="AK14" s="389"/>
      <c r="AL14" s="389" t="n">
        <f aca="false">+AI14-AK14</f>
        <v>0</v>
      </c>
      <c r="AM14" s="598"/>
      <c r="AN14" s="389" t="n">
        <f aca="false">+ROUND($H14*AN$3,)</f>
        <v>0</v>
      </c>
      <c r="AO14" s="598"/>
      <c r="AP14" s="389"/>
      <c r="AQ14" s="389" t="n">
        <f aca="false">+AN14-AP14</f>
        <v>0</v>
      </c>
      <c r="AR14" s="389"/>
      <c r="AS14" s="389" t="n">
        <f aca="false">+ROUND($H14*AS$3,)</f>
        <v>0</v>
      </c>
      <c r="AT14" s="598"/>
      <c r="AU14" s="389"/>
      <c r="AV14" s="389" t="n">
        <f aca="false">+AS14-AU14</f>
        <v>0</v>
      </c>
      <c r="AW14" s="598"/>
      <c r="AX14" s="389" t="n">
        <f aca="false">+ROUND($H14*AX$3,)</f>
        <v>0</v>
      </c>
      <c r="AY14" s="598"/>
      <c r="AZ14" s="389"/>
      <c r="BA14" s="389" t="n">
        <f aca="false">+AX14-AZ14</f>
        <v>0</v>
      </c>
      <c r="BC14" s="323" t="n">
        <f aca="false">+T14+Y14+AD14+AI14+AN14+AS14+AX14=E14*G14*1.1</f>
        <v>1</v>
      </c>
      <c r="BD14" s="600"/>
    </row>
    <row r="15" customFormat="false" ht="12.75" hidden="false" customHeight="false" outlineLevel="0" collapsed="false">
      <c r="B15" s="594"/>
      <c r="C15" s="596"/>
      <c r="D15" s="596"/>
      <c r="E15" s="596"/>
      <c r="F15" s="597"/>
      <c r="G15" s="597" t="n">
        <v>1050000</v>
      </c>
      <c r="H15" s="389" t="n">
        <f aca="false">+F15*E15*1.1</f>
        <v>0</v>
      </c>
      <c r="I15" s="389" t="n">
        <f aca="false">+V15+AA15+AF15+AK15+AP15+AU15+AZ15</f>
        <v>0</v>
      </c>
      <c r="J15" s="389" t="n">
        <v>0</v>
      </c>
      <c r="K15" s="389" t="n">
        <f aca="false">+SUM(L15:O15)</f>
        <v>0</v>
      </c>
      <c r="L15" s="389"/>
      <c r="M15" s="389"/>
      <c r="N15" s="389"/>
      <c r="O15" s="389"/>
      <c r="P15" s="599"/>
      <c r="Q15" s="389"/>
      <c r="R15" s="389" t="n">
        <f aca="false">+K15-Q15</f>
        <v>0</v>
      </c>
      <c r="S15" s="598"/>
      <c r="T15" s="389" t="n">
        <f aca="false">+ROUND($H15*T$3,)</f>
        <v>0</v>
      </c>
      <c r="U15" s="598"/>
      <c r="V15" s="389"/>
      <c r="W15" s="389" t="n">
        <f aca="false">+T15-V15</f>
        <v>0</v>
      </c>
      <c r="X15" s="598"/>
      <c r="Y15" s="389" t="n">
        <f aca="false">+ROUND($H15*Y$3,)</f>
        <v>0</v>
      </c>
      <c r="Z15" s="598"/>
      <c r="AA15" s="389"/>
      <c r="AB15" s="389" t="n">
        <f aca="false">+Y15-AA15</f>
        <v>0</v>
      </c>
      <c r="AC15" s="598"/>
      <c r="AD15" s="389" t="n">
        <f aca="false">+ROUND($H15*AD$3,)</f>
        <v>0</v>
      </c>
      <c r="AE15" s="598"/>
      <c r="AF15" s="389"/>
      <c r="AG15" s="389" t="n">
        <f aca="false">+AD15-AF15</f>
        <v>0</v>
      </c>
      <c r="AH15" s="389"/>
      <c r="AI15" s="389" t="n">
        <f aca="false">+ROUND($H15*AI$3,)</f>
        <v>0</v>
      </c>
      <c r="AJ15" s="598"/>
      <c r="AK15" s="389"/>
      <c r="AL15" s="389" t="n">
        <f aca="false">+AI15-AK15</f>
        <v>0</v>
      </c>
      <c r="AM15" s="598"/>
      <c r="AN15" s="389" t="n">
        <f aca="false">+ROUND($H15*AN$3,)</f>
        <v>0</v>
      </c>
      <c r="AO15" s="598"/>
      <c r="AP15" s="389"/>
      <c r="AQ15" s="389" t="n">
        <f aca="false">+AN15-AP15</f>
        <v>0</v>
      </c>
      <c r="AR15" s="389"/>
      <c r="AS15" s="389" t="n">
        <f aca="false">+ROUND($H15*AS$3,)</f>
        <v>0</v>
      </c>
      <c r="AT15" s="598"/>
      <c r="AU15" s="389"/>
      <c r="AV15" s="389" t="n">
        <f aca="false">+AS15-AU15</f>
        <v>0</v>
      </c>
      <c r="AW15" s="598"/>
      <c r="AX15" s="389" t="n">
        <f aca="false">+ROUND($H15*AX$3,)</f>
        <v>0</v>
      </c>
      <c r="AY15" s="598"/>
      <c r="AZ15" s="389"/>
      <c r="BA15" s="389" t="n">
        <f aca="false">+AX15-AZ15</f>
        <v>0</v>
      </c>
      <c r="BC15" s="323" t="n">
        <f aca="false">+T15+Y15+AD15+AI15+AN15+AS15+AX15=E15*G15*1.1</f>
        <v>1</v>
      </c>
    </row>
    <row r="16" customFormat="false" ht="12.75" hidden="false" customHeight="false" outlineLevel="0" collapsed="false">
      <c r="B16" s="594"/>
      <c r="C16" s="596"/>
      <c r="D16" s="596"/>
      <c r="E16" s="596"/>
      <c r="F16" s="597"/>
      <c r="G16" s="597" t="n">
        <v>1050000</v>
      </c>
      <c r="H16" s="389" t="n">
        <f aca="false">+F16*E16*1.1</f>
        <v>0</v>
      </c>
      <c r="I16" s="389" t="n">
        <f aca="false">+V16+AA16+AF16+AK16+AP16+AU16+AZ16</f>
        <v>0</v>
      </c>
      <c r="J16" s="389" t="n">
        <v>0</v>
      </c>
      <c r="K16" s="389" t="n">
        <f aca="false">+SUM(L16:O16)</f>
        <v>0</v>
      </c>
      <c r="L16" s="389"/>
      <c r="M16" s="389"/>
      <c r="N16" s="389"/>
      <c r="O16" s="389"/>
      <c r="P16" s="599"/>
      <c r="Q16" s="389"/>
      <c r="R16" s="389" t="n">
        <f aca="false">+K16-Q16</f>
        <v>0</v>
      </c>
      <c r="S16" s="598"/>
      <c r="T16" s="389" t="n">
        <f aca="false">+ROUND($H16*T$3,)</f>
        <v>0</v>
      </c>
      <c r="U16" s="598"/>
      <c r="V16" s="389"/>
      <c r="W16" s="389" t="n">
        <f aca="false">+T16-V16</f>
        <v>0</v>
      </c>
      <c r="X16" s="598"/>
      <c r="Y16" s="389" t="n">
        <f aca="false">+ROUND($H16*Y$3,)</f>
        <v>0</v>
      </c>
      <c r="Z16" s="598"/>
      <c r="AA16" s="389"/>
      <c r="AB16" s="389" t="n">
        <f aca="false">+Y16-AA16</f>
        <v>0</v>
      </c>
      <c r="AC16" s="598"/>
      <c r="AD16" s="389" t="n">
        <f aca="false">+ROUND($H16*AD$3,)</f>
        <v>0</v>
      </c>
      <c r="AE16" s="598"/>
      <c r="AF16" s="389"/>
      <c r="AG16" s="389" t="n">
        <f aca="false">+AD16-AF16</f>
        <v>0</v>
      </c>
      <c r="AH16" s="389"/>
      <c r="AI16" s="389" t="n">
        <f aca="false">+ROUND($H16*AI$3,)</f>
        <v>0</v>
      </c>
      <c r="AJ16" s="598"/>
      <c r="AK16" s="389"/>
      <c r="AL16" s="389" t="n">
        <f aca="false">+AI16-AK16</f>
        <v>0</v>
      </c>
      <c r="AM16" s="598"/>
      <c r="AN16" s="389" t="n">
        <f aca="false">+ROUND($H16*AN$3,)</f>
        <v>0</v>
      </c>
      <c r="AO16" s="598"/>
      <c r="AP16" s="389"/>
      <c r="AQ16" s="389" t="n">
        <f aca="false">+AN16-AP16</f>
        <v>0</v>
      </c>
      <c r="AR16" s="389"/>
      <c r="AS16" s="389" t="n">
        <f aca="false">+ROUND($H16*AS$3,)</f>
        <v>0</v>
      </c>
      <c r="AT16" s="598"/>
      <c r="AU16" s="389"/>
      <c r="AV16" s="389" t="n">
        <f aca="false">+AS16-AU16</f>
        <v>0</v>
      </c>
      <c r="AW16" s="598"/>
      <c r="AX16" s="389" t="n">
        <f aca="false">+ROUND($H16*AX$3,)</f>
        <v>0</v>
      </c>
      <c r="AY16" s="598"/>
      <c r="AZ16" s="389"/>
      <c r="BA16" s="389" t="n">
        <f aca="false">+AX16-AZ16</f>
        <v>0</v>
      </c>
      <c r="BC16" s="323" t="n">
        <f aca="false">+T16+Y16+AD16+AI16+AN16+AS16+AX16=E16*G16*1.1</f>
        <v>1</v>
      </c>
    </row>
    <row r="17" s="323" customFormat="true" ht="12.75" hidden="false" customHeight="false" outlineLevel="0" collapsed="false">
      <c r="B17" s="594"/>
      <c r="C17" s="596"/>
      <c r="D17" s="596"/>
      <c r="E17" s="596"/>
      <c r="F17" s="597"/>
      <c r="G17" s="597" t="n">
        <v>1050000</v>
      </c>
      <c r="H17" s="389" t="n">
        <f aca="false">+F17*E17*1.1</f>
        <v>0</v>
      </c>
      <c r="I17" s="389" t="n">
        <f aca="false">+V17+AA17+AF17+AK17+AP17+AU17+AZ17</f>
        <v>0</v>
      </c>
      <c r="J17" s="389" t="n">
        <v>0</v>
      </c>
      <c r="K17" s="389" t="n">
        <f aca="false">+SUM(L17:O17)</f>
        <v>0</v>
      </c>
      <c r="L17" s="389"/>
      <c r="M17" s="389"/>
      <c r="N17" s="389"/>
      <c r="O17" s="389"/>
      <c r="P17" s="599"/>
      <c r="Q17" s="389"/>
      <c r="R17" s="389" t="n">
        <f aca="false">+K17-Q17</f>
        <v>0</v>
      </c>
      <c r="S17" s="598"/>
      <c r="T17" s="389" t="n">
        <f aca="false">+ROUND($H17*T$3,)</f>
        <v>0</v>
      </c>
      <c r="U17" s="598"/>
      <c r="V17" s="389"/>
      <c r="W17" s="389" t="n">
        <f aca="false">+T17-V17</f>
        <v>0</v>
      </c>
      <c r="X17" s="598"/>
      <c r="Y17" s="389" t="n">
        <f aca="false">+ROUND($H17*Y$3,)</f>
        <v>0</v>
      </c>
      <c r="Z17" s="598"/>
      <c r="AA17" s="389"/>
      <c r="AB17" s="389" t="n">
        <f aca="false">+Y17-AA17</f>
        <v>0</v>
      </c>
      <c r="AC17" s="598"/>
      <c r="AD17" s="389" t="n">
        <f aca="false">+ROUND($H17*AD$3,)</f>
        <v>0</v>
      </c>
      <c r="AE17" s="598"/>
      <c r="AF17" s="389"/>
      <c r="AG17" s="389" t="n">
        <f aca="false">+AD17-AF17</f>
        <v>0</v>
      </c>
      <c r="AH17" s="389"/>
      <c r="AI17" s="389" t="n">
        <f aca="false">+ROUND($H17*AI$3,)</f>
        <v>0</v>
      </c>
      <c r="AJ17" s="598"/>
      <c r="AK17" s="389"/>
      <c r="AL17" s="389" t="n">
        <f aca="false">+AI17-AK17</f>
        <v>0</v>
      </c>
      <c r="AM17" s="598"/>
      <c r="AN17" s="389" t="n">
        <f aca="false">+ROUND($H17*AN$3,)</f>
        <v>0</v>
      </c>
      <c r="AO17" s="598"/>
      <c r="AP17" s="389"/>
      <c r="AQ17" s="389" t="n">
        <f aca="false">+AN17-AP17</f>
        <v>0</v>
      </c>
      <c r="AR17" s="389"/>
      <c r="AS17" s="389" t="n">
        <f aca="false">+ROUND($H17*AS$3,)</f>
        <v>0</v>
      </c>
      <c r="AT17" s="598"/>
      <c r="AU17" s="389"/>
      <c r="AV17" s="389" t="n">
        <f aca="false">+AS17-AU17</f>
        <v>0</v>
      </c>
      <c r="AW17" s="598"/>
      <c r="AX17" s="389" t="n">
        <f aca="false">+ROUND($H17*AX$3,)</f>
        <v>0</v>
      </c>
      <c r="AY17" s="598"/>
      <c r="AZ17" s="389"/>
      <c r="BA17" s="389" t="n">
        <f aca="false">+AX17-AZ17</f>
        <v>0</v>
      </c>
      <c r="BC17" s="323" t="n">
        <f aca="false">+T17+Y17+AD17+AI17+AN17+AS17+AX17=E17*G17*1.1</f>
        <v>1</v>
      </c>
    </row>
    <row r="18" customFormat="false" ht="12.75" hidden="false" customHeight="false" outlineLevel="0" collapsed="false">
      <c r="B18" s="594"/>
      <c r="C18" s="596"/>
      <c r="D18" s="596"/>
      <c r="E18" s="596"/>
      <c r="F18" s="597"/>
      <c r="G18" s="597" t="n">
        <v>1050000</v>
      </c>
      <c r="H18" s="389" t="n">
        <f aca="false">+F18*E18*1.1</f>
        <v>0</v>
      </c>
      <c r="I18" s="389" t="n">
        <f aca="false">+V18+AA18+AF18+AK18+AP18+AU18+AZ18</f>
        <v>0</v>
      </c>
      <c r="J18" s="389" t="n">
        <v>0</v>
      </c>
      <c r="K18" s="389" t="n">
        <f aca="false">+SUM(L18:O18)</f>
        <v>0</v>
      </c>
      <c r="L18" s="389"/>
      <c r="M18" s="389"/>
      <c r="N18" s="389"/>
      <c r="O18" s="389"/>
      <c r="P18" s="599"/>
      <c r="Q18" s="389"/>
      <c r="R18" s="389" t="n">
        <f aca="false">+K18-Q18</f>
        <v>0</v>
      </c>
      <c r="S18" s="598"/>
      <c r="T18" s="389" t="n">
        <f aca="false">+ROUND($H18*T$3,)</f>
        <v>0</v>
      </c>
      <c r="U18" s="598"/>
      <c r="V18" s="389"/>
      <c r="W18" s="389" t="n">
        <f aca="false">+T18-V18</f>
        <v>0</v>
      </c>
      <c r="X18" s="598"/>
      <c r="Y18" s="389" t="n">
        <f aca="false">+ROUND($H18*Y$3,)</f>
        <v>0</v>
      </c>
      <c r="Z18" s="598"/>
      <c r="AA18" s="389"/>
      <c r="AB18" s="389" t="n">
        <f aca="false">+Y18-AA18</f>
        <v>0</v>
      </c>
      <c r="AC18" s="598"/>
      <c r="AD18" s="389" t="n">
        <f aca="false">+ROUND($H18*AD$3,)</f>
        <v>0</v>
      </c>
      <c r="AE18" s="598"/>
      <c r="AF18" s="389"/>
      <c r="AG18" s="389" t="n">
        <f aca="false">+AD18-AF18</f>
        <v>0</v>
      </c>
      <c r="AH18" s="389"/>
      <c r="AI18" s="389" t="n">
        <f aca="false">+ROUND($H18*AI$3,)</f>
        <v>0</v>
      </c>
      <c r="AJ18" s="598"/>
      <c r="AK18" s="389"/>
      <c r="AL18" s="389" t="n">
        <f aca="false">+AI18-AK18</f>
        <v>0</v>
      </c>
      <c r="AM18" s="598"/>
      <c r="AN18" s="389" t="n">
        <f aca="false">+ROUND($H18*AN$3,)</f>
        <v>0</v>
      </c>
      <c r="AO18" s="598"/>
      <c r="AP18" s="389"/>
      <c r="AQ18" s="389" t="n">
        <f aca="false">+AN18-AP18</f>
        <v>0</v>
      </c>
      <c r="AR18" s="389"/>
      <c r="AS18" s="389" t="n">
        <f aca="false">+ROUND($H18*AS$3,)</f>
        <v>0</v>
      </c>
      <c r="AT18" s="598"/>
      <c r="AU18" s="389"/>
      <c r="AV18" s="389" t="n">
        <f aca="false">+AS18-AU18</f>
        <v>0</v>
      </c>
      <c r="AW18" s="598"/>
      <c r="AX18" s="389" t="n">
        <f aca="false">+ROUND($H18*AX$3,)</f>
        <v>0</v>
      </c>
      <c r="AY18" s="598"/>
      <c r="AZ18" s="389"/>
      <c r="BA18" s="389" t="n">
        <f aca="false">+AX18-AZ18</f>
        <v>0</v>
      </c>
      <c r="BC18" s="323" t="n">
        <f aca="false">+T18+Y18+AD18+AI18+AN18+AS18+AX18=E18*G18*1.1</f>
        <v>1</v>
      </c>
    </row>
    <row r="20" customFormat="false" ht="15" hidden="false" customHeight="true" outlineLevel="0" collapsed="false">
      <c r="B20" s="297" t="s">
        <v>96</v>
      </c>
      <c r="C20" s="297" t="s">
        <v>36</v>
      </c>
      <c r="D20" s="299" t="s">
        <v>123</v>
      </c>
      <c r="E20" s="601"/>
      <c r="F20" s="586" t="s">
        <v>412</v>
      </c>
      <c r="G20" s="586" t="s">
        <v>413</v>
      </c>
      <c r="H20" s="587" t="s">
        <v>109</v>
      </c>
      <c r="I20" s="588" t="s">
        <v>414</v>
      </c>
      <c r="J20" s="588" t="s">
        <v>415</v>
      </c>
      <c r="K20" s="589" t="s">
        <v>416</v>
      </c>
      <c r="L20" s="589"/>
      <c r="M20" s="589"/>
      <c r="N20" s="589"/>
      <c r="O20" s="589"/>
      <c r="P20" s="589"/>
      <c r="Q20" s="589"/>
      <c r="R20" s="589"/>
      <c r="S20" s="587" t="s">
        <v>435</v>
      </c>
      <c r="T20" s="587"/>
      <c r="U20" s="587"/>
      <c r="V20" s="587"/>
      <c r="W20" s="587"/>
      <c r="X20" s="587" t="s">
        <v>436</v>
      </c>
      <c r="Y20" s="587"/>
      <c r="Z20" s="587"/>
      <c r="AA20" s="587"/>
      <c r="AB20" s="587"/>
      <c r="AC20" s="587" t="s">
        <v>437</v>
      </c>
      <c r="AD20" s="587"/>
      <c r="AE20" s="587"/>
      <c r="AF20" s="587"/>
      <c r="AG20" s="587"/>
      <c r="AH20" s="587"/>
      <c r="AI20" s="587"/>
      <c r="AJ20" s="587"/>
      <c r="AK20" s="587"/>
      <c r="AL20" s="587"/>
      <c r="AM20" s="587"/>
      <c r="AN20" s="587"/>
      <c r="AO20" s="587"/>
      <c r="AP20" s="587"/>
      <c r="AQ20" s="587"/>
      <c r="AR20" s="587"/>
      <c r="AS20" s="587"/>
      <c r="AT20" s="587"/>
      <c r="AU20" s="587"/>
      <c r="AV20" s="587"/>
      <c r="AW20" s="587" t="s">
        <v>438</v>
      </c>
      <c r="AX20" s="587"/>
      <c r="AY20" s="587"/>
      <c r="AZ20" s="587"/>
      <c r="BA20" s="587"/>
    </row>
    <row r="21" customFormat="false" ht="13.4" hidden="false" customHeight="false" outlineLevel="0" collapsed="false">
      <c r="B21" s="297"/>
      <c r="C21" s="297"/>
      <c r="D21" s="299"/>
      <c r="E21" s="601"/>
      <c r="F21" s="586"/>
      <c r="G21" s="586"/>
      <c r="H21" s="587"/>
      <c r="I21" s="588"/>
      <c r="J21" s="588"/>
      <c r="K21" s="602" t="s">
        <v>424</v>
      </c>
      <c r="L21" s="602" t="s">
        <v>425</v>
      </c>
      <c r="M21" s="602" t="s">
        <v>426</v>
      </c>
      <c r="N21" s="602" t="s">
        <v>427</v>
      </c>
      <c r="O21" s="602" t="s">
        <v>428</v>
      </c>
      <c r="P21" s="603" t="s">
        <v>429</v>
      </c>
      <c r="Q21" s="602" t="s">
        <v>430</v>
      </c>
      <c r="R21" s="602" t="s">
        <v>431</v>
      </c>
      <c r="S21" s="587" t="s">
        <v>168</v>
      </c>
      <c r="T21" s="592" t="n">
        <v>0.5</v>
      </c>
      <c r="U21" s="587" t="s">
        <v>168</v>
      </c>
      <c r="V21" s="593" t="s">
        <v>432</v>
      </c>
      <c r="W21" s="593" t="s">
        <v>433</v>
      </c>
      <c r="X21" s="587" t="s">
        <v>168</v>
      </c>
      <c r="Y21" s="592" t="n">
        <v>0.4</v>
      </c>
      <c r="Z21" s="587" t="s">
        <v>168</v>
      </c>
      <c r="AA21" s="593" t="s">
        <v>432</v>
      </c>
      <c r="AB21" s="593" t="s">
        <v>433</v>
      </c>
      <c r="AC21" s="587" t="s">
        <v>168</v>
      </c>
      <c r="AD21" s="592" t="n">
        <v>0.1</v>
      </c>
      <c r="AE21" s="587" t="s">
        <v>168</v>
      </c>
      <c r="AF21" s="593" t="s">
        <v>432</v>
      </c>
      <c r="AG21" s="593" t="s">
        <v>433</v>
      </c>
      <c r="AH21" s="593"/>
      <c r="AI21" s="593"/>
      <c r="AJ21" s="593"/>
      <c r="AK21" s="593"/>
      <c r="AL21" s="593"/>
      <c r="AM21" s="593"/>
      <c r="AN21" s="593"/>
      <c r="AO21" s="593"/>
      <c r="AP21" s="593"/>
      <c r="AQ21" s="593"/>
      <c r="AR21" s="593"/>
      <c r="AS21" s="593"/>
      <c r="AT21" s="593"/>
      <c r="AU21" s="593"/>
      <c r="AV21" s="593"/>
      <c r="AW21" s="587" t="s">
        <v>168</v>
      </c>
      <c r="AX21" s="592" t="n">
        <v>0</v>
      </c>
      <c r="AY21" s="587" t="s">
        <v>168</v>
      </c>
      <c r="AZ21" s="593" t="s">
        <v>432</v>
      </c>
      <c r="BA21" s="593" t="s">
        <v>433</v>
      </c>
    </row>
    <row r="22" customFormat="false" ht="12.75" hidden="false" customHeight="false" outlineLevel="0" collapsed="false">
      <c r="B22" s="594" t="s">
        <v>439</v>
      </c>
      <c r="C22" s="595"/>
      <c r="D22" s="596" t="n">
        <f aca="false">+SUM(D23:D36)</f>
        <v>4242.325</v>
      </c>
      <c r="E22" s="596"/>
      <c r="F22" s="597" t="n">
        <v>950000</v>
      </c>
      <c r="G22" s="597" t="n">
        <v>1050000</v>
      </c>
      <c r="H22" s="389" t="n">
        <f aca="false">+SUM(H23:H36)</f>
        <v>4433229625</v>
      </c>
      <c r="I22" s="389" t="n">
        <f aca="false">+SUM(I23:I36)</f>
        <v>0</v>
      </c>
      <c r="J22" s="389" t="n">
        <f aca="false">+SUM(J23:J36)</f>
        <v>0</v>
      </c>
      <c r="K22" s="389" t="n">
        <f aca="false">+SUM(K23:K36)</f>
        <v>237373380</v>
      </c>
      <c r="L22" s="389" t="n">
        <f aca="false">+SUM(L23:L36)</f>
        <v>9083110</v>
      </c>
      <c r="M22" s="389" t="n">
        <f aca="false">+SUM(M23:M36)</f>
        <v>14876680</v>
      </c>
      <c r="N22" s="389" t="n">
        <f aca="false">+SUM(N23:N36)</f>
        <v>3300000</v>
      </c>
      <c r="O22" s="389" t="n">
        <f aca="false">+SUM(O23:O36)</f>
        <v>210113590</v>
      </c>
      <c r="P22" s="389"/>
      <c r="Q22" s="389" t="n">
        <f aca="false">+SUM(Q23:Q36)</f>
        <v>124280560</v>
      </c>
      <c r="R22" s="389" t="n">
        <f aca="false">+SUM(R23:R36)</f>
        <v>113092820</v>
      </c>
      <c r="S22" s="598"/>
      <c r="T22" s="389" t="n">
        <f aca="false">+SUM(T23:T36)</f>
        <v>2216614814</v>
      </c>
      <c r="U22" s="598"/>
      <c r="V22" s="389" t="n">
        <f aca="false">+SUM(V23:V36)</f>
        <v>0</v>
      </c>
      <c r="W22" s="389" t="n">
        <f aca="false">+SUM(W23:W36)</f>
        <v>2216614814</v>
      </c>
      <c r="X22" s="598"/>
      <c r="Y22" s="389" t="n">
        <f aca="false">+SUM(Y23:Y36)</f>
        <v>1773291850</v>
      </c>
      <c r="Z22" s="598"/>
      <c r="AA22" s="389"/>
      <c r="AB22" s="389" t="n">
        <f aca="false">+SUM(AB23:AB36)</f>
        <v>1773291850</v>
      </c>
      <c r="AC22" s="598"/>
      <c r="AD22" s="389" t="n">
        <f aca="false">+SUM(AD23:AD36)</f>
        <v>672605331</v>
      </c>
      <c r="AE22" s="598"/>
      <c r="AF22" s="389"/>
      <c r="AG22" s="389" t="n">
        <f aca="false">+SUM(AG23:AG36)</f>
        <v>672605331</v>
      </c>
      <c r="AH22" s="389"/>
      <c r="AI22" s="389"/>
      <c r="AJ22" s="389"/>
      <c r="AK22" s="389"/>
      <c r="AL22" s="389"/>
      <c r="AM22" s="389"/>
      <c r="AN22" s="389"/>
      <c r="AO22" s="389"/>
      <c r="AP22" s="389"/>
      <c r="AQ22" s="389"/>
      <c r="AR22" s="389"/>
      <c r="AS22" s="389"/>
      <c r="AT22" s="389"/>
      <c r="AU22" s="389"/>
      <c r="AV22" s="389"/>
      <c r="AW22" s="389"/>
      <c r="AX22" s="389" t="n">
        <f aca="false">+SUM(AX23:AX36)</f>
        <v>0</v>
      </c>
      <c r="AY22" s="389"/>
      <c r="AZ22" s="389"/>
      <c r="BA22" s="389" t="n">
        <f aca="false">+SUM(BA23:BA36)</f>
        <v>0</v>
      </c>
      <c r="BC22" s="323" t="n">
        <f aca="false">T22+Y22+AD22+AX22+K22=D22*G22*1.1</f>
        <v>1</v>
      </c>
    </row>
    <row r="23" customFormat="false" ht="12.75" hidden="false" customHeight="false" outlineLevel="0" collapsed="false">
      <c r="B23" s="594"/>
      <c r="C23" s="596" t="s">
        <v>440</v>
      </c>
      <c r="D23" s="596" t="n">
        <v>709.295</v>
      </c>
      <c r="E23" s="596"/>
      <c r="F23" s="597" t="n">
        <v>950000</v>
      </c>
      <c r="G23" s="597" t="n">
        <v>1050000</v>
      </c>
      <c r="H23" s="389" t="n">
        <f aca="false">+F23*D23*1.1</f>
        <v>741213275</v>
      </c>
      <c r="I23" s="389" t="n">
        <f aca="false">+V23+AA23+AF23+AZ23</f>
        <v>0</v>
      </c>
      <c r="J23" s="389"/>
      <c r="K23" s="389" t="n">
        <f aca="false">+SUM(L23:O23)</f>
        <v>0</v>
      </c>
      <c r="L23" s="389"/>
      <c r="M23" s="389"/>
      <c r="N23" s="389"/>
      <c r="O23" s="389"/>
      <c r="P23" s="599"/>
      <c r="Q23" s="389"/>
      <c r="R23" s="389" t="n">
        <f aca="false">+K23-Q23</f>
        <v>0</v>
      </c>
      <c r="S23" s="598"/>
      <c r="T23" s="389" t="n">
        <f aca="false">+ROUND($H23*T$21,)</f>
        <v>370606638</v>
      </c>
      <c r="U23" s="598"/>
      <c r="V23" s="389"/>
      <c r="W23" s="389" t="n">
        <f aca="false">+T23-V23</f>
        <v>370606638</v>
      </c>
      <c r="X23" s="598"/>
      <c r="Y23" s="389" t="n">
        <f aca="false">+ROUND($H23*Y$21,)</f>
        <v>296485310</v>
      </c>
      <c r="Z23" s="598"/>
      <c r="AA23" s="389"/>
      <c r="AB23" s="389" t="n">
        <f aca="false">+Y23-AA23</f>
        <v>296485310</v>
      </c>
      <c r="AC23" s="598"/>
      <c r="AD23" s="389" t="n">
        <f aca="false">+ROUND(D23*G23*1.1-Y23-T23-K23,)</f>
        <v>152143777</v>
      </c>
      <c r="AE23" s="598"/>
      <c r="AF23" s="389"/>
      <c r="AG23" s="389" t="n">
        <f aca="false">+AD23-AF23</f>
        <v>152143777</v>
      </c>
      <c r="AH23" s="389"/>
      <c r="AI23" s="389"/>
      <c r="AJ23" s="389"/>
      <c r="AK23" s="389"/>
      <c r="AL23" s="389"/>
      <c r="AM23" s="389"/>
      <c r="AN23" s="389"/>
      <c r="AO23" s="389"/>
      <c r="AP23" s="389"/>
      <c r="AQ23" s="389"/>
      <c r="AR23" s="389"/>
      <c r="AS23" s="389"/>
      <c r="AT23" s="389"/>
      <c r="AU23" s="389"/>
      <c r="AV23" s="389"/>
      <c r="AW23" s="389"/>
      <c r="AX23" s="389" t="n">
        <f aca="false">+ROUND($H23*AX$21,)</f>
        <v>0</v>
      </c>
      <c r="AY23" s="389"/>
      <c r="AZ23" s="389"/>
      <c r="BA23" s="389" t="n">
        <f aca="false">+AX23-AZ23</f>
        <v>0</v>
      </c>
      <c r="BC23" s="323" t="n">
        <f aca="false">T23+Y23+AD23+AX23+K23=D23*G23*1.1</f>
        <v>1</v>
      </c>
    </row>
    <row r="24" customFormat="false" ht="12.75" hidden="false" customHeight="false" outlineLevel="0" collapsed="false">
      <c r="B24" s="594"/>
      <c r="C24" s="596" t="s">
        <v>441</v>
      </c>
      <c r="D24" s="596" t="n">
        <v>522.605</v>
      </c>
      <c r="E24" s="596"/>
      <c r="F24" s="597" t="n">
        <v>950000</v>
      </c>
      <c r="G24" s="597" t="n">
        <v>1050000</v>
      </c>
      <c r="H24" s="389" t="n">
        <f aca="false">+F24*D24*1.1</f>
        <v>546122225</v>
      </c>
      <c r="I24" s="389" t="n">
        <f aca="false">+V24+AA24+AF24+AZ24</f>
        <v>0</v>
      </c>
      <c r="J24" s="389"/>
      <c r="K24" s="389" t="n">
        <f aca="false">+SUM(L24:O24)</f>
        <v>1100000</v>
      </c>
      <c r="L24" s="389"/>
      <c r="M24" s="389"/>
      <c r="N24" s="389" t="n">
        <v>1100000</v>
      </c>
      <c r="O24" s="389"/>
      <c r="P24" s="599" t="n">
        <v>45966</v>
      </c>
      <c r="Q24" s="389" t="n">
        <v>1100000</v>
      </c>
      <c r="R24" s="389" t="n">
        <f aca="false">+K24-Q24</f>
        <v>0</v>
      </c>
      <c r="S24" s="598"/>
      <c r="T24" s="389" t="n">
        <f aca="false">+ROUND($H24*T$21,)</f>
        <v>273061113</v>
      </c>
      <c r="U24" s="598"/>
      <c r="V24" s="389"/>
      <c r="W24" s="389" t="n">
        <f aca="false">+T24-V24</f>
        <v>273061113</v>
      </c>
      <c r="X24" s="598"/>
      <c r="Y24" s="389" t="n">
        <f aca="false">+ROUND($H24*Y$21,)</f>
        <v>218448890</v>
      </c>
      <c r="Z24" s="598"/>
      <c r="AA24" s="389"/>
      <c r="AB24" s="389" t="n">
        <f aca="false">+Y24-AA24</f>
        <v>218448890</v>
      </c>
      <c r="AC24" s="598" t="n">
        <f aca="false">+'[6]BT 3HO'!AB17</f>
        <v>45930</v>
      </c>
      <c r="AD24" s="389" t="n">
        <f aca="false">+ROUND(D24*G24*1.1-Y24-T24-K24,)</f>
        <v>110998772</v>
      </c>
      <c r="AE24" s="598"/>
      <c r="AF24" s="389"/>
      <c r="AG24" s="389" t="n">
        <f aca="false">+AD24-AF24</f>
        <v>110998772</v>
      </c>
      <c r="AH24" s="389"/>
      <c r="AI24" s="389"/>
      <c r="AJ24" s="389"/>
      <c r="AK24" s="389"/>
      <c r="AL24" s="389"/>
      <c r="AM24" s="389"/>
      <c r="AN24" s="389"/>
      <c r="AO24" s="389"/>
      <c r="AP24" s="389"/>
      <c r="AQ24" s="389"/>
      <c r="AR24" s="389"/>
      <c r="AS24" s="389"/>
      <c r="AT24" s="389"/>
      <c r="AU24" s="389"/>
      <c r="AV24" s="389"/>
      <c r="AW24" s="389"/>
      <c r="AX24" s="389" t="n">
        <f aca="false">+ROUND($H24*AX$21,)</f>
        <v>0</v>
      </c>
      <c r="AY24" s="389"/>
      <c r="AZ24" s="389"/>
      <c r="BA24" s="389" t="n">
        <f aca="false">+AX24-AZ24</f>
        <v>0</v>
      </c>
      <c r="BC24" s="323" t="n">
        <f aca="false">T24+Y24+AD24+AX24+K24=D24*G24*1.1</f>
        <v>1</v>
      </c>
    </row>
    <row r="25" customFormat="false" ht="12.75" hidden="false" customHeight="false" outlineLevel="0" collapsed="false">
      <c r="B25" s="594"/>
      <c r="C25" s="596" t="s">
        <v>442</v>
      </c>
      <c r="D25" s="596" t="n">
        <v>499.11</v>
      </c>
      <c r="E25" s="596"/>
      <c r="F25" s="597" t="n">
        <v>950000</v>
      </c>
      <c r="G25" s="597" t="n">
        <v>1050000</v>
      </c>
      <c r="H25" s="389" t="n">
        <f aca="false">+F25*D25*1.1</f>
        <v>521569950</v>
      </c>
      <c r="I25" s="389" t="n">
        <f aca="false">+V25+AA25+AF25+AZ25</f>
        <v>0</v>
      </c>
      <c r="J25" s="389"/>
      <c r="K25" s="389" t="n">
        <f aca="false">+SUM(L25:O25)</f>
        <v>67427460</v>
      </c>
      <c r="L25" s="389" t="n">
        <v>1808870</v>
      </c>
      <c r="M25" s="389" t="n">
        <v>3029700</v>
      </c>
      <c r="N25" s="389"/>
      <c r="O25" s="389" t="n">
        <v>62588890</v>
      </c>
      <c r="P25" s="599" t="n">
        <v>45980</v>
      </c>
      <c r="Q25" s="389" t="n">
        <v>67427460</v>
      </c>
      <c r="R25" s="389" t="n">
        <f aca="false">+K25-Q25</f>
        <v>0</v>
      </c>
      <c r="S25" s="598"/>
      <c r="T25" s="389" t="n">
        <f aca="false">+ROUND($H25*T$21,)</f>
        <v>260784975</v>
      </c>
      <c r="U25" s="598"/>
      <c r="V25" s="389"/>
      <c r="W25" s="389" t="n">
        <f aca="false">+T25-V25</f>
        <v>260784975</v>
      </c>
      <c r="X25" s="598"/>
      <c r="Y25" s="389" t="n">
        <f aca="false">+ROUND($H25*Y$21,)</f>
        <v>208627980</v>
      </c>
      <c r="Z25" s="598"/>
      <c r="AA25" s="389"/>
      <c r="AB25" s="389" t="n">
        <f aca="false">+Y25-AA25</f>
        <v>208627980</v>
      </c>
      <c r="AC25" s="598" t="n">
        <f aca="false">+'[6]BT 3HO'!AB22</f>
        <v>45831</v>
      </c>
      <c r="AD25" s="389" t="n">
        <f aca="false">+ROUND(D25*G25*1.1-Y25-T25-K25,)</f>
        <v>39631635</v>
      </c>
      <c r="AE25" s="598"/>
      <c r="AF25" s="389"/>
      <c r="AG25" s="389" t="n">
        <f aca="false">+AD25-AF25</f>
        <v>39631635</v>
      </c>
      <c r="AH25" s="389"/>
      <c r="AI25" s="389"/>
      <c r="AJ25" s="389"/>
      <c r="AK25" s="389"/>
      <c r="AL25" s="389"/>
      <c r="AM25" s="389"/>
      <c r="AN25" s="389"/>
      <c r="AO25" s="389"/>
      <c r="AP25" s="389"/>
      <c r="AQ25" s="389"/>
      <c r="AR25" s="389"/>
      <c r="AS25" s="389"/>
      <c r="AT25" s="389"/>
      <c r="AU25" s="389"/>
      <c r="AV25" s="389"/>
      <c r="AW25" s="389"/>
      <c r="AX25" s="389" t="n">
        <f aca="false">+ROUND($H25*AX$21,)</f>
        <v>0</v>
      </c>
      <c r="AY25" s="389"/>
      <c r="AZ25" s="389"/>
      <c r="BA25" s="389" t="n">
        <f aca="false">+AX25-AZ25</f>
        <v>0</v>
      </c>
      <c r="BC25" s="323" t="n">
        <f aca="false">T25+Y25+AD25+AX25+K25=D25*G25*1.1</f>
        <v>1</v>
      </c>
    </row>
    <row r="26" customFormat="false" ht="12.75" hidden="false" customHeight="false" outlineLevel="0" collapsed="false">
      <c r="B26" s="594"/>
      <c r="C26" s="596" t="s">
        <v>443</v>
      </c>
      <c r="D26" s="596" t="n">
        <v>142.875</v>
      </c>
      <c r="E26" s="596"/>
      <c r="F26" s="597" t="n">
        <v>950000</v>
      </c>
      <c r="G26" s="597" t="n">
        <v>1050000</v>
      </c>
      <c r="H26" s="389" t="n">
        <f aca="false">+F26*D26*1.1</f>
        <v>149304375</v>
      </c>
      <c r="I26" s="389" t="n">
        <f aca="false">+V26+AA26+AF26+AZ26</f>
        <v>0</v>
      </c>
      <c r="J26" s="389"/>
      <c r="K26" s="389" t="n">
        <f aca="false">+SUM(L26:O26)</f>
        <v>23162170</v>
      </c>
      <c r="L26" s="389" t="n">
        <v>1808870</v>
      </c>
      <c r="M26" s="389" t="n">
        <v>3029700</v>
      </c>
      <c r="N26" s="389"/>
      <c r="O26" s="389" t="n">
        <v>18323600</v>
      </c>
      <c r="P26" s="599" t="n">
        <v>45976</v>
      </c>
      <c r="Q26" s="389" t="n">
        <v>23162170</v>
      </c>
      <c r="R26" s="389" t="n">
        <f aca="false">+K26-Q26</f>
        <v>0</v>
      </c>
      <c r="S26" s="598"/>
      <c r="T26" s="389" t="n">
        <f aca="false">+ROUND($H26*T$21,)</f>
        <v>74652188</v>
      </c>
      <c r="U26" s="598"/>
      <c r="V26" s="389"/>
      <c r="W26" s="389" t="n">
        <f aca="false">+T26-V26</f>
        <v>74652188</v>
      </c>
      <c r="X26" s="598"/>
      <c r="Y26" s="389" t="n">
        <f aca="false">+ROUND($H26*Y$21,)</f>
        <v>59721750</v>
      </c>
      <c r="Z26" s="598"/>
      <c r="AA26" s="389"/>
      <c r="AB26" s="389" t="n">
        <f aca="false">+Y26-AA26</f>
        <v>59721750</v>
      </c>
      <c r="AC26" s="598" t="n">
        <f aca="false">+'[6]BT 3HO'!AB27</f>
        <v>45831</v>
      </c>
      <c r="AD26" s="389" t="n">
        <f aca="false">+ROUND(D26*G26*1.1-Y26-T26-K26,)</f>
        <v>7484517</v>
      </c>
      <c r="AE26" s="598"/>
      <c r="AF26" s="389"/>
      <c r="AG26" s="389" t="n">
        <f aca="false">+AD26-AF26</f>
        <v>7484517</v>
      </c>
      <c r="AH26" s="389"/>
      <c r="AI26" s="389"/>
      <c r="AJ26" s="389"/>
      <c r="AK26" s="389"/>
      <c r="AL26" s="389"/>
      <c r="AM26" s="389"/>
      <c r="AN26" s="389"/>
      <c r="AO26" s="389"/>
      <c r="AP26" s="389"/>
      <c r="AQ26" s="389"/>
      <c r="AR26" s="389"/>
      <c r="AS26" s="389"/>
      <c r="AT26" s="389"/>
      <c r="AU26" s="389"/>
      <c r="AV26" s="389"/>
      <c r="AW26" s="389"/>
      <c r="AX26" s="389" t="n">
        <f aca="false">+ROUND($H26*AX$21,)</f>
        <v>0</v>
      </c>
      <c r="AY26" s="389"/>
      <c r="AZ26" s="389"/>
      <c r="BA26" s="389" t="n">
        <f aca="false">+AX26-AZ26</f>
        <v>0</v>
      </c>
      <c r="BC26" s="323" t="n">
        <f aca="false">T26+Y26+AD26+AX26+K26=D26*G26*1.1</f>
        <v>1</v>
      </c>
    </row>
    <row r="27" customFormat="false" ht="12.75" hidden="false" customHeight="false" outlineLevel="0" collapsed="false">
      <c r="B27" s="594"/>
      <c r="C27" s="596" t="s">
        <v>444</v>
      </c>
      <c r="D27" s="596" t="n">
        <v>897.89</v>
      </c>
      <c r="E27" s="596"/>
      <c r="F27" s="597" t="n">
        <v>950000</v>
      </c>
      <c r="G27" s="597" t="n">
        <v>1050000</v>
      </c>
      <c r="H27" s="389" t="n">
        <f aca="false">+F27*D27*1.1</f>
        <v>938295050</v>
      </c>
      <c r="I27" s="389" t="n">
        <f aca="false">+V27+AA27+AF27+AZ27</f>
        <v>0</v>
      </c>
      <c r="J27" s="389"/>
      <c r="K27" s="389" t="n">
        <f aca="false">+SUM(L27:O27)</f>
        <v>31490930</v>
      </c>
      <c r="L27" s="389" t="n">
        <v>2433490</v>
      </c>
      <c r="M27" s="389" t="n">
        <v>4408640</v>
      </c>
      <c r="N27" s="389" t="n">
        <v>1100000</v>
      </c>
      <c r="O27" s="389" t="n">
        <v>23548800</v>
      </c>
      <c r="P27" s="599" t="n">
        <v>45980</v>
      </c>
      <c r="Q27" s="389" t="n">
        <v>31490930</v>
      </c>
      <c r="R27" s="389" t="n">
        <f aca="false">+K27-Q27</f>
        <v>0</v>
      </c>
      <c r="S27" s="598"/>
      <c r="T27" s="389" t="n">
        <f aca="false">+ROUND($H27*T$21,)</f>
        <v>469147525</v>
      </c>
      <c r="U27" s="598"/>
      <c r="V27" s="389"/>
      <c r="W27" s="389" t="n">
        <f aca="false">+T27-V27</f>
        <v>469147525</v>
      </c>
      <c r="X27" s="598"/>
      <c r="Y27" s="389" t="n">
        <f aca="false">+ROUND($H27*Y$21,)</f>
        <v>375318020</v>
      </c>
      <c r="Z27" s="598"/>
      <c r="AA27" s="389"/>
      <c r="AB27" s="389" t="n">
        <f aca="false">+Y27-AA27</f>
        <v>375318020</v>
      </c>
      <c r="AC27" s="598" t="n">
        <f aca="false">+'[6]BT 3HO'!AB32</f>
        <v>45930</v>
      </c>
      <c r="AD27" s="389" t="n">
        <f aca="false">+ROUND(D27*G27*1.1-Y27-T27-K27,)</f>
        <v>161106475</v>
      </c>
      <c r="AE27" s="598"/>
      <c r="AF27" s="389"/>
      <c r="AG27" s="389" t="n">
        <f aca="false">+AD27-AF27</f>
        <v>161106475</v>
      </c>
      <c r="AH27" s="389"/>
      <c r="AI27" s="389"/>
      <c r="AJ27" s="389"/>
      <c r="AK27" s="389"/>
      <c r="AL27" s="389"/>
      <c r="AM27" s="389"/>
      <c r="AN27" s="389"/>
      <c r="AO27" s="389"/>
      <c r="AP27" s="389"/>
      <c r="AQ27" s="389"/>
      <c r="AR27" s="389"/>
      <c r="AS27" s="389"/>
      <c r="AT27" s="389"/>
      <c r="AU27" s="389"/>
      <c r="AV27" s="389"/>
      <c r="AW27" s="389"/>
      <c r="AX27" s="389" t="n">
        <f aca="false">+ROUND($H27*AX$21,)</f>
        <v>0</v>
      </c>
      <c r="AY27" s="389"/>
      <c r="AZ27" s="389"/>
      <c r="BA27" s="389" t="n">
        <f aca="false">+AX27-AZ27</f>
        <v>0</v>
      </c>
      <c r="BC27" s="323" t="n">
        <f aca="false">T27+Y27+AD27+AX27+K27=D27*G27*1.1</f>
        <v>1</v>
      </c>
    </row>
    <row r="28" customFormat="false" ht="12.75" hidden="false" customHeight="false" outlineLevel="0" collapsed="false">
      <c r="B28" s="594"/>
      <c r="C28" s="596" t="s">
        <v>445</v>
      </c>
      <c r="D28" s="596" t="n">
        <v>166.37</v>
      </c>
      <c r="E28" s="596"/>
      <c r="F28" s="597" t="n">
        <v>950000</v>
      </c>
      <c r="G28" s="597" t="n">
        <v>1050000</v>
      </c>
      <c r="H28" s="389" t="n">
        <f aca="false">+F28*D28*1.1</f>
        <v>173856650</v>
      </c>
      <c r="I28" s="389" t="n">
        <f aca="false">+V28+AA28+AF28+AZ28</f>
        <v>0</v>
      </c>
      <c r="J28" s="389"/>
      <c r="K28" s="389" t="n">
        <f aca="false">+SUM(L28:O28)</f>
        <v>0</v>
      </c>
      <c r="L28" s="389"/>
      <c r="M28" s="389"/>
      <c r="N28" s="389"/>
      <c r="O28" s="389"/>
      <c r="P28" s="599"/>
      <c r="Q28" s="389"/>
      <c r="R28" s="389" t="n">
        <f aca="false">+K28-Q28</f>
        <v>0</v>
      </c>
      <c r="S28" s="598"/>
      <c r="T28" s="389" t="n">
        <f aca="false">+ROUND($H28*T$21,)</f>
        <v>86928325</v>
      </c>
      <c r="U28" s="598"/>
      <c r="V28" s="389"/>
      <c r="W28" s="389" t="n">
        <f aca="false">+T28-V28</f>
        <v>86928325</v>
      </c>
      <c r="X28" s="598"/>
      <c r="Y28" s="389" t="n">
        <f aca="false">+ROUND($H28*Y$21,)</f>
        <v>69542660</v>
      </c>
      <c r="Z28" s="598"/>
      <c r="AA28" s="389"/>
      <c r="AB28" s="389" t="n">
        <f aca="false">+Y28-AA28</f>
        <v>69542660</v>
      </c>
      <c r="AC28" s="598" t="n">
        <f aca="false">+'[6]BT 3HO'!AB37</f>
        <v>45930</v>
      </c>
      <c r="AD28" s="389" t="n">
        <f aca="false">+ROUND(D28*G28*1.1-Y28-T28-K28,)</f>
        <v>35686365</v>
      </c>
      <c r="AE28" s="598"/>
      <c r="AF28" s="389"/>
      <c r="AG28" s="389" t="n">
        <f aca="false">+AD28-AF28</f>
        <v>35686365</v>
      </c>
      <c r="AH28" s="389"/>
      <c r="AI28" s="389"/>
      <c r="AJ28" s="389"/>
      <c r="AK28" s="389"/>
      <c r="AL28" s="389"/>
      <c r="AM28" s="389"/>
      <c r="AN28" s="389"/>
      <c r="AO28" s="389"/>
      <c r="AP28" s="389"/>
      <c r="AQ28" s="389"/>
      <c r="AR28" s="389"/>
      <c r="AS28" s="389"/>
      <c r="AT28" s="389"/>
      <c r="AU28" s="389"/>
      <c r="AV28" s="389"/>
      <c r="AW28" s="389"/>
      <c r="AX28" s="389" t="n">
        <f aca="false">+ROUND($H28*AX$21,)</f>
        <v>0</v>
      </c>
      <c r="AY28" s="389"/>
      <c r="AZ28" s="389"/>
      <c r="BA28" s="389" t="n">
        <f aca="false">+AX28-AZ28</f>
        <v>0</v>
      </c>
      <c r="BC28" s="323" t="n">
        <f aca="false">T28+Y28+AD28+AX28+K28=D28*G28*1.1</f>
        <v>1</v>
      </c>
    </row>
    <row r="29" customFormat="false" ht="12.75" hidden="false" customHeight="false" outlineLevel="0" collapsed="false">
      <c r="B29" s="594"/>
      <c r="C29" s="596" t="s">
        <v>446</v>
      </c>
      <c r="D29" s="596" t="n">
        <v>1155.7</v>
      </c>
      <c r="E29" s="596"/>
      <c r="F29" s="597" t="n">
        <v>950000</v>
      </c>
      <c r="G29" s="597" t="n">
        <v>1050000</v>
      </c>
      <c r="H29" s="389" t="n">
        <f aca="false">+F29*D29*1.1</f>
        <v>1207706500</v>
      </c>
      <c r="I29" s="389" t="n">
        <f aca="false">+V29+AA29+AF29+AZ29</f>
        <v>0</v>
      </c>
      <c r="J29" s="389"/>
      <c r="K29" s="389" t="n">
        <f aca="false">+SUM(L29:O29)</f>
        <v>114192820</v>
      </c>
      <c r="L29" s="389" t="n">
        <v>3031880</v>
      </c>
      <c r="M29" s="389" t="n">
        <v>4408640</v>
      </c>
      <c r="N29" s="389" t="n">
        <v>1100000</v>
      </c>
      <c r="O29" s="389" t="n">
        <v>105652300</v>
      </c>
      <c r="P29" s="599"/>
      <c r="Q29" s="389" t="n">
        <v>1100000</v>
      </c>
      <c r="R29" s="389" t="n">
        <f aca="false">+K29-Q29</f>
        <v>113092820</v>
      </c>
      <c r="S29" s="598"/>
      <c r="T29" s="389" t="n">
        <f aca="false">+ROUND($H29*T$21,)</f>
        <v>603853250</v>
      </c>
      <c r="U29" s="598"/>
      <c r="V29" s="389"/>
      <c r="W29" s="389" t="n">
        <f aca="false">+T29-V29</f>
        <v>603853250</v>
      </c>
      <c r="X29" s="598"/>
      <c r="Y29" s="389" t="n">
        <f aca="false">+ROUND($H29*Y$21,)</f>
        <v>483082600</v>
      </c>
      <c r="Z29" s="598"/>
      <c r="AA29" s="389"/>
      <c r="AB29" s="389" t="n">
        <f aca="false">+Y29-AA29</f>
        <v>483082600</v>
      </c>
      <c r="AC29" s="598" t="n">
        <f aca="false">+'[6]BT 3HO'!AB42</f>
        <v>45930</v>
      </c>
      <c r="AD29" s="389" t="n">
        <f aca="false">+ROUND(D29*G29*1.1-Y29-T29-K29,)</f>
        <v>133704830</v>
      </c>
      <c r="AE29" s="598"/>
      <c r="AF29" s="389"/>
      <c r="AG29" s="389" t="n">
        <f aca="false">+AD29-AF29</f>
        <v>133704830</v>
      </c>
      <c r="AH29" s="389"/>
      <c r="AI29" s="389"/>
      <c r="AJ29" s="389"/>
      <c r="AK29" s="389"/>
      <c r="AL29" s="389"/>
      <c r="AM29" s="389"/>
      <c r="AN29" s="389"/>
      <c r="AO29" s="389"/>
      <c r="AP29" s="389"/>
      <c r="AQ29" s="389"/>
      <c r="AR29" s="389"/>
      <c r="AS29" s="389"/>
      <c r="AT29" s="389"/>
      <c r="AU29" s="389"/>
      <c r="AV29" s="389"/>
      <c r="AW29" s="389"/>
      <c r="AX29" s="389" t="n">
        <f aca="false">+ROUND($H29*AX$21,)</f>
        <v>0</v>
      </c>
      <c r="AY29" s="389"/>
      <c r="AZ29" s="389"/>
      <c r="BA29" s="389" t="n">
        <f aca="false">+AX29-AZ29</f>
        <v>0</v>
      </c>
      <c r="BC29" s="323" t="n">
        <f aca="false">T29+Y29+AD29+AX29+K29=D29*G29*1.1</f>
        <v>1</v>
      </c>
    </row>
    <row r="30" customFormat="false" ht="12.75" hidden="false" customHeight="false" outlineLevel="0" collapsed="false">
      <c r="B30" s="594"/>
      <c r="C30" s="596" t="s">
        <v>447</v>
      </c>
      <c r="D30" s="596" t="n">
        <v>148.48</v>
      </c>
      <c r="E30" s="596"/>
      <c r="F30" s="597" t="n">
        <v>950000</v>
      </c>
      <c r="G30" s="597" t="n">
        <v>1050000</v>
      </c>
      <c r="H30" s="389" t="n">
        <f aca="false">+F30*D30*1.1</f>
        <v>155161600</v>
      </c>
      <c r="I30" s="389" t="n">
        <f aca="false">+V30+AA30+AF30+AZ30</f>
        <v>0</v>
      </c>
      <c r="J30" s="389"/>
      <c r="K30" s="389" t="n">
        <f aca="false">+SUM(L30:O30)</f>
        <v>0</v>
      </c>
      <c r="L30" s="389"/>
      <c r="M30" s="389"/>
      <c r="N30" s="389"/>
      <c r="O30" s="389"/>
      <c r="P30" s="599"/>
      <c r="Q30" s="389"/>
      <c r="R30" s="389" t="n">
        <f aca="false">+K30-Q30</f>
        <v>0</v>
      </c>
      <c r="S30" s="598"/>
      <c r="T30" s="389" t="n">
        <f aca="false">+ROUND($H30*T$21,)</f>
        <v>77580800</v>
      </c>
      <c r="U30" s="598"/>
      <c r="V30" s="389"/>
      <c r="W30" s="389" t="n">
        <f aca="false">+T30-V30</f>
        <v>77580800</v>
      </c>
      <c r="X30" s="598"/>
      <c r="Y30" s="389" t="n">
        <f aca="false">+ROUND($H30*Y$21,)</f>
        <v>62064640</v>
      </c>
      <c r="Z30" s="598"/>
      <c r="AA30" s="389"/>
      <c r="AB30" s="389" t="n">
        <f aca="false">+Y30-AA30</f>
        <v>62064640</v>
      </c>
      <c r="AC30" s="598"/>
      <c r="AD30" s="389" t="n">
        <f aca="false">+ROUND(D30*G30*1.1-Y30-T30-K30,)</f>
        <v>31848960</v>
      </c>
      <c r="AE30" s="598"/>
      <c r="AF30" s="389"/>
      <c r="AG30" s="389" t="n">
        <f aca="false">+AD30-AF30</f>
        <v>31848960</v>
      </c>
      <c r="AH30" s="389"/>
      <c r="AI30" s="389"/>
      <c r="AJ30" s="389"/>
      <c r="AK30" s="389"/>
      <c r="AL30" s="389"/>
      <c r="AM30" s="389"/>
      <c r="AN30" s="389"/>
      <c r="AO30" s="389"/>
      <c r="AP30" s="389"/>
      <c r="AQ30" s="389"/>
      <c r="AR30" s="389"/>
      <c r="AS30" s="389"/>
      <c r="AT30" s="389"/>
      <c r="AU30" s="389"/>
      <c r="AV30" s="389"/>
      <c r="AW30" s="389"/>
      <c r="AX30" s="389" t="n">
        <f aca="false">+ROUND($H30*AX$21,)</f>
        <v>0</v>
      </c>
      <c r="AY30" s="389"/>
      <c r="AZ30" s="389"/>
      <c r="BA30" s="389" t="n">
        <f aca="false">+AX30-AZ30</f>
        <v>0</v>
      </c>
      <c r="BC30" s="323" t="n">
        <f aca="false">T30+Y30+AD30+AX30+K30=D30*G30*1.1</f>
        <v>1</v>
      </c>
    </row>
    <row r="31" customFormat="false" ht="12.75" hidden="false" customHeight="false" outlineLevel="0" collapsed="false">
      <c r="B31" s="594"/>
      <c r="C31" s="596" t="n">
        <v>0</v>
      </c>
      <c r="D31" s="596" t="n">
        <f aca="false">+'[6]BT 2HO'!D69</f>
        <v>0</v>
      </c>
      <c r="E31" s="596"/>
      <c r="F31" s="597" t="n">
        <v>950000</v>
      </c>
      <c r="G31" s="597" t="n">
        <v>1050000</v>
      </c>
      <c r="H31" s="389" t="n">
        <f aca="false">+F31*D31*1.1</f>
        <v>0</v>
      </c>
      <c r="I31" s="389"/>
      <c r="J31" s="389"/>
      <c r="K31" s="389" t="n">
        <f aca="false">+SUM(L31:O31)</f>
        <v>0</v>
      </c>
      <c r="L31" s="389"/>
      <c r="M31" s="389"/>
      <c r="N31" s="389"/>
      <c r="O31" s="389"/>
      <c r="P31" s="599"/>
      <c r="Q31" s="389"/>
      <c r="R31" s="389" t="n">
        <f aca="false">+K31-Q31</f>
        <v>0</v>
      </c>
      <c r="S31" s="598"/>
      <c r="T31" s="389" t="n">
        <f aca="false">+ROUND($H31*T$21,)</f>
        <v>0</v>
      </c>
      <c r="U31" s="598"/>
      <c r="V31" s="389"/>
      <c r="W31" s="389" t="n">
        <f aca="false">+T31-V31</f>
        <v>0</v>
      </c>
      <c r="X31" s="598"/>
      <c r="Y31" s="389" t="n">
        <f aca="false">+ROUND($H31*Y$21,)</f>
        <v>0</v>
      </c>
      <c r="Z31" s="598"/>
      <c r="AA31" s="389"/>
      <c r="AB31" s="389" t="n">
        <f aca="false">+Y31-AA31</f>
        <v>0</v>
      </c>
      <c r="AC31" s="598"/>
      <c r="AD31" s="389" t="n">
        <f aca="false">+ROUND(D31*G31*1.1-Y31-T31-K31,)</f>
        <v>0</v>
      </c>
      <c r="AE31" s="598"/>
      <c r="AF31" s="389"/>
      <c r="AG31" s="389" t="n">
        <f aca="false">+AD31-AF31</f>
        <v>0</v>
      </c>
      <c r="AH31" s="389"/>
      <c r="AI31" s="389"/>
      <c r="AJ31" s="389"/>
      <c r="AK31" s="389"/>
      <c r="AL31" s="389"/>
      <c r="AM31" s="389"/>
      <c r="AN31" s="389"/>
      <c r="AO31" s="389"/>
      <c r="AP31" s="389"/>
      <c r="AQ31" s="389"/>
      <c r="AR31" s="389"/>
      <c r="AS31" s="389"/>
      <c r="AT31" s="389"/>
      <c r="AU31" s="389"/>
      <c r="AV31" s="389"/>
      <c r="AW31" s="389"/>
      <c r="AX31" s="389" t="n">
        <f aca="false">+ROUND($H31*AX$21,)</f>
        <v>0</v>
      </c>
      <c r="AY31" s="389"/>
      <c r="AZ31" s="389"/>
      <c r="BA31" s="389" t="n">
        <f aca="false">+AX31-AZ31</f>
        <v>0</v>
      </c>
      <c r="BC31" s="323" t="n">
        <f aca="false">T31+Y31+AD31+AX31+K31=D31*G31*1.1</f>
        <v>1</v>
      </c>
    </row>
    <row r="32" customFormat="false" ht="12.75" hidden="false" customHeight="false" outlineLevel="0" collapsed="false">
      <c r="B32" s="594"/>
      <c r="C32" s="596" t="n">
        <v>0</v>
      </c>
      <c r="D32" s="596" t="n">
        <f aca="false">+'[6]BT 2HO'!D74</f>
        <v>0</v>
      </c>
      <c r="E32" s="596"/>
      <c r="F32" s="597" t="n">
        <v>950000</v>
      </c>
      <c r="G32" s="597" t="n">
        <v>1050000</v>
      </c>
      <c r="H32" s="389" t="n">
        <f aca="false">+F32*D32*1.1</f>
        <v>0</v>
      </c>
      <c r="I32" s="389"/>
      <c r="J32" s="389"/>
      <c r="K32" s="389" t="n">
        <f aca="false">+SUM(L32:O32)</f>
        <v>0</v>
      </c>
      <c r="L32" s="389"/>
      <c r="M32" s="389"/>
      <c r="N32" s="389"/>
      <c r="O32" s="389"/>
      <c r="P32" s="599"/>
      <c r="Q32" s="389"/>
      <c r="R32" s="389" t="n">
        <f aca="false">+K32-Q32</f>
        <v>0</v>
      </c>
      <c r="S32" s="598"/>
      <c r="T32" s="389" t="n">
        <f aca="false">+ROUND($H32*T$21,)</f>
        <v>0</v>
      </c>
      <c r="U32" s="598"/>
      <c r="V32" s="389"/>
      <c r="W32" s="389" t="n">
        <f aca="false">+T32-V32</f>
        <v>0</v>
      </c>
      <c r="X32" s="598"/>
      <c r="Y32" s="389" t="n">
        <f aca="false">+ROUND($H32*Y$21,)</f>
        <v>0</v>
      </c>
      <c r="Z32" s="598"/>
      <c r="AA32" s="389"/>
      <c r="AB32" s="389" t="n">
        <f aca="false">+Y32-AA32</f>
        <v>0</v>
      </c>
      <c r="AC32" s="598"/>
      <c r="AD32" s="389" t="n">
        <f aca="false">+ROUND(D32*G32*1.1-Y32-T32-K32,)</f>
        <v>0</v>
      </c>
      <c r="AE32" s="598"/>
      <c r="AF32" s="389"/>
      <c r="AG32" s="389" t="n">
        <f aca="false">+AD32-AF32</f>
        <v>0</v>
      </c>
      <c r="AH32" s="389"/>
      <c r="AI32" s="389"/>
      <c r="AJ32" s="389"/>
      <c r="AK32" s="389"/>
      <c r="AL32" s="389"/>
      <c r="AM32" s="389"/>
      <c r="AN32" s="389"/>
      <c r="AO32" s="389"/>
      <c r="AP32" s="389"/>
      <c r="AQ32" s="389"/>
      <c r="AR32" s="389"/>
      <c r="AS32" s="389"/>
      <c r="AT32" s="389"/>
      <c r="AU32" s="389"/>
      <c r="AV32" s="389"/>
      <c r="AW32" s="389"/>
      <c r="AX32" s="389" t="n">
        <f aca="false">+ROUND($H32*AX$21,)</f>
        <v>0</v>
      </c>
      <c r="AY32" s="389"/>
      <c r="AZ32" s="389"/>
      <c r="BA32" s="389" t="n">
        <f aca="false">+AX32-AZ32</f>
        <v>0</v>
      </c>
      <c r="BC32" s="323" t="n">
        <f aca="false">T32+Y32+AD32+AX32+K32=D32*G32*1.1</f>
        <v>1</v>
      </c>
    </row>
    <row r="33" customFormat="false" ht="12.75" hidden="false" customHeight="false" outlineLevel="0" collapsed="false">
      <c r="B33" s="594"/>
      <c r="C33" s="596" t="n">
        <v>0</v>
      </c>
      <c r="D33" s="596" t="n">
        <f aca="false">+'[6]BT 2HO'!D79</f>
        <v>0</v>
      </c>
      <c r="E33" s="596"/>
      <c r="F33" s="597" t="n">
        <v>950000</v>
      </c>
      <c r="G33" s="597" t="n">
        <v>1050000</v>
      </c>
      <c r="H33" s="389" t="n">
        <f aca="false">+F33*D33*1.1</f>
        <v>0</v>
      </c>
      <c r="I33" s="389"/>
      <c r="J33" s="389"/>
      <c r="K33" s="389" t="n">
        <f aca="false">+SUM(L33:O33)</f>
        <v>0</v>
      </c>
      <c r="L33" s="389"/>
      <c r="M33" s="389"/>
      <c r="N33" s="389"/>
      <c r="O33" s="389"/>
      <c r="P33" s="599"/>
      <c r="Q33" s="389"/>
      <c r="R33" s="389" t="n">
        <f aca="false">+K33-Q33</f>
        <v>0</v>
      </c>
      <c r="S33" s="598"/>
      <c r="T33" s="389" t="n">
        <f aca="false">+ROUND($H33*T$21,)</f>
        <v>0</v>
      </c>
      <c r="U33" s="598"/>
      <c r="V33" s="389"/>
      <c r="W33" s="389" t="n">
        <f aca="false">+T33-V33</f>
        <v>0</v>
      </c>
      <c r="X33" s="598"/>
      <c r="Y33" s="389" t="n">
        <f aca="false">+ROUND($H33*Y$21,)</f>
        <v>0</v>
      </c>
      <c r="Z33" s="598"/>
      <c r="AA33" s="389"/>
      <c r="AB33" s="389" t="n">
        <f aca="false">+Y33-AA33</f>
        <v>0</v>
      </c>
      <c r="AC33" s="598"/>
      <c r="AD33" s="389" t="n">
        <f aca="false">+ROUND(D33*G33*1.1-Y33-T33-K33,)</f>
        <v>0</v>
      </c>
      <c r="AE33" s="598"/>
      <c r="AF33" s="389"/>
      <c r="AG33" s="389" t="n">
        <f aca="false">+AD33-AF33</f>
        <v>0</v>
      </c>
      <c r="AH33" s="389"/>
      <c r="AI33" s="389"/>
      <c r="AJ33" s="389"/>
      <c r="AK33" s="389"/>
      <c r="AL33" s="389"/>
      <c r="AM33" s="389"/>
      <c r="AN33" s="389"/>
      <c r="AO33" s="389"/>
      <c r="AP33" s="389"/>
      <c r="AQ33" s="389"/>
      <c r="AR33" s="389"/>
      <c r="AS33" s="389"/>
      <c r="AT33" s="389"/>
      <c r="AU33" s="389"/>
      <c r="AV33" s="389"/>
      <c r="AW33" s="389"/>
      <c r="AX33" s="389" t="n">
        <f aca="false">+ROUND($H33*AX$21,)</f>
        <v>0</v>
      </c>
      <c r="AY33" s="389"/>
      <c r="AZ33" s="389"/>
      <c r="BA33" s="389" t="n">
        <f aca="false">+AX33-AZ33</f>
        <v>0</v>
      </c>
      <c r="BC33" s="323" t="n">
        <f aca="false">T33+Y33+AD33+AX33+K33=D33*G33*1.1</f>
        <v>1</v>
      </c>
    </row>
    <row r="34" customFormat="false" ht="12.75" hidden="false" customHeight="false" outlineLevel="0" collapsed="false">
      <c r="B34" s="594"/>
      <c r="C34" s="596" t="n">
        <v>0</v>
      </c>
      <c r="D34" s="596" t="n">
        <f aca="false">+'[6]BT 2HO'!D84</f>
        <v>0</v>
      </c>
      <c r="E34" s="596"/>
      <c r="F34" s="597" t="n">
        <v>950000</v>
      </c>
      <c r="G34" s="597" t="n">
        <v>1050000</v>
      </c>
      <c r="H34" s="389" t="n">
        <f aca="false">+F34*D34*1.1</f>
        <v>0</v>
      </c>
      <c r="I34" s="389"/>
      <c r="J34" s="389"/>
      <c r="K34" s="389" t="n">
        <f aca="false">+SUM(L34:O34)</f>
        <v>0</v>
      </c>
      <c r="L34" s="389"/>
      <c r="M34" s="389"/>
      <c r="N34" s="389"/>
      <c r="O34" s="389"/>
      <c r="P34" s="599"/>
      <c r="Q34" s="389"/>
      <c r="R34" s="389" t="n">
        <f aca="false">+K34-Q34</f>
        <v>0</v>
      </c>
      <c r="S34" s="598"/>
      <c r="T34" s="389" t="n">
        <f aca="false">+ROUND($H34*T$21,)</f>
        <v>0</v>
      </c>
      <c r="U34" s="598"/>
      <c r="V34" s="389"/>
      <c r="W34" s="389" t="n">
        <f aca="false">+T34-V34</f>
        <v>0</v>
      </c>
      <c r="X34" s="598"/>
      <c r="Y34" s="389" t="n">
        <f aca="false">+ROUND($H34*Y$21,)</f>
        <v>0</v>
      </c>
      <c r="Z34" s="598"/>
      <c r="AA34" s="389"/>
      <c r="AB34" s="389" t="n">
        <f aca="false">+Y34-AA34</f>
        <v>0</v>
      </c>
      <c r="AC34" s="598"/>
      <c r="AD34" s="389" t="n">
        <f aca="false">+ROUND(D34*G34*1.1-Y34-T34-K34,)</f>
        <v>0</v>
      </c>
      <c r="AE34" s="598"/>
      <c r="AF34" s="389"/>
      <c r="AG34" s="389" t="n">
        <f aca="false">+AD34-AF34</f>
        <v>0</v>
      </c>
      <c r="AH34" s="389"/>
      <c r="AI34" s="389"/>
      <c r="AJ34" s="389"/>
      <c r="AK34" s="389"/>
      <c r="AL34" s="389"/>
      <c r="AM34" s="389"/>
      <c r="AN34" s="389"/>
      <c r="AO34" s="389"/>
      <c r="AP34" s="389"/>
      <c r="AQ34" s="389"/>
      <c r="AR34" s="389"/>
      <c r="AS34" s="389"/>
      <c r="AT34" s="389"/>
      <c r="AU34" s="389"/>
      <c r="AV34" s="389"/>
      <c r="AW34" s="389"/>
      <c r="AX34" s="389" t="n">
        <f aca="false">+ROUND($H34*AX$21,)</f>
        <v>0</v>
      </c>
      <c r="AY34" s="389"/>
      <c r="AZ34" s="389"/>
      <c r="BA34" s="389" t="n">
        <f aca="false">+AX34-AZ34</f>
        <v>0</v>
      </c>
      <c r="BC34" s="323" t="n">
        <f aca="false">T34+Y34+AD34+AX34+K34=D34*G34*1.1</f>
        <v>1</v>
      </c>
    </row>
    <row r="35" customFormat="false" ht="12.75" hidden="false" customHeight="false" outlineLevel="0" collapsed="false">
      <c r="B35" s="594"/>
      <c r="C35" s="596" t="n">
        <v>0</v>
      </c>
      <c r="D35" s="596" t="n">
        <f aca="false">+'[6]BT 2HO'!D89</f>
        <v>0</v>
      </c>
      <c r="E35" s="596"/>
      <c r="F35" s="597" t="n">
        <v>950000</v>
      </c>
      <c r="G35" s="597" t="n">
        <v>1050000</v>
      </c>
      <c r="H35" s="389" t="n">
        <f aca="false">+F35*D35*1.1</f>
        <v>0</v>
      </c>
      <c r="I35" s="389"/>
      <c r="J35" s="389"/>
      <c r="K35" s="389" t="n">
        <f aca="false">+SUM(L35:O35)</f>
        <v>0</v>
      </c>
      <c r="L35" s="389"/>
      <c r="M35" s="389"/>
      <c r="N35" s="389"/>
      <c r="O35" s="389"/>
      <c r="P35" s="599"/>
      <c r="Q35" s="389"/>
      <c r="R35" s="389" t="n">
        <f aca="false">+K35-Q35</f>
        <v>0</v>
      </c>
      <c r="S35" s="598"/>
      <c r="T35" s="389" t="n">
        <f aca="false">+ROUND($H35*T$21,)</f>
        <v>0</v>
      </c>
      <c r="U35" s="598"/>
      <c r="V35" s="389"/>
      <c r="W35" s="389" t="n">
        <f aca="false">+T35-V35</f>
        <v>0</v>
      </c>
      <c r="X35" s="598"/>
      <c r="Y35" s="389" t="n">
        <f aca="false">+ROUND($H35*Y$21,)</f>
        <v>0</v>
      </c>
      <c r="Z35" s="598"/>
      <c r="AA35" s="389"/>
      <c r="AB35" s="389" t="n">
        <f aca="false">+Y35-AA35</f>
        <v>0</v>
      </c>
      <c r="AC35" s="598"/>
      <c r="AD35" s="389" t="n">
        <f aca="false">+ROUND(D35*G35*1.1-Y35-T35-K35,)</f>
        <v>0</v>
      </c>
      <c r="AE35" s="598"/>
      <c r="AF35" s="389"/>
      <c r="AG35" s="389" t="n">
        <f aca="false">+AD35-AF35</f>
        <v>0</v>
      </c>
      <c r="AH35" s="389"/>
      <c r="AI35" s="389"/>
      <c r="AJ35" s="389"/>
      <c r="AK35" s="389"/>
      <c r="AL35" s="389"/>
      <c r="AM35" s="389"/>
      <c r="AN35" s="389"/>
      <c r="AO35" s="389"/>
      <c r="AP35" s="389"/>
      <c r="AQ35" s="389"/>
      <c r="AR35" s="389"/>
      <c r="AS35" s="389"/>
      <c r="AT35" s="389"/>
      <c r="AU35" s="389"/>
      <c r="AV35" s="389"/>
      <c r="AW35" s="389"/>
      <c r="AX35" s="389" t="n">
        <f aca="false">+ROUND($H35*AX$21,)</f>
        <v>0</v>
      </c>
      <c r="AY35" s="389"/>
      <c r="AZ35" s="389"/>
      <c r="BA35" s="389" t="n">
        <f aca="false">+AX35-AZ35</f>
        <v>0</v>
      </c>
      <c r="BC35" s="323" t="n">
        <f aca="false">T35+Y35+AD35+AX35+K35=D35*G35*1.1</f>
        <v>1</v>
      </c>
    </row>
    <row r="36" customFormat="false" ht="12.75" hidden="false" customHeight="false" outlineLevel="0" collapsed="false">
      <c r="B36" s="594"/>
      <c r="C36" s="596" t="n">
        <v>0</v>
      </c>
      <c r="D36" s="596" t="n">
        <f aca="false">+'[6]BT 2HO'!D94</f>
        <v>0</v>
      </c>
      <c r="E36" s="596"/>
      <c r="F36" s="597" t="n">
        <v>950000</v>
      </c>
      <c r="G36" s="597" t="n">
        <v>1050000</v>
      </c>
      <c r="H36" s="389" t="n">
        <f aca="false">+F36*D36*1.1</f>
        <v>0</v>
      </c>
      <c r="I36" s="389"/>
      <c r="J36" s="389"/>
      <c r="K36" s="389" t="n">
        <f aca="false">+SUM(L36:O36)</f>
        <v>0</v>
      </c>
      <c r="L36" s="389"/>
      <c r="M36" s="389"/>
      <c r="N36" s="389"/>
      <c r="O36" s="389"/>
      <c r="P36" s="599"/>
      <c r="Q36" s="389"/>
      <c r="R36" s="389" t="n">
        <f aca="false">+K36-Q36</f>
        <v>0</v>
      </c>
      <c r="S36" s="598"/>
      <c r="T36" s="389" t="n">
        <f aca="false">+ROUND($H36*T$21,)</f>
        <v>0</v>
      </c>
      <c r="U36" s="598"/>
      <c r="V36" s="389"/>
      <c r="W36" s="389" t="n">
        <f aca="false">+T36-V36</f>
        <v>0</v>
      </c>
      <c r="X36" s="598"/>
      <c r="Y36" s="389" t="n">
        <f aca="false">+ROUND($H36*Y$21,)</f>
        <v>0</v>
      </c>
      <c r="Z36" s="598"/>
      <c r="AA36" s="389"/>
      <c r="AB36" s="389" t="n">
        <f aca="false">+Y36-AA36</f>
        <v>0</v>
      </c>
      <c r="AC36" s="598"/>
      <c r="AD36" s="389" t="n">
        <f aca="false">+ROUND(D36*G36*1.1-Y36-T36-K36,)</f>
        <v>0</v>
      </c>
      <c r="AE36" s="598"/>
      <c r="AF36" s="389"/>
      <c r="AG36" s="389" t="n">
        <f aca="false">+AD36-AF36</f>
        <v>0</v>
      </c>
      <c r="AH36" s="389"/>
      <c r="AI36" s="389"/>
      <c r="AJ36" s="389"/>
      <c r="AK36" s="389"/>
      <c r="AL36" s="389"/>
      <c r="AM36" s="389"/>
      <c r="AN36" s="389"/>
      <c r="AO36" s="389"/>
      <c r="AP36" s="389"/>
      <c r="AQ36" s="389"/>
      <c r="AR36" s="389"/>
      <c r="AS36" s="389"/>
      <c r="AT36" s="389"/>
      <c r="AU36" s="389"/>
      <c r="AV36" s="389"/>
      <c r="AW36" s="389"/>
      <c r="AX36" s="389" t="n">
        <f aca="false">+ROUND($H36*AX$21,)</f>
        <v>0</v>
      </c>
      <c r="AY36" s="389"/>
      <c r="AZ36" s="389"/>
      <c r="BA36" s="389" t="n">
        <f aca="false">+AX36-AZ36</f>
        <v>0</v>
      </c>
      <c r="BC36" s="323" t="n">
        <f aca="false">T36+Y36+AD36+AX36+K36=D36*G36*1.1</f>
        <v>1</v>
      </c>
    </row>
    <row r="38" customFormat="false" ht="15" hidden="false" customHeight="true" outlineLevel="0" collapsed="false">
      <c r="B38" s="297" t="s">
        <v>96</v>
      </c>
      <c r="C38" s="297" t="s">
        <v>36</v>
      </c>
      <c r="D38" s="299" t="s">
        <v>123</v>
      </c>
      <c r="E38" s="601"/>
      <c r="F38" s="586" t="s">
        <v>412</v>
      </c>
      <c r="G38" s="586" t="s">
        <v>413</v>
      </c>
      <c r="H38" s="587" t="s">
        <v>109</v>
      </c>
      <c r="I38" s="588" t="s">
        <v>414</v>
      </c>
      <c r="J38" s="588" t="s">
        <v>415</v>
      </c>
      <c r="K38" s="589" t="s">
        <v>416</v>
      </c>
      <c r="L38" s="589"/>
      <c r="M38" s="589"/>
      <c r="N38" s="589"/>
      <c r="O38" s="589"/>
      <c r="P38" s="589"/>
      <c r="Q38" s="589"/>
      <c r="R38" s="589"/>
      <c r="S38" s="587" t="s">
        <v>435</v>
      </c>
      <c r="T38" s="587"/>
      <c r="U38" s="587"/>
      <c r="V38" s="587"/>
      <c r="W38" s="587"/>
      <c r="X38" s="587" t="s">
        <v>436</v>
      </c>
      <c r="Y38" s="587"/>
      <c r="Z38" s="587"/>
      <c r="AA38" s="587"/>
      <c r="AB38" s="587"/>
      <c r="AC38" s="587" t="s">
        <v>437</v>
      </c>
      <c r="AD38" s="587"/>
      <c r="AE38" s="587"/>
      <c r="AF38" s="587"/>
      <c r="AG38" s="587"/>
      <c r="AH38" s="587"/>
      <c r="AI38" s="587"/>
      <c r="AJ38" s="587"/>
      <c r="AK38" s="587"/>
      <c r="AL38" s="587"/>
      <c r="AM38" s="587"/>
      <c r="AN38" s="587"/>
      <c r="AO38" s="587"/>
      <c r="AP38" s="587"/>
      <c r="AQ38" s="587"/>
      <c r="AR38" s="587"/>
      <c r="AS38" s="587"/>
      <c r="AT38" s="587"/>
      <c r="AU38" s="587"/>
      <c r="AV38" s="587"/>
      <c r="AW38" s="587" t="s">
        <v>438</v>
      </c>
      <c r="AX38" s="587"/>
      <c r="AY38" s="587"/>
      <c r="AZ38" s="587"/>
      <c r="BA38" s="587"/>
    </row>
    <row r="39" customFormat="false" ht="13.4" hidden="false" customHeight="false" outlineLevel="0" collapsed="false">
      <c r="B39" s="297"/>
      <c r="C39" s="297"/>
      <c r="D39" s="299"/>
      <c r="E39" s="601"/>
      <c r="F39" s="586"/>
      <c r="G39" s="586"/>
      <c r="H39" s="587"/>
      <c r="I39" s="588"/>
      <c r="J39" s="588"/>
      <c r="K39" s="602" t="s">
        <v>424</v>
      </c>
      <c r="L39" s="602" t="s">
        <v>425</v>
      </c>
      <c r="M39" s="602" t="s">
        <v>426</v>
      </c>
      <c r="N39" s="602" t="s">
        <v>427</v>
      </c>
      <c r="O39" s="602" t="s">
        <v>428</v>
      </c>
      <c r="P39" s="603" t="s">
        <v>429</v>
      </c>
      <c r="Q39" s="602" t="s">
        <v>430</v>
      </c>
      <c r="R39" s="602" t="s">
        <v>431</v>
      </c>
      <c r="S39" s="587" t="s">
        <v>168</v>
      </c>
      <c r="T39" s="592" t="n">
        <v>0.5</v>
      </c>
      <c r="U39" s="587" t="s">
        <v>168</v>
      </c>
      <c r="V39" s="593" t="s">
        <v>432</v>
      </c>
      <c r="W39" s="593" t="s">
        <v>433</v>
      </c>
      <c r="X39" s="587" t="s">
        <v>168</v>
      </c>
      <c r="Y39" s="592" t="n">
        <v>0.4</v>
      </c>
      <c r="Z39" s="587" t="s">
        <v>168</v>
      </c>
      <c r="AA39" s="593" t="s">
        <v>432</v>
      </c>
      <c r="AB39" s="593" t="s">
        <v>433</v>
      </c>
      <c r="AC39" s="587" t="s">
        <v>168</v>
      </c>
      <c r="AD39" s="592" t="n">
        <v>0.1</v>
      </c>
      <c r="AE39" s="587" t="s">
        <v>168</v>
      </c>
      <c r="AF39" s="593" t="s">
        <v>432</v>
      </c>
      <c r="AG39" s="593" t="s">
        <v>433</v>
      </c>
      <c r="AH39" s="593"/>
      <c r="AI39" s="593"/>
      <c r="AJ39" s="593"/>
      <c r="AK39" s="593"/>
      <c r="AL39" s="593"/>
      <c r="AM39" s="593"/>
      <c r="AN39" s="593"/>
      <c r="AO39" s="593"/>
      <c r="AP39" s="593"/>
      <c r="AQ39" s="593"/>
      <c r="AR39" s="593"/>
      <c r="AS39" s="593"/>
      <c r="AT39" s="593"/>
      <c r="AU39" s="593"/>
      <c r="AV39" s="593"/>
      <c r="AW39" s="587" t="s">
        <v>168</v>
      </c>
      <c r="AX39" s="592" t="n">
        <v>0</v>
      </c>
      <c r="AY39" s="587" t="s">
        <v>168</v>
      </c>
      <c r="AZ39" s="593" t="s">
        <v>432</v>
      </c>
      <c r="BA39" s="593" t="s">
        <v>433</v>
      </c>
    </row>
    <row r="40" customFormat="false" ht="12.75" hidden="false" customHeight="false" outlineLevel="0" collapsed="false">
      <c r="B40" s="594" t="s">
        <v>448</v>
      </c>
      <c r="C40" s="595"/>
      <c r="D40" s="596" t="n">
        <f aca="false">+SUM(D41:D54)</f>
        <v>3853</v>
      </c>
      <c r="E40" s="596"/>
      <c r="F40" s="597" t="n">
        <v>950000</v>
      </c>
      <c r="G40" s="597" t="n">
        <v>1050000</v>
      </c>
      <c r="H40" s="389" t="n">
        <f aca="false">+SUM(H41:H54)</f>
        <v>4026385000</v>
      </c>
      <c r="I40" s="389" t="n">
        <f aca="false">+SUM(I41:I54)</f>
        <v>51975000</v>
      </c>
      <c r="J40" s="389" t="n">
        <f aca="false">+SUM(J41:J54)</f>
        <v>0</v>
      </c>
      <c r="K40" s="389" t="n">
        <f aca="false">+SUM(K41:K54)</f>
        <v>0</v>
      </c>
      <c r="L40" s="389" t="n">
        <f aca="false">+SUM(L41:L54)</f>
        <v>0</v>
      </c>
      <c r="M40" s="389" t="n">
        <f aca="false">+SUM(M41:M54)</f>
        <v>0</v>
      </c>
      <c r="N40" s="389" t="n">
        <f aca="false">+SUM(N41:N54)</f>
        <v>0</v>
      </c>
      <c r="O40" s="389" t="n">
        <f aca="false">+SUM(O41:O54)</f>
        <v>0</v>
      </c>
      <c r="P40" s="389"/>
      <c r="Q40" s="389" t="n">
        <f aca="false">+SUM(Q41:Q54)</f>
        <v>0</v>
      </c>
      <c r="R40" s="389" t="n">
        <f aca="false">+SUM(R41:R54)</f>
        <v>0</v>
      </c>
      <c r="S40" s="598"/>
      <c r="T40" s="389" t="n">
        <f aca="false">+SUM(T41:T54)</f>
        <v>2013192500</v>
      </c>
      <c r="U40" s="598"/>
      <c r="V40" s="389" t="n">
        <f aca="false">+SUM(V41:V54)</f>
        <v>51975000</v>
      </c>
      <c r="W40" s="389" t="n">
        <f aca="false">+SUM(W41:W54)</f>
        <v>1961217500</v>
      </c>
      <c r="X40" s="389"/>
      <c r="Y40" s="389" t="n">
        <f aca="false">+SUM(Y41:Y54)</f>
        <v>1610554000</v>
      </c>
      <c r="Z40" s="389"/>
      <c r="AA40" s="389"/>
      <c r="AB40" s="389" t="n">
        <f aca="false">+SUM(AB41:AB54)</f>
        <v>1610554000</v>
      </c>
      <c r="AC40" s="389"/>
      <c r="AD40" s="389" t="n">
        <f aca="false">+SUM(AD41:AD54)</f>
        <v>826468500</v>
      </c>
      <c r="AE40" s="389"/>
      <c r="AF40" s="389"/>
      <c r="AG40" s="389" t="n">
        <f aca="false">+SUM(AG41:AG54)</f>
        <v>826468500</v>
      </c>
      <c r="AH40" s="389"/>
      <c r="AI40" s="389"/>
      <c r="AJ40" s="389"/>
      <c r="AK40" s="389"/>
      <c r="AL40" s="389"/>
      <c r="AM40" s="389"/>
      <c r="AN40" s="389"/>
      <c r="AO40" s="389"/>
      <c r="AP40" s="389"/>
      <c r="AQ40" s="389"/>
      <c r="AR40" s="389"/>
      <c r="AS40" s="389"/>
      <c r="AT40" s="389"/>
      <c r="AU40" s="389"/>
      <c r="AV40" s="389"/>
      <c r="AW40" s="389"/>
      <c r="AX40" s="389" t="n">
        <f aca="false">+SUM(AX41:AX54)</f>
        <v>0</v>
      </c>
      <c r="AY40" s="389"/>
      <c r="AZ40" s="389"/>
      <c r="BA40" s="389" t="n">
        <f aca="false">+SUM(BA41:BA54)</f>
        <v>0</v>
      </c>
      <c r="BC40" s="323" t="n">
        <f aca="false">T40+Y40+AD40+AX40+K40=D40*G40*1.1</f>
        <v>1</v>
      </c>
    </row>
    <row r="41" customFormat="false" ht="12.75" hidden="false" customHeight="false" outlineLevel="0" collapsed="false">
      <c r="B41" s="594"/>
      <c r="C41" s="596" t="s">
        <v>449</v>
      </c>
      <c r="D41" s="596" t="n">
        <v>991</v>
      </c>
      <c r="E41" s="596"/>
      <c r="F41" s="597" t="n">
        <v>950000</v>
      </c>
      <c r="G41" s="597" t="n">
        <v>1050000</v>
      </c>
      <c r="H41" s="389" t="n">
        <f aca="false">+F41*D41*1.1</f>
        <v>1035595000</v>
      </c>
      <c r="I41" s="389" t="n">
        <f aca="false">+V41+AA41+AF41+AZ41</f>
        <v>0</v>
      </c>
      <c r="J41" s="389"/>
      <c r="K41" s="389" t="n">
        <f aca="false">+SUM(L41:O41)</f>
        <v>0</v>
      </c>
      <c r="L41" s="389"/>
      <c r="M41" s="389"/>
      <c r="N41" s="389"/>
      <c r="O41" s="389"/>
      <c r="P41" s="599"/>
      <c r="Q41" s="389"/>
      <c r="R41" s="389" t="n">
        <f aca="false">+K41-Q41</f>
        <v>0</v>
      </c>
      <c r="S41" s="598"/>
      <c r="T41" s="389" t="n">
        <f aca="false">+ROUND($H41*T$39,)</f>
        <v>517797500</v>
      </c>
      <c r="U41" s="598"/>
      <c r="V41" s="389"/>
      <c r="W41" s="389" t="n">
        <f aca="false">+T41-V41</f>
        <v>517797500</v>
      </c>
      <c r="X41" s="389"/>
      <c r="Y41" s="389" t="n">
        <f aca="false">+ROUND($H41*Y$39,)</f>
        <v>414238000</v>
      </c>
      <c r="Z41" s="389"/>
      <c r="AA41" s="389"/>
      <c r="AB41" s="389" t="n">
        <f aca="false">+Y41-AA41</f>
        <v>414238000</v>
      </c>
      <c r="AC41" s="389"/>
      <c r="AD41" s="389" t="n">
        <f aca="false">+ROUND(D41*G41*1.1-Y41-T41-K41,)</f>
        <v>212569500</v>
      </c>
      <c r="AE41" s="389"/>
      <c r="AF41" s="389"/>
      <c r="AG41" s="389" t="n">
        <f aca="false">+AD41-AF41</f>
        <v>212569500</v>
      </c>
      <c r="AH41" s="389"/>
      <c r="AI41" s="389"/>
      <c r="AJ41" s="389"/>
      <c r="AK41" s="389"/>
      <c r="AL41" s="389"/>
      <c r="AM41" s="389"/>
      <c r="AN41" s="389"/>
      <c r="AO41" s="389"/>
      <c r="AP41" s="389"/>
      <c r="AQ41" s="389"/>
      <c r="AR41" s="389"/>
      <c r="AS41" s="389"/>
      <c r="AT41" s="389"/>
      <c r="AU41" s="389"/>
      <c r="AV41" s="389"/>
      <c r="AW41" s="389"/>
      <c r="AX41" s="389" t="n">
        <f aca="false">+ROUND($H41*AX$39,)</f>
        <v>0</v>
      </c>
      <c r="AY41" s="389"/>
      <c r="AZ41" s="389"/>
      <c r="BA41" s="389" t="n">
        <f aca="false">+AX41-AZ41</f>
        <v>0</v>
      </c>
      <c r="BC41" s="323" t="n">
        <f aca="false">T41+Y41+AD41+AX41+K41=D41*G41*1.1</f>
        <v>1</v>
      </c>
    </row>
    <row r="42" customFormat="false" ht="12.75" hidden="false" customHeight="false" outlineLevel="0" collapsed="false">
      <c r="B42" s="594"/>
      <c r="C42" s="596" t="s">
        <v>450</v>
      </c>
      <c r="D42" s="596" t="n">
        <v>315</v>
      </c>
      <c r="E42" s="596"/>
      <c r="F42" s="597" t="n">
        <v>950000</v>
      </c>
      <c r="G42" s="597" t="n">
        <v>1050000</v>
      </c>
      <c r="H42" s="389" t="n">
        <f aca="false">+F42*D42*1.1</f>
        <v>329175000</v>
      </c>
      <c r="I42" s="389" t="n">
        <f aca="false">+V42+AA42+AF42+AZ42</f>
        <v>51975000</v>
      </c>
      <c r="J42" s="389"/>
      <c r="K42" s="389" t="n">
        <f aca="false">+SUM(L42:O42)</f>
        <v>0</v>
      </c>
      <c r="L42" s="389"/>
      <c r="M42" s="389"/>
      <c r="N42" s="389"/>
      <c r="O42" s="389"/>
      <c r="P42" s="599"/>
      <c r="Q42" s="389"/>
      <c r="R42" s="389" t="n">
        <f aca="false">+K42-Q42</f>
        <v>0</v>
      </c>
      <c r="S42" s="598" t="n">
        <f aca="false">+'[6]BT 2HO'!O82</f>
        <v>45922</v>
      </c>
      <c r="T42" s="389" t="n">
        <f aca="false">+ROUND($H42*T$39,)</f>
        <v>164587500</v>
      </c>
      <c r="U42" s="598" t="n">
        <f aca="false">+'[6]BT 2HO'!O82</f>
        <v>45922</v>
      </c>
      <c r="V42" s="389" t="n">
        <f aca="false">+'[6]BT 2HO'!R82+'[6]BT 2HO'!R83</f>
        <v>51975000</v>
      </c>
      <c r="W42" s="389" t="n">
        <f aca="false">+T42-V42</f>
        <v>112612500</v>
      </c>
      <c r="X42" s="389"/>
      <c r="Y42" s="389" t="n">
        <f aca="false">+ROUND($H42*Y$39,)</f>
        <v>131670000</v>
      </c>
      <c r="Z42" s="389"/>
      <c r="AA42" s="389"/>
      <c r="AB42" s="389" t="n">
        <f aca="false">+Y42-AA42</f>
        <v>131670000</v>
      </c>
      <c r="AC42" s="389"/>
      <c r="AD42" s="389" t="n">
        <f aca="false">+ROUND(D42*G42*1.1-Y42-T42-K42,)</f>
        <v>67567500</v>
      </c>
      <c r="AE42" s="389"/>
      <c r="AF42" s="389"/>
      <c r="AG42" s="389" t="n">
        <f aca="false">+AD42-AF42</f>
        <v>67567500</v>
      </c>
      <c r="AH42" s="389"/>
      <c r="AI42" s="389"/>
      <c r="AJ42" s="389"/>
      <c r="AK42" s="389"/>
      <c r="AL42" s="389"/>
      <c r="AM42" s="389"/>
      <c r="AN42" s="389"/>
      <c r="AO42" s="389"/>
      <c r="AP42" s="389"/>
      <c r="AQ42" s="389"/>
      <c r="AR42" s="389"/>
      <c r="AS42" s="389"/>
      <c r="AT42" s="389"/>
      <c r="AU42" s="389"/>
      <c r="AV42" s="389"/>
      <c r="AW42" s="389"/>
      <c r="AX42" s="389" t="n">
        <f aca="false">+ROUND($H42*AX$39,)</f>
        <v>0</v>
      </c>
      <c r="AY42" s="389"/>
      <c r="AZ42" s="389"/>
      <c r="BA42" s="389" t="n">
        <f aca="false">+AX42-AZ42</f>
        <v>0</v>
      </c>
      <c r="BC42" s="323" t="n">
        <f aca="false">T42+Y42+AD42+AX42+K42=D42*G42*1.1</f>
        <v>1</v>
      </c>
    </row>
    <row r="43" customFormat="false" ht="12.75" hidden="false" customHeight="false" outlineLevel="0" collapsed="false">
      <c r="B43" s="594"/>
      <c r="C43" s="596" t="s">
        <v>451</v>
      </c>
      <c r="D43" s="596" t="n">
        <v>156</v>
      </c>
      <c r="E43" s="596"/>
      <c r="F43" s="597" t="n">
        <v>950000</v>
      </c>
      <c r="G43" s="597" t="n">
        <v>1050000</v>
      </c>
      <c r="H43" s="389" t="n">
        <f aca="false">+F43*D43*1.1</f>
        <v>163020000</v>
      </c>
      <c r="I43" s="389" t="n">
        <f aca="false">+V43+AA43+AF43+AZ43</f>
        <v>0</v>
      </c>
      <c r="J43" s="389"/>
      <c r="K43" s="389" t="n">
        <f aca="false">+SUM(L43:O43)</f>
        <v>0</v>
      </c>
      <c r="L43" s="389"/>
      <c r="M43" s="389"/>
      <c r="N43" s="389"/>
      <c r="O43" s="389"/>
      <c r="P43" s="599"/>
      <c r="Q43" s="389"/>
      <c r="R43" s="389" t="n">
        <f aca="false">+K43-Q43</f>
        <v>0</v>
      </c>
      <c r="S43" s="598"/>
      <c r="T43" s="389" t="n">
        <f aca="false">+ROUND($H43*T$39,)</f>
        <v>81510000</v>
      </c>
      <c r="U43" s="598"/>
      <c r="V43" s="389"/>
      <c r="W43" s="389" t="n">
        <f aca="false">+T43-V43</f>
        <v>81510000</v>
      </c>
      <c r="X43" s="389"/>
      <c r="Y43" s="389" t="n">
        <f aca="false">+ROUND($H43*Y$39,)</f>
        <v>65208000</v>
      </c>
      <c r="Z43" s="389"/>
      <c r="AA43" s="389"/>
      <c r="AB43" s="389" t="n">
        <f aca="false">+Y43-AA43</f>
        <v>65208000</v>
      </c>
      <c r="AC43" s="389"/>
      <c r="AD43" s="389" t="n">
        <f aca="false">+ROUND(D43*G43*1.1-Y43-T43-K43,)</f>
        <v>33462000</v>
      </c>
      <c r="AE43" s="389"/>
      <c r="AF43" s="389"/>
      <c r="AG43" s="389" t="n">
        <f aca="false">+AD43-AF43</f>
        <v>33462000</v>
      </c>
      <c r="AH43" s="389"/>
      <c r="AI43" s="389"/>
      <c r="AJ43" s="389"/>
      <c r="AK43" s="389"/>
      <c r="AL43" s="389"/>
      <c r="AM43" s="389"/>
      <c r="AN43" s="389"/>
      <c r="AO43" s="389"/>
      <c r="AP43" s="389"/>
      <c r="AQ43" s="389"/>
      <c r="AR43" s="389"/>
      <c r="AS43" s="389"/>
      <c r="AT43" s="389"/>
      <c r="AU43" s="389"/>
      <c r="AV43" s="389"/>
      <c r="AW43" s="389"/>
      <c r="AX43" s="389" t="n">
        <f aca="false">+ROUND($H43*AX$39,)</f>
        <v>0</v>
      </c>
      <c r="AY43" s="389"/>
      <c r="AZ43" s="389"/>
      <c r="BA43" s="389" t="n">
        <f aca="false">+AX43-AZ43</f>
        <v>0</v>
      </c>
      <c r="BC43" s="323" t="n">
        <f aca="false">T43+Y43+AD43+AX43+K43=D43*G43*1.1</f>
        <v>1</v>
      </c>
    </row>
    <row r="44" customFormat="false" ht="12.75" hidden="false" customHeight="false" outlineLevel="0" collapsed="false">
      <c r="B44" s="594"/>
      <c r="C44" s="596" t="s">
        <v>452</v>
      </c>
      <c r="D44" s="596" t="n">
        <v>1000</v>
      </c>
      <c r="E44" s="596"/>
      <c r="F44" s="597" t="n">
        <v>950000</v>
      </c>
      <c r="G44" s="597" t="n">
        <v>1050000</v>
      </c>
      <c r="H44" s="389" t="n">
        <f aca="false">+F44*D44*1.1</f>
        <v>1045000000</v>
      </c>
      <c r="I44" s="389" t="n">
        <f aca="false">+V44+AA44+AF44+AZ44</f>
        <v>0</v>
      </c>
      <c r="J44" s="389"/>
      <c r="K44" s="389" t="n">
        <f aca="false">+SUM(L44:O44)</f>
        <v>0</v>
      </c>
      <c r="L44" s="389"/>
      <c r="M44" s="389"/>
      <c r="N44" s="389"/>
      <c r="O44" s="389"/>
      <c r="P44" s="599"/>
      <c r="Q44" s="389"/>
      <c r="R44" s="389" t="n">
        <f aca="false">+K44-Q44</f>
        <v>0</v>
      </c>
      <c r="S44" s="598"/>
      <c r="T44" s="389" t="n">
        <f aca="false">+ROUND($H44*T$39,)</f>
        <v>522500000</v>
      </c>
      <c r="U44" s="598"/>
      <c r="V44" s="389"/>
      <c r="W44" s="389" t="n">
        <f aca="false">+T44-V44</f>
        <v>522500000</v>
      </c>
      <c r="X44" s="389"/>
      <c r="Y44" s="389" t="n">
        <f aca="false">+ROUND($H44*Y$39,)</f>
        <v>418000000</v>
      </c>
      <c r="Z44" s="389"/>
      <c r="AA44" s="389"/>
      <c r="AB44" s="389" t="n">
        <f aca="false">+Y44-AA44</f>
        <v>418000000</v>
      </c>
      <c r="AC44" s="389"/>
      <c r="AD44" s="389" t="n">
        <f aca="false">+ROUND(D44*G44*1.1-Y44-T44-K44,)</f>
        <v>214500000</v>
      </c>
      <c r="AE44" s="389"/>
      <c r="AF44" s="389"/>
      <c r="AG44" s="389" t="n">
        <f aca="false">+AD44-AF44</f>
        <v>214500000</v>
      </c>
      <c r="AH44" s="389"/>
      <c r="AI44" s="389"/>
      <c r="AJ44" s="389"/>
      <c r="AK44" s="389"/>
      <c r="AL44" s="389"/>
      <c r="AM44" s="389"/>
      <c r="AN44" s="389"/>
      <c r="AO44" s="389"/>
      <c r="AP44" s="389"/>
      <c r="AQ44" s="389"/>
      <c r="AR44" s="389"/>
      <c r="AS44" s="389"/>
      <c r="AT44" s="389"/>
      <c r="AU44" s="389"/>
      <c r="AV44" s="389"/>
      <c r="AW44" s="389"/>
      <c r="AX44" s="389" t="n">
        <f aca="false">+ROUND($H44*AX$39,)</f>
        <v>0</v>
      </c>
      <c r="AY44" s="389"/>
      <c r="AZ44" s="389"/>
      <c r="BA44" s="389" t="n">
        <f aca="false">+AX44-AZ44</f>
        <v>0</v>
      </c>
      <c r="BC44" s="323" t="n">
        <f aca="false">T44+Y44+AD44+AX44+K44=D44*G44*1.1</f>
        <v>1</v>
      </c>
    </row>
    <row r="45" s="604" customFormat="true" ht="12.75" hidden="false" customHeight="false" outlineLevel="0" collapsed="false">
      <c r="B45" s="594"/>
      <c r="C45" s="605" t="s">
        <v>453</v>
      </c>
      <c r="D45" s="605" t="n">
        <v>200</v>
      </c>
      <c r="E45" s="605"/>
      <c r="F45" s="606" t="n">
        <v>950000</v>
      </c>
      <c r="G45" s="606" t="n">
        <v>1050000</v>
      </c>
      <c r="H45" s="607" t="n">
        <f aca="false">+F45*D45*1.1</f>
        <v>209000000</v>
      </c>
      <c r="I45" s="607" t="n">
        <f aca="false">+V45+AA45+AF45+AZ45</f>
        <v>0</v>
      </c>
      <c r="J45" s="607"/>
      <c r="K45" s="607" t="n">
        <f aca="false">+SUM(L45:O45)</f>
        <v>0</v>
      </c>
      <c r="L45" s="607"/>
      <c r="M45" s="607"/>
      <c r="N45" s="607"/>
      <c r="O45" s="607"/>
      <c r="P45" s="608"/>
      <c r="Q45" s="607"/>
      <c r="R45" s="607" t="n">
        <f aca="false">+K45-Q45</f>
        <v>0</v>
      </c>
      <c r="S45" s="609"/>
      <c r="T45" s="607" t="n">
        <f aca="false">+ROUND($H45*T$39,)</f>
        <v>104500000</v>
      </c>
      <c r="U45" s="609"/>
      <c r="V45" s="607"/>
      <c r="W45" s="607" t="n">
        <f aca="false">+T45-V45</f>
        <v>104500000</v>
      </c>
      <c r="X45" s="607"/>
      <c r="Y45" s="607" t="n">
        <f aca="false">+ROUND($H45*Y$39,)</f>
        <v>83600000</v>
      </c>
      <c r="Z45" s="607"/>
      <c r="AA45" s="607"/>
      <c r="AB45" s="607" t="n">
        <f aca="false">+Y45-AA45</f>
        <v>83600000</v>
      </c>
      <c r="AC45" s="607"/>
      <c r="AD45" s="607" t="n">
        <f aca="false">+ROUND(D45*G45*1.1-Y45-T45-K45,)</f>
        <v>42900000</v>
      </c>
      <c r="AE45" s="607"/>
      <c r="AF45" s="607"/>
      <c r="AG45" s="607" t="n">
        <f aca="false">+AD45-AF45</f>
        <v>42900000</v>
      </c>
      <c r="AH45" s="607"/>
      <c r="AI45" s="607"/>
      <c r="AJ45" s="607"/>
      <c r="AK45" s="607"/>
      <c r="AL45" s="607"/>
      <c r="AM45" s="607"/>
      <c r="AN45" s="607"/>
      <c r="AO45" s="607"/>
      <c r="AP45" s="607"/>
      <c r="AQ45" s="607"/>
      <c r="AR45" s="607"/>
      <c r="AS45" s="607"/>
      <c r="AT45" s="607"/>
      <c r="AU45" s="607"/>
      <c r="AV45" s="607"/>
      <c r="AW45" s="607"/>
      <c r="AX45" s="607" t="n">
        <f aca="false">+ROUND($H45*AX$39,)</f>
        <v>0</v>
      </c>
      <c r="AY45" s="607"/>
      <c r="AZ45" s="607"/>
      <c r="BA45" s="607" t="n">
        <f aca="false">+AX45-AZ45</f>
        <v>0</v>
      </c>
      <c r="BB45" s="610"/>
      <c r="BC45" s="610" t="n">
        <f aca="false">T45+Y45+AD45+AX45+K45=D45*G45*1.1</f>
        <v>1</v>
      </c>
      <c r="BD45" s="610"/>
      <c r="BE45" s="610"/>
      <c r="BF45" s="610"/>
      <c r="BG45" s="610"/>
      <c r="BH45" s="610"/>
      <c r="BI45" s="610"/>
      <c r="BJ45" s="610"/>
      <c r="BK45" s="610"/>
      <c r="BL45" s="610"/>
      <c r="BM45" s="610"/>
      <c r="BN45" s="610"/>
      <c r="BO45" s="610"/>
      <c r="BP45" s="610"/>
    </row>
    <row r="46" customFormat="false" ht="12.75" hidden="false" customHeight="false" outlineLevel="0" collapsed="false">
      <c r="B46" s="594"/>
      <c r="C46" s="596" t="s">
        <v>454</v>
      </c>
      <c r="D46" s="596" t="n">
        <v>173</v>
      </c>
      <c r="E46" s="596"/>
      <c r="F46" s="597" t="n">
        <v>950000</v>
      </c>
      <c r="G46" s="597" t="n">
        <v>1050000</v>
      </c>
      <c r="H46" s="389" t="n">
        <f aca="false">+F46*D46*1.1</f>
        <v>180785000</v>
      </c>
      <c r="I46" s="389" t="n">
        <f aca="false">+V46+AA46+AF46+AZ46</f>
        <v>0</v>
      </c>
      <c r="J46" s="389"/>
      <c r="K46" s="389" t="n">
        <f aca="false">+SUM(L46:O46)</f>
        <v>0</v>
      </c>
      <c r="L46" s="389"/>
      <c r="M46" s="389"/>
      <c r="N46" s="389"/>
      <c r="O46" s="389"/>
      <c r="P46" s="599"/>
      <c r="Q46" s="389"/>
      <c r="R46" s="389" t="n">
        <f aca="false">+K46-Q46</f>
        <v>0</v>
      </c>
      <c r="S46" s="598"/>
      <c r="T46" s="389" t="n">
        <f aca="false">+ROUND($H46*T$39,)</f>
        <v>90392500</v>
      </c>
      <c r="U46" s="598"/>
      <c r="V46" s="389"/>
      <c r="W46" s="389" t="n">
        <f aca="false">+T46-V46</f>
        <v>90392500</v>
      </c>
      <c r="X46" s="389"/>
      <c r="Y46" s="389" t="n">
        <f aca="false">+ROUND($H46*Y$39,)</f>
        <v>72314000</v>
      </c>
      <c r="Z46" s="389"/>
      <c r="AA46" s="389"/>
      <c r="AB46" s="389" t="n">
        <f aca="false">+Y46-AA46</f>
        <v>72314000</v>
      </c>
      <c r="AC46" s="389"/>
      <c r="AD46" s="389" t="n">
        <f aca="false">+ROUND(D46*G46*1.1-Y46-T46-K46,)</f>
        <v>37108500</v>
      </c>
      <c r="AE46" s="389"/>
      <c r="AF46" s="389"/>
      <c r="AG46" s="389" t="n">
        <f aca="false">+AD46-AF46</f>
        <v>37108500</v>
      </c>
      <c r="AH46" s="389"/>
      <c r="AI46" s="389"/>
      <c r="AJ46" s="389"/>
      <c r="AK46" s="389"/>
      <c r="AL46" s="389"/>
      <c r="AM46" s="389"/>
      <c r="AN46" s="389"/>
      <c r="AO46" s="389"/>
      <c r="AP46" s="389"/>
      <c r="AQ46" s="389"/>
      <c r="AR46" s="389"/>
      <c r="AS46" s="389"/>
      <c r="AT46" s="389"/>
      <c r="AU46" s="389"/>
      <c r="AV46" s="389"/>
      <c r="AW46" s="389"/>
      <c r="AX46" s="389" t="n">
        <f aca="false">+ROUND($H46*AX$39,)</f>
        <v>0</v>
      </c>
      <c r="AY46" s="389"/>
      <c r="AZ46" s="389"/>
      <c r="BA46" s="389" t="n">
        <f aca="false">+AX46-AZ46</f>
        <v>0</v>
      </c>
      <c r="BC46" s="323" t="n">
        <f aca="false">T46+Y46+AD46+AX46+K46=D46*G46*1.1</f>
        <v>1</v>
      </c>
    </row>
    <row r="47" customFormat="false" ht="12.75" hidden="false" customHeight="false" outlineLevel="0" collapsed="false">
      <c r="B47" s="594"/>
      <c r="C47" s="596" t="s">
        <v>455</v>
      </c>
      <c r="D47" s="596" t="n">
        <f aca="false">0.371*1000</f>
        <v>371</v>
      </c>
      <c r="E47" s="596"/>
      <c r="F47" s="597" t="n">
        <v>950000</v>
      </c>
      <c r="G47" s="597" t="n">
        <v>1050000</v>
      </c>
      <c r="H47" s="389" t="n">
        <f aca="false">+F47*D47*1.1</f>
        <v>387695000</v>
      </c>
      <c r="I47" s="389" t="n">
        <f aca="false">+V47+AA47+AF47+AZ47</f>
        <v>0</v>
      </c>
      <c r="J47" s="389"/>
      <c r="K47" s="389" t="n">
        <f aca="false">+SUM(L47:O47)</f>
        <v>0</v>
      </c>
      <c r="L47" s="389"/>
      <c r="M47" s="389"/>
      <c r="N47" s="389"/>
      <c r="O47" s="389"/>
      <c r="P47" s="599"/>
      <c r="Q47" s="389"/>
      <c r="R47" s="389" t="n">
        <f aca="false">+K47-Q47</f>
        <v>0</v>
      </c>
      <c r="S47" s="598"/>
      <c r="T47" s="389" t="n">
        <f aca="false">+ROUND($H47*T$39,)</f>
        <v>193847500</v>
      </c>
      <c r="U47" s="598"/>
      <c r="V47" s="389"/>
      <c r="W47" s="389" t="n">
        <f aca="false">+T47-V47</f>
        <v>193847500</v>
      </c>
      <c r="X47" s="389"/>
      <c r="Y47" s="389" t="n">
        <f aca="false">+ROUND($H47*Y$39,)</f>
        <v>155078000</v>
      </c>
      <c r="Z47" s="389"/>
      <c r="AA47" s="389"/>
      <c r="AB47" s="389" t="n">
        <f aca="false">+Y47-AA47</f>
        <v>155078000</v>
      </c>
      <c r="AC47" s="389"/>
      <c r="AD47" s="389" t="n">
        <f aca="false">+ROUND(D47*G47*1.1-Y47-T47-K47,)</f>
        <v>79579500</v>
      </c>
      <c r="AE47" s="389"/>
      <c r="AF47" s="389"/>
      <c r="AG47" s="389" t="n">
        <f aca="false">+AD47-AF47</f>
        <v>79579500</v>
      </c>
      <c r="AH47" s="389"/>
      <c r="AI47" s="389"/>
      <c r="AJ47" s="389"/>
      <c r="AK47" s="389"/>
      <c r="AL47" s="389"/>
      <c r="AM47" s="389"/>
      <c r="AN47" s="389"/>
      <c r="AO47" s="389"/>
      <c r="AP47" s="389"/>
      <c r="AQ47" s="389"/>
      <c r="AR47" s="389"/>
      <c r="AS47" s="389"/>
      <c r="AT47" s="389"/>
      <c r="AU47" s="389"/>
      <c r="AV47" s="389"/>
      <c r="AW47" s="389"/>
      <c r="AX47" s="389" t="n">
        <f aca="false">+ROUND($H47*AX$39,)</f>
        <v>0</v>
      </c>
      <c r="AY47" s="389"/>
      <c r="AZ47" s="389"/>
      <c r="BA47" s="389" t="n">
        <f aca="false">+AX47-AZ47</f>
        <v>0</v>
      </c>
      <c r="BC47" s="323" t="n">
        <f aca="false">T47+Y47+AD47+AX47+K47=D47*G47*1.1</f>
        <v>1</v>
      </c>
    </row>
    <row r="48" customFormat="false" ht="12.75" hidden="false" customHeight="false" outlineLevel="0" collapsed="false">
      <c r="B48" s="594"/>
      <c r="C48" s="596" t="s">
        <v>456</v>
      </c>
      <c r="D48" s="596" t="n">
        <f aca="false">0.187*1000</f>
        <v>187</v>
      </c>
      <c r="E48" s="596"/>
      <c r="F48" s="597" t="n">
        <v>950000</v>
      </c>
      <c r="G48" s="597" t="n">
        <v>1050000</v>
      </c>
      <c r="H48" s="389" t="n">
        <f aca="false">+F48*D48*1.1</f>
        <v>195415000</v>
      </c>
      <c r="I48" s="389" t="n">
        <f aca="false">+V48+AA48+AF48+AZ48</f>
        <v>0</v>
      </c>
      <c r="J48" s="389"/>
      <c r="K48" s="389" t="n">
        <f aca="false">+SUM(L48:O48)</f>
        <v>0</v>
      </c>
      <c r="L48" s="389"/>
      <c r="M48" s="389"/>
      <c r="N48" s="389"/>
      <c r="O48" s="389"/>
      <c r="P48" s="599"/>
      <c r="Q48" s="389"/>
      <c r="R48" s="389" t="n">
        <f aca="false">+K48-Q48</f>
        <v>0</v>
      </c>
      <c r="S48" s="598"/>
      <c r="T48" s="389" t="n">
        <f aca="false">+ROUND($H48*T$39,)</f>
        <v>97707500</v>
      </c>
      <c r="U48" s="598"/>
      <c r="V48" s="389"/>
      <c r="W48" s="389" t="n">
        <f aca="false">+T48-V48</f>
        <v>97707500</v>
      </c>
      <c r="X48" s="389"/>
      <c r="Y48" s="389" t="n">
        <f aca="false">+ROUND($H48*Y$39,)</f>
        <v>78166000</v>
      </c>
      <c r="Z48" s="389"/>
      <c r="AA48" s="389"/>
      <c r="AB48" s="389" t="n">
        <f aca="false">+Y48-AA48</f>
        <v>78166000</v>
      </c>
      <c r="AC48" s="389"/>
      <c r="AD48" s="389" t="n">
        <f aca="false">+ROUND(D48*G48*1.1-Y48-T48-K48,)</f>
        <v>40111500</v>
      </c>
      <c r="AE48" s="389"/>
      <c r="AF48" s="389"/>
      <c r="AG48" s="389" t="n">
        <f aca="false">+AD48-AF48</f>
        <v>40111500</v>
      </c>
      <c r="AH48" s="389"/>
      <c r="AI48" s="389"/>
      <c r="AJ48" s="389"/>
      <c r="AK48" s="389"/>
      <c r="AL48" s="389"/>
      <c r="AM48" s="389"/>
      <c r="AN48" s="389"/>
      <c r="AO48" s="389"/>
      <c r="AP48" s="389"/>
      <c r="AQ48" s="389"/>
      <c r="AR48" s="389"/>
      <c r="AS48" s="389"/>
      <c r="AT48" s="389"/>
      <c r="AU48" s="389"/>
      <c r="AV48" s="389"/>
      <c r="AW48" s="389"/>
      <c r="AX48" s="389" t="n">
        <f aca="false">+ROUND($H48*AX$39,)</f>
        <v>0</v>
      </c>
      <c r="AY48" s="389"/>
      <c r="AZ48" s="389"/>
      <c r="BA48" s="389" t="n">
        <f aca="false">+AX48-AZ48</f>
        <v>0</v>
      </c>
      <c r="BC48" s="323" t="n">
        <f aca="false">T48+Y48+AD48+AX48+K48=D48*G48*1.1</f>
        <v>1</v>
      </c>
    </row>
    <row r="49" customFormat="false" ht="12.75" hidden="false" customHeight="false" outlineLevel="0" collapsed="false">
      <c r="B49" s="594"/>
      <c r="C49" s="596" t="s">
        <v>457</v>
      </c>
      <c r="D49" s="596" t="n">
        <v>227</v>
      </c>
      <c r="E49" s="596"/>
      <c r="F49" s="597" t="n">
        <v>950000</v>
      </c>
      <c r="G49" s="597" t="n">
        <v>1050000</v>
      </c>
      <c r="H49" s="389" t="n">
        <f aca="false">+F49*D49*1.1</f>
        <v>237215000</v>
      </c>
      <c r="I49" s="389"/>
      <c r="J49" s="389"/>
      <c r="K49" s="389" t="n">
        <f aca="false">+SUM(L49:O49)</f>
        <v>0</v>
      </c>
      <c r="L49" s="389"/>
      <c r="M49" s="389"/>
      <c r="N49" s="389"/>
      <c r="O49" s="389"/>
      <c r="P49" s="599"/>
      <c r="Q49" s="389"/>
      <c r="R49" s="389" t="n">
        <f aca="false">+K49-Q49</f>
        <v>0</v>
      </c>
      <c r="S49" s="598"/>
      <c r="T49" s="389" t="n">
        <f aca="false">+ROUND($H49*T$39,)</f>
        <v>118607500</v>
      </c>
      <c r="U49" s="598"/>
      <c r="V49" s="389"/>
      <c r="W49" s="389" t="n">
        <f aca="false">+T49-V49</f>
        <v>118607500</v>
      </c>
      <c r="X49" s="389"/>
      <c r="Y49" s="389" t="n">
        <f aca="false">+ROUND($H49*Y$39,)</f>
        <v>94886000</v>
      </c>
      <c r="Z49" s="389"/>
      <c r="AA49" s="389"/>
      <c r="AB49" s="389" t="n">
        <f aca="false">+Y49-AA49</f>
        <v>94886000</v>
      </c>
      <c r="AC49" s="389"/>
      <c r="AD49" s="389" t="n">
        <f aca="false">+ROUND(D49*G49*1.1-Y49-T49-K49,)</f>
        <v>48691500</v>
      </c>
      <c r="AE49" s="389"/>
      <c r="AF49" s="389"/>
      <c r="AG49" s="389" t="n">
        <f aca="false">+AD49-AF49</f>
        <v>48691500</v>
      </c>
      <c r="AH49" s="389"/>
      <c r="AI49" s="389"/>
      <c r="AJ49" s="389"/>
      <c r="AK49" s="389"/>
      <c r="AL49" s="389"/>
      <c r="AM49" s="389"/>
      <c r="AN49" s="389"/>
      <c r="AO49" s="389"/>
      <c r="AP49" s="389"/>
      <c r="AQ49" s="389"/>
      <c r="AR49" s="389"/>
      <c r="AS49" s="389"/>
      <c r="AT49" s="389"/>
      <c r="AU49" s="389"/>
      <c r="AV49" s="389"/>
      <c r="AW49" s="389"/>
      <c r="AX49" s="389" t="n">
        <f aca="false">+ROUND($H49*AX$39,)</f>
        <v>0</v>
      </c>
      <c r="AY49" s="389"/>
      <c r="AZ49" s="389"/>
      <c r="BA49" s="389" t="n">
        <f aca="false">+AX49-AZ49</f>
        <v>0</v>
      </c>
      <c r="BC49" s="323" t="n">
        <f aca="false">T49+Y49+AD49+AX49+K49=D49*G49*1.1</f>
        <v>1</v>
      </c>
    </row>
    <row r="50" customFormat="false" ht="12.75" hidden="false" customHeight="false" outlineLevel="0" collapsed="false">
      <c r="B50" s="594"/>
      <c r="C50" s="596" t="s">
        <v>458</v>
      </c>
      <c r="D50" s="596" t="n">
        <v>233</v>
      </c>
      <c r="E50" s="596"/>
      <c r="F50" s="597" t="n">
        <v>950000</v>
      </c>
      <c r="G50" s="597" t="n">
        <v>1050000</v>
      </c>
      <c r="H50" s="389" t="n">
        <f aca="false">+F50*D50*1.1</f>
        <v>243485000</v>
      </c>
      <c r="I50" s="389"/>
      <c r="J50" s="389"/>
      <c r="K50" s="389" t="n">
        <f aca="false">+SUM(L50:O50)</f>
        <v>0</v>
      </c>
      <c r="L50" s="389"/>
      <c r="M50" s="389"/>
      <c r="N50" s="389"/>
      <c r="O50" s="389"/>
      <c r="P50" s="599"/>
      <c r="Q50" s="389"/>
      <c r="R50" s="389" t="n">
        <f aca="false">+K50-Q50</f>
        <v>0</v>
      </c>
      <c r="S50" s="598"/>
      <c r="T50" s="389" t="n">
        <f aca="false">+ROUND($H50*T$39,)</f>
        <v>121742500</v>
      </c>
      <c r="U50" s="598"/>
      <c r="V50" s="389"/>
      <c r="W50" s="389" t="n">
        <f aca="false">+T50-V50</f>
        <v>121742500</v>
      </c>
      <c r="X50" s="389"/>
      <c r="Y50" s="389" t="n">
        <f aca="false">+ROUND($H50*Y$39,)</f>
        <v>97394000</v>
      </c>
      <c r="Z50" s="389"/>
      <c r="AA50" s="389"/>
      <c r="AB50" s="389" t="n">
        <f aca="false">+Y50-AA50</f>
        <v>97394000</v>
      </c>
      <c r="AC50" s="389"/>
      <c r="AD50" s="389" t="n">
        <f aca="false">+ROUND(D50*G50*1.1-Y50-T50-K50,)</f>
        <v>49978500</v>
      </c>
      <c r="AE50" s="389"/>
      <c r="AF50" s="389"/>
      <c r="AG50" s="389" t="n">
        <f aca="false">+AD50-AF50</f>
        <v>49978500</v>
      </c>
      <c r="AH50" s="389"/>
      <c r="AI50" s="389"/>
      <c r="AJ50" s="389"/>
      <c r="AK50" s="389"/>
      <c r="AL50" s="389"/>
      <c r="AM50" s="389"/>
      <c r="AN50" s="389"/>
      <c r="AO50" s="389"/>
      <c r="AP50" s="389"/>
      <c r="AQ50" s="389"/>
      <c r="AR50" s="389"/>
      <c r="AS50" s="389"/>
      <c r="AT50" s="389"/>
      <c r="AU50" s="389"/>
      <c r="AV50" s="389"/>
      <c r="AW50" s="389"/>
      <c r="AX50" s="389" t="n">
        <f aca="false">+ROUND($H50*AX$39,)</f>
        <v>0</v>
      </c>
      <c r="AY50" s="389"/>
      <c r="AZ50" s="389"/>
      <c r="BA50" s="389" t="n">
        <f aca="false">+AX50-AZ50</f>
        <v>0</v>
      </c>
      <c r="BC50" s="323" t="n">
        <f aca="false">T50+Y50+AD50+AX50+K50=D50*G50*1.1</f>
        <v>1</v>
      </c>
    </row>
    <row r="51" customFormat="false" ht="12.75" hidden="false" customHeight="false" outlineLevel="0" collapsed="false">
      <c r="B51" s="594"/>
      <c r="C51" s="596" t="n">
        <f aca="false">+'[6]BT 2HO'!C97</f>
        <v>0</v>
      </c>
      <c r="D51" s="596" t="n">
        <f aca="false">+'[6]BT 2HO'!D97</f>
        <v>0</v>
      </c>
      <c r="E51" s="596"/>
      <c r="F51" s="597" t="n">
        <v>950000</v>
      </c>
      <c r="G51" s="597" t="n">
        <v>1050000</v>
      </c>
      <c r="H51" s="389" t="n">
        <f aca="false">+F51*D51*1.1</f>
        <v>0</v>
      </c>
      <c r="I51" s="389"/>
      <c r="J51" s="389"/>
      <c r="K51" s="389" t="n">
        <f aca="false">+SUM(L51:O51)</f>
        <v>0</v>
      </c>
      <c r="L51" s="389"/>
      <c r="M51" s="389"/>
      <c r="N51" s="389"/>
      <c r="O51" s="389"/>
      <c r="P51" s="599"/>
      <c r="Q51" s="389"/>
      <c r="R51" s="389" t="n">
        <f aca="false">+K51-Q51</f>
        <v>0</v>
      </c>
      <c r="S51" s="598"/>
      <c r="T51" s="389" t="n">
        <f aca="false">+ROUND($H51*T$39,)</f>
        <v>0</v>
      </c>
      <c r="U51" s="598"/>
      <c r="V51" s="389"/>
      <c r="W51" s="389" t="n">
        <f aca="false">+T51-V51</f>
        <v>0</v>
      </c>
      <c r="X51" s="389"/>
      <c r="Y51" s="389" t="n">
        <f aca="false">+ROUND($H51*Y$39,)</f>
        <v>0</v>
      </c>
      <c r="Z51" s="389"/>
      <c r="AA51" s="389"/>
      <c r="AB51" s="389" t="n">
        <f aca="false">+Y51-AA51</f>
        <v>0</v>
      </c>
      <c r="AC51" s="389"/>
      <c r="AD51" s="389" t="n">
        <f aca="false">+ROUND(D51*G51*1.1-Y51-T51-K51,)</f>
        <v>0</v>
      </c>
      <c r="AE51" s="389"/>
      <c r="AF51" s="389"/>
      <c r="AG51" s="389" t="n">
        <f aca="false">+AD51-AF51</f>
        <v>0</v>
      </c>
      <c r="AH51" s="389"/>
      <c r="AI51" s="389"/>
      <c r="AJ51" s="389"/>
      <c r="AK51" s="389"/>
      <c r="AL51" s="389"/>
      <c r="AM51" s="389"/>
      <c r="AN51" s="389"/>
      <c r="AO51" s="389"/>
      <c r="AP51" s="389"/>
      <c r="AQ51" s="389"/>
      <c r="AR51" s="389"/>
      <c r="AS51" s="389"/>
      <c r="AT51" s="389"/>
      <c r="AU51" s="389"/>
      <c r="AV51" s="389"/>
      <c r="AW51" s="389"/>
      <c r="AX51" s="389" t="n">
        <f aca="false">+ROUND($H51*AX$39,)</f>
        <v>0</v>
      </c>
      <c r="AY51" s="389"/>
      <c r="AZ51" s="389"/>
      <c r="BA51" s="389" t="n">
        <f aca="false">+AX51-AZ51</f>
        <v>0</v>
      </c>
      <c r="BC51" s="323" t="n">
        <f aca="false">T51+Y51+AD51+AX51+K51=D51*G51*1.1</f>
        <v>1</v>
      </c>
    </row>
    <row r="52" customFormat="false" ht="12.75" hidden="false" customHeight="false" outlineLevel="0" collapsed="false">
      <c r="B52" s="594"/>
      <c r="C52" s="596" t="n">
        <f aca="false">+'[6]BT 2HO'!C102</f>
        <v>0</v>
      </c>
      <c r="D52" s="596" t="n">
        <f aca="false">+'[6]BT 2HO'!D102</f>
        <v>0</v>
      </c>
      <c r="E52" s="596"/>
      <c r="F52" s="597" t="n">
        <v>950000</v>
      </c>
      <c r="G52" s="597" t="n">
        <v>1050000</v>
      </c>
      <c r="H52" s="389" t="n">
        <f aca="false">+F52*D52*1.1</f>
        <v>0</v>
      </c>
      <c r="I52" s="389"/>
      <c r="J52" s="389"/>
      <c r="K52" s="389" t="n">
        <f aca="false">+SUM(L52:O52)</f>
        <v>0</v>
      </c>
      <c r="L52" s="389"/>
      <c r="M52" s="389"/>
      <c r="N52" s="389"/>
      <c r="O52" s="389"/>
      <c r="P52" s="599"/>
      <c r="Q52" s="389"/>
      <c r="R52" s="389" t="n">
        <f aca="false">+K52-Q52</f>
        <v>0</v>
      </c>
      <c r="S52" s="598"/>
      <c r="T52" s="389" t="n">
        <f aca="false">+ROUND($H52*T$39,)</f>
        <v>0</v>
      </c>
      <c r="U52" s="598"/>
      <c r="V52" s="389"/>
      <c r="W52" s="389" t="n">
        <f aca="false">+T52-V52</f>
        <v>0</v>
      </c>
      <c r="X52" s="389"/>
      <c r="Y52" s="389" t="n">
        <f aca="false">+ROUND($H52*Y$39,)</f>
        <v>0</v>
      </c>
      <c r="Z52" s="389"/>
      <c r="AA52" s="389"/>
      <c r="AB52" s="389" t="n">
        <f aca="false">+Y52-AA52</f>
        <v>0</v>
      </c>
      <c r="AC52" s="389"/>
      <c r="AD52" s="389" t="n">
        <f aca="false">+ROUND(D52*G52*1.1-Y52-T52-K52,)</f>
        <v>0</v>
      </c>
      <c r="AE52" s="389"/>
      <c r="AF52" s="389"/>
      <c r="AG52" s="389" t="n">
        <f aca="false">+AD52-AF52</f>
        <v>0</v>
      </c>
      <c r="AH52" s="389"/>
      <c r="AI52" s="389"/>
      <c r="AJ52" s="389"/>
      <c r="AK52" s="389"/>
      <c r="AL52" s="389"/>
      <c r="AM52" s="389"/>
      <c r="AN52" s="389"/>
      <c r="AO52" s="389"/>
      <c r="AP52" s="389"/>
      <c r="AQ52" s="389"/>
      <c r="AR52" s="389"/>
      <c r="AS52" s="389"/>
      <c r="AT52" s="389"/>
      <c r="AU52" s="389"/>
      <c r="AV52" s="389"/>
      <c r="AW52" s="389"/>
      <c r="AX52" s="389" t="n">
        <f aca="false">+ROUND($H52*AX$39,)</f>
        <v>0</v>
      </c>
      <c r="AY52" s="389"/>
      <c r="AZ52" s="389"/>
      <c r="BA52" s="389" t="n">
        <f aca="false">+AX52-AZ52</f>
        <v>0</v>
      </c>
      <c r="BC52" s="323" t="n">
        <f aca="false">T52+Y52+AD52+AX52+K52=D52*G52*1.1</f>
        <v>1</v>
      </c>
    </row>
    <row r="53" customFormat="false" ht="12.75" hidden="false" customHeight="false" outlineLevel="0" collapsed="false">
      <c r="B53" s="594"/>
      <c r="C53" s="596" t="n">
        <f aca="false">+'[6]BT 2HO'!C107</f>
        <v>0</v>
      </c>
      <c r="D53" s="596" t="n">
        <f aca="false">+'[6]BT 2HO'!D107</f>
        <v>0</v>
      </c>
      <c r="E53" s="596"/>
      <c r="F53" s="597" t="n">
        <v>950000</v>
      </c>
      <c r="G53" s="597" t="n">
        <v>1050000</v>
      </c>
      <c r="H53" s="389" t="n">
        <f aca="false">+F53*D53*1.1</f>
        <v>0</v>
      </c>
      <c r="I53" s="389"/>
      <c r="J53" s="389"/>
      <c r="K53" s="389" t="n">
        <f aca="false">+SUM(L53:O53)</f>
        <v>0</v>
      </c>
      <c r="L53" s="389"/>
      <c r="M53" s="389"/>
      <c r="N53" s="389"/>
      <c r="O53" s="389"/>
      <c r="P53" s="599"/>
      <c r="Q53" s="389"/>
      <c r="R53" s="389" t="n">
        <f aca="false">+K53-Q53</f>
        <v>0</v>
      </c>
      <c r="S53" s="598"/>
      <c r="T53" s="389" t="n">
        <f aca="false">+ROUND($H53*T$39,)</f>
        <v>0</v>
      </c>
      <c r="U53" s="598"/>
      <c r="V53" s="389"/>
      <c r="W53" s="389" t="n">
        <f aca="false">+T53-V53</f>
        <v>0</v>
      </c>
      <c r="X53" s="389"/>
      <c r="Y53" s="389" t="n">
        <f aca="false">+ROUND($H53*Y$39,)</f>
        <v>0</v>
      </c>
      <c r="Z53" s="389"/>
      <c r="AA53" s="389"/>
      <c r="AB53" s="389" t="n">
        <f aca="false">+Y53-AA53</f>
        <v>0</v>
      </c>
      <c r="AC53" s="389"/>
      <c r="AD53" s="389" t="n">
        <f aca="false">+ROUND(D53*G53*1.1-Y53-T53-K53,)</f>
        <v>0</v>
      </c>
      <c r="AE53" s="389"/>
      <c r="AF53" s="389"/>
      <c r="AG53" s="389" t="n">
        <f aca="false">+AD53-AF53</f>
        <v>0</v>
      </c>
      <c r="AH53" s="389"/>
      <c r="AI53" s="389"/>
      <c r="AJ53" s="389"/>
      <c r="AK53" s="389"/>
      <c r="AL53" s="389"/>
      <c r="AM53" s="389"/>
      <c r="AN53" s="389"/>
      <c r="AO53" s="389"/>
      <c r="AP53" s="389"/>
      <c r="AQ53" s="389"/>
      <c r="AR53" s="389"/>
      <c r="AS53" s="389"/>
      <c r="AT53" s="389"/>
      <c r="AU53" s="389"/>
      <c r="AV53" s="389"/>
      <c r="AW53" s="389"/>
      <c r="AX53" s="389" t="n">
        <f aca="false">+ROUND($H53*AX$39,)</f>
        <v>0</v>
      </c>
      <c r="AY53" s="389"/>
      <c r="AZ53" s="389"/>
      <c r="BA53" s="389" t="n">
        <f aca="false">+AX53-AZ53</f>
        <v>0</v>
      </c>
      <c r="BC53" s="323" t="n">
        <f aca="false">T53+Y53+AD53+AX53+K53=D53*G53*1.1</f>
        <v>1</v>
      </c>
    </row>
    <row r="54" customFormat="false" ht="12.75" hidden="false" customHeight="false" outlineLevel="0" collapsed="false">
      <c r="B54" s="594"/>
      <c r="C54" s="596" t="n">
        <f aca="false">+'[6]BT 2HO'!C112</f>
        <v>0</v>
      </c>
      <c r="D54" s="596" t="n">
        <f aca="false">+'[6]BT 2HO'!D112</f>
        <v>0</v>
      </c>
      <c r="E54" s="596"/>
      <c r="F54" s="597" t="n">
        <v>950000</v>
      </c>
      <c r="G54" s="597" t="n">
        <v>1050000</v>
      </c>
      <c r="H54" s="389" t="n">
        <f aca="false">+F54*D54*1.1</f>
        <v>0</v>
      </c>
      <c r="I54" s="389"/>
      <c r="J54" s="389"/>
      <c r="K54" s="389" t="n">
        <f aca="false">+SUM(L54:O54)</f>
        <v>0</v>
      </c>
      <c r="L54" s="389"/>
      <c r="M54" s="389"/>
      <c r="N54" s="389"/>
      <c r="O54" s="389"/>
      <c r="P54" s="599"/>
      <c r="Q54" s="389"/>
      <c r="R54" s="389" t="n">
        <f aca="false">+K54-Q54</f>
        <v>0</v>
      </c>
      <c r="S54" s="598"/>
      <c r="T54" s="389" t="n">
        <f aca="false">+ROUND($H54*T$39,)</f>
        <v>0</v>
      </c>
      <c r="U54" s="598"/>
      <c r="V54" s="389"/>
      <c r="W54" s="389" t="n">
        <f aca="false">+T54-V54</f>
        <v>0</v>
      </c>
      <c r="X54" s="389"/>
      <c r="Y54" s="389" t="n">
        <f aca="false">+ROUND($H54*Y$39,)</f>
        <v>0</v>
      </c>
      <c r="Z54" s="389"/>
      <c r="AA54" s="389"/>
      <c r="AB54" s="389" t="n">
        <f aca="false">+Y54-AA54</f>
        <v>0</v>
      </c>
      <c r="AC54" s="389"/>
      <c r="AD54" s="389" t="n">
        <f aca="false">+ROUND(D54*G54*1.1-Y54-T54-K54,)</f>
        <v>0</v>
      </c>
      <c r="AE54" s="389"/>
      <c r="AF54" s="389"/>
      <c r="AG54" s="389" t="n">
        <f aca="false">+AD54-AF54</f>
        <v>0</v>
      </c>
      <c r="AH54" s="389"/>
      <c r="AI54" s="389"/>
      <c r="AJ54" s="389"/>
      <c r="AK54" s="389"/>
      <c r="AL54" s="389"/>
      <c r="AM54" s="389"/>
      <c r="AN54" s="389"/>
      <c r="AO54" s="389"/>
      <c r="AP54" s="389"/>
      <c r="AQ54" s="389"/>
      <c r="AR54" s="389"/>
      <c r="AS54" s="389"/>
      <c r="AT54" s="389"/>
      <c r="AU54" s="389"/>
      <c r="AV54" s="389"/>
      <c r="AW54" s="389"/>
      <c r="AX54" s="389" t="n">
        <f aca="false">+ROUND($H54*AX$39,)</f>
        <v>0</v>
      </c>
      <c r="AY54" s="389"/>
      <c r="AZ54" s="389"/>
      <c r="BA54" s="389" t="n">
        <f aca="false">+AX54-AZ54</f>
        <v>0</v>
      </c>
      <c r="BC54" s="323" t="n">
        <f aca="false">T54+Y54+AD54+AX54+K54=D54*G54*1.1</f>
        <v>1</v>
      </c>
    </row>
    <row r="56" customFormat="false" ht="15" hidden="false" customHeight="true" outlineLevel="0" collapsed="false">
      <c r="B56" s="297" t="s">
        <v>96</v>
      </c>
      <c r="C56" s="297" t="s">
        <v>36</v>
      </c>
      <c r="D56" s="299" t="s">
        <v>123</v>
      </c>
      <c r="E56" s="601"/>
      <c r="F56" s="586" t="s">
        <v>412</v>
      </c>
      <c r="G56" s="586" t="s">
        <v>413</v>
      </c>
      <c r="H56" s="587" t="s">
        <v>109</v>
      </c>
      <c r="I56" s="588" t="s">
        <v>414</v>
      </c>
      <c r="J56" s="588" t="s">
        <v>415</v>
      </c>
      <c r="K56" s="589" t="s">
        <v>416</v>
      </c>
      <c r="L56" s="589"/>
      <c r="M56" s="589"/>
      <c r="N56" s="589"/>
      <c r="O56" s="589"/>
      <c r="P56" s="589"/>
      <c r="Q56" s="589"/>
      <c r="R56" s="589"/>
      <c r="S56" s="587" t="s">
        <v>435</v>
      </c>
      <c r="T56" s="587"/>
      <c r="U56" s="587"/>
      <c r="V56" s="587"/>
      <c r="W56" s="587"/>
      <c r="X56" s="587" t="s">
        <v>436</v>
      </c>
      <c r="Y56" s="587"/>
      <c r="Z56" s="587"/>
      <c r="AA56" s="587"/>
      <c r="AB56" s="587"/>
      <c r="AC56" s="587" t="s">
        <v>437</v>
      </c>
      <c r="AD56" s="587"/>
      <c r="AE56" s="587"/>
      <c r="AF56" s="587"/>
      <c r="AG56" s="587"/>
      <c r="AH56" s="587"/>
      <c r="AI56" s="587"/>
      <c r="AJ56" s="587"/>
      <c r="AK56" s="587"/>
      <c r="AL56" s="587"/>
      <c r="AM56" s="587"/>
      <c r="AN56" s="587"/>
      <c r="AO56" s="587"/>
      <c r="AP56" s="587"/>
      <c r="AQ56" s="587"/>
      <c r="AR56" s="587"/>
      <c r="AS56" s="587"/>
      <c r="AT56" s="587"/>
      <c r="AU56" s="587"/>
      <c r="AV56" s="587"/>
      <c r="AW56" s="587" t="s">
        <v>438</v>
      </c>
      <c r="AX56" s="587"/>
      <c r="AY56" s="587"/>
      <c r="AZ56" s="587"/>
      <c r="BA56" s="587"/>
    </row>
    <row r="57" customFormat="false" ht="13.4" hidden="false" customHeight="false" outlineLevel="0" collapsed="false">
      <c r="B57" s="297"/>
      <c r="C57" s="297"/>
      <c r="D57" s="299"/>
      <c r="E57" s="601"/>
      <c r="F57" s="586"/>
      <c r="G57" s="586"/>
      <c r="H57" s="587"/>
      <c r="I57" s="588"/>
      <c r="J57" s="588"/>
      <c r="K57" s="602" t="s">
        <v>424</v>
      </c>
      <c r="L57" s="602" t="s">
        <v>425</v>
      </c>
      <c r="M57" s="602" t="s">
        <v>426</v>
      </c>
      <c r="N57" s="602" t="s">
        <v>427</v>
      </c>
      <c r="O57" s="602" t="s">
        <v>428</v>
      </c>
      <c r="P57" s="603" t="s">
        <v>429</v>
      </c>
      <c r="Q57" s="602" t="s">
        <v>430</v>
      </c>
      <c r="R57" s="602" t="s">
        <v>431</v>
      </c>
      <c r="S57" s="587" t="s">
        <v>168</v>
      </c>
      <c r="T57" s="592" t="n">
        <v>0.5</v>
      </c>
      <c r="U57" s="587" t="s">
        <v>168</v>
      </c>
      <c r="V57" s="593" t="s">
        <v>432</v>
      </c>
      <c r="W57" s="593" t="s">
        <v>433</v>
      </c>
      <c r="X57" s="587" t="s">
        <v>168</v>
      </c>
      <c r="Y57" s="592" t="n">
        <v>0.4</v>
      </c>
      <c r="Z57" s="587" t="s">
        <v>168</v>
      </c>
      <c r="AA57" s="593" t="s">
        <v>432</v>
      </c>
      <c r="AB57" s="593" t="s">
        <v>433</v>
      </c>
      <c r="AC57" s="587" t="s">
        <v>168</v>
      </c>
      <c r="AD57" s="592" t="n">
        <v>0.1</v>
      </c>
      <c r="AE57" s="587" t="s">
        <v>168</v>
      </c>
      <c r="AF57" s="593" t="s">
        <v>432</v>
      </c>
      <c r="AG57" s="593" t="s">
        <v>433</v>
      </c>
      <c r="AH57" s="593"/>
      <c r="AI57" s="593"/>
      <c r="AJ57" s="593"/>
      <c r="AK57" s="593"/>
      <c r="AL57" s="593"/>
      <c r="AM57" s="593"/>
      <c r="AN57" s="593"/>
      <c r="AO57" s="593"/>
      <c r="AP57" s="593"/>
      <c r="AQ57" s="593"/>
      <c r="AR57" s="593"/>
      <c r="AS57" s="593"/>
      <c r="AT57" s="593"/>
      <c r="AU57" s="593"/>
      <c r="AV57" s="593"/>
      <c r="AW57" s="587" t="s">
        <v>168</v>
      </c>
      <c r="AX57" s="592" t="n">
        <v>0</v>
      </c>
      <c r="AY57" s="587" t="s">
        <v>168</v>
      </c>
      <c r="AZ57" s="593" t="s">
        <v>432</v>
      </c>
      <c r="BA57" s="593" t="s">
        <v>433</v>
      </c>
    </row>
    <row r="58" customFormat="false" ht="12.75" hidden="false" customHeight="false" outlineLevel="0" collapsed="false">
      <c r="B58" s="594" t="s">
        <v>459</v>
      </c>
      <c r="C58" s="595"/>
      <c r="D58" s="596" t="n">
        <f aca="false">+SUM(D59:D72)</f>
        <v>2877.38</v>
      </c>
      <c r="E58" s="596"/>
      <c r="F58" s="597" t="n">
        <v>950000</v>
      </c>
      <c r="G58" s="597" t="n">
        <v>1050000</v>
      </c>
      <c r="H58" s="389" t="n">
        <f aca="false">+SUM(H59:H72)</f>
        <v>3006862100</v>
      </c>
      <c r="I58" s="389" t="n">
        <f aca="false">+SUM(I59:I72)</f>
        <v>47583800</v>
      </c>
      <c r="J58" s="389" t="n">
        <f aca="false">+SUM(J59:J72)</f>
        <v>31083800</v>
      </c>
      <c r="K58" s="389" t="n">
        <f aca="false">+SUM(K59:K72)</f>
        <v>0</v>
      </c>
      <c r="L58" s="389" t="n">
        <f aca="false">+SUM(L59:L72)</f>
        <v>0</v>
      </c>
      <c r="M58" s="389" t="n">
        <f aca="false">+SUM(M59:M72)</f>
        <v>0</v>
      </c>
      <c r="N58" s="389" t="n">
        <f aca="false">+SUM(N59:N72)</f>
        <v>0</v>
      </c>
      <c r="O58" s="389" t="n">
        <f aca="false">+SUM(O59:O72)</f>
        <v>0</v>
      </c>
      <c r="P58" s="389"/>
      <c r="Q58" s="389" t="n">
        <f aca="false">+SUM(Q59:Q72)</f>
        <v>0</v>
      </c>
      <c r="R58" s="389" t="n">
        <f aca="false">+SUM(R59:R72)</f>
        <v>0</v>
      </c>
      <c r="S58" s="598"/>
      <c r="T58" s="389" t="n">
        <f aca="false">+SUM(T59:T72)</f>
        <v>1503431050</v>
      </c>
      <c r="U58" s="598"/>
      <c r="V58" s="389" t="n">
        <f aca="false">+SUM(V59:V72)</f>
        <v>47583800</v>
      </c>
      <c r="W58" s="389" t="n">
        <f aca="false">+SUM(W59:W72)</f>
        <v>1455847250</v>
      </c>
      <c r="X58" s="389"/>
      <c r="Y58" s="389" t="n">
        <f aca="false">+SUM(Y59:Y72)</f>
        <v>1202744840</v>
      </c>
      <c r="Z58" s="389"/>
      <c r="AA58" s="389"/>
      <c r="AB58" s="389" t="n">
        <f aca="false">+SUM(AB59:AB72)</f>
        <v>1202744840</v>
      </c>
      <c r="AC58" s="389"/>
      <c r="AD58" s="389" t="n">
        <f aca="false">+SUM(AD59:AD72)</f>
        <v>617198010</v>
      </c>
      <c r="AE58" s="389"/>
      <c r="AF58" s="389"/>
      <c r="AG58" s="389" t="n">
        <f aca="false">+SUM(AG59:AG72)</f>
        <v>617198010</v>
      </c>
      <c r="AH58" s="389"/>
      <c r="AI58" s="389"/>
      <c r="AJ58" s="389"/>
      <c r="AK58" s="389"/>
      <c r="AL58" s="389"/>
      <c r="AM58" s="389"/>
      <c r="AN58" s="389"/>
      <c r="AO58" s="389"/>
      <c r="AP58" s="389"/>
      <c r="AQ58" s="389"/>
      <c r="AR58" s="389"/>
      <c r="AS58" s="389"/>
      <c r="AT58" s="389"/>
      <c r="AU58" s="389"/>
      <c r="AV58" s="389"/>
      <c r="AW58" s="389"/>
      <c r="AX58" s="389" t="n">
        <f aca="false">+SUM(AX59:AX72)</f>
        <v>0</v>
      </c>
      <c r="AY58" s="389"/>
      <c r="AZ58" s="389"/>
      <c r="BA58" s="389" t="n">
        <f aca="false">+SUM(BA59:BA72)</f>
        <v>0</v>
      </c>
      <c r="BC58" s="323" t="n">
        <f aca="false">T58+Y58+AD58+AX58+K58=D58*G58*1.1</f>
        <v>1</v>
      </c>
    </row>
    <row r="59" customFormat="false" ht="12.75" hidden="false" customHeight="false" outlineLevel="0" collapsed="false">
      <c r="B59" s="594"/>
      <c r="C59" s="596" t="s">
        <v>460</v>
      </c>
      <c r="D59" s="596" t="n">
        <f aca="false">+'[6]BT 6HO'!D11</f>
        <v>150</v>
      </c>
      <c r="E59" s="596"/>
      <c r="F59" s="597" t="n">
        <v>950000</v>
      </c>
      <c r="G59" s="597" t="n">
        <v>1050000</v>
      </c>
      <c r="H59" s="389" t="n">
        <f aca="false">+F59*D59*1.1</f>
        <v>156750000</v>
      </c>
      <c r="I59" s="389" t="n">
        <f aca="false">+V59+AA59+AF59+AZ59</f>
        <v>16500000</v>
      </c>
      <c r="J59" s="389"/>
      <c r="K59" s="389" t="n">
        <f aca="false">+SUM(L59:O59)</f>
        <v>0</v>
      </c>
      <c r="L59" s="389"/>
      <c r="M59" s="389"/>
      <c r="N59" s="389"/>
      <c r="O59" s="389"/>
      <c r="P59" s="599"/>
      <c r="Q59" s="389"/>
      <c r="R59" s="389" t="n">
        <f aca="false">+K59-Q59</f>
        <v>0</v>
      </c>
      <c r="S59" s="598" t="n">
        <f aca="false">+'[6]BT 6HO'!N12</f>
        <v>45631</v>
      </c>
      <c r="T59" s="389" t="n">
        <f aca="false">+ROUND($H59*T$57,)</f>
        <v>78375000</v>
      </c>
      <c r="U59" s="598" t="n">
        <f aca="false">+'[6]BT 6HO'!O12</f>
        <v>45631</v>
      </c>
      <c r="V59" s="389" t="n">
        <f aca="false">+'[6]BT 6HO'!R12+'[6]BT 6HO'!R13</f>
        <v>16500000</v>
      </c>
      <c r="W59" s="389" t="n">
        <f aca="false">+T59-V59</f>
        <v>61875000</v>
      </c>
      <c r="X59" s="389"/>
      <c r="Y59" s="389" t="n">
        <f aca="false">+ROUND($H59*Y$57,)</f>
        <v>62700000</v>
      </c>
      <c r="Z59" s="389"/>
      <c r="AA59" s="389"/>
      <c r="AB59" s="389" t="n">
        <f aca="false">+Y59-AA59</f>
        <v>62700000</v>
      </c>
      <c r="AC59" s="389"/>
      <c r="AD59" s="389" t="n">
        <f aca="false">+ROUND(D59*G59*1.1-Y59-T59-K59,)</f>
        <v>32175000</v>
      </c>
      <c r="AE59" s="389"/>
      <c r="AF59" s="389"/>
      <c r="AG59" s="389" t="n">
        <f aca="false">+AD59-AF59</f>
        <v>32175000</v>
      </c>
      <c r="AH59" s="389"/>
      <c r="AI59" s="389"/>
      <c r="AJ59" s="389"/>
      <c r="AK59" s="389"/>
      <c r="AL59" s="389"/>
      <c r="AM59" s="389"/>
      <c r="AN59" s="389"/>
      <c r="AO59" s="389"/>
      <c r="AP59" s="389"/>
      <c r="AQ59" s="389"/>
      <c r="AR59" s="389"/>
      <c r="AS59" s="389"/>
      <c r="AT59" s="389"/>
      <c r="AU59" s="389"/>
      <c r="AV59" s="389"/>
      <c r="AW59" s="389"/>
      <c r="AX59" s="389" t="n">
        <f aca="false">+ROUND($H59*AX$57,)</f>
        <v>0</v>
      </c>
      <c r="AY59" s="389"/>
      <c r="AZ59" s="389"/>
      <c r="BA59" s="389" t="n">
        <f aca="false">+AX59-AZ59</f>
        <v>0</v>
      </c>
      <c r="BC59" s="323" t="n">
        <f aca="false">T59+Y59+AD59+AX59+K59=D59*G59*1.1</f>
        <v>1</v>
      </c>
    </row>
    <row r="60" s="604" customFormat="true" ht="12.75" hidden="false" customHeight="false" outlineLevel="0" collapsed="false">
      <c r="B60" s="594"/>
      <c r="C60" s="605" t="s">
        <v>461</v>
      </c>
      <c r="D60" s="605" t="n">
        <f aca="false">+'[6]BT 6HO'!D16</f>
        <v>144.15</v>
      </c>
      <c r="E60" s="605"/>
      <c r="F60" s="606" t="n">
        <v>950000</v>
      </c>
      <c r="G60" s="606" t="n">
        <v>1050000</v>
      </c>
      <c r="H60" s="607" t="n">
        <f aca="false">+F60*D60*1.1</f>
        <v>150636750</v>
      </c>
      <c r="I60" s="607" t="n">
        <f aca="false">+V60+AA60+AF60+AZ60</f>
        <v>15856500</v>
      </c>
      <c r="J60" s="607" t="n">
        <f aca="false">+I60</f>
        <v>15856500</v>
      </c>
      <c r="K60" s="607" t="n">
        <f aca="false">+SUM(L60:O60)</f>
        <v>0</v>
      </c>
      <c r="L60" s="607"/>
      <c r="M60" s="607"/>
      <c r="N60" s="607"/>
      <c r="O60" s="607"/>
      <c r="P60" s="608"/>
      <c r="Q60" s="607"/>
      <c r="R60" s="607" t="n">
        <f aca="false">+K60-Q60</f>
        <v>0</v>
      </c>
      <c r="S60" s="609" t="n">
        <f aca="false">+'[6]BT 6HO'!N17</f>
        <v>45631</v>
      </c>
      <c r="T60" s="607" t="n">
        <f aca="false">+ROUND($H60*T$57,)</f>
        <v>75318375</v>
      </c>
      <c r="U60" s="609" t="n">
        <f aca="false">+'[6]BT 6HO'!O17</f>
        <v>45631</v>
      </c>
      <c r="V60" s="607" t="n">
        <f aca="false">+'[6]BT 6HO'!R17+'[6]BT 6HO'!R18</f>
        <v>15856500</v>
      </c>
      <c r="W60" s="607" t="n">
        <f aca="false">+T60-V60</f>
        <v>59461875</v>
      </c>
      <c r="X60" s="607"/>
      <c r="Y60" s="607" t="n">
        <f aca="false">+ROUND($H60*Y$57,)</f>
        <v>60254700</v>
      </c>
      <c r="Z60" s="607"/>
      <c r="AA60" s="607"/>
      <c r="AB60" s="607" t="n">
        <f aca="false">+Y60-AA60</f>
        <v>60254700</v>
      </c>
      <c r="AC60" s="607"/>
      <c r="AD60" s="607" t="n">
        <f aca="false">+ROUND(D60*G60*1.1-Y60-T60-K60,)</f>
        <v>30920175</v>
      </c>
      <c r="AE60" s="607"/>
      <c r="AF60" s="607"/>
      <c r="AG60" s="607" t="n">
        <f aca="false">+AD60-AF60</f>
        <v>30920175</v>
      </c>
      <c r="AH60" s="607"/>
      <c r="AI60" s="607"/>
      <c r="AJ60" s="607"/>
      <c r="AK60" s="607"/>
      <c r="AL60" s="607"/>
      <c r="AM60" s="607"/>
      <c r="AN60" s="607"/>
      <c r="AO60" s="607"/>
      <c r="AP60" s="607"/>
      <c r="AQ60" s="607"/>
      <c r="AR60" s="607"/>
      <c r="AS60" s="607"/>
      <c r="AT60" s="607"/>
      <c r="AU60" s="607"/>
      <c r="AV60" s="607"/>
      <c r="AW60" s="607"/>
      <c r="AX60" s="607" t="n">
        <f aca="false">+ROUND($H60*AX$57,)</f>
        <v>0</v>
      </c>
      <c r="AY60" s="607"/>
      <c r="AZ60" s="607"/>
      <c r="BA60" s="607" t="n">
        <f aca="false">+AX60-AZ60</f>
        <v>0</v>
      </c>
      <c r="BB60" s="610"/>
      <c r="BC60" s="610" t="n">
        <f aca="false">T60+Y60+AD60+AX60+K60=D60*G60*1.1</f>
        <v>1</v>
      </c>
      <c r="BD60" s="610"/>
      <c r="BE60" s="610"/>
      <c r="BF60" s="610"/>
      <c r="BG60" s="610"/>
      <c r="BH60" s="610"/>
      <c r="BI60" s="610"/>
      <c r="BJ60" s="610"/>
      <c r="BK60" s="610"/>
      <c r="BL60" s="610"/>
      <c r="BM60" s="610"/>
      <c r="BN60" s="610"/>
      <c r="BO60" s="610"/>
      <c r="BP60" s="610"/>
    </row>
    <row r="61" s="604" customFormat="true" ht="12.75" hidden="false" customHeight="false" outlineLevel="0" collapsed="false">
      <c r="B61" s="594"/>
      <c r="C61" s="605" t="s">
        <v>462</v>
      </c>
      <c r="D61" s="605" t="n">
        <f aca="false">+'[6]BT 6HO'!D21</f>
        <v>138.43</v>
      </c>
      <c r="E61" s="605"/>
      <c r="F61" s="606" t="n">
        <v>950000</v>
      </c>
      <c r="G61" s="606" t="n">
        <v>1050000</v>
      </c>
      <c r="H61" s="607" t="n">
        <f aca="false">+F61*D61*1.1</f>
        <v>144659350</v>
      </c>
      <c r="I61" s="607" t="n">
        <f aca="false">+V61+AA61+AF61+AZ61</f>
        <v>15227300</v>
      </c>
      <c r="J61" s="607" t="n">
        <f aca="false">+I61</f>
        <v>15227300</v>
      </c>
      <c r="K61" s="607" t="n">
        <f aca="false">+SUM(L61:O61)</f>
        <v>0</v>
      </c>
      <c r="L61" s="607"/>
      <c r="M61" s="607"/>
      <c r="N61" s="607"/>
      <c r="O61" s="607"/>
      <c r="P61" s="608"/>
      <c r="Q61" s="607"/>
      <c r="R61" s="607" t="n">
        <f aca="false">+K61-Q61</f>
        <v>0</v>
      </c>
      <c r="S61" s="609" t="n">
        <f aca="false">+'[6]BT 6HO'!N22</f>
        <v>45631</v>
      </c>
      <c r="T61" s="607" t="n">
        <f aca="false">+ROUND($H61*T$57,)</f>
        <v>72329675</v>
      </c>
      <c r="U61" s="609" t="n">
        <f aca="false">+'[6]BT 6HO'!O22</f>
        <v>45631</v>
      </c>
      <c r="V61" s="607" t="n">
        <f aca="false">+'[6]BT 6HO'!R22+'[6]BT 6HO'!R23</f>
        <v>15227300</v>
      </c>
      <c r="W61" s="607" t="n">
        <f aca="false">+T61-V61</f>
        <v>57102375</v>
      </c>
      <c r="X61" s="607"/>
      <c r="Y61" s="607" t="n">
        <f aca="false">+ROUND($H61*Y$57,)</f>
        <v>57863740</v>
      </c>
      <c r="Z61" s="607"/>
      <c r="AA61" s="607"/>
      <c r="AB61" s="607" t="n">
        <f aca="false">+Y61-AA61</f>
        <v>57863740</v>
      </c>
      <c r="AC61" s="607"/>
      <c r="AD61" s="607" t="n">
        <f aca="false">+ROUND(D61*G61*1.1-Y61-T61-K61,)</f>
        <v>29693235</v>
      </c>
      <c r="AE61" s="607"/>
      <c r="AF61" s="607"/>
      <c r="AG61" s="607" t="n">
        <f aca="false">+AD61-AF61</f>
        <v>29693235</v>
      </c>
      <c r="AH61" s="607"/>
      <c r="AI61" s="607"/>
      <c r="AJ61" s="607"/>
      <c r="AK61" s="607"/>
      <c r="AL61" s="607"/>
      <c r="AM61" s="607"/>
      <c r="AN61" s="607"/>
      <c r="AO61" s="607"/>
      <c r="AP61" s="607"/>
      <c r="AQ61" s="607"/>
      <c r="AR61" s="607"/>
      <c r="AS61" s="607"/>
      <c r="AT61" s="607"/>
      <c r="AU61" s="607"/>
      <c r="AV61" s="607"/>
      <c r="AW61" s="607"/>
      <c r="AX61" s="607" t="n">
        <f aca="false">+ROUND($H61*AX$57,)</f>
        <v>0</v>
      </c>
      <c r="AY61" s="607"/>
      <c r="AZ61" s="607"/>
      <c r="BA61" s="607" t="n">
        <f aca="false">+AX61-AZ61</f>
        <v>0</v>
      </c>
      <c r="BB61" s="610"/>
      <c r="BC61" s="610" t="n">
        <f aca="false">T61+Y61+AD61+AX61+K61=D61*G61*1.1</f>
        <v>1</v>
      </c>
      <c r="BD61" s="610"/>
      <c r="BE61" s="610"/>
      <c r="BF61" s="610"/>
      <c r="BG61" s="610"/>
      <c r="BH61" s="610"/>
      <c r="BI61" s="610"/>
      <c r="BJ61" s="610"/>
      <c r="BK61" s="610"/>
      <c r="BL61" s="610"/>
      <c r="BM61" s="610"/>
      <c r="BN61" s="610"/>
      <c r="BO61" s="610"/>
      <c r="BP61" s="610"/>
    </row>
    <row r="62" customFormat="false" ht="12.75" hidden="false" customHeight="false" outlineLevel="0" collapsed="false">
      <c r="B62" s="594"/>
      <c r="C62" s="596" t="s">
        <v>463</v>
      </c>
      <c r="D62" s="596" t="n">
        <f aca="false">+'[6]BT 6HO'!D26</f>
        <v>2444.8</v>
      </c>
      <c r="E62" s="596"/>
      <c r="F62" s="597" t="n">
        <v>950000</v>
      </c>
      <c r="G62" s="597" t="n">
        <v>1050000</v>
      </c>
      <c r="H62" s="389" t="n">
        <f aca="false">+F62*D62*1.1</f>
        <v>2554816000</v>
      </c>
      <c r="I62" s="389" t="n">
        <f aca="false">+V62+AA62+AF62+AZ62</f>
        <v>0</v>
      </c>
      <c r="J62" s="389"/>
      <c r="K62" s="389" t="n">
        <f aca="false">+SUM(L62:O62)</f>
        <v>0</v>
      </c>
      <c r="L62" s="389"/>
      <c r="M62" s="389"/>
      <c r="N62" s="389"/>
      <c r="O62" s="389"/>
      <c r="P62" s="599"/>
      <c r="Q62" s="389"/>
      <c r="R62" s="389" t="n">
        <f aca="false">+K62-Q62</f>
        <v>0</v>
      </c>
      <c r="S62" s="598"/>
      <c r="T62" s="389" t="n">
        <f aca="false">+ROUND($H62*T$57,)</f>
        <v>1277408000</v>
      </c>
      <c r="U62" s="598"/>
      <c r="V62" s="389"/>
      <c r="W62" s="389" t="n">
        <f aca="false">+T62-V62</f>
        <v>1277408000</v>
      </c>
      <c r="X62" s="389"/>
      <c r="Y62" s="389" t="n">
        <f aca="false">+ROUND($H62*Y$57,)</f>
        <v>1021926400</v>
      </c>
      <c r="Z62" s="389"/>
      <c r="AA62" s="389"/>
      <c r="AB62" s="389" t="n">
        <f aca="false">+Y62-AA62</f>
        <v>1021926400</v>
      </c>
      <c r="AC62" s="389"/>
      <c r="AD62" s="389" t="n">
        <f aca="false">+ROUND(D62*G62*1.1-Y62-T62-K62,)</f>
        <v>524409600</v>
      </c>
      <c r="AE62" s="389"/>
      <c r="AF62" s="389"/>
      <c r="AG62" s="389" t="n">
        <f aca="false">+AD62-AF62</f>
        <v>524409600</v>
      </c>
      <c r="AH62" s="389"/>
      <c r="AI62" s="389"/>
      <c r="AJ62" s="389"/>
      <c r="AK62" s="389"/>
      <c r="AL62" s="389"/>
      <c r="AM62" s="389"/>
      <c r="AN62" s="389"/>
      <c r="AO62" s="389"/>
      <c r="AP62" s="389"/>
      <c r="AQ62" s="389"/>
      <c r="AR62" s="389"/>
      <c r="AS62" s="389"/>
      <c r="AT62" s="389"/>
      <c r="AU62" s="389"/>
      <c r="AV62" s="389"/>
      <c r="AW62" s="389"/>
      <c r="AX62" s="389" t="n">
        <f aca="false">+ROUND($H62*AX$57,)</f>
        <v>0</v>
      </c>
      <c r="AY62" s="389"/>
      <c r="AZ62" s="389"/>
      <c r="BA62" s="389" t="n">
        <f aca="false">+AX62-AZ62</f>
        <v>0</v>
      </c>
      <c r="BC62" s="323" t="n">
        <f aca="false">T62+Y62+AD62+AX62+K62=D62*G62*1.1</f>
        <v>1</v>
      </c>
    </row>
    <row r="63" customFormat="false" ht="12.75" hidden="false" customHeight="false" outlineLevel="0" collapsed="false">
      <c r="B63" s="594"/>
      <c r="C63" s="596" t="n">
        <f aca="false">+'[6]BT 2HO'!C85</f>
        <v>0</v>
      </c>
      <c r="D63" s="596" t="n">
        <f aca="false">+'[6]BT 2HO'!D85</f>
        <v>0</v>
      </c>
      <c r="E63" s="596"/>
      <c r="F63" s="597" t="n">
        <v>950000</v>
      </c>
      <c r="G63" s="597" t="n">
        <v>1050000</v>
      </c>
      <c r="H63" s="389" t="n">
        <f aca="false">+F63*D63*1.1</f>
        <v>0</v>
      </c>
      <c r="I63" s="389" t="n">
        <f aca="false">+V63+AA63+AF63+AZ63</f>
        <v>0</v>
      </c>
      <c r="J63" s="389"/>
      <c r="K63" s="389" t="n">
        <f aca="false">+SUM(L63:O63)</f>
        <v>0</v>
      </c>
      <c r="L63" s="389"/>
      <c r="M63" s="389"/>
      <c r="N63" s="389"/>
      <c r="O63" s="389"/>
      <c r="P63" s="599"/>
      <c r="Q63" s="389"/>
      <c r="R63" s="389" t="n">
        <f aca="false">+K63-Q63</f>
        <v>0</v>
      </c>
      <c r="S63" s="598"/>
      <c r="T63" s="389" t="n">
        <f aca="false">+ROUND($H63*T$57,)</f>
        <v>0</v>
      </c>
      <c r="U63" s="598"/>
      <c r="V63" s="389"/>
      <c r="W63" s="389" t="n">
        <f aca="false">+T63-V63</f>
        <v>0</v>
      </c>
      <c r="X63" s="389"/>
      <c r="Y63" s="389" t="n">
        <f aca="false">+ROUND($H63*Y$57,)</f>
        <v>0</v>
      </c>
      <c r="Z63" s="389"/>
      <c r="AA63" s="389"/>
      <c r="AB63" s="389" t="n">
        <f aca="false">+Y63-AA63</f>
        <v>0</v>
      </c>
      <c r="AC63" s="389"/>
      <c r="AD63" s="389" t="n">
        <f aca="false">+ROUND(D63*G63*1.1-Y63-T63-K63,)</f>
        <v>0</v>
      </c>
      <c r="AE63" s="389"/>
      <c r="AF63" s="389"/>
      <c r="AG63" s="389" t="n">
        <f aca="false">+AD63-AF63</f>
        <v>0</v>
      </c>
      <c r="AH63" s="389"/>
      <c r="AI63" s="389"/>
      <c r="AJ63" s="389"/>
      <c r="AK63" s="389"/>
      <c r="AL63" s="389"/>
      <c r="AM63" s="389"/>
      <c r="AN63" s="389"/>
      <c r="AO63" s="389"/>
      <c r="AP63" s="389"/>
      <c r="AQ63" s="389"/>
      <c r="AR63" s="389"/>
      <c r="AS63" s="389"/>
      <c r="AT63" s="389"/>
      <c r="AU63" s="389"/>
      <c r="AV63" s="389"/>
      <c r="AW63" s="389"/>
      <c r="AX63" s="389" t="n">
        <f aca="false">+ROUND($H63*AX$57,)</f>
        <v>0</v>
      </c>
      <c r="AY63" s="389"/>
      <c r="AZ63" s="389"/>
      <c r="BA63" s="389" t="n">
        <f aca="false">+AX63-AZ63</f>
        <v>0</v>
      </c>
      <c r="BC63" s="323" t="n">
        <f aca="false">T63+Y63+AD63+AX63+K63=D63*G63*1.1</f>
        <v>1</v>
      </c>
    </row>
    <row r="64" customFormat="false" ht="12.75" hidden="false" customHeight="false" outlineLevel="0" collapsed="false">
      <c r="B64" s="594"/>
      <c r="C64" s="596" t="n">
        <f aca="false">+'[6]BT 2HO'!C90</f>
        <v>0</v>
      </c>
      <c r="D64" s="596" t="n">
        <f aca="false">+'[6]BT 2HO'!D90</f>
        <v>0</v>
      </c>
      <c r="E64" s="596"/>
      <c r="F64" s="597" t="n">
        <v>950000</v>
      </c>
      <c r="G64" s="597" t="n">
        <v>1050000</v>
      </c>
      <c r="H64" s="389" t="n">
        <f aca="false">+F64*D64*1.1</f>
        <v>0</v>
      </c>
      <c r="I64" s="389" t="n">
        <f aca="false">+V64+AA64+AF64+AZ64</f>
        <v>0</v>
      </c>
      <c r="J64" s="389"/>
      <c r="K64" s="389" t="n">
        <f aca="false">+SUM(L64:O64)</f>
        <v>0</v>
      </c>
      <c r="L64" s="389"/>
      <c r="M64" s="389"/>
      <c r="N64" s="389"/>
      <c r="O64" s="389"/>
      <c r="P64" s="599"/>
      <c r="Q64" s="389"/>
      <c r="R64" s="389" t="n">
        <f aca="false">+K64-Q64</f>
        <v>0</v>
      </c>
      <c r="S64" s="598"/>
      <c r="T64" s="389" t="n">
        <f aca="false">+ROUND($H64*T$57,)</f>
        <v>0</v>
      </c>
      <c r="U64" s="598"/>
      <c r="V64" s="389"/>
      <c r="W64" s="389" t="n">
        <f aca="false">+T64-V64</f>
        <v>0</v>
      </c>
      <c r="X64" s="389"/>
      <c r="Y64" s="389" t="n">
        <f aca="false">+ROUND($H64*Y$57,)</f>
        <v>0</v>
      </c>
      <c r="Z64" s="389"/>
      <c r="AA64" s="389"/>
      <c r="AB64" s="389" t="n">
        <f aca="false">+Y64-AA64</f>
        <v>0</v>
      </c>
      <c r="AC64" s="389"/>
      <c r="AD64" s="389" t="n">
        <f aca="false">+ROUND(D64*G64*1.1-Y64-T64-K64,)</f>
        <v>0</v>
      </c>
      <c r="AE64" s="389"/>
      <c r="AF64" s="389"/>
      <c r="AG64" s="389" t="n">
        <f aca="false">+AD64-AF64</f>
        <v>0</v>
      </c>
      <c r="AH64" s="389"/>
      <c r="AI64" s="389"/>
      <c r="AJ64" s="389"/>
      <c r="AK64" s="389"/>
      <c r="AL64" s="389"/>
      <c r="AM64" s="389"/>
      <c r="AN64" s="389"/>
      <c r="AO64" s="389"/>
      <c r="AP64" s="389"/>
      <c r="AQ64" s="389"/>
      <c r="AR64" s="389"/>
      <c r="AS64" s="389"/>
      <c r="AT64" s="389"/>
      <c r="AU64" s="389"/>
      <c r="AV64" s="389"/>
      <c r="AW64" s="389"/>
      <c r="AX64" s="389" t="n">
        <f aca="false">+ROUND($H64*AX$57,)</f>
        <v>0</v>
      </c>
      <c r="AY64" s="389"/>
      <c r="AZ64" s="389"/>
      <c r="BA64" s="389" t="n">
        <f aca="false">+AX64-AZ64</f>
        <v>0</v>
      </c>
      <c r="BC64" s="323" t="n">
        <f aca="false">T64+Y64+AD64+AX64+K64=D64*G64*1.1</f>
        <v>1</v>
      </c>
    </row>
    <row r="65" customFormat="false" ht="12.75" hidden="false" customHeight="false" outlineLevel="0" collapsed="false">
      <c r="B65" s="594"/>
      <c r="C65" s="596" t="n">
        <f aca="false">+'[6]BT 2HO'!C95</f>
        <v>0</v>
      </c>
      <c r="D65" s="596" t="n">
        <f aca="false">+'[6]BT 2HO'!D95</f>
        <v>0</v>
      </c>
      <c r="E65" s="596"/>
      <c r="F65" s="597" t="n">
        <v>950000</v>
      </c>
      <c r="G65" s="597" t="n">
        <v>1050000</v>
      </c>
      <c r="H65" s="389" t="n">
        <f aca="false">+F65*D65*1.1</f>
        <v>0</v>
      </c>
      <c r="I65" s="389" t="n">
        <f aca="false">+V65+AA65+AF65+AZ65</f>
        <v>0</v>
      </c>
      <c r="J65" s="389"/>
      <c r="K65" s="389" t="n">
        <f aca="false">+SUM(L65:O65)</f>
        <v>0</v>
      </c>
      <c r="L65" s="389"/>
      <c r="M65" s="389"/>
      <c r="N65" s="389"/>
      <c r="O65" s="389"/>
      <c r="P65" s="599"/>
      <c r="Q65" s="389"/>
      <c r="R65" s="389" t="n">
        <f aca="false">+K65-Q65</f>
        <v>0</v>
      </c>
      <c r="S65" s="598"/>
      <c r="T65" s="389" t="n">
        <f aca="false">+ROUND($H65*T$57,)</f>
        <v>0</v>
      </c>
      <c r="U65" s="598"/>
      <c r="V65" s="389"/>
      <c r="W65" s="389" t="n">
        <f aca="false">+T65-V65</f>
        <v>0</v>
      </c>
      <c r="X65" s="389"/>
      <c r="Y65" s="389" t="n">
        <f aca="false">+ROUND($H65*Y$57,)</f>
        <v>0</v>
      </c>
      <c r="Z65" s="389"/>
      <c r="AA65" s="389"/>
      <c r="AB65" s="389" t="n">
        <f aca="false">+Y65-AA65</f>
        <v>0</v>
      </c>
      <c r="AC65" s="389"/>
      <c r="AD65" s="389" t="n">
        <f aca="false">+ROUND(D65*G65*1.1-Y65-T65-K65,)</f>
        <v>0</v>
      </c>
      <c r="AE65" s="389"/>
      <c r="AF65" s="389"/>
      <c r="AG65" s="389" t="n">
        <f aca="false">+AD65-AF65</f>
        <v>0</v>
      </c>
      <c r="AH65" s="389"/>
      <c r="AI65" s="389"/>
      <c r="AJ65" s="389"/>
      <c r="AK65" s="389"/>
      <c r="AL65" s="389"/>
      <c r="AM65" s="389"/>
      <c r="AN65" s="389"/>
      <c r="AO65" s="389"/>
      <c r="AP65" s="389"/>
      <c r="AQ65" s="389"/>
      <c r="AR65" s="389"/>
      <c r="AS65" s="389"/>
      <c r="AT65" s="389"/>
      <c r="AU65" s="389"/>
      <c r="AV65" s="389"/>
      <c r="AW65" s="389"/>
      <c r="AX65" s="389" t="n">
        <f aca="false">+ROUND($H65*AX$57,)</f>
        <v>0</v>
      </c>
      <c r="AY65" s="389"/>
      <c r="AZ65" s="389"/>
      <c r="BA65" s="389" t="n">
        <f aca="false">+AX65-AZ65</f>
        <v>0</v>
      </c>
      <c r="BC65" s="323" t="n">
        <f aca="false">T65+Y65+AD65+AX65+K65=D65*G65*1.1</f>
        <v>1</v>
      </c>
    </row>
    <row r="66" customFormat="false" ht="12.75" hidden="false" customHeight="false" outlineLevel="0" collapsed="false">
      <c r="B66" s="594"/>
      <c r="C66" s="596" t="n">
        <f aca="false">+'[6]BT 2HO'!C100</f>
        <v>0</v>
      </c>
      <c r="D66" s="596" t="n">
        <f aca="false">+'[6]BT 2HO'!D100</f>
        <v>0</v>
      </c>
      <c r="E66" s="596"/>
      <c r="F66" s="597" t="n">
        <v>950000</v>
      </c>
      <c r="G66" s="597" t="n">
        <v>1050000</v>
      </c>
      <c r="H66" s="389" t="n">
        <f aca="false">+F66*D66*1.1</f>
        <v>0</v>
      </c>
      <c r="I66" s="389" t="n">
        <f aca="false">+V66+AA66+AF66+AZ66</f>
        <v>0</v>
      </c>
      <c r="J66" s="389"/>
      <c r="K66" s="389" t="n">
        <f aca="false">+SUM(L66:O66)</f>
        <v>0</v>
      </c>
      <c r="L66" s="389"/>
      <c r="M66" s="389"/>
      <c r="N66" s="389"/>
      <c r="O66" s="389"/>
      <c r="P66" s="599"/>
      <c r="Q66" s="389"/>
      <c r="R66" s="389" t="n">
        <f aca="false">+K66-Q66</f>
        <v>0</v>
      </c>
      <c r="S66" s="598"/>
      <c r="T66" s="389" t="n">
        <f aca="false">+ROUND($H66*T$57,)</f>
        <v>0</v>
      </c>
      <c r="U66" s="598"/>
      <c r="V66" s="389"/>
      <c r="W66" s="389" t="n">
        <f aca="false">+T66-V66</f>
        <v>0</v>
      </c>
      <c r="X66" s="389"/>
      <c r="Y66" s="389" t="n">
        <f aca="false">+ROUND($H66*Y$57,)</f>
        <v>0</v>
      </c>
      <c r="Z66" s="389"/>
      <c r="AA66" s="389"/>
      <c r="AB66" s="389" t="n">
        <f aca="false">+Y66-AA66</f>
        <v>0</v>
      </c>
      <c r="AC66" s="389"/>
      <c r="AD66" s="389" t="n">
        <f aca="false">+ROUND(D66*G66*1.1-Y66-T66-K66,)</f>
        <v>0</v>
      </c>
      <c r="AE66" s="389"/>
      <c r="AF66" s="389"/>
      <c r="AG66" s="389" t="n">
        <f aca="false">+AD66-AF66</f>
        <v>0</v>
      </c>
      <c r="AH66" s="389"/>
      <c r="AI66" s="389"/>
      <c r="AJ66" s="389"/>
      <c r="AK66" s="389"/>
      <c r="AL66" s="389"/>
      <c r="AM66" s="389"/>
      <c r="AN66" s="389"/>
      <c r="AO66" s="389"/>
      <c r="AP66" s="389"/>
      <c r="AQ66" s="389"/>
      <c r="AR66" s="389"/>
      <c r="AS66" s="389"/>
      <c r="AT66" s="389"/>
      <c r="AU66" s="389"/>
      <c r="AV66" s="389"/>
      <c r="AW66" s="389"/>
      <c r="AX66" s="389" t="n">
        <f aca="false">+ROUND($H66*AX$57,)</f>
        <v>0</v>
      </c>
      <c r="AY66" s="389"/>
      <c r="AZ66" s="389"/>
      <c r="BA66" s="389" t="n">
        <f aca="false">+AX66-AZ66</f>
        <v>0</v>
      </c>
      <c r="BC66" s="323" t="n">
        <f aca="false">T66+Y66+AD66+AX66+K66=D66*G66*1.1</f>
        <v>1</v>
      </c>
    </row>
    <row r="67" customFormat="false" ht="12.75" hidden="false" customHeight="false" outlineLevel="0" collapsed="false">
      <c r="B67" s="594"/>
      <c r="C67" s="596" t="n">
        <f aca="false">+'[6]BT 2HO'!C105</f>
        <v>0</v>
      </c>
      <c r="D67" s="596" t="n">
        <f aca="false">+'[6]BT 2HO'!D105</f>
        <v>0</v>
      </c>
      <c r="E67" s="596"/>
      <c r="F67" s="597" t="n">
        <v>950000</v>
      </c>
      <c r="G67" s="597" t="n">
        <v>1050000</v>
      </c>
      <c r="H67" s="389" t="n">
        <f aca="false">+F67*D67*1.1</f>
        <v>0</v>
      </c>
      <c r="I67" s="389"/>
      <c r="J67" s="389"/>
      <c r="K67" s="389" t="n">
        <f aca="false">+SUM(L67:O67)</f>
        <v>0</v>
      </c>
      <c r="L67" s="389"/>
      <c r="M67" s="389"/>
      <c r="N67" s="389"/>
      <c r="O67" s="389"/>
      <c r="P67" s="599"/>
      <c r="Q67" s="389"/>
      <c r="R67" s="389" t="n">
        <f aca="false">+K67-Q67</f>
        <v>0</v>
      </c>
      <c r="S67" s="598"/>
      <c r="T67" s="389" t="n">
        <f aca="false">+ROUND($H67*T$57,)</f>
        <v>0</v>
      </c>
      <c r="U67" s="598"/>
      <c r="V67" s="389"/>
      <c r="W67" s="389" t="n">
        <f aca="false">+T67-V67</f>
        <v>0</v>
      </c>
      <c r="X67" s="389"/>
      <c r="Y67" s="389" t="n">
        <f aca="false">+ROUND($H67*Y$57,)</f>
        <v>0</v>
      </c>
      <c r="Z67" s="389"/>
      <c r="AA67" s="389"/>
      <c r="AB67" s="389" t="n">
        <f aca="false">+Y67-AA67</f>
        <v>0</v>
      </c>
      <c r="AC67" s="389"/>
      <c r="AD67" s="389" t="n">
        <f aca="false">+ROUND(D67*G67*1.1-Y67-T67-K67,)</f>
        <v>0</v>
      </c>
      <c r="AE67" s="389"/>
      <c r="AF67" s="389"/>
      <c r="AG67" s="389" t="n">
        <f aca="false">+AD67-AF67</f>
        <v>0</v>
      </c>
      <c r="AH67" s="389"/>
      <c r="AI67" s="389"/>
      <c r="AJ67" s="389"/>
      <c r="AK67" s="389"/>
      <c r="AL67" s="389"/>
      <c r="AM67" s="389"/>
      <c r="AN67" s="389"/>
      <c r="AO67" s="389"/>
      <c r="AP67" s="389"/>
      <c r="AQ67" s="389"/>
      <c r="AR67" s="389"/>
      <c r="AS67" s="389"/>
      <c r="AT67" s="389"/>
      <c r="AU67" s="389"/>
      <c r="AV67" s="389"/>
      <c r="AW67" s="389"/>
      <c r="AX67" s="389" t="n">
        <f aca="false">+ROUND($H67*AX$57,)</f>
        <v>0</v>
      </c>
      <c r="AY67" s="389"/>
      <c r="AZ67" s="389"/>
      <c r="BA67" s="389" t="n">
        <f aca="false">+AX67-AZ67</f>
        <v>0</v>
      </c>
      <c r="BC67" s="323" t="n">
        <f aca="false">T67+Y67+AD67+AX67+K67=D67*G67*1.1</f>
        <v>1</v>
      </c>
    </row>
    <row r="68" customFormat="false" ht="12.75" hidden="false" customHeight="false" outlineLevel="0" collapsed="false">
      <c r="B68" s="594"/>
      <c r="C68" s="596" t="n">
        <f aca="false">+'[6]BT 2HO'!C110</f>
        <v>0</v>
      </c>
      <c r="D68" s="596" t="n">
        <f aca="false">+'[6]BT 2HO'!D110</f>
        <v>0</v>
      </c>
      <c r="E68" s="596"/>
      <c r="F68" s="597" t="n">
        <v>950000</v>
      </c>
      <c r="G68" s="597" t="n">
        <v>1050000</v>
      </c>
      <c r="H68" s="389" t="n">
        <f aca="false">+F68*D68*1.1</f>
        <v>0</v>
      </c>
      <c r="I68" s="389"/>
      <c r="J68" s="389"/>
      <c r="K68" s="389" t="n">
        <f aca="false">+SUM(L68:O68)</f>
        <v>0</v>
      </c>
      <c r="L68" s="389"/>
      <c r="M68" s="389"/>
      <c r="N68" s="389"/>
      <c r="O68" s="389"/>
      <c r="P68" s="599"/>
      <c r="Q68" s="389"/>
      <c r="R68" s="389" t="n">
        <f aca="false">+K68-Q68</f>
        <v>0</v>
      </c>
      <c r="S68" s="598"/>
      <c r="T68" s="389" t="n">
        <f aca="false">+ROUND($H68*T$57,)</f>
        <v>0</v>
      </c>
      <c r="U68" s="598"/>
      <c r="V68" s="389"/>
      <c r="W68" s="389" t="n">
        <f aca="false">+T68-V68</f>
        <v>0</v>
      </c>
      <c r="X68" s="389"/>
      <c r="Y68" s="389" t="n">
        <f aca="false">+ROUND($H68*Y$57,)</f>
        <v>0</v>
      </c>
      <c r="Z68" s="389"/>
      <c r="AA68" s="389"/>
      <c r="AB68" s="389" t="n">
        <f aca="false">+Y68-AA68</f>
        <v>0</v>
      </c>
      <c r="AC68" s="389"/>
      <c r="AD68" s="389" t="n">
        <f aca="false">+ROUND(D68*G68*1.1-Y68-T68-K68,)</f>
        <v>0</v>
      </c>
      <c r="AE68" s="389"/>
      <c r="AF68" s="389"/>
      <c r="AG68" s="389" t="n">
        <f aca="false">+AD68-AF68</f>
        <v>0</v>
      </c>
      <c r="AH68" s="389"/>
      <c r="AI68" s="389"/>
      <c r="AJ68" s="389"/>
      <c r="AK68" s="389"/>
      <c r="AL68" s="389"/>
      <c r="AM68" s="389"/>
      <c r="AN68" s="389"/>
      <c r="AO68" s="389"/>
      <c r="AP68" s="389"/>
      <c r="AQ68" s="389"/>
      <c r="AR68" s="389"/>
      <c r="AS68" s="389"/>
      <c r="AT68" s="389"/>
      <c r="AU68" s="389"/>
      <c r="AV68" s="389"/>
      <c r="AW68" s="389"/>
      <c r="AX68" s="389" t="n">
        <f aca="false">+ROUND($H68*AX$57,)</f>
        <v>0</v>
      </c>
      <c r="AY68" s="389"/>
      <c r="AZ68" s="389"/>
      <c r="BA68" s="389" t="n">
        <f aca="false">+AX68-AZ68</f>
        <v>0</v>
      </c>
      <c r="BC68" s="323" t="n">
        <f aca="false">T68+Y68+AD68+AX68+K68=D68*G68*1.1</f>
        <v>1</v>
      </c>
    </row>
    <row r="69" customFormat="false" ht="12.75" hidden="false" customHeight="false" outlineLevel="0" collapsed="false">
      <c r="B69" s="594"/>
      <c r="C69" s="596" t="n">
        <f aca="false">+'[6]BT 2HO'!C115</f>
        <v>0</v>
      </c>
      <c r="D69" s="596" t="n">
        <f aca="false">+'[6]BT 2HO'!D115</f>
        <v>0</v>
      </c>
      <c r="E69" s="596"/>
      <c r="F69" s="597" t="n">
        <v>950000</v>
      </c>
      <c r="G69" s="597" t="n">
        <v>1050000</v>
      </c>
      <c r="H69" s="389" t="n">
        <f aca="false">+F69*D69*1.1</f>
        <v>0</v>
      </c>
      <c r="I69" s="389"/>
      <c r="J69" s="389"/>
      <c r="K69" s="389" t="n">
        <f aca="false">+SUM(L69:O69)</f>
        <v>0</v>
      </c>
      <c r="L69" s="389"/>
      <c r="M69" s="389"/>
      <c r="N69" s="389"/>
      <c r="O69" s="389"/>
      <c r="P69" s="599"/>
      <c r="Q69" s="389"/>
      <c r="R69" s="389" t="n">
        <f aca="false">+K69-Q69</f>
        <v>0</v>
      </c>
      <c r="S69" s="598"/>
      <c r="T69" s="389" t="n">
        <f aca="false">+ROUND($H69*T$57,)</f>
        <v>0</v>
      </c>
      <c r="U69" s="598"/>
      <c r="V69" s="389"/>
      <c r="W69" s="389" t="n">
        <f aca="false">+T69-V69</f>
        <v>0</v>
      </c>
      <c r="X69" s="389"/>
      <c r="Y69" s="389" t="n">
        <f aca="false">+ROUND($H69*Y$57,)</f>
        <v>0</v>
      </c>
      <c r="Z69" s="389"/>
      <c r="AA69" s="389"/>
      <c r="AB69" s="389" t="n">
        <f aca="false">+Y69-AA69</f>
        <v>0</v>
      </c>
      <c r="AC69" s="389"/>
      <c r="AD69" s="389" t="n">
        <f aca="false">+ROUND(D69*G69*1.1-Y69-T69-K69,)</f>
        <v>0</v>
      </c>
      <c r="AE69" s="389"/>
      <c r="AF69" s="389"/>
      <c r="AG69" s="389" t="n">
        <f aca="false">+AD69-AF69</f>
        <v>0</v>
      </c>
      <c r="AH69" s="389"/>
      <c r="AI69" s="389"/>
      <c r="AJ69" s="389"/>
      <c r="AK69" s="389"/>
      <c r="AL69" s="389"/>
      <c r="AM69" s="389"/>
      <c r="AN69" s="389"/>
      <c r="AO69" s="389"/>
      <c r="AP69" s="389"/>
      <c r="AQ69" s="389"/>
      <c r="AR69" s="389"/>
      <c r="AS69" s="389"/>
      <c r="AT69" s="389"/>
      <c r="AU69" s="389"/>
      <c r="AV69" s="389"/>
      <c r="AW69" s="389"/>
      <c r="AX69" s="389" t="n">
        <f aca="false">+ROUND($H69*AX$57,)</f>
        <v>0</v>
      </c>
      <c r="AY69" s="389"/>
      <c r="AZ69" s="389"/>
      <c r="BA69" s="389" t="n">
        <f aca="false">+AX69-AZ69</f>
        <v>0</v>
      </c>
      <c r="BC69" s="323" t="n">
        <f aca="false">T69+Y69+AD69+AX69+K69=D69*G69*1.1</f>
        <v>1</v>
      </c>
    </row>
    <row r="70" customFormat="false" ht="12.75" hidden="false" customHeight="false" outlineLevel="0" collapsed="false">
      <c r="B70" s="594"/>
      <c r="C70" s="596" t="n">
        <f aca="false">+'[6]BT 2HO'!C120</f>
        <v>0</v>
      </c>
      <c r="D70" s="596" t="n">
        <f aca="false">+'[6]BT 2HO'!D120</f>
        <v>0</v>
      </c>
      <c r="E70" s="596"/>
      <c r="F70" s="597" t="n">
        <v>950000</v>
      </c>
      <c r="G70" s="597" t="n">
        <v>1050000</v>
      </c>
      <c r="H70" s="389" t="n">
        <f aca="false">+F70*D70*1.1</f>
        <v>0</v>
      </c>
      <c r="I70" s="389"/>
      <c r="J70" s="389"/>
      <c r="K70" s="389" t="n">
        <f aca="false">+SUM(L70:O70)</f>
        <v>0</v>
      </c>
      <c r="L70" s="389"/>
      <c r="M70" s="389"/>
      <c r="N70" s="389"/>
      <c r="O70" s="389"/>
      <c r="P70" s="599"/>
      <c r="Q70" s="389"/>
      <c r="R70" s="389" t="n">
        <f aca="false">+K70-Q70</f>
        <v>0</v>
      </c>
      <c r="S70" s="598"/>
      <c r="T70" s="389" t="n">
        <f aca="false">+ROUND($H70*T$57,)</f>
        <v>0</v>
      </c>
      <c r="U70" s="598"/>
      <c r="V70" s="389"/>
      <c r="W70" s="389" t="n">
        <f aca="false">+T70-V70</f>
        <v>0</v>
      </c>
      <c r="X70" s="389"/>
      <c r="Y70" s="389" t="n">
        <f aca="false">+ROUND($H70*Y$57,)</f>
        <v>0</v>
      </c>
      <c r="Z70" s="389"/>
      <c r="AA70" s="389"/>
      <c r="AB70" s="389" t="n">
        <f aca="false">+Y70-AA70</f>
        <v>0</v>
      </c>
      <c r="AC70" s="389"/>
      <c r="AD70" s="389" t="n">
        <f aca="false">+ROUND(D70*G70*1.1-Y70-T70-K70,)</f>
        <v>0</v>
      </c>
      <c r="AE70" s="389"/>
      <c r="AF70" s="389"/>
      <c r="AG70" s="389" t="n">
        <f aca="false">+AD70-AF70</f>
        <v>0</v>
      </c>
      <c r="AH70" s="389"/>
      <c r="AI70" s="389"/>
      <c r="AJ70" s="389"/>
      <c r="AK70" s="389"/>
      <c r="AL70" s="389"/>
      <c r="AM70" s="389"/>
      <c r="AN70" s="389"/>
      <c r="AO70" s="389"/>
      <c r="AP70" s="389"/>
      <c r="AQ70" s="389"/>
      <c r="AR70" s="389"/>
      <c r="AS70" s="389"/>
      <c r="AT70" s="389"/>
      <c r="AU70" s="389"/>
      <c r="AV70" s="389"/>
      <c r="AW70" s="389"/>
      <c r="AX70" s="389" t="n">
        <f aca="false">+ROUND($H70*AX$57,)</f>
        <v>0</v>
      </c>
      <c r="AY70" s="389"/>
      <c r="AZ70" s="389"/>
      <c r="BA70" s="389" t="n">
        <f aca="false">+AX70-AZ70</f>
        <v>0</v>
      </c>
      <c r="BC70" s="323" t="n">
        <f aca="false">T70+Y70+AD70+AX70+K70=D70*G70*1.1</f>
        <v>1</v>
      </c>
    </row>
    <row r="71" customFormat="false" ht="12.75" hidden="false" customHeight="false" outlineLevel="0" collapsed="false">
      <c r="B71" s="594"/>
      <c r="C71" s="596" t="n">
        <f aca="false">+'[6]BT 2HO'!C125</f>
        <v>0</v>
      </c>
      <c r="D71" s="596" t="n">
        <f aca="false">+'[6]BT 2HO'!D125</f>
        <v>0</v>
      </c>
      <c r="E71" s="596"/>
      <c r="F71" s="597" t="n">
        <v>950000</v>
      </c>
      <c r="G71" s="597" t="n">
        <v>1050000</v>
      </c>
      <c r="H71" s="389" t="n">
        <f aca="false">+F71*D71*1.1</f>
        <v>0</v>
      </c>
      <c r="I71" s="389"/>
      <c r="J71" s="389"/>
      <c r="K71" s="389" t="n">
        <f aca="false">+SUM(L71:O71)</f>
        <v>0</v>
      </c>
      <c r="L71" s="389"/>
      <c r="M71" s="389"/>
      <c r="N71" s="389"/>
      <c r="O71" s="389"/>
      <c r="P71" s="599"/>
      <c r="Q71" s="389"/>
      <c r="R71" s="389" t="n">
        <f aca="false">+K71-Q71</f>
        <v>0</v>
      </c>
      <c r="S71" s="598"/>
      <c r="T71" s="389" t="n">
        <f aca="false">+ROUND($H71*T$57,)</f>
        <v>0</v>
      </c>
      <c r="U71" s="598"/>
      <c r="V71" s="389"/>
      <c r="W71" s="389" t="n">
        <f aca="false">+T71-V71</f>
        <v>0</v>
      </c>
      <c r="X71" s="389"/>
      <c r="Y71" s="389" t="n">
        <f aca="false">+ROUND($H71*Y$57,)</f>
        <v>0</v>
      </c>
      <c r="Z71" s="389"/>
      <c r="AA71" s="389"/>
      <c r="AB71" s="389" t="n">
        <f aca="false">+Y71-AA71</f>
        <v>0</v>
      </c>
      <c r="AC71" s="389"/>
      <c r="AD71" s="389" t="n">
        <f aca="false">+ROUND(D71*G71*1.1-Y71-T71-K71,)</f>
        <v>0</v>
      </c>
      <c r="AE71" s="389"/>
      <c r="AF71" s="389"/>
      <c r="AG71" s="389" t="n">
        <f aca="false">+AD71-AF71</f>
        <v>0</v>
      </c>
      <c r="AH71" s="389"/>
      <c r="AI71" s="389"/>
      <c r="AJ71" s="389"/>
      <c r="AK71" s="389"/>
      <c r="AL71" s="389"/>
      <c r="AM71" s="389"/>
      <c r="AN71" s="389"/>
      <c r="AO71" s="389"/>
      <c r="AP71" s="389"/>
      <c r="AQ71" s="389"/>
      <c r="AR71" s="389"/>
      <c r="AS71" s="389"/>
      <c r="AT71" s="389"/>
      <c r="AU71" s="389"/>
      <c r="AV71" s="389"/>
      <c r="AW71" s="389"/>
      <c r="AX71" s="389" t="n">
        <f aca="false">+ROUND($H71*AX$57,)</f>
        <v>0</v>
      </c>
      <c r="AY71" s="389"/>
      <c r="AZ71" s="389"/>
      <c r="BA71" s="389" t="n">
        <f aca="false">+AX71-AZ71</f>
        <v>0</v>
      </c>
      <c r="BC71" s="323" t="n">
        <f aca="false">T71+Y71+AD71+AX71+K71=D71*G71*1.1</f>
        <v>1</v>
      </c>
    </row>
    <row r="72" customFormat="false" ht="12.75" hidden="false" customHeight="false" outlineLevel="0" collapsed="false">
      <c r="B72" s="594"/>
      <c r="C72" s="596" t="n">
        <f aca="false">+'[6]BT 2HO'!C130</f>
        <v>0</v>
      </c>
      <c r="D72" s="596" t="n">
        <f aca="false">+'[6]BT 2HO'!D130</f>
        <v>0</v>
      </c>
      <c r="E72" s="596"/>
      <c r="F72" s="597" t="n">
        <v>950000</v>
      </c>
      <c r="G72" s="597" t="n">
        <v>1050000</v>
      </c>
      <c r="H72" s="389" t="n">
        <f aca="false">+F72*D72*1.1</f>
        <v>0</v>
      </c>
      <c r="I72" s="389"/>
      <c r="J72" s="389"/>
      <c r="K72" s="389" t="n">
        <f aca="false">+SUM(L72:O72)</f>
        <v>0</v>
      </c>
      <c r="L72" s="389"/>
      <c r="M72" s="389"/>
      <c r="N72" s="389"/>
      <c r="O72" s="389"/>
      <c r="P72" s="599"/>
      <c r="Q72" s="389"/>
      <c r="R72" s="389" t="n">
        <f aca="false">+K72-Q72</f>
        <v>0</v>
      </c>
      <c r="S72" s="598"/>
      <c r="T72" s="389" t="n">
        <f aca="false">+ROUND($H72*T$57,)</f>
        <v>0</v>
      </c>
      <c r="U72" s="598"/>
      <c r="V72" s="389"/>
      <c r="W72" s="389" t="n">
        <f aca="false">+T72-V72</f>
        <v>0</v>
      </c>
      <c r="X72" s="389"/>
      <c r="Y72" s="389" t="n">
        <f aca="false">+ROUND($H72*Y$57,)</f>
        <v>0</v>
      </c>
      <c r="Z72" s="389"/>
      <c r="AA72" s="389"/>
      <c r="AB72" s="389" t="n">
        <f aca="false">+Y72-AA72</f>
        <v>0</v>
      </c>
      <c r="AC72" s="389"/>
      <c r="AD72" s="389" t="n">
        <f aca="false">+ROUND(D72*G72*1.1-Y72-T72-K72,)</f>
        <v>0</v>
      </c>
      <c r="AE72" s="389"/>
      <c r="AF72" s="389"/>
      <c r="AG72" s="389" t="n">
        <f aca="false">+AD72-AF72</f>
        <v>0</v>
      </c>
      <c r="AH72" s="389"/>
      <c r="AI72" s="389"/>
      <c r="AJ72" s="389"/>
      <c r="AK72" s="389"/>
      <c r="AL72" s="389"/>
      <c r="AM72" s="389"/>
      <c r="AN72" s="389"/>
      <c r="AO72" s="389"/>
      <c r="AP72" s="389"/>
      <c r="AQ72" s="389"/>
      <c r="AR72" s="389"/>
      <c r="AS72" s="389"/>
      <c r="AT72" s="389"/>
      <c r="AU72" s="389"/>
      <c r="AV72" s="389"/>
      <c r="AW72" s="389"/>
      <c r="AX72" s="389" t="n">
        <f aca="false">+ROUND($H72*AX$57,)</f>
        <v>0</v>
      </c>
      <c r="AY72" s="389"/>
      <c r="AZ72" s="389"/>
      <c r="BA72" s="389" t="n">
        <f aca="false">+AX72-AZ72</f>
        <v>0</v>
      </c>
      <c r="BC72" s="323" t="n">
        <f aca="false">T72+Y72+AD72+AX72+K72=D72*G72*1.1</f>
        <v>1</v>
      </c>
    </row>
    <row r="74" customFormat="false" ht="13.5" hidden="false" customHeight="true" outlineLevel="0" collapsed="false">
      <c r="B74" s="297" t="s">
        <v>96</v>
      </c>
      <c r="C74" s="297" t="s">
        <v>36</v>
      </c>
      <c r="D74" s="299" t="s">
        <v>123</v>
      </c>
      <c r="E74" s="601"/>
      <c r="F74" s="586" t="s">
        <v>412</v>
      </c>
      <c r="G74" s="586" t="s">
        <v>413</v>
      </c>
      <c r="H74" s="587" t="s">
        <v>109</v>
      </c>
      <c r="I74" s="588" t="s">
        <v>414</v>
      </c>
      <c r="J74" s="588" t="s">
        <v>415</v>
      </c>
      <c r="K74" s="589" t="s">
        <v>416</v>
      </c>
      <c r="L74" s="589"/>
      <c r="M74" s="589"/>
      <c r="N74" s="589"/>
      <c r="O74" s="589"/>
      <c r="P74" s="589"/>
      <c r="Q74" s="589"/>
      <c r="R74" s="589"/>
      <c r="S74" s="587" t="s">
        <v>435</v>
      </c>
      <c r="T74" s="587"/>
      <c r="U74" s="587"/>
      <c r="V74" s="587"/>
      <c r="W74" s="587"/>
      <c r="X74" s="587" t="s">
        <v>436</v>
      </c>
      <c r="Y74" s="587"/>
      <c r="Z74" s="587"/>
      <c r="AA74" s="587"/>
      <c r="AB74" s="587"/>
      <c r="AC74" s="587" t="s">
        <v>437</v>
      </c>
      <c r="AD74" s="587"/>
      <c r="AE74" s="587"/>
      <c r="AF74" s="587"/>
      <c r="AG74" s="587"/>
      <c r="AH74" s="587"/>
      <c r="AI74" s="587"/>
      <c r="AJ74" s="587"/>
      <c r="AK74" s="587"/>
      <c r="AL74" s="587"/>
      <c r="AM74" s="587"/>
      <c r="AN74" s="587"/>
      <c r="AO74" s="587"/>
      <c r="AP74" s="587"/>
      <c r="AQ74" s="587"/>
      <c r="AR74" s="587"/>
      <c r="AS74" s="587"/>
      <c r="AT74" s="587"/>
      <c r="AU74" s="587"/>
      <c r="AV74" s="587"/>
      <c r="AW74" s="587" t="s">
        <v>438</v>
      </c>
      <c r="AX74" s="587"/>
      <c r="AY74" s="587"/>
      <c r="AZ74" s="587"/>
      <c r="BA74" s="587"/>
    </row>
    <row r="75" customFormat="false" ht="13.4" hidden="false" customHeight="false" outlineLevel="0" collapsed="false">
      <c r="B75" s="297"/>
      <c r="C75" s="297"/>
      <c r="D75" s="299"/>
      <c r="E75" s="601"/>
      <c r="F75" s="586"/>
      <c r="G75" s="586"/>
      <c r="H75" s="587"/>
      <c r="I75" s="588"/>
      <c r="J75" s="588"/>
      <c r="K75" s="602" t="s">
        <v>424</v>
      </c>
      <c r="L75" s="602" t="s">
        <v>425</v>
      </c>
      <c r="M75" s="602" t="s">
        <v>426</v>
      </c>
      <c r="N75" s="602" t="s">
        <v>427</v>
      </c>
      <c r="O75" s="602" t="s">
        <v>428</v>
      </c>
      <c r="P75" s="603" t="s">
        <v>429</v>
      </c>
      <c r="Q75" s="602" t="s">
        <v>430</v>
      </c>
      <c r="R75" s="602" t="s">
        <v>431</v>
      </c>
      <c r="S75" s="587" t="s">
        <v>168</v>
      </c>
      <c r="T75" s="592" t="n">
        <v>0.5</v>
      </c>
      <c r="U75" s="587" t="s">
        <v>168</v>
      </c>
      <c r="V75" s="593" t="s">
        <v>432</v>
      </c>
      <c r="W75" s="593" t="s">
        <v>433</v>
      </c>
      <c r="X75" s="587" t="s">
        <v>168</v>
      </c>
      <c r="Y75" s="592" t="n">
        <v>0.4</v>
      </c>
      <c r="Z75" s="587" t="s">
        <v>168</v>
      </c>
      <c r="AA75" s="593" t="s">
        <v>432</v>
      </c>
      <c r="AB75" s="593" t="s">
        <v>433</v>
      </c>
      <c r="AC75" s="587" t="s">
        <v>168</v>
      </c>
      <c r="AD75" s="592" t="n">
        <v>0.1</v>
      </c>
      <c r="AE75" s="587" t="s">
        <v>168</v>
      </c>
      <c r="AF75" s="593" t="s">
        <v>432</v>
      </c>
      <c r="AG75" s="593" t="s">
        <v>433</v>
      </c>
      <c r="AH75" s="593"/>
      <c r="AI75" s="593"/>
      <c r="AJ75" s="593"/>
      <c r="AK75" s="593"/>
      <c r="AL75" s="593"/>
      <c r="AM75" s="593"/>
      <c r="AN75" s="593"/>
      <c r="AO75" s="593"/>
      <c r="AP75" s="593"/>
      <c r="AQ75" s="593"/>
      <c r="AR75" s="593"/>
      <c r="AS75" s="593"/>
      <c r="AT75" s="593"/>
      <c r="AU75" s="593"/>
      <c r="AV75" s="593"/>
      <c r="AW75" s="587" t="s">
        <v>168</v>
      </c>
      <c r="AX75" s="592" t="n">
        <v>0</v>
      </c>
      <c r="AY75" s="587" t="s">
        <v>168</v>
      </c>
      <c r="AZ75" s="593" t="s">
        <v>432</v>
      </c>
      <c r="BA75" s="593" t="s">
        <v>433</v>
      </c>
    </row>
    <row r="76" customFormat="false" ht="12.75" hidden="false" customHeight="false" outlineLevel="0" collapsed="false">
      <c r="B76" s="594" t="s">
        <v>464</v>
      </c>
      <c r="C76" s="595"/>
      <c r="D76" s="596" t="n">
        <f aca="false">+SUM(D77:D90)</f>
        <v>1609.38</v>
      </c>
      <c r="E76" s="596"/>
      <c r="F76" s="597" t="n">
        <v>950000</v>
      </c>
      <c r="G76" s="597" t="n">
        <v>1050000</v>
      </c>
      <c r="H76" s="389" t="n">
        <f aca="false">+SUM(H77:H90)</f>
        <v>1681802100</v>
      </c>
      <c r="I76" s="389" t="n">
        <f aca="false">+SUM(I77:I90)</f>
        <v>662691700</v>
      </c>
      <c r="J76" s="389" t="n">
        <f aca="false">+SUM(J77:J90)</f>
        <v>102643200</v>
      </c>
      <c r="K76" s="389" t="n">
        <f aca="false">+SUM(K77:K90)</f>
        <v>54521680</v>
      </c>
      <c r="L76" s="389" t="n">
        <f aca="false">+SUM(L77:L90)</f>
        <v>5190920</v>
      </c>
      <c r="M76" s="389" t="n">
        <f aca="false">+SUM(M77:M90)</f>
        <v>5885160</v>
      </c>
      <c r="N76" s="389" t="n">
        <f aca="false">+SUM(N77:N90)</f>
        <v>0</v>
      </c>
      <c r="O76" s="389" t="n">
        <f aca="false">+SUM(O77:O90)</f>
        <v>43445600</v>
      </c>
      <c r="P76" s="389"/>
      <c r="Q76" s="389" t="n">
        <f aca="false">+SUM(Q77:Q90)</f>
        <v>54521680</v>
      </c>
      <c r="R76" s="389" t="n">
        <f aca="false">+SUM(R77:R90)</f>
        <v>0</v>
      </c>
      <c r="S76" s="598"/>
      <c r="T76" s="389" t="n">
        <f aca="false">+SUM(T77:T90)</f>
        <v>840901050</v>
      </c>
      <c r="U76" s="598"/>
      <c r="V76" s="389" t="n">
        <f aca="false">+SUM(V77:V90)</f>
        <v>191320800</v>
      </c>
      <c r="W76" s="389" t="n">
        <f aca="false">+SUM(W77:W90)</f>
        <v>649580250</v>
      </c>
      <c r="X76" s="598"/>
      <c r="Y76" s="389" t="n">
        <f aca="false">+SUM(Y77:Y90)</f>
        <v>672720840</v>
      </c>
      <c r="Z76" s="598"/>
      <c r="AA76" s="389"/>
      <c r="AB76" s="389" t="n">
        <f aca="false">+SUM(AB77:AB90)</f>
        <v>481320840</v>
      </c>
      <c r="AC76" s="598"/>
      <c r="AD76" s="389" t="n">
        <f aca="false">+SUM(AD77:AD90)</f>
        <v>290690330</v>
      </c>
      <c r="AE76" s="598"/>
      <c r="AF76" s="389"/>
      <c r="AG76" s="389" t="n">
        <f aca="false">+SUM(AG77:AG90)</f>
        <v>10719430</v>
      </c>
      <c r="AH76" s="389"/>
      <c r="AI76" s="389"/>
      <c r="AJ76" s="389"/>
      <c r="AK76" s="389"/>
      <c r="AL76" s="389"/>
      <c r="AM76" s="389"/>
      <c r="AN76" s="389"/>
      <c r="AO76" s="389"/>
      <c r="AP76" s="389"/>
      <c r="AQ76" s="389"/>
      <c r="AR76" s="389"/>
      <c r="AS76" s="389"/>
      <c r="AT76" s="389"/>
      <c r="AU76" s="389"/>
      <c r="AV76" s="389"/>
      <c r="AW76" s="598"/>
      <c r="AX76" s="389" t="n">
        <f aca="false">+SUM(AX77:AX90)</f>
        <v>0</v>
      </c>
      <c r="AY76" s="598"/>
      <c r="AZ76" s="389"/>
      <c r="BA76" s="389" t="n">
        <f aca="false">+SUM(BA77:BA90)</f>
        <v>0</v>
      </c>
      <c r="BC76" s="323" t="n">
        <f aca="false">T76+Y76+AD76+AX76+K76=D76*G76*1.1</f>
        <v>1</v>
      </c>
    </row>
    <row r="77" s="604" customFormat="true" ht="12.75" hidden="false" customHeight="false" outlineLevel="0" collapsed="false">
      <c r="B77" s="594"/>
      <c r="C77" s="605" t="s">
        <v>465</v>
      </c>
      <c r="D77" s="605" t="n">
        <v>225.78</v>
      </c>
      <c r="E77" s="605"/>
      <c r="F77" s="606" t="n">
        <v>950000</v>
      </c>
      <c r="G77" s="606" t="n">
        <v>1050000</v>
      </c>
      <c r="H77" s="607" t="n">
        <f aca="false">+F77*D77*1.1</f>
        <v>235940100</v>
      </c>
      <c r="I77" s="607" t="n">
        <f aca="false">+V77+AA77+AF77+AZ77</f>
        <v>158004000</v>
      </c>
      <c r="J77" s="607"/>
      <c r="K77" s="607" t="n">
        <f aca="false">+SUM(L77:O77)</f>
        <v>34643780</v>
      </c>
      <c r="L77" s="607" t="n">
        <v>2824780</v>
      </c>
      <c r="M77" s="607" t="n">
        <v>2999000</v>
      </c>
      <c r="N77" s="607"/>
      <c r="O77" s="607" t="n">
        <v>28820000</v>
      </c>
      <c r="P77" s="608" t="n">
        <v>46001</v>
      </c>
      <c r="Q77" s="607" t="n">
        <v>34643780</v>
      </c>
      <c r="R77" s="607" t="n">
        <f aca="false">+K77-Q77</f>
        <v>0</v>
      </c>
      <c r="S77" s="609" t="n">
        <f aca="false">+'[6]BT 7HO'!N12</f>
        <v>45650</v>
      </c>
      <c r="T77" s="607" t="n">
        <f aca="false">+ROUND($H77*T$75,)</f>
        <v>117970050</v>
      </c>
      <c r="U77" s="609" t="n">
        <f aca="false">+'[6]BT 7HO'!O12</f>
        <v>45650</v>
      </c>
      <c r="V77" s="607" t="n">
        <f aca="false">+'[6]BT 7HO'!R12+'[6]BT 7HO'!R13</f>
        <v>35112000</v>
      </c>
      <c r="W77" s="607" t="n">
        <f aca="false">+T77-V77</f>
        <v>82858050</v>
      </c>
      <c r="X77" s="609" t="n">
        <f aca="false">+'[6]BT 7HO'!U12</f>
        <v>45737</v>
      </c>
      <c r="Y77" s="607" t="n">
        <f aca="false">+ROUND($H77*Y$75,)</f>
        <v>94376040</v>
      </c>
      <c r="Z77" s="609" t="n">
        <f aca="false">+'[6]BT 7HO'!V12</f>
        <v>45737</v>
      </c>
      <c r="AA77" s="607" t="n">
        <f aca="false">+'[6]BT 7HO'!Y12+'[6]BT 7HO'!Y13</f>
        <v>35112000</v>
      </c>
      <c r="AB77" s="607" t="n">
        <f aca="false">+Y77-AA77</f>
        <v>59264040</v>
      </c>
      <c r="AC77" s="609" t="n">
        <f aca="false">+'[6]BT 7HO'!AB12</f>
        <v>45791</v>
      </c>
      <c r="AD77" s="607" t="n">
        <f aca="false">+ROUND(D77*G77*1.1-Y77-T77-K77,)</f>
        <v>13786030</v>
      </c>
      <c r="AE77" s="609" t="n">
        <f aca="false">+'[6]BT 7HO'!AC12</f>
        <v>45791</v>
      </c>
      <c r="AF77" s="607" t="n">
        <f aca="false">+'[6]BT 7HO'!AF12+'[6]BT 7HO'!AF13</f>
        <v>87780000</v>
      </c>
      <c r="AG77" s="607" t="n">
        <f aca="false">+AD77-AF77</f>
        <v>-73993970</v>
      </c>
      <c r="AH77" s="607"/>
      <c r="AI77" s="607"/>
      <c r="AJ77" s="607"/>
      <c r="AK77" s="607"/>
      <c r="AL77" s="607"/>
      <c r="AM77" s="607"/>
      <c r="AN77" s="607"/>
      <c r="AO77" s="607"/>
      <c r="AP77" s="607"/>
      <c r="AQ77" s="607"/>
      <c r="AR77" s="607"/>
      <c r="AS77" s="607"/>
      <c r="AT77" s="607"/>
      <c r="AU77" s="607"/>
      <c r="AV77" s="607"/>
      <c r="AW77" s="609"/>
      <c r="AX77" s="607" t="n">
        <f aca="false">+ROUND($H77*AX$75,)</f>
        <v>0</v>
      </c>
      <c r="AY77" s="609"/>
      <c r="AZ77" s="607"/>
      <c r="BA77" s="607" t="n">
        <f aca="false">+AX77-AZ77</f>
        <v>0</v>
      </c>
      <c r="BB77" s="610"/>
      <c r="BC77" s="610" t="n">
        <f aca="false">T77+Y77+AD77+AX77+K77=D77*G77*1.1</f>
        <v>1</v>
      </c>
      <c r="BD77" s="610"/>
      <c r="BE77" s="610"/>
      <c r="BF77" s="610"/>
      <c r="BG77" s="610"/>
      <c r="BH77" s="610"/>
      <c r="BI77" s="610"/>
      <c r="BJ77" s="610"/>
      <c r="BK77" s="610"/>
      <c r="BL77" s="610"/>
      <c r="BM77" s="610"/>
      <c r="BN77" s="610"/>
      <c r="BO77" s="610"/>
      <c r="BP77" s="610"/>
    </row>
    <row r="78" customFormat="false" ht="12.75" hidden="false" customHeight="false" outlineLevel="0" collapsed="false">
      <c r="B78" s="594"/>
      <c r="C78" s="596" t="s">
        <v>466</v>
      </c>
      <c r="D78" s="596" t="n">
        <v>545.46</v>
      </c>
      <c r="E78" s="596"/>
      <c r="F78" s="597" t="n">
        <v>950000</v>
      </c>
      <c r="G78" s="597" t="n">
        <v>1050000</v>
      </c>
      <c r="H78" s="389" t="n">
        <f aca="false">+F78*D78*1.1</f>
        <v>570005700</v>
      </c>
      <c r="I78" s="389" t="n">
        <f aca="false">+V78+AA78+AF78+AZ78</f>
        <v>120001200</v>
      </c>
      <c r="J78" s="389"/>
      <c r="K78" s="389" t="n">
        <f aca="false">+SUM(L78:O78)</f>
        <v>19877900</v>
      </c>
      <c r="L78" s="389" t="n">
        <v>2366140</v>
      </c>
      <c r="M78" s="389" t="n">
        <v>2886160</v>
      </c>
      <c r="N78" s="389"/>
      <c r="O78" s="389" t="n">
        <v>14625600</v>
      </c>
      <c r="P78" s="599" t="n">
        <v>45975</v>
      </c>
      <c r="Q78" s="389" t="n">
        <v>19877900</v>
      </c>
      <c r="R78" s="389" t="n">
        <f aca="false">+K78-Q78</f>
        <v>0</v>
      </c>
      <c r="S78" s="598" t="n">
        <f aca="false">+'[6]BT 7HO'!N17</f>
        <v>45679</v>
      </c>
      <c r="T78" s="389" t="n">
        <f aca="false">+ROUND($H78*T$75,)</f>
        <v>285002850</v>
      </c>
      <c r="U78" s="598" t="n">
        <f aca="false">+'[6]BT 7HO'!O17</f>
        <v>45679</v>
      </c>
      <c r="V78" s="389" t="n">
        <f aca="false">+'[6]BT 7HO'!R17+'[6]BT 7HO'!R18</f>
        <v>60000600</v>
      </c>
      <c r="W78" s="389" t="n">
        <f aca="false">+T78-V78</f>
        <v>225002250</v>
      </c>
      <c r="X78" s="598" t="n">
        <f aca="false">+'[6]BT 7HO'!U17</f>
        <v>45791</v>
      </c>
      <c r="Y78" s="389" t="n">
        <f aca="false">+ROUND($H78*Y$75,)</f>
        <v>228002280</v>
      </c>
      <c r="Z78" s="598" t="n">
        <f aca="false">+'[6]BT 7HO'!V17</f>
        <v>45791</v>
      </c>
      <c r="AA78" s="389" t="n">
        <f aca="false">+'[6]BT 7HO'!Y17+'[6]BT 7HO'!Y18</f>
        <v>60000600</v>
      </c>
      <c r="AB78" s="389" t="n">
        <f aca="false">+Y78-AA78</f>
        <v>168001680</v>
      </c>
      <c r="AC78" s="598" t="n">
        <f aca="false">+'[6]BT 7HO'!AB17</f>
        <v>45991</v>
      </c>
      <c r="AD78" s="389" t="n">
        <f aca="false">+ROUND(D78*G78*1.1-Y78-T78-K78,)</f>
        <v>97123270</v>
      </c>
      <c r="AE78" s="598"/>
      <c r="AF78" s="389"/>
      <c r="AG78" s="389" t="n">
        <f aca="false">+AD78-AF78</f>
        <v>97123270</v>
      </c>
      <c r="AH78" s="389"/>
      <c r="AI78" s="389"/>
      <c r="AJ78" s="389"/>
      <c r="AK78" s="389"/>
      <c r="AL78" s="389"/>
      <c r="AM78" s="389"/>
      <c r="AN78" s="389"/>
      <c r="AO78" s="389"/>
      <c r="AP78" s="389"/>
      <c r="AQ78" s="389"/>
      <c r="AR78" s="389"/>
      <c r="AS78" s="389"/>
      <c r="AT78" s="389"/>
      <c r="AU78" s="389"/>
      <c r="AV78" s="389"/>
      <c r="AW78" s="598"/>
      <c r="AX78" s="389" t="n">
        <f aca="false">+ROUND($H78*AX$75,)</f>
        <v>0</v>
      </c>
      <c r="AY78" s="598"/>
      <c r="AZ78" s="389"/>
      <c r="BA78" s="389" t="n">
        <f aca="false">+AX78-AZ78</f>
        <v>0</v>
      </c>
      <c r="BC78" s="323" t="n">
        <f aca="false">T78+Y78+AD78+AX78+K78=D78*G78*1.1</f>
        <v>1</v>
      </c>
    </row>
    <row r="79" s="604" customFormat="true" ht="12.75" hidden="false" customHeight="false" outlineLevel="0" collapsed="false">
      <c r="B79" s="594"/>
      <c r="C79" s="605" t="s">
        <v>467</v>
      </c>
      <c r="D79" s="605" t="n">
        <v>207.36</v>
      </c>
      <c r="E79" s="605"/>
      <c r="F79" s="606" t="n">
        <v>950000</v>
      </c>
      <c r="G79" s="606" t="n">
        <v>1050000</v>
      </c>
      <c r="H79" s="607" t="n">
        <f aca="false">+F79*D79*1.1</f>
        <v>216691200</v>
      </c>
      <c r="I79" s="607" t="n">
        <f aca="false">+V79+AA79+AF79+AZ79</f>
        <v>102643200</v>
      </c>
      <c r="J79" s="607" t="n">
        <f aca="false">+I79</f>
        <v>102643200</v>
      </c>
      <c r="K79" s="607" t="n">
        <f aca="false">+SUM(L79:O79)</f>
        <v>0</v>
      </c>
      <c r="L79" s="607"/>
      <c r="M79" s="607"/>
      <c r="N79" s="607"/>
      <c r="O79" s="607"/>
      <c r="P79" s="608"/>
      <c r="Q79" s="607"/>
      <c r="R79" s="607" t="n">
        <f aca="false">+K79-Q79</f>
        <v>0</v>
      </c>
      <c r="S79" s="609" t="n">
        <f aca="false">+'[6]BT 7HO'!N22</f>
        <v>45808</v>
      </c>
      <c r="T79" s="607" t="n">
        <f aca="false">+ROUND($H79*T$75,)</f>
        <v>108345600</v>
      </c>
      <c r="U79" s="609" t="n">
        <f aca="false">+'[6]BT 7HO'!O22</f>
        <v>45791</v>
      </c>
      <c r="V79" s="607" t="n">
        <f aca="false">+'[6]BT 7HO'!R22+'[6]BT 7HO'!R23</f>
        <v>26822400</v>
      </c>
      <c r="W79" s="607" t="n">
        <f aca="false">+T79-V79</f>
        <v>81523200</v>
      </c>
      <c r="X79" s="609" t="n">
        <f aca="false">+'[6]BT 7HO'!U22</f>
        <v>45855</v>
      </c>
      <c r="Y79" s="607" t="n">
        <f aca="false">+ROUND($H79*Y$75,)</f>
        <v>86676480</v>
      </c>
      <c r="Z79" s="609" t="n">
        <f aca="false">+'[6]BT 7HO'!V22</f>
        <v>45867</v>
      </c>
      <c r="AA79" s="607" t="n">
        <f aca="false">+'[6]BT 7HO'!Y22+'[6]BT 7HO'!Y23</f>
        <v>26822400</v>
      </c>
      <c r="AB79" s="607" t="n">
        <f aca="false">+Y79-AA79</f>
        <v>59854080</v>
      </c>
      <c r="AC79" s="609" t="n">
        <f aca="false">+'[6]BT 7HO'!AB22</f>
        <v>45930</v>
      </c>
      <c r="AD79" s="607" t="n">
        <f aca="false">+ROUND(D79*G79*1.1-Y79-T79-K79,)</f>
        <v>44478720</v>
      </c>
      <c r="AE79" s="609" t="n">
        <f aca="false">+'[6]BT 7HO'!AC22</f>
        <v>45922</v>
      </c>
      <c r="AF79" s="607" t="n">
        <f aca="false">+'[6]BT 7HO'!AF22+'[6]BT 7HO'!AF23</f>
        <v>48998400</v>
      </c>
      <c r="AG79" s="607" t="n">
        <f aca="false">+AD79-AF79</f>
        <v>-4519680</v>
      </c>
      <c r="AH79" s="607"/>
      <c r="AI79" s="607"/>
      <c r="AJ79" s="607"/>
      <c r="AK79" s="607"/>
      <c r="AL79" s="607"/>
      <c r="AM79" s="607"/>
      <c r="AN79" s="607"/>
      <c r="AO79" s="607"/>
      <c r="AP79" s="607"/>
      <c r="AQ79" s="607"/>
      <c r="AR79" s="607"/>
      <c r="AS79" s="607"/>
      <c r="AT79" s="607"/>
      <c r="AU79" s="607"/>
      <c r="AV79" s="607"/>
      <c r="AW79" s="609"/>
      <c r="AX79" s="607" t="n">
        <f aca="false">+ROUND($H79*AX$75,)</f>
        <v>0</v>
      </c>
      <c r="AY79" s="609"/>
      <c r="AZ79" s="607"/>
      <c r="BA79" s="607" t="n">
        <f aca="false">+AX79-AZ79</f>
        <v>0</v>
      </c>
      <c r="BB79" s="610"/>
      <c r="BC79" s="610" t="n">
        <f aca="false">T79+Y79+AD79+AX79+K79=D79*G79*1.1</f>
        <v>1</v>
      </c>
      <c r="BD79" s="610"/>
      <c r="BE79" s="610"/>
      <c r="BF79" s="610"/>
      <c r="BG79" s="610"/>
      <c r="BH79" s="610"/>
      <c r="BI79" s="610"/>
      <c r="BJ79" s="610"/>
      <c r="BK79" s="610"/>
      <c r="BL79" s="610"/>
      <c r="BM79" s="610"/>
      <c r="BN79" s="610"/>
      <c r="BO79" s="610"/>
      <c r="BP79" s="610"/>
    </row>
    <row r="80" customFormat="false" ht="12.75" hidden="false" customHeight="false" outlineLevel="0" collapsed="false">
      <c r="B80" s="594"/>
      <c r="C80" s="596" t="s">
        <v>468</v>
      </c>
      <c r="D80" s="596" t="n">
        <v>210.82</v>
      </c>
      <c r="E80" s="596"/>
      <c r="F80" s="597" t="n">
        <v>950000</v>
      </c>
      <c r="G80" s="597" t="n">
        <v>1050000</v>
      </c>
      <c r="H80" s="389" t="n">
        <f aca="false">+F80*D80*1.1</f>
        <v>220306900</v>
      </c>
      <c r="I80" s="389" t="n">
        <f aca="false">+V80+AA80+AF80+AZ80</f>
        <v>104355900</v>
      </c>
      <c r="J80" s="389"/>
      <c r="K80" s="389" t="n">
        <f aca="false">+SUM(L80:O80)</f>
        <v>0</v>
      </c>
      <c r="L80" s="389"/>
      <c r="M80" s="389"/>
      <c r="N80" s="389"/>
      <c r="O80" s="389"/>
      <c r="P80" s="599"/>
      <c r="Q80" s="389"/>
      <c r="R80" s="389" t="n">
        <f aca="false">+K80-Q80</f>
        <v>0</v>
      </c>
      <c r="S80" s="598" t="n">
        <f aca="false">+'[6]BT 7HO'!N27</f>
        <v>45737</v>
      </c>
      <c r="T80" s="389" t="n">
        <f aca="false">+ROUND($H80*T$75,)</f>
        <v>110153450</v>
      </c>
      <c r="U80" s="598" t="n">
        <f aca="false">+'[6]BT 7HO'!O27</f>
        <v>45737</v>
      </c>
      <c r="V80" s="389" t="n">
        <f aca="false">+'[6]BT 7HO'!R27+'[6]BT 7HO'!R28</f>
        <v>23190200</v>
      </c>
      <c r="W80" s="389" t="n">
        <f aca="false">+T80-V80</f>
        <v>86963250</v>
      </c>
      <c r="X80" s="598" t="n">
        <f aca="false">+'[6]BT 7HO'!U27</f>
        <v>45820</v>
      </c>
      <c r="Y80" s="389" t="n">
        <f aca="false">+ROUND($H80*Y$75,)</f>
        <v>88122760</v>
      </c>
      <c r="Z80" s="598" t="n">
        <f aca="false">+'[6]BT 7HO'!V27</f>
        <v>45820</v>
      </c>
      <c r="AA80" s="389" t="n">
        <f aca="false">+'[6]BT 7HO'!Y27+'[6]BT 7HO'!Y28</f>
        <v>23190200</v>
      </c>
      <c r="AB80" s="389" t="n">
        <f aca="false">+Y80-AA80</f>
        <v>64932560</v>
      </c>
      <c r="AC80" s="598" t="n">
        <f aca="false">+'[6]BT 7HO'!AB27</f>
        <v>45900</v>
      </c>
      <c r="AD80" s="389" t="n">
        <f aca="false">+ROUND(D80*G80*1.1-Y80-T80-K80,)</f>
        <v>45220890</v>
      </c>
      <c r="AE80" s="598" t="n">
        <f aca="false">+'[6]BT 7HO'!AC27</f>
        <v>45883</v>
      </c>
      <c r="AF80" s="389" t="n">
        <f aca="false">+'[6]BT 7HO'!AF27+'[6]BT 7HO'!AF28</f>
        <v>57975500</v>
      </c>
      <c r="AG80" s="389" t="n">
        <f aca="false">+AD80-AF80</f>
        <v>-12754610</v>
      </c>
      <c r="AH80" s="389"/>
      <c r="AI80" s="389"/>
      <c r="AJ80" s="389"/>
      <c r="AK80" s="389"/>
      <c r="AL80" s="389"/>
      <c r="AM80" s="389"/>
      <c r="AN80" s="389"/>
      <c r="AO80" s="389"/>
      <c r="AP80" s="389"/>
      <c r="AQ80" s="389"/>
      <c r="AR80" s="389"/>
      <c r="AS80" s="389"/>
      <c r="AT80" s="389"/>
      <c r="AU80" s="389"/>
      <c r="AV80" s="389"/>
      <c r="AW80" s="598"/>
      <c r="AX80" s="389" t="n">
        <f aca="false">+ROUND($H80*AX$75,)</f>
        <v>0</v>
      </c>
      <c r="AY80" s="598"/>
      <c r="AZ80" s="389"/>
      <c r="BA80" s="389" t="n">
        <f aca="false">+AX80-AZ80</f>
        <v>0</v>
      </c>
      <c r="BC80" s="323" t="n">
        <f aca="false">T80+Y80+AD80+AX80+K80=D80*G80*1.1</f>
        <v>1</v>
      </c>
    </row>
    <row r="81" customFormat="false" ht="14.9" hidden="false" customHeight="false" outlineLevel="0" collapsed="false">
      <c r="B81" s="594"/>
      <c r="C81" s="596" t="s">
        <v>469</v>
      </c>
      <c r="D81" s="596" t="n">
        <v>151.13</v>
      </c>
      <c r="E81" s="596"/>
      <c r="F81" s="597" t="n">
        <v>950000</v>
      </c>
      <c r="G81" s="597" t="n">
        <v>1050000</v>
      </c>
      <c r="H81" s="389" t="n">
        <f aca="false">+F81*D81*1.1</f>
        <v>157930850</v>
      </c>
      <c r="I81" s="389" t="n">
        <f aca="false">+V81+AA81+AF81+AZ81</f>
        <v>74809350</v>
      </c>
      <c r="J81" s="389"/>
      <c r="K81" s="389" t="n">
        <f aca="false">+SUM(L81:O81)</f>
        <v>0</v>
      </c>
      <c r="L81" s="389"/>
      <c r="M81" s="389"/>
      <c r="N81" s="389"/>
      <c r="O81" s="389"/>
      <c r="P81" s="599"/>
      <c r="Q81" s="389"/>
      <c r="R81" s="389" t="n">
        <f aca="false">+K81-Q81</f>
        <v>0</v>
      </c>
      <c r="S81" s="598" t="n">
        <f aca="false">+'[6]BT 7HO'!N32</f>
        <v>45679</v>
      </c>
      <c r="T81" s="389" t="n">
        <f aca="false">+ROUND($H81*T$75,)</f>
        <v>78965425</v>
      </c>
      <c r="U81" s="598" t="n">
        <f aca="false">+'[6]BT 7HO'!O32</f>
        <v>45679</v>
      </c>
      <c r="V81" s="389" t="n">
        <f aca="false">+'[6]BT 7HO'!R32+'[6]BT 7HO'!R33</f>
        <v>16624300</v>
      </c>
      <c r="W81" s="389" t="n">
        <f aca="false">+T81-V81</f>
        <v>62341125</v>
      </c>
      <c r="X81" s="598" t="n">
        <f aca="false">+'[6]BT 7HO'!U32</f>
        <v>45791</v>
      </c>
      <c r="Y81" s="389" t="n">
        <f aca="false">+ROUND($H81*Y$75,)</f>
        <v>63172340</v>
      </c>
      <c r="Z81" s="598" t="n">
        <f aca="false">+'[6]BT 7HO'!V32</f>
        <v>45791</v>
      </c>
      <c r="AA81" s="389" t="n">
        <f aca="false">+'[6]BT 7HO'!Y32+'[6]BT 7HO'!Y33</f>
        <v>16624300</v>
      </c>
      <c r="AB81" s="389" t="n">
        <f aca="false">+Y81-AA81</f>
        <v>46548040</v>
      </c>
      <c r="AC81" s="598" t="n">
        <f aca="false">+'[6]BT 7HO'!AB32</f>
        <v>45820</v>
      </c>
      <c r="AD81" s="389" t="n">
        <f aca="false">+ROUND(D81*G81*1.1-Y81-T81-K81,)</f>
        <v>32417385</v>
      </c>
      <c r="AE81" s="598" t="n">
        <f aca="false">+'[6]BT 7HO'!AC32</f>
        <v>45820</v>
      </c>
      <c r="AF81" s="389" t="n">
        <f aca="false">+'[6]BT 7HO'!AF32+'[6]BT 7HO'!AF33</f>
        <v>41560750</v>
      </c>
      <c r="AG81" s="389" t="n">
        <f aca="false">+AD81-AF81</f>
        <v>-9143365</v>
      </c>
      <c r="AH81" s="389"/>
      <c r="AI81" s="389"/>
      <c r="AJ81" s="389"/>
      <c r="AK81" s="389"/>
      <c r="AL81" s="389"/>
      <c r="AM81" s="389"/>
      <c r="AN81" s="389"/>
      <c r="AO81" s="389"/>
      <c r="AP81" s="389"/>
      <c r="AQ81" s="389"/>
      <c r="AR81" s="389"/>
      <c r="AS81" s="389"/>
      <c r="AT81" s="389"/>
      <c r="AU81" s="389"/>
      <c r="AV81" s="389"/>
      <c r="AW81" s="598"/>
      <c r="AX81" s="389" t="n">
        <f aca="false">+ROUND($H81*AX$75,)</f>
        <v>0</v>
      </c>
      <c r="AY81" s="598"/>
      <c r="AZ81" s="389"/>
      <c r="BA81" s="389" t="n">
        <f aca="false">+AX81-AZ81</f>
        <v>0</v>
      </c>
      <c r="BC81" s="323" t="n">
        <f aca="false">T81+Y81+AD81+AX81+K81=D81*G81*1.1</f>
        <v>1</v>
      </c>
    </row>
    <row r="82" customFormat="false" ht="14.9" hidden="false" customHeight="false" outlineLevel="0" collapsed="false">
      <c r="B82" s="594"/>
      <c r="C82" s="596" t="s">
        <v>470</v>
      </c>
      <c r="D82" s="596" t="n">
        <v>71.68</v>
      </c>
      <c r="E82" s="596"/>
      <c r="F82" s="597" t="n">
        <v>950000</v>
      </c>
      <c r="G82" s="597" t="n">
        <v>1050000</v>
      </c>
      <c r="H82" s="389" t="n">
        <f aca="false">+F82*D82*1.1</f>
        <v>74905600</v>
      </c>
      <c r="I82" s="389" t="n">
        <f aca="false">+V82+AA82+AF82+AZ82</f>
        <v>15848800</v>
      </c>
      <c r="J82" s="389"/>
      <c r="K82" s="389" t="n">
        <f aca="false">+SUM(L82:O82)</f>
        <v>0</v>
      </c>
      <c r="L82" s="389"/>
      <c r="M82" s="389"/>
      <c r="N82" s="389"/>
      <c r="O82" s="389"/>
      <c r="P82" s="599"/>
      <c r="Q82" s="389"/>
      <c r="R82" s="389" t="n">
        <f aca="false">+K82-Q82</f>
        <v>0</v>
      </c>
      <c r="S82" s="598" t="n">
        <f aca="false">+'[6]BT 7HO'!N37</f>
        <v>45705</v>
      </c>
      <c r="T82" s="389" t="n">
        <f aca="false">+ROUND($H82*T$75,)</f>
        <v>37452800</v>
      </c>
      <c r="U82" s="598" t="n">
        <f aca="false">+'[6]BT 7HO'!O37</f>
        <v>45705</v>
      </c>
      <c r="V82" s="389" t="n">
        <f aca="false">+'[6]BT 7HO'!R37+'[6]BT 7HO'!R38</f>
        <v>7884800</v>
      </c>
      <c r="W82" s="389" t="n">
        <f aca="false">+T82-V82</f>
        <v>29568000</v>
      </c>
      <c r="X82" s="598" t="n">
        <f aca="false">+'[6]BT 7HO'!U37</f>
        <v>45820</v>
      </c>
      <c r="Y82" s="389" t="n">
        <f aca="false">+ROUND($H82*Y$75,)</f>
        <v>29962240</v>
      </c>
      <c r="Z82" s="598" t="n">
        <f aca="false">+'[6]BT 7HO'!V37</f>
        <v>45820</v>
      </c>
      <c r="AA82" s="389" t="n">
        <f aca="false">+'[6]BT 7HO'!Y37+'[6]BT 7HO'!Y38</f>
        <v>7964000</v>
      </c>
      <c r="AB82" s="389" t="n">
        <f aca="false">+Y82-AA82</f>
        <v>21998240</v>
      </c>
      <c r="AC82" s="598" t="n">
        <f aca="false">+'[6]BT 7HO'!AB37</f>
        <v>46022</v>
      </c>
      <c r="AD82" s="389" t="n">
        <f aca="false">+ROUND(D82*G82*1.1-Y82-T82-K82,)</f>
        <v>15375360</v>
      </c>
      <c r="AE82" s="598"/>
      <c r="AF82" s="389"/>
      <c r="AG82" s="389" t="n">
        <f aca="false">+AD82-AF82</f>
        <v>15375360</v>
      </c>
      <c r="AH82" s="389"/>
      <c r="AI82" s="389"/>
      <c r="AJ82" s="389"/>
      <c r="AK82" s="389"/>
      <c r="AL82" s="389"/>
      <c r="AM82" s="389"/>
      <c r="AN82" s="389"/>
      <c r="AO82" s="389"/>
      <c r="AP82" s="389"/>
      <c r="AQ82" s="389"/>
      <c r="AR82" s="389"/>
      <c r="AS82" s="389"/>
      <c r="AT82" s="389"/>
      <c r="AU82" s="389"/>
      <c r="AV82" s="389"/>
      <c r="AW82" s="598"/>
      <c r="AX82" s="389" t="n">
        <f aca="false">+ROUND($H82*AX$75,)</f>
        <v>0</v>
      </c>
      <c r="AY82" s="598"/>
      <c r="AZ82" s="389"/>
      <c r="BA82" s="389" t="n">
        <f aca="false">+AX82-AZ82</f>
        <v>0</v>
      </c>
      <c r="BC82" s="323" t="n">
        <f aca="false">T82+Y82+AD82+AX82+K82=D82*G82*1.1</f>
        <v>1</v>
      </c>
    </row>
    <row r="83" customFormat="false" ht="14.9" hidden="false" customHeight="false" outlineLevel="0" collapsed="false">
      <c r="B83" s="594"/>
      <c r="C83" s="596" t="s">
        <v>471</v>
      </c>
      <c r="D83" s="596" t="n">
        <v>38.4</v>
      </c>
      <c r="E83" s="596"/>
      <c r="F83" s="597" t="n">
        <v>950000</v>
      </c>
      <c r="G83" s="597" t="n">
        <v>1050000</v>
      </c>
      <c r="H83" s="389" t="n">
        <f aca="false">+F83*D83*1.1</f>
        <v>40128000</v>
      </c>
      <c r="I83" s="389" t="n">
        <f aca="false">+V83+AA83+AF83+AZ83</f>
        <v>8448000</v>
      </c>
      <c r="J83" s="389"/>
      <c r="K83" s="389" t="n">
        <f aca="false">+SUM(L83:O83)</f>
        <v>0</v>
      </c>
      <c r="L83" s="389"/>
      <c r="M83" s="389"/>
      <c r="N83" s="389"/>
      <c r="O83" s="389"/>
      <c r="P83" s="599"/>
      <c r="Q83" s="389"/>
      <c r="R83" s="389" t="n">
        <f aca="false">+K83-Q83</f>
        <v>0</v>
      </c>
      <c r="S83" s="598" t="n">
        <f aca="false">+'[6]BT 7HO'!N42</f>
        <v>45705</v>
      </c>
      <c r="T83" s="389" t="n">
        <f aca="false">+ROUND($H83*T$75,)</f>
        <v>20064000</v>
      </c>
      <c r="U83" s="598" t="n">
        <f aca="false">+'[6]BT 7HO'!O42</f>
        <v>45705</v>
      </c>
      <c r="V83" s="389" t="n">
        <f aca="false">+'[6]BT 7HO'!R42+'[6]BT 7HO'!R43</f>
        <v>4224000</v>
      </c>
      <c r="W83" s="389" t="n">
        <f aca="false">+T83-V83</f>
        <v>15840000</v>
      </c>
      <c r="X83" s="598" t="n">
        <f aca="false">+'[6]BT 7HO'!U42</f>
        <v>45820</v>
      </c>
      <c r="Y83" s="389" t="n">
        <f aca="false">+ROUND($H83*Y$75,)</f>
        <v>16051200</v>
      </c>
      <c r="Z83" s="598" t="n">
        <f aca="false">+'[6]BT 7HO'!V42</f>
        <v>45820</v>
      </c>
      <c r="AA83" s="389" t="n">
        <f aca="false">+'[6]BT 7HO'!Y42+'[6]BT 7HO'!Y43</f>
        <v>4224000</v>
      </c>
      <c r="AB83" s="389" t="n">
        <f aca="false">+Y83-AA83</f>
        <v>11827200</v>
      </c>
      <c r="AC83" s="598" t="n">
        <f aca="false">+'[6]BT 7HO'!AB42</f>
        <v>46022</v>
      </c>
      <c r="AD83" s="389" t="n">
        <f aca="false">+ROUND(D83*G83*1.1-Y83-T83-K83,)</f>
        <v>8236800</v>
      </c>
      <c r="AE83" s="598"/>
      <c r="AF83" s="389"/>
      <c r="AG83" s="389" t="n">
        <f aca="false">+AD83-AF83</f>
        <v>8236800</v>
      </c>
      <c r="AH83" s="389"/>
      <c r="AI83" s="389"/>
      <c r="AJ83" s="389"/>
      <c r="AK83" s="389"/>
      <c r="AL83" s="389"/>
      <c r="AM83" s="389"/>
      <c r="AN83" s="389"/>
      <c r="AO83" s="389"/>
      <c r="AP83" s="389"/>
      <c r="AQ83" s="389"/>
      <c r="AR83" s="389"/>
      <c r="AS83" s="389"/>
      <c r="AT83" s="389"/>
      <c r="AU83" s="389"/>
      <c r="AV83" s="389"/>
      <c r="AW83" s="598"/>
      <c r="AX83" s="389" t="n">
        <f aca="false">+ROUND($H83*AX$75,)</f>
        <v>0</v>
      </c>
      <c r="AY83" s="598"/>
      <c r="AZ83" s="389"/>
      <c r="BA83" s="389" t="n">
        <f aca="false">+AX83-AZ83</f>
        <v>0</v>
      </c>
      <c r="BC83" s="323" t="n">
        <f aca="false">T83+Y83+AD83+AX83+K83=D83*G83*1.1</f>
        <v>1</v>
      </c>
    </row>
    <row r="84" customFormat="false" ht="14.9" hidden="false" customHeight="false" outlineLevel="0" collapsed="false">
      <c r="B84" s="594"/>
      <c r="C84" s="596" t="s">
        <v>472</v>
      </c>
      <c r="D84" s="596" t="n">
        <v>158.75</v>
      </c>
      <c r="E84" s="596"/>
      <c r="F84" s="597" t="n">
        <v>950000</v>
      </c>
      <c r="G84" s="597" t="n">
        <v>1050000</v>
      </c>
      <c r="H84" s="389" t="n">
        <f aca="false">+F84*D84*1.1</f>
        <v>165893750</v>
      </c>
      <c r="I84" s="389" t="n">
        <f aca="false">+V84+AA84+AF84+AZ84</f>
        <v>78581250</v>
      </c>
      <c r="J84" s="389"/>
      <c r="K84" s="389" t="n">
        <f aca="false">+SUM(L84:O84)</f>
        <v>0</v>
      </c>
      <c r="L84" s="389"/>
      <c r="M84" s="389"/>
      <c r="N84" s="389"/>
      <c r="O84" s="389"/>
      <c r="P84" s="599"/>
      <c r="Q84" s="389"/>
      <c r="R84" s="389" t="n">
        <f aca="false">+K84-Q84</f>
        <v>0</v>
      </c>
      <c r="S84" s="598" t="n">
        <f aca="false">+'[6]BT 7HO'!N47</f>
        <v>45705</v>
      </c>
      <c r="T84" s="389" t="n">
        <f aca="false">+ROUND($H84*T$75,)</f>
        <v>82946875</v>
      </c>
      <c r="U84" s="598" t="n">
        <f aca="false">+'[6]BT 7HO'!O47</f>
        <v>45705</v>
      </c>
      <c r="V84" s="389" t="n">
        <f aca="false">+'[6]BT 7HO'!R47+'[6]BT 7HO'!R48</f>
        <v>17462500</v>
      </c>
      <c r="W84" s="389" t="n">
        <f aca="false">+T84-V84</f>
        <v>65484375</v>
      </c>
      <c r="X84" s="598" t="n">
        <f aca="false">+'[6]BT 7HO'!U47</f>
        <v>45820</v>
      </c>
      <c r="Y84" s="389" t="n">
        <f aca="false">+ROUND($H84*Y$75,)</f>
        <v>66357500</v>
      </c>
      <c r="Z84" s="598" t="n">
        <f aca="false">+'[6]BT 7HO'!V47</f>
        <v>45820</v>
      </c>
      <c r="AA84" s="389" t="n">
        <f aca="false">+'[6]BT 7HO'!Y47+'[6]BT 7HO'!Y48</f>
        <v>17462500</v>
      </c>
      <c r="AB84" s="389" t="n">
        <f aca="false">+Y84-AA84</f>
        <v>48895000</v>
      </c>
      <c r="AC84" s="598" t="n">
        <f aca="false">+'[6]BT 7HO'!AB47</f>
        <v>45930</v>
      </c>
      <c r="AD84" s="389" t="n">
        <f aca="false">+ROUND(D84*G84*1.1-Y84-T84-K84,)</f>
        <v>34051875</v>
      </c>
      <c r="AE84" s="598" t="n">
        <v>45922</v>
      </c>
      <c r="AF84" s="389" t="n">
        <f aca="false">+'[6]BT 7HO'!AF47+'[6]BT 7HO'!AF48</f>
        <v>43656250</v>
      </c>
      <c r="AG84" s="389" t="n">
        <f aca="false">+AD84-AF84</f>
        <v>-9604375</v>
      </c>
      <c r="AH84" s="389"/>
      <c r="AI84" s="389"/>
      <c r="AJ84" s="389"/>
      <c r="AK84" s="389"/>
      <c r="AL84" s="389"/>
      <c r="AM84" s="389"/>
      <c r="AN84" s="389"/>
      <c r="AO84" s="389"/>
      <c r="AP84" s="389"/>
      <c r="AQ84" s="389"/>
      <c r="AR84" s="389"/>
      <c r="AS84" s="389"/>
      <c r="AT84" s="389"/>
      <c r="AU84" s="389"/>
      <c r="AV84" s="389"/>
      <c r="AW84" s="598"/>
      <c r="AX84" s="389" t="n">
        <f aca="false">+ROUND($H84*AX$75,)</f>
        <v>0</v>
      </c>
      <c r="AY84" s="598"/>
      <c r="AZ84" s="389"/>
      <c r="BA84" s="389" t="n">
        <f aca="false">+AX84-AZ84</f>
        <v>0</v>
      </c>
      <c r="BC84" s="323" t="n">
        <f aca="false">T84+Y84+AD84+AX84+K84=D84*G84*1.1</f>
        <v>1</v>
      </c>
    </row>
    <row r="85" customFormat="false" ht="12.75" hidden="false" customHeight="false" outlineLevel="0" collapsed="false">
      <c r="B85" s="594"/>
      <c r="C85" s="596" t="n">
        <f aca="false">+'[6]BT 2HO'!C123</f>
        <v>0</v>
      </c>
      <c r="D85" s="596" t="n">
        <v>0</v>
      </c>
      <c r="E85" s="596"/>
      <c r="F85" s="597" t="n">
        <v>950000</v>
      </c>
      <c r="G85" s="597" t="n">
        <v>1050000</v>
      </c>
      <c r="H85" s="389" t="n">
        <f aca="false">+F85*D85*1.1</f>
        <v>0</v>
      </c>
      <c r="I85" s="389"/>
      <c r="J85" s="389"/>
      <c r="K85" s="389" t="n">
        <f aca="false">+SUM(L85:O85)</f>
        <v>0</v>
      </c>
      <c r="L85" s="389"/>
      <c r="M85" s="389"/>
      <c r="N85" s="389"/>
      <c r="O85" s="389"/>
      <c r="P85" s="599"/>
      <c r="Q85" s="389"/>
      <c r="R85" s="389" t="n">
        <f aca="false">+K85-Q85</f>
        <v>0</v>
      </c>
      <c r="S85" s="598"/>
      <c r="T85" s="389" t="n">
        <f aca="false">+ROUND($H85*T$75,)</f>
        <v>0</v>
      </c>
      <c r="U85" s="598"/>
      <c r="V85" s="389"/>
      <c r="W85" s="389" t="n">
        <f aca="false">+T85-V85</f>
        <v>0</v>
      </c>
      <c r="X85" s="598"/>
      <c r="Y85" s="389" t="n">
        <f aca="false">+ROUND($H85*Y$75,)</f>
        <v>0</v>
      </c>
      <c r="Z85" s="598"/>
      <c r="AA85" s="389"/>
      <c r="AB85" s="389" t="n">
        <f aca="false">+Y85-AA85</f>
        <v>0</v>
      </c>
      <c r="AC85" s="598"/>
      <c r="AD85" s="389" t="n">
        <f aca="false">+ROUND(D85*G85*1.1-Y85-T85-K85,)</f>
        <v>0</v>
      </c>
      <c r="AE85" s="598"/>
      <c r="AF85" s="389"/>
      <c r="AG85" s="389" t="n">
        <f aca="false">+AD85-AF85</f>
        <v>0</v>
      </c>
      <c r="AH85" s="389"/>
      <c r="AI85" s="389"/>
      <c r="AJ85" s="389"/>
      <c r="AK85" s="389"/>
      <c r="AL85" s="389"/>
      <c r="AM85" s="389"/>
      <c r="AN85" s="389"/>
      <c r="AO85" s="389"/>
      <c r="AP85" s="389"/>
      <c r="AQ85" s="389"/>
      <c r="AR85" s="389"/>
      <c r="AS85" s="389"/>
      <c r="AT85" s="389"/>
      <c r="AU85" s="389"/>
      <c r="AV85" s="389"/>
      <c r="AW85" s="598"/>
      <c r="AX85" s="389" t="n">
        <f aca="false">+ROUND($H85*AX$75,)</f>
        <v>0</v>
      </c>
      <c r="AY85" s="598"/>
      <c r="AZ85" s="389"/>
      <c r="BA85" s="389" t="n">
        <f aca="false">+AX85-AZ85</f>
        <v>0</v>
      </c>
      <c r="BC85" s="323" t="n">
        <f aca="false">T85+Y85+AD85+AX85+K85=D85*G85*1.1</f>
        <v>1</v>
      </c>
    </row>
    <row r="86" customFormat="false" ht="12.75" hidden="false" customHeight="false" outlineLevel="0" collapsed="false">
      <c r="B86" s="594"/>
      <c r="C86" s="596" t="n">
        <f aca="false">+'[6]BT 2HO'!C128</f>
        <v>0</v>
      </c>
      <c r="D86" s="596" t="n">
        <v>0</v>
      </c>
      <c r="E86" s="596"/>
      <c r="F86" s="597" t="n">
        <v>950000</v>
      </c>
      <c r="G86" s="597" t="n">
        <v>1050000</v>
      </c>
      <c r="H86" s="389" t="n">
        <f aca="false">+F86*D86*1.1</f>
        <v>0</v>
      </c>
      <c r="I86" s="389"/>
      <c r="J86" s="389"/>
      <c r="K86" s="389" t="n">
        <f aca="false">+SUM(L86:O86)</f>
        <v>0</v>
      </c>
      <c r="L86" s="389"/>
      <c r="M86" s="389"/>
      <c r="N86" s="389"/>
      <c r="O86" s="389"/>
      <c r="P86" s="599"/>
      <c r="Q86" s="389"/>
      <c r="R86" s="389" t="n">
        <f aca="false">+K86-Q86</f>
        <v>0</v>
      </c>
      <c r="S86" s="598"/>
      <c r="T86" s="389" t="n">
        <f aca="false">+ROUND($H86*T$75,)</f>
        <v>0</v>
      </c>
      <c r="U86" s="598"/>
      <c r="V86" s="389"/>
      <c r="W86" s="389" t="n">
        <f aca="false">+T86-V86</f>
        <v>0</v>
      </c>
      <c r="X86" s="598"/>
      <c r="Y86" s="389" t="n">
        <f aca="false">+ROUND($H86*Y$75,)</f>
        <v>0</v>
      </c>
      <c r="Z86" s="598"/>
      <c r="AA86" s="389"/>
      <c r="AB86" s="389" t="n">
        <f aca="false">+Y86-AA86</f>
        <v>0</v>
      </c>
      <c r="AC86" s="598"/>
      <c r="AD86" s="389" t="n">
        <f aca="false">+ROUND(D86*G86*1.1-Y86-T86-K86,)</f>
        <v>0</v>
      </c>
      <c r="AE86" s="598"/>
      <c r="AF86" s="389"/>
      <c r="AG86" s="389" t="n">
        <f aca="false">+AD86-AF86</f>
        <v>0</v>
      </c>
      <c r="AH86" s="389"/>
      <c r="AI86" s="389"/>
      <c r="AJ86" s="389"/>
      <c r="AK86" s="389"/>
      <c r="AL86" s="389"/>
      <c r="AM86" s="389"/>
      <c r="AN86" s="389"/>
      <c r="AO86" s="389"/>
      <c r="AP86" s="389"/>
      <c r="AQ86" s="389"/>
      <c r="AR86" s="389"/>
      <c r="AS86" s="389"/>
      <c r="AT86" s="389"/>
      <c r="AU86" s="389"/>
      <c r="AV86" s="389"/>
      <c r="AW86" s="598"/>
      <c r="AX86" s="389" t="n">
        <f aca="false">+ROUND($H86*AX$75,)</f>
        <v>0</v>
      </c>
      <c r="AY86" s="598"/>
      <c r="AZ86" s="389"/>
      <c r="BA86" s="389" t="n">
        <f aca="false">+AX86-AZ86</f>
        <v>0</v>
      </c>
      <c r="BC86" s="323" t="n">
        <f aca="false">T86+Y86+AD86+AX86+K86=D86*G86*1.1</f>
        <v>1</v>
      </c>
    </row>
    <row r="87" customFormat="false" ht="12.75" hidden="false" customHeight="false" outlineLevel="0" collapsed="false">
      <c r="B87" s="594"/>
      <c r="C87" s="596" t="n">
        <f aca="false">+'[6]BT 2HO'!C133</f>
        <v>0</v>
      </c>
      <c r="D87" s="596" t="n">
        <v>0</v>
      </c>
      <c r="E87" s="596"/>
      <c r="F87" s="597" t="n">
        <v>950000</v>
      </c>
      <c r="G87" s="597" t="n">
        <v>1050000</v>
      </c>
      <c r="H87" s="389" t="n">
        <f aca="false">+F87*D87*1.1</f>
        <v>0</v>
      </c>
      <c r="I87" s="389"/>
      <c r="J87" s="389"/>
      <c r="K87" s="389" t="n">
        <f aca="false">+SUM(L87:O87)</f>
        <v>0</v>
      </c>
      <c r="L87" s="389"/>
      <c r="M87" s="389"/>
      <c r="N87" s="389"/>
      <c r="O87" s="389"/>
      <c r="P87" s="599"/>
      <c r="Q87" s="389"/>
      <c r="R87" s="389" t="n">
        <f aca="false">+K87-Q87</f>
        <v>0</v>
      </c>
      <c r="S87" s="598"/>
      <c r="T87" s="389" t="n">
        <f aca="false">+ROUND($H87*T$75,)</f>
        <v>0</v>
      </c>
      <c r="U87" s="598"/>
      <c r="V87" s="389"/>
      <c r="W87" s="389" t="n">
        <f aca="false">+T87-V87</f>
        <v>0</v>
      </c>
      <c r="X87" s="598"/>
      <c r="Y87" s="389" t="n">
        <f aca="false">+ROUND($H87*Y$75,)</f>
        <v>0</v>
      </c>
      <c r="Z87" s="598"/>
      <c r="AA87" s="389"/>
      <c r="AB87" s="389" t="n">
        <f aca="false">+Y87-AA87</f>
        <v>0</v>
      </c>
      <c r="AC87" s="598"/>
      <c r="AD87" s="389" t="n">
        <f aca="false">+ROUND(D87*G87*1.1-Y87-T87-K87,)</f>
        <v>0</v>
      </c>
      <c r="AE87" s="598"/>
      <c r="AF87" s="389"/>
      <c r="AG87" s="389" t="n">
        <f aca="false">+AD87-AF87</f>
        <v>0</v>
      </c>
      <c r="AH87" s="389"/>
      <c r="AI87" s="389"/>
      <c r="AJ87" s="389"/>
      <c r="AK87" s="389"/>
      <c r="AL87" s="389"/>
      <c r="AM87" s="389"/>
      <c r="AN87" s="389"/>
      <c r="AO87" s="389"/>
      <c r="AP87" s="389"/>
      <c r="AQ87" s="389"/>
      <c r="AR87" s="389"/>
      <c r="AS87" s="389"/>
      <c r="AT87" s="389"/>
      <c r="AU87" s="389"/>
      <c r="AV87" s="389"/>
      <c r="AW87" s="598"/>
      <c r="AX87" s="389" t="n">
        <f aca="false">+ROUND($H87*AX$75,)</f>
        <v>0</v>
      </c>
      <c r="AY87" s="598"/>
      <c r="AZ87" s="389"/>
      <c r="BA87" s="389" t="n">
        <f aca="false">+AX87-AZ87</f>
        <v>0</v>
      </c>
      <c r="BC87" s="323" t="n">
        <f aca="false">T87+Y87+AD87+AX87+K87=D87*G87*1.1</f>
        <v>1</v>
      </c>
    </row>
    <row r="88" customFormat="false" ht="12.75" hidden="false" customHeight="false" outlineLevel="0" collapsed="false">
      <c r="B88" s="594"/>
      <c r="C88" s="596" t="n">
        <f aca="false">+'[6]BT 2HO'!C138</f>
        <v>0</v>
      </c>
      <c r="D88" s="596" t="n">
        <v>0</v>
      </c>
      <c r="E88" s="596"/>
      <c r="F88" s="597" t="n">
        <v>950000</v>
      </c>
      <c r="G88" s="597" t="n">
        <v>1050000</v>
      </c>
      <c r="H88" s="389" t="n">
        <f aca="false">+F88*D88*1.1</f>
        <v>0</v>
      </c>
      <c r="I88" s="389"/>
      <c r="J88" s="389"/>
      <c r="K88" s="389" t="n">
        <f aca="false">+SUM(L88:O88)</f>
        <v>0</v>
      </c>
      <c r="L88" s="389"/>
      <c r="M88" s="389"/>
      <c r="N88" s="389"/>
      <c r="O88" s="389"/>
      <c r="P88" s="599"/>
      <c r="Q88" s="389"/>
      <c r="R88" s="389" t="n">
        <f aca="false">+K88-Q88</f>
        <v>0</v>
      </c>
      <c r="S88" s="598"/>
      <c r="T88" s="389" t="n">
        <f aca="false">+ROUND($H88*T$75,)</f>
        <v>0</v>
      </c>
      <c r="U88" s="598"/>
      <c r="V88" s="389"/>
      <c r="W88" s="389" t="n">
        <f aca="false">+T88-V88</f>
        <v>0</v>
      </c>
      <c r="X88" s="598"/>
      <c r="Y88" s="389" t="n">
        <f aca="false">+ROUND($H88*Y$75,)</f>
        <v>0</v>
      </c>
      <c r="Z88" s="598"/>
      <c r="AA88" s="389"/>
      <c r="AB88" s="389" t="n">
        <f aca="false">+Y88-AA88</f>
        <v>0</v>
      </c>
      <c r="AC88" s="598"/>
      <c r="AD88" s="389" t="n">
        <f aca="false">+ROUND(D88*G88*1.1-Y88-T88-K88,)</f>
        <v>0</v>
      </c>
      <c r="AE88" s="598"/>
      <c r="AF88" s="389"/>
      <c r="AG88" s="389" t="n">
        <f aca="false">+AD88-AF88</f>
        <v>0</v>
      </c>
      <c r="AH88" s="389"/>
      <c r="AI88" s="389"/>
      <c r="AJ88" s="389"/>
      <c r="AK88" s="389"/>
      <c r="AL88" s="389"/>
      <c r="AM88" s="389"/>
      <c r="AN88" s="389"/>
      <c r="AO88" s="389"/>
      <c r="AP88" s="389"/>
      <c r="AQ88" s="389"/>
      <c r="AR88" s="389"/>
      <c r="AS88" s="389"/>
      <c r="AT88" s="389"/>
      <c r="AU88" s="389"/>
      <c r="AV88" s="389"/>
      <c r="AW88" s="598"/>
      <c r="AX88" s="389" t="n">
        <f aca="false">+ROUND($H88*AX$75,)</f>
        <v>0</v>
      </c>
      <c r="AY88" s="598"/>
      <c r="AZ88" s="389"/>
      <c r="BA88" s="389" t="n">
        <f aca="false">+AX88-AZ88</f>
        <v>0</v>
      </c>
      <c r="BC88" s="323" t="n">
        <f aca="false">T88+Y88+AD88+AX88+K88=D88*G88*1.1</f>
        <v>1</v>
      </c>
    </row>
    <row r="89" customFormat="false" ht="12.75" hidden="false" customHeight="false" outlineLevel="0" collapsed="false">
      <c r="B89" s="594"/>
      <c r="C89" s="596" t="n">
        <f aca="false">+'[6]BT 2HO'!C143</f>
        <v>0</v>
      </c>
      <c r="D89" s="596" t="n">
        <v>0</v>
      </c>
      <c r="E89" s="596"/>
      <c r="F89" s="597" t="n">
        <v>950000</v>
      </c>
      <c r="G89" s="597" t="n">
        <v>1050000</v>
      </c>
      <c r="H89" s="389" t="n">
        <f aca="false">+F89*D89*1.1</f>
        <v>0</v>
      </c>
      <c r="I89" s="389"/>
      <c r="J89" s="389"/>
      <c r="K89" s="389" t="n">
        <f aca="false">+SUM(L89:O89)</f>
        <v>0</v>
      </c>
      <c r="L89" s="389"/>
      <c r="M89" s="389"/>
      <c r="N89" s="389"/>
      <c r="O89" s="389"/>
      <c r="P89" s="599"/>
      <c r="Q89" s="389"/>
      <c r="R89" s="389" t="n">
        <f aca="false">+K89-Q89</f>
        <v>0</v>
      </c>
      <c r="S89" s="598"/>
      <c r="T89" s="389" t="n">
        <f aca="false">+ROUND($H89*T$75,)</f>
        <v>0</v>
      </c>
      <c r="U89" s="598"/>
      <c r="V89" s="389"/>
      <c r="W89" s="389" t="n">
        <f aca="false">+T89-V89</f>
        <v>0</v>
      </c>
      <c r="X89" s="598"/>
      <c r="Y89" s="389" t="n">
        <f aca="false">+ROUND($H89*Y$75,)</f>
        <v>0</v>
      </c>
      <c r="Z89" s="598"/>
      <c r="AA89" s="389"/>
      <c r="AB89" s="389" t="n">
        <f aca="false">+Y89-AA89</f>
        <v>0</v>
      </c>
      <c r="AC89" s="598"/>
      <c r="AD89" s="389" t="n">
        <f aca="false">+ROUND(D89*G89*1.1-Y89-T89-K89,)</f>
        <v>0</v>
      </c>
      <c r="AE89" s="598"/>
      <c r="AF89" s="389"/>
      <c r="AG89" s="389" t="n">
        <f aca="false">+AD89-AF89</f>
        <v>0</v>
      </c>
      <c r="AH89" s="389"/>
      <c r="AI89" s="389"/>
      <c r="AJ89" s="389"/>
      <c r="AK89" s="389"/>
      <c r="AL89" s="389"/>
      <c r="AM89" s="389"/>
      <c r="AN89" s="389"/>
      <c r="AO89" s="389"/>
      <c r="AP89" s="389"/>
      <c r="AQ89" s="389"/>
      <c r="AR89" s="389"/>
      <c r="AS89" s="389"/>
      <c r="AT89" s="389"/>
      <c r="AU89" s="389"/>
      <c r="AV89" s="389"/>
      <c r="AW89" s="598"/>
      <c r="AX89" s="389" t="n">
        <f aca="false">+ROUND($H89*AX$75,)</f>
        <v>0</v>
      </c>
      <c r="AY89" s="598"/>
      <c r="AZ89" s="389"/>
      <c r="BA89" s="389" t="n">
        <f aca="false">+AX89-AZ89</f>
        <v>0</v>
      </c>
      <c r="BC89" s="323" t="n">
        <f aca="false">T89+Y89+AD89+AX89+K89=D89*G89*1.1</f>
        <v>1</v>
      </c>
    </row>
    <row r="90" customFormat="false" ht="12.75" hidden="false" customHeight="false" outlineLevel="0" collapsed="false">
      <c r="B90" s="594"/>
      <c r="C90" s="596" t="n">
        <f aca="false">+'[6]BT 2HO'!C148</f>
        <v>0</v>
      </c>
      <c r="D90" s="596" t="n">
        <v>0</v>
      </c>
      <c r="E90" s="596"/>
      <c r="F90" s="597" t="n">
        <v>950000</v>
      </c>
      <c r="G90" s="597" t="n">
        <v>1050000</v>
      </c>
      <c r="H90" s="389" t="n">
        <f aca="false">+F90*D90*1.1</f>
        <v>0</v>
      </c>
      <c r="I90" s="389"/>
      <c r="J90" s="389"/>
      <c r="K90" s="389" t="n">
        <f aca="false">+SUM(L90:O90)</f>
        <v>0</v>
      </c>
      <c r="L90" s="389"/>
      <c r="M90" s="389"/>
      <c r="N90" s="389"/>
      <c r="O90" s="389"/>
      <c r="P90" s="599"/>
      <c r="Q90" s="389"/>
      <c r="R90" s="389" t="n">
        <f aca="false">+K90-Q90</f>
        <v>0</v>
      </c>
      <c r="S90" s="598"/>
      <c r="T90" s="389" t="n">
        <f aca="false">+ROUND($H90*T$75,)</f>
        <v>0</v>
      </c>
      <c r="U90" s="598"/>
      <c r="V90" s="389"/>
      <c r="W90" s="389" t="n">
        <f aca="false">+T90-V90</f>
        <v>0</v>
      </c>
      <c r="X90" s="598"/>
      <c r="Y90" s="389" t="n">
        <f aca="false">+ROUND($H90*Y$75,)</f>
        <v>0</v>
      </c>
      <c r="Z90" s="598"/>
      <c r="AA90" s="389"/>
      <c r="AB90" s="389" t="n">
        <f aca="false">+Y90-AA90</f>
        <v>0</v>
      </c>
      <c r="AC90" s="598"/>
      <c r="AD90" s="389" t="n">
        <f aca="false">+ROUND(D90*G90*1.1-Y90-T90-K90,)</f>
        <v>0</v>
      </c>
      <c r="AE90" s="598"/>
      <c r="AF90" s="389"/>
      <c r="AG90" s="389" t="n">
        <f aca="false">+AD90-AF90</f>
        <v>0</v>
      </c>
      <c r="AH90" s="389"/>
      <c r="AI90" s="389"/>
      <c r="AJ90" s="389"/>
      <c r="AK90" s="389"/>
      <c r="AL90" s="389"/>
      <c r="AM90" s="389"/>
      <c r="AN90" s="389"/>
      <c r="AO90" s="389"/>
      <c r="AP90" s="389"/>
      <c r="AQ90" s="389"/>
      <c r="AR90" s="389"/>
      <c r="AS90" s="389"/>
      <c r="AT90" s="389"/>
      <c r="AU90" s="389"/>
      <c r="AV90" s="389"/>
      <c r="AW90" s="598"/>
      <c r="AX90" s="389" t="n">
        <f aca="false">+ROUND($H90*AX$75,)</f>
        <v>0</v>
      </c>
      <c r="AY90" s="598"/>
      <c r="AZ90" s="389"/>
      <c r="BA90" s="389" t="n">
        <f aca="false">+AX90-AZ90</f>
        <v>0</v>
      </c>
      <c r="BC90" s="323" t="n">
        <f aca="false">T90+Y90+AD90+AX90+K90=D90*G90*1.1</f>
        <v>1</v>
      </c>
    </row>
  </sheetData>
  <mergeCells count="74">
    <mergeCell ref="B2:B3"/>
    <mergeCell ref="C2:C3"/>
    <mergeCell ref="D2:D3"/>
    <mergeCell ref="E2:E3"/>
    <mergeCell ref="F2:F3"/>
    <mergeCell ref="G2:G3"/>
    <mergeCell ref="H2:H3"/>
    <mergeCell ref="I2:I3"/>
    <mergeCell ref="J2:J3"/>
    <mergeCell ref="K2:R2"/>
    <mergeCell ref="S2:W2"/>
    <mergeCell ref="X2:AB2"/>
    <mergeCell ref="AC2:AG2"/>
    <mergeCell ref="AH2:AL2"/>
    <mergeCell ref="AM2:AQ2"/>
    <mergeCell ref="AR2:AV2"/>
    <mergeCell ref="AW2:BA2"/>
    <mergeCell ref="B4:B18"/>
    <mergeCell ref="B20:B21"/>
    <mergeCell ref="C20:C21"/>
    <mergeCell ref="D20:D21"/>
    <mergeCell ref="F20:F21"/>
    <mergeCell ref="G20:G21"/>
    <mergeCell ref="H20:H21"/>
    <mergeCell ref="I20:I21"/>
    <mergeCell ref="J20:J21"/>
    <mergeCell ref="K20:R20"/>
    <mergeCell ref="S20:W20"/>
    <mergeCell ref="X20:AB20"/>
    <mergeCell ref="AC20:AG20"/>
    <mergeCell ref="AW20:BA20"/>
    <mergeCell ref="B22:B36"/>
    <mergeCell ref="B38:B39"/>
    <mergeCell ref="C38:C39"/>
    <mergeCell ref="D38:D39"/>
    <mergeCell ref="F38:F39"/>
    <mergeCell ref="G38:G39"/>
    <mergeCell ref="H38:H39"/>
    <mergeCell ref="I38:I39"/>
    <mergeCell ref="J38:J39"/>
    <mergeCell ref="K38:R38"/>
    <mergeCell ref="S38:W38"/>
    <mergeCell ref="X38:AB38"/>
    <mergeCell ref="AC38:AG38"/>
    <mergeCell ref="AW38:BA38"/>
    <mergeCell ref="B40:B54"/>
    <mergeCell ref="B56:B57"/>
    <mergeCell ref="C56:C57"/>
    <mergeCell ref="D56:D57"/>
    <mergeCell ref="F56:F57"/>
    <mergeCell ref="G56:G57"/>
    <mergeCell ref="H56:H57"/>
    <mergeCell ref="I56:I57"/>
    <mergeCell ref="J56:J57"/>
    <mergeCell ref="K56:R56"/>
    <mergeCell ref="S56:W56"/>
    <mergeCell ref="X56:AB56"/>
    <mergeCell ref="AC56:AG56"/>
    <mergeCell ref="AW56:BA56"/>
    <mergeCell ref="B58:B72"/>
    <mergeCell ref="B74:B75"/>
    <mergeCell ref="C74:C75"/>
    <mergeCell ref="D74:D75"/>
    <mergeCell ref="F74:F75"/>
    <mergeCell ref="G74:G75"/>
    <mergeCell ref="H74:H75"/>
    <mergeCell ref="I74:I75"/>
    <mergeCell ref="J74:J75"/>
    <mergeCell ref="K74:R74"/>
    <mergeCell ref="S74:W74"/>
    <mergeCell ref="X74:AB74"/>
    <mergeCell ref="AC74:AG74"/>
    <mergeCell ref="AW74:BA74"/>
    <mergeCell ref="B76:B9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A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7421875" defaultRowHeight="16.5" zeroHeight="false" outlineLevelRow="0" outlineLevelCol="0"/>
  <cols>
    <col collapsed="false" customWidth="true" hidden="false" outlineLevel="0" max="1" min="1" style="0" width="1.63"/>
    <col collapsed="false" customWidth="true" hidden="false" outlineLevel="0" max="3" min="3" style="0" width="15.75"/>
    <col collapsed="false" customWidth="true" hidden="false" outlineLevel="0" max="7" min="6" style="0" width="11.5"/>
    <col collapsed="false" customWidth="true" hidden="false" outlineLevel="0" max="8" min="8" style="0" width="10.88"/>
    <col collapsed="false" customWidth="true" hidden="false" outlineLevel="0" max="9" min="9" style="0" width="9.5"/>
    <col collapsed="false" customWidth="true" hidden="false" outlineLevel="0" max="10" min="10" style="0" width="11.12"/>
    <col collapsed="false" customWidth="true" hidden="false" outlineLevel="0" max="11" min="11" style="0" width="9.5"/>
    <col collapsed="false" customWidth="true" hidden="false" outlineLevel="0" max="12" min="12" style="0" width="11.12"/>
    <col collapsed="false" customWidth="true" hidden="false" outlineLevel="0" max="14" min="14" style="0" width="11.12"/>
    <col collapsed="false" customWidth="true" hidden="false" outlineLevel="0" max="16" min="16" style="0" width="11.12"/>
    <col collapsed="false" customWidth="true" hidden="false" outlineLevel="0" max="17" min="17" style="0" width="50.37"/>
    <col collapsed="false" customWidth="true" hidden="false" outlineLevel="0" max="18" min="18" style="0" width="10.12"/>
    <col collapsed="false" customWidth="true" hidden="false" outlineLevel="0" max="19" min="19" style="0" width="11.37"/>
    <col collapsed="false" customWidth="true" hidden="false" outlineLevel="0" max="20" min="20" style="0" width="11.12"/>
  </cols>
  <sheetData>
    <row r="3" customFormat="false" ht="16.5" hidden="false" customHeight="false" outlineLevel="0" collapsed="false">
      <c r="Q3" s="5" t="s">
        <v>47</v>
      </c>
    </row>
    <row r="4" s="257" customFormat="true" ht="16.5" hidden="false" customHeight="true" outlineLevel="0" collapsed="false">
      <c r="B4" s="297" t="s">
        <v>96</v>
      </c>
      <c r="C4" s="297" t="s">
        <v>36</v>
      </c>
      <c r="D4" s="299" t="s">
        <v>123</v>
      </c>
      <c r="E4" s="586" t="s">
        <v>473</v>
      </c>
      <c r="F4" s="587" t="s">
        <v>109</v>
      </c>
      <c r="G4" s="611" t="s">
        <v>474</v>
      </c>
      <c r="H4" s="588" t="s">
        <v>414</v>
      </c>
      <c r="I4" s="587" t="s">
        <v>435</v>
      </c>
      <c r="J4" s="587"/>
      <c r="K4" s="587" t="s">
        <v>436</v>
      </c>
      <c r="L4" s="587"/>
      <c r="M4" s="587" t="s">
        <v>437</v>
      </c>
      <c r="N4" s="587"/>
      <c r="O4" s="587" t="s">
        <v>438</v>
      </c>
      <c r="P4" s="587"/>
      <c r="Q4" s="587" t="s">
        <v>216</v>
      </c>
      <c r="R4" s="323"/>
      <c r="S4" s="323"/>
      <c r="T4" s="323"/>
      <c r="U4" s="323"/>
      <c r="V4" s="323"/>
      <c r="W4" s="323"/>
      <c r="X4" s="323"/>
      <c r="Y4" s="323"/>
      <c r="Z4" s="323"/>
      <c r="AA4" s="323"/>
      <c r="AB4" s="323"/>
      <c r="AC4" s="323"/>
    </row>
    <row r="5" s="257" customFormat="true" ht="16.5" hidden="false" customHeight="false" outlineLevel="0" collapsed="false">
      <c r="B5" s="297"/>
      <c r="C5" s="297"/>
      <c r="D5" s="299"/>
      <c r="E5" s="586"/>
      <c r="F5" s="587"/>
      <c r="G5" s="611"/>
      <c r="H5" s="588"/>
      <c r="I5" s="587" t="s">
        <v>168</v>
      </c>
      <c r="J5" s="593" t="s">
        <v>432</v>
      </c>
      <c r="K5" s="587" t="s">
        <v>168</v>
      </c>
      <c r="L5" s="593" t="s">
        <v>432</v>
      </c>
      <c r="M5" s="587" t="s">
        <v>168</v>
      </c>
      <c r="N5" s="593" t="s">
        <v>475</v>
      </c>
      <c r="O5" s="587" t="s">
        <v>168</v>
      </c>
      <c r="P5" s="593" t="s">
        <v>475</v>
      </c>
      <c r="Q5" s="587"/>
      <c r="R5" s="386" t="s">
        <v>476</v>
      </c>
      <c r="S5" s="323"/>
      <c r="T5" s="323"/>
      <c r="U5" s="323"/>
      <c r="V5" s="323"/>
      <c r="W5" s="323"/>
      <c r="X5" s="323"/>
      <c r="Y5" s="323"/>
      <c r="Z5" s="323"/>
      <c r="AA5" s="323"/>
      <c r="AB5" s="323"/>
      <c r="AC5" s="323"/>
    </row>
    <row r="6" s="257" customFormat="true" ht="16.5" hidden="false" customHeight="false" outlineLevel="0" collapsed="false">
      <c r="B6" s="594" t="s">
        <v>434</v>
      </c>
      <c r="C6" s="595"/>
      <c r="D6" s="596" t="n">
        <f aca="false">+SUM(D7:D14)</f>
        <v>7995.2</v>
      </c>
      <c r="E6" s="597"/>
      <c r="F6" s="389" t="n">
        <f aca="false">+SUM(F7:F14)</f>
        <v>2198812000</v>
      </c>
      <c r="G6" s="452" t="n">
        <f aca="false">+SUM(G7:G14)</f>
        <v>726573100</v>
      </c>
      <c r="H6" s="389" t="n">
        <f aca="false">+SUM(H7:H14)</f>
        <v>1472238900</v>
      </c>
      <c r="I6" s="598"/>
      <c r="J6" s="389" t="n">
        <f aca="false">+SUM(J7:J14)</f>
        <v>1209503900</v>
      </c>
      <c r="K6" s="389"/>
      <c r="L6" s="389" t="n">
        <f aca="false">+SUM(L7:L14)</f>
        <v>262735000</v>
      </c>
      <c r="M6" s="389"/>
      <c r="N6" s="452" t="n">
        <f aca="false">+SUM(N7:N14)</f>
        <v>67129700</v>
      </c>
      <c r="O6" s="452"/>
      <c r="P6" s="452" t="n">
        <f aca="false">+SUM(P7:P14)</f>
        <v>659443400</v>
      </c>
      <c r="Q6" s="452"/>
      <c r="R6" s="323"/>
      <c r="S6" s="323"/>
      <c r="T6" s="386" t="s">
        <v>433</v>
      </c>
      <c r="U6" s="323"/>
      <c r="V6" s="323"/>
      <c r="W6" s="323"/>
      <c r="X6" s="323"/>
      <c r="Y6" s="323"/>
      <c r="Z6" s="323"/>
      <c r="AA6" s="323"/>
      <c r="AB6" s="323"/>
      <c r="AC6" s="323"/>
    </row>
    <row r="7" s="257" customFormat="true" ht="16.5" hidden="false" customHeight="false" outlineLevel="0" collapsed="false">
      <c r="B7" s="594"/>
      <c r="C7" s="596" t="str">
        <f aca="false">+'SPV별 CAPEX 현황'!C5</f>
        <v>YJ NANSAN 1</v>
      </c>
      <c r="D7" s="596" t="n">
        <v>999.46</v>
      </c>
      <c r="E7" s="597" t="n">
        <v>550000</v>
      </c>
      <c r="F7" s="389" t="n">
        <f aca="false">+D7*E7</f>
        <v>549703000</v>
      </c>
      <c r="G7" s="452" t="n">
        <f aca="false">+N7+P7</f>
        <v>181646300</v>
      </c>
      <c r="H7" s="389" t="n">
        <f aca="false">+J7+L7</f>
        <v>368056700</v>
      </c>
      <c r="I7" s="598" t="n">
        <f aca="false">+'GM Batch1'!M12</f>
        <v>45450</v>
      </c>
      <c r="J7" s="389" t="n">
        <f aca="false">+'GM Batch1'!Q12</f>
        <v>302372950</v>
      </c>
      <c r="K7" s="598" t="n">
        <f aca="false">+'GM Batch1'!U12</f>
        <v>45456</v>
      </c>
      <c r="L7" s="389" t="n">
        <f aca="false">+'GM Batch1'!X12</f>
        <v>65683750</v>
      </c>
      <c r="M7" s="598"/>
      <c r="N7" s="452" t="n">
        <f aca="false">+'GM Batch1'!AD12</f>
        <v>16781600</v>
      </c>
      <c r="O7" s="612"/>
      <c r="P7" s="452" t="n">
        <f aca="false">+'GM Batch1'!BM12-66000</f>
        <v>164864700</v>
      </c>
      <c r="Q7" s="612"/>
      <c r="R7" s="323"/>
      <c r="S7" s="323"/>
      <c r="T7" s="323" t="n">
        <v>66000</v>
      </c>
      <c r="U7" s="323"/>
      <c r="V7" s="323"/>
      <c r="W7" s="323"/>
      <c r="X7" s="323"/>
      <c r="Y7" s="323"/>
      <c r="Z7" s="323"/>
      <c r="AA7" s="323"/>
      <c r="AB7" s="323"/>
      <c r="AC7" s="323"/>
    </row>
    <row r="8" s="257" customFormat="true" ht="16.5" hidden="false" customHeight="false" outlineLevel="0" collapsed="false">
      <c r="B8" s="594"/>
      <c r="C8" s="596" t="str">
        <f aca="false">+'SPV별 CAPEX 현황'!C6</f>
        <v>YJ NANSAN 2</v>
      </c>
      <c r="D8" s="596" t="n">
        <v>999.46</v>
      </c>
      <c r="E8" s="597" t="n">
        <v>550000</v>
      </c>
      <c r="F8" s="389" t="n">
        <f aca="false">+D8*E8</f>
        <v>549703000</v>
      </c>
      <c r="G8" s="452" t="n">
        <f aca="false">+N8+P8</f>
        <v>181646300</v>
      </c>
      <c r="H8" s="389" t="n">
        <f aca="false">+J8+L8</f>
        <v>368056700</v>
      </c>
      <c r="I8" s="598" t="n">
        <f aca="false">+'GM Batch1'!N18</f>
        <v>45450</v>
      </c>
      <c r="J8" s="389" t="n">
        <f aca="false">+'GM Batch1'!Q18</f>
        <v>302372950</v>
      </c>
      <c r="K8" s="598" t="n">
        <f aca="false">+'GM Batch1'!U18</f>
        <v>45456</v>
      </c>
      <c r="L8" s="389" t="n">
        <f aca="false">+'GM Batch1'!X18</f>
        <v>65683750</v>
      </c>
      <c r="M8" s="598"/>
      <c r="N8" s="452" t="n">
        <f aca="false">+'GM Batch1'!AD18</f>
        <v>16781600</v>
      </c>
      <c r="O8" s="612"/>
      <c r="P8" s="452" t="n">
        <f aca="false">+'GM Batch1'!BM18-66000</f>
        <v>164864700</v>
      </c>
      <c r="Q8" s="612"/>
      <c r="R8" s="323"/>
      <c r="S8" s="323"/>
      <c r="T8" s="323" t="n">
        <v>66000</v>
      </c>
      <c r="U8" s="323"/>
      <c r="V8" s="323"/>
      <c r="W8" s="323"/>
      <c r="X8" s="323"/>
      <c r="Y8" s="323"/>
      <c r="Z8" s="323"/>
      <c r="AA8" s="323"/>
      <c r="AB8" s="323"/>
      <c r="AC8" s="323"/>
    </row>
    <row r="9" s="257" customFormat="true" ht="16.5" hidden="false" customHeight="false" outlineLevel="0" collapsed="false">
      <c r="B9" s="594"/>
      <c r="C9" s="596" t="str">
        <f aca="false">+'SPV별 CAPEX 현황'!C7</f>
        <v>YJ GASI 1</v>
      </c>
      <c r="D9" s="596" t="n">
        <v>999.46</v>
      </c>
      <c r="E9" s="597" t="n">
        <v>550000</v>
      </c>
      <c r="F9" s="389" t="n">
        <f aca="false">+D9*E9</f>
        <v>549703000</v>
      </c>
      <c r="G9" s="452" t="n">
        <f aca="false">+N9+P9</f>
        <v>181640250</v>
      </c>
      <c r="H9" s="389" t="n">
        <f aca="false">+J9+L9</f>
        <v>368062750</v>
      </c>
      <c r="I9" s="598" t="n">
        <f aca="false">+'GM Batch1'!N24</f>
        <v>45450</v>
      </c>
      <c r="J9" s="389" t="n">
        <f aca="false">+'GM Batch1'!Q24</f>
        <v>302379000</v>
      </c>
      <c r="K9" s="598" t="n">
        <f aca="false">+'GM Batch1'!U24</f>
        <v>45456</v>
      </c>
      <c r="L9" s="389" t="n">
        <f aca="false">+'GM Batch1'!X24</f>
        <v>65683750</v>
      </c>
      <c r="M9" s="598"/>
      <c r="N9" s="452" t="n">
        <f aca="false">+'GM Batch1'!AD24</f>
        <v>16783250</v>
      </c>
      <c r="O9" s="612"/>
      <c r="P9" s="452" t="n">
        <f aca="false">+'GM Batch1'!BM24-77000</f>
        <v>164857000</v>
      </c>
      <c r="Q9" s="612"/>
      <c r="R9" s="323"/>
      <c r="S9" s="323"/>
      <c r="T9" s="323" t="n">
        <v>77000</v>
      </c>
      <c r="U9" s="323"/>
      <c r="V9" s="323"/>
      <c r="W9" s="323"/>
      <c r="X9" s="323"/>
      <c r="Y9" s="323"/>
      <c r="Z9" s="323"/>
      <c r="AA9" s="323"/>
      <c r="AB9" s="323"/>
      <c r="AC9" s="323"/>
    </row>
    <row r="10" s="257" customFormat="true" ht="16.5" hidden="false" customHeight="false" outlineLevel="0" collapsed="false">
      <c r="B10" s="594"/>
      <c r="C10" s="596" t="str">
        <f aca="false">+'SPV별 CAPEX 현황'!C8</f>
        <v>YJ GASI 2</v>
      </c>
      <c r="D10" s="596" t="n">
        <v>999.46</v>
      </c>
      <c r="E10" s="597" t="n">
        <v>550000</v>
      </c>
      <c r="F10" s="389" t="n">
        <f aca="false">+D10*E10</f>
        <v>549703000</v>
      </c>
      <c r="G10" s="452" t="n">
        <f aca="false">+N10+P10</f>
        <v>181640250</v>
      </c>
      <c r="H10" s="389" t="n">
        <f aca="false">+J10+L10</f>
        <v>368062750</v>
      </c>
      <c r="I10" s="598" t="n">
        <f aca="false">+'GM Batch1'!N30</f>
        <v>45450</v>
      </c>
      <c r="J10" s="389" t="n">
        <f aca="false">+'GM Batch1'!Q30</f>
        <v>302379000</v>
      </c>
      <c r="K10" s="598" t="n">
        <f aca="false">+'GM Batch1'!U30</f>
        <v>45456</v>
      </c>
      <c r="L10" s="389" t="n">
        <f aca="false">+'GM Batch1'!X30</f>
        <v>65683750</v>
      </c>
      <c r="M10" s="598"/>
      <c r="N10" s="452" t="n">
        <f aca="false">+'GM Batch1'!AD30</f>
        <v>16783250</v>
      </c>
      <c r="O10" s="612"/>
      <c r="P10" s="452" t="n">
        <f aca="false">+'GM Batch1'!BM30-77000</f>
        <v>164857000</v>
      </c>
      <c r="Q10" s="612"/>
      <c r="R10" s="323"/>
      <c r="S10" s="323"/>
      <c r="T10" s="323" t="n">
        <v>77000</v>
      </c>
      <c r="U10" s="323"/>
      <c r="V10" s="323"/>
      <c r="W10" s="323"/>
      <c r="X10" s="323"/>
      <c r="Y10" s="323"/>
      <c r="Z10" s="323"/>
      <c r="AA10" s="323"/>
      <c r="AB10" s="323"/>
      <c r="AC10" s="323"/>
    </row>
    <row r="11" s="257" customFormat="true" ht="16.5" hidden="false" customHeight="false" outlineLevel="0" collapsed="false">
      <c r="B11" s="594"/>
      <c r="C11" s="596" t="str">
        <f aca="false">+'SPV별 CAPEX 현황'!C9</f>
        <v>Dream 1</v>
      </c>
      <c r="D11" s="596" t="n">
        <f aca="false">+'SPV별 CAPEX 현황'!D9</f>
        <v>999.24</v>
      </c>
      <c r="E11" s="597" t="n">
        <v>550000</v>
      </c>
      <c r="F11" s="389"/>
      <c r="G11" s="452"/>
      <c r="H11" s="389" t="n">
        <f aca="false">+J11+L11+N11+P11</f>
        <v>0</v>
      </c>
      <c r="I11" s="598"/>
      <c r="J11" s="389"/>
      <c r="K11" s="598"/>
      <c r="L11" s="389"/>
      <c r="M11" s="598"/>
      <c r="N11" s="452"/>
      <c r="O11" s="452"/>
      <c r="P11" s="452"/>
      <c r="Q11" s="452"/>
      <c r="R11" s="323"/>
      <c r="S11" s="323"/>
      <c r="T11" s="323"/>
      <c r="U11" s="323"/>
      <c r="V11" s="323"/>
      <c r="W11" s="323"/>
      <c r="X11" s="323"/>
      <c r="Y11" s="323"/>
      <c r="Z11" s="323"/>
      <c r="AA11" s="323"/>
      <c r="AB11" s="323"/>
      <c r="AC11" s="323"/>
    </row>
    <row r="12" s="257" customFormat="true" ht="16.5" hidden="false" customHeight="false" outlineLevel="0" collapsed="false">
      <c r="B12" s="594"/>
      <c r="C12" s="596" t="str">
        <f aca="false">+'SPV별 CAPEX 현황'!C10</f>
        <v>Dream 2</v>
      </c>
      <c r="D12" s="596" t="n">
        <f aca="false">+'SPV별 CAPEX 현황'!D10</f>
        <v>999.24</v>
      </c>
      <c r="E12" s="597" t="n">
        <v>550000</v>
      </c>
      <c r="F12" s="389"/>
      <c r="G12" s="452"/>
      <c r="H12" s="389" t="n">
        <f aca="false">+J12+L12+N12+P12</f>
        <v>0</v>
      </c>
      <c r="I12" s="598"/>
      <c r="J12" s="389"/>
      <c r="K12" s="598"/>
      <c r="L12" s="389"/>
      <c r="M12" s="598"/>
      <c r="N12" s="452"/>
      <c r="O12" s="452"/>
      <c r="P12" s="452"/>
      <c r="Q12" s="452"/>
      <c r="R12" s="323"/>
      <c r="S12" s="323"/>
      <c r="T12" s="323"/>
      <c r="U12" s="323"/>
      <c r="V12" s="323"/>
      <c r="W12" s="323"/>
      <c r="X12" s="323"/>
      <c r="Y12" s="323"/>
      <c r="Z12" s="323"/>
      <c r="AA12" s="323"/>
      <c r="AB12" s="323"/>
      <c r="AC12" s="323"/>
    </row>
    <row r="13" s="257" customFormat="true" ht="16.5" hidden="false" customHeight="false" outlineLevel="0" collapsed="false">
      <c r="B13" s="594"/>
      <c r="C13" s="596" t="str">
        <f aca="false">+'SPV별 CAPEX 현황'!C11</f>
        <v>JEIL TECH 1</v>
      </c>
      <c r="D13" s="596" t="n">
        <f aca="false">+'SPV별 CAPEX 현황'!D11</f>
        <v>999.44</v>
      </c>
      <c r="E13" s="597" t="n">
        <v>550000</v>
      </c>
      <c r="F13" s="389"/>
      <c r="G13" s="452"/>
      <c r="H13" s="389" t="n">
        <f aca="false">+J13+L13+N13+P13</f>
        <v>0</v>
      </c>
      <c r="I13" s="598"/>
      <c r="J13" s="389"/>
      <c r="K13" s="598"/>
      <c r="L13" s="389"/>
      <c r="M13" s="598"/>
      <c r="N13" s="452"/>
      <c r="O13" s="452"/>
      <c r="P13" s="452"/>
      <c r="Q13" s="452"/>
      <c r="R13" s="323"/>
      <c r="S13" s="323"/>
      <c r="T13" s="323"/>
      <c r="U13" s="323"/>
      <c r="V13" s="323"/>
      <c r="W13" s="323"/>
      <c r="X13" s="323"/>
      <c r="Y13" s="323"/>
      <c r="Z13" s="323"/>
      <c r="AA13" s="323"/>
      <c r="AB13" s="323"/>
      <c r="AC13" s="323"/>
    </row>
    <row r="14" s="257" customFormat="true" ht="16.5" hidden="false" customHeight="false" outlineLevel="0" collapsed="false">
      <c r="B14" s="594"/>
      <c r="C14" s="596" t="str">
        <f aca="false">+'SPV별 CAPEX 현황'!C12</f>
        <v>JEIL TECH 2</v>
      </c>
      <c r="D14" s="596" t="n">
        <f aca="false">+'SPV별 CAPEX 현황'!D12</f>
        <v>999.44</v>
      </c>
      <c r="E14" s="597" t="n">
        <v>550000</v>
      </c>
      <c r="F14" s="389"/>
      <c r="G14" s="452"/>
      <c r="H14" s="389" t="n">
        <f aca="false">+J14+L14+N14+P14</f>
        <v>0</v>
      </c>
      <c r="I14" s="598"/>
      <c r="J14" s="389"/>
      <c r="K14" s="598"/>
      <c r="L14" s="389"/>
      <c r="M14" s="598"/>
      <c r="N14" s="452"/>
      <c r="O14" s="452"/>
      <c r="P14" s="452"/>
      <c r="Q14" s="452"/>
      <c r="R14" s="323"/>
      <c r="S14" s="323"/>
      <c r="T14" s="323"/>
      <c r="U14" s="323"/>
      <c r="V14" s="323"/>
      <c r="W14" s="323"/>
      <c r="X14" s="323"/>
      <c r="Y14" s="323"/>
      <c r="Z14" s="323"/>
      <c r="AA14" s="323"/>
      <c r="AB14" s="323"/>
      <c r="AC14" s="323"/>
    </row>
    <row r="15" s="257" customFormat="true" ht="16.5" hidden="false" customHeight="false" outlineLevel="0" collapsed="false">
      <c r="B15" s="150"/>
      <c r="C15" s="309"/>
      <c r="D15" s="309"/>
      <c r="E15" s="584"/>
      <c r="F15" s="323"/>
      <c r="G15" s="613"/>
      <c r="H15" s="323"/>
      <c r="I15" s="614"/>
      <c r="J15" s="323"/>
      <c r="K15" s="614"/>
      <c r="L15" s="323"/>
      <c r="M15" s="614"/>
      <c r="N15" s="613"/>
      <c r="O15" s="613"/>
      <c r="P15" s="613"/>
      <c r="Q15" s="613"/>
      <c r="R15" s="323"/>
      <c r="S15" s="323"/>
      <c r="T15" s="323"/>
      <c r="U15" s="323"/>
      <c r="V15" s="323"/>
      <c r="W15" s="323"/>
      <c r="X15" s="323"/>
      <c r="Y15" s="323"/>
      <c r="Z15" s="323"/>
      <c r="AA15" s="323"/>
      <c r="AB15" s="323"/>
      <c r="AC15" s="323"/>
    </row>
    <row r="16" customFormat="false" ht="16.5" hidden="false" customHeight="false" outlineLevel="0" collapsed="false">
      <c r="Q16" s="5" t="s">
        <v>47</v>
      </c>
    </row>
    <row r="17" customFormat="false" ht="16.5" hidden="false" customHeight="true" outlineLevel="0" collapsed="false">
      <c r="B17" s="297" t="s">
        <v>96</v>
      </c>
      <c r="C17" s="297" t="s">
        <v>477</v>
      </c>
      <c r="D17" s="299" t="s">
        <v>123</v>
      </c>
      <c r="E17" s="586" t="s">
        <v>473</v>
      </c>
      <c r="F17" s="587" t="s">
        <v>109</v>
      </c>
      <c r="G17" s="611" t="s">
        <v>474</v>
      </c>
      <c r="H17" s="588" t="s">
        <v>414</v>
      </c>
      <c r="I17" s="587" t="s">
        <v>435</v>
      </c>
      <c r="J17" s="587"/>
      <c r="K17" s="587" t="s">
        <v>436</v>
      </c>
      <c r="L17" s="587"/>
      <c r="M17" s="587" t="s">
        <v>437</v>
      </c>
      <c r="N17" s="587"/>
      <c r="O17" s="587" t="s">
        <v>438</v>
      </c>
      <c r="P17" s="587"/>
      <c r="Q17" s="587" t="s">
        <v>216</v>
      </c>
    </row>
    <row r="18" customFormat="false" ht="16.5" hidden="false" customHeight="false" outlineLevel="0" collapsed="false">
      <c r="B18" s="297"/>
      <c r="C18" s="297"/>
      <c r="D18" s="299"/>
      <c r="E18" s="586"/>
      <c r="F18" s="587"/>
      <c r="G18" s="611"/>
      <c r="H18" s="588"/>
      <c r="I18" s="587" t="s">
        <v>168</v>
      </c>
      <c r="J18" s="593" t="s">
        <v>432</v>
      </c>
      <c r="K18" s="587" t="s">
        <v>168</v>
      </c>
      <c r="L18" s="593" t="s">
        <v>475</v>
      </c>
      <c r="M18" s="587" t="s">
        <v>168</v>
      </c>
      <c r="N18" s="593" t="s">
        <v>475</v>
      </c>
      <c r="O18" s="587" t="s">
        <v>168</v>
      </c>
      <c r="P18" s="593" t="s">
        <v>475</v>
      </c>
      <c r="Q18" s="587"/>
    </row>
    <row r="19" customFormat="false" ht="16.5" hidden="false" customHeight="false" outlineLevel="0" collapsed="false">
      <c r="B19" s="594" t="s">
        <v>434</v>
      </c>
      <c r="C19" s="595"/>
      <c r="D19" s="596" t="n">
        <f aca="false">+SUM(D20:D25)</f>
        <v>2398.92</v>
      </c>
      <c r="E19" s="597"/>
      <c r="F19" s="389" t="n">
        <f aca="false">+SUM(F20:F25)</f>
        <v>2039082000</v>
      </c>
      <c r="G19" s="452" t="n">
        <f aca="false">+SUM(G20:G25)</f>
        <v>1298830800</v>
      </c>
      <c r="H19" s="389" t="n">
        <f aca="false">+SUM(H20:H25)</f>
        <v>740251200</v>
      </c>
      <c r="I19" s="598"/>
      <c r="J19" s="389" t="n">
        <f aca="false">+SUM(J20:J25)</f>
        <v>740251200</v>
      </c>
      <c r="K19" s="389"/>
      <c r="L19" s="452" t="n">
        <f aca="false">+SUM(L20:L25)</f>
        <v>311859600</v>
      </c>
      <c r="M19" s="389"/>
      <c r="N19" s="452" t="n">
        <f aca="false">+SUM(N20:N25)</f>
        <v>467789400</v>
      </c>
      <c r="O19" s="452"/>
      <c r="P19" s="452" t="n">
        <f aca="false">+SUM(P20:P25)</f>
        <v>519181800</v>
      </c>
      <c r="Q19" s="452"/>
    </row>
    <row r="20" customFormat="false" ht="16.5" hidden="false" customHeight="false" outlineLevel="0" collapsed="false">
      <c r="B20" s="594"/>
      <c r="C20" s="596" t="str">
        <f aca="false">+'GM Batch2-APA'!C11</f>
        <v>Jangchon 1 (APA)</v>
      </c>
      <c r="D20" s="596" t="n">
        <f aca="false">+'GM Batch2-APA'!D11</f>
        <v>551.04</v>
      </c>
      <c r="E20" s="597" t="n">
        <v>850000</v>
      </c>
      <c r="F20" s="389" t="n">
        <f aca="false">+D20*E20</f>
        <v>468384000</v>
      </c>
      <c r="G20" s="452" t="n">
        <f aca="false">+L20+N20+P20</f>
        <v>208581600</v>
      </c>
      <c r="H20" s="389" t="n">
        <f aca="false">+J20</f>
        <v>259802400</v>
      </c>
      <c r="I20" s="598" t="n">
        <f aca="false">+'GM Batch2-APA'!N13</f>
        <v>45807</v>
      </c>
      <c r="J20" s="389" t="n">
        <f aca="false">+'GM Batch2-APA'!Q12+'GM Batch2-APA'!Q13+'GM Batch2-APA'!Q14</f>
        <v>259802400</v>
      </c>
      <c r="K20" s="598"/>
      <c r="L20" s="452" t="n">
        <f aca="false">+'GM Batch2-APA'!W12+'GM Batch2-APA'!W13</f>
        <v>71635200</v>
      </c>
      <c r="M20" s="598"/>
      <c r="N20" s="452" t="n">
        <f aca="false">+'GM Batch2-APA'!AD12+'GM Batch2-APA'!AD13</f>
        <v>107452800</v>
      </c>
      <c r="O20" s="612"/>
      <c r="P20" s="452" t="n">
        <v>29493599.9999999</v>
      </c>
      <c r="Q20" s="615" t="s">
        <v>478</v>
      </c>
      <c r="S20" s="616" t="n">
        <f aca="false">+F20=G20+H20</f>
        <v>1</v>
      </c>
      <c r="T20" s="616"/>
    </row>
    <row r="21" customFormat="false" ht="16.5" hidden="false" customHeight="false" outlineLevel="0" collapsed="false">
      <c r="B21" s="594"/>
      <c r="C21" s="596" t="str">
        <f aca="false">+'GM Batch2-APA'!C17</f>
        <v>Soltop Masan 1 (APA)</v>
      </c>
      <c r="D21" s="596" t="n">
        <f aca="false">+'GM Batch2-APA'!D17</f>
        <v>399.04</v>
      </c>
      <c r="E21" s="597" t="n">
        <v>850000</v>
      </c>
      <c r="F21" s="389" t="n">
        <f aca="false">+D21*E21</f>
        <v>339184000</v>
      </c>
      <c r="G21" s="452" t="n">
        <f aca="false">+L21+N21+P21</f>
        <v>235433600</v>
      </c>
      <c r="H21" s="389" t="n">
        <f aca="false">+J21</f>
        <v>103750400</v>
      </c>
      <c r="I21" s="598" t="n">
        <f aca="false">+'GM Batch2-APA'!M18</f>
        <v>45807</v>
      </c>
      <c r="J21" s="389" t="n">
        <f aca="false">+'GM Batch2-APA'!Q18+'GM Batch2-APA'!Q19+'GM Batch2-APA'!Q20</f>
        <v>103750400</v>
      </c>
      <c r="K21" s="598"/>
      <c r="L21" s="452" t="n">
        <f aca="false">+'GM Batch2-APA'!W18+'GM Batch2-APA'!W19</f>
        <v>51875200</v>
      </c>
      <c r="M21" s="598"/>
      <c r="N21" s="452" t="n">
        <f aca="false">+'GM Batch2-APA'!AD18+'GM Batch2-APA'!AD19</f>
        <v>77812800</v>
      </c>
      <c r="O21" s="612"/>
      <c r="P21" s="452" t="n">
        <f aca="false">+'GM Batch2-APA'!BM18+'GM Batch2-APA'!BM19+'GM Batch2-APA'!BM20</f>
        <v>105745600</v>
      </c>
      <c r="Q21" s="612"/>
      <c r="S21" s="616" t="n">
        <f aca="false">+F21=G21+H21</f>
        <v>1</v>
      </c>
      <c r="T21" s="616"/>
    </row>
    <row r="22" customFormat="false" ht="16.5" hidden="false" customHeight="false" outlineLevel="0" collapsed="false">
      <c r="B22" s="594"/>
      <c r="C22" s="596" t="str">
        <f aca="false">+'GM Batch2-APA'!C23</f>
        <v>Hanil Mugok 15 (APA)</v>
      </c>
      <c r="D22" s="596" t="n">
        <f aca="false">+'GM Batch2-APA'!D23</f>
        <v>499.96</v>
      </c>
      <c r="E22" s="597" t="n">
        <v>850000</v>
      </c>
      <c r="F22" s="389" t="n">
        <f aca="false">+D22*E22</f>
        <v>424966000</v>
      </c>
      <c r="G22" s="452" t="n">
        <f aca="false">+L22+N22+P22</f>
        <v>294976400</v>
      </c>
      <c r="H22" s="389" t="n">
        <f aca="false">+J22</f>
        <v>129989600</v>
      </c>
      <c r="I22" s="598" t="n">
        <f aca="false">+I21</f>
        <v>45807</v>
      </c>
      <c r="J22" s="389" t="n">
        <f aca="false">+'GM Batch2-APA'!Q24+'GM Batch2-APA'!Q25+'GM Batch2-APA'!Q26</f>
        <v>129989600</v>
      </c>
      <c r="K22" s="598"/>
      <c r="L22" s="452" t="n">
        <f aca="false">+'GM Batch2-APA'!W24+'GM Batch2-APA'!W25</f>
        <v>64994800</v>
      </c>
      <c r="M22" s="598"/>
      <c r="N22" s="452" t="n">
        <f aca="false">+'GM Batch2-APA'!AD24+'GM Batch2-APA'!AD25</f>
        <v>97492200</v>
      </c>
      <c r="O22" s="612"/>
      <c r="P22" s="452" t="n">
        <f aca="false">+'GM Batch2-APA'!BM24+'GM Batch2-APA'!BM25+'GM Batch2-APA'!BM26</f>
        <v>132489400</v>
      </c>
      <c r="Q22" s="612"/>
      <c r="S22" s="616" t="n">
        <f aca="false">+F22=G22+H22</f>
        <v>1</v>
      </c>
      <c r="T22" s="616"/>
    </row>
    <row r="23" customFormat="false" ht="16.5" hidden="false" customHeight="false" outlineLevel="0" collapsed="false">
      <c r="B23" s="594"/>
      <c r="C23" s="596" t="str">
        <f aca="false">+'GM Batch2-APA'!C29</f>
        <v>Hanil Jigyeong 1 (APA)</v>
      </c>
      <c r="D23" s="596" t="n">
        <f aca="false">+'GM Batch2-APA'!D29</f>
        <v>499.96</v>
      </c>
      <c r="E23" s="597" t="n">
        <v>850000</v>
      </c>
      <c r="F23" s="389" t="n">
        <f aca="false">+D23*E23</f>
        <v>424966000</v>
      </c>
      <c r="G23" s="452" t="n">
        <f aca="false">+L23+N23+P23</f>
        <v>294976400</v>
      </c>
      <c r="H23" s="389" t="n">
        <f aca="false">+J23</f>
        <v>129989600</v>
      </c>
      <c r="I23" s="598" t="n">
        <f aca="false">+I22</f>
        <v>45807</v>
      </c>
      <c r="J23" s="389" t="n">
        <f aca="false">+'GM Batch2-APA'!Q30+'GM Batch2-APA'!Q31+'GM Batch2-APA'!Q32</f>
        <v>129989600</v>
      </c>
      <c r="K23" s="598"/>
      <c r="L23" s="452" t="n">
        <f aca="false">+'GM Batch2-APA'!W30+'GM Batch2-APA'!W31</f>
        <v>64994800</v>
      </c>
      <c r="M23" s="598"/>
      <c r="N23" s="452" t="n">
        <f aca="false">+'GM Batch2-APA'!AD30+'GM Batch2-APA'!AD31</f>
        <v>97492200</v>
      </c>
      <c r="O23" s="612"/>
      <c r="P23" s="452" t="n">
        <f aca="false">+'GM Batch2-APA'!BM30+'GM Batch2-APA'!BM31+'GM Batch2-APA'!BM32</f>
        <v>132489400</v>
      </c>
      <c r="Q23" s="612"/>
      <c r="S23" s="616" t="n">
        <f aca="false">+F23=G23+H23</f>
        <v>1</v>
      </c>
      <c r="T23" s="616"/>
    </row>
    <row r="24" customFormat="false" ht="16.5" hidden="false" customHeight="false" outlineLevel="0" collapsed="false">
      <c r="B24" s="594"/>
      <c r="C24" s="596" t="str">
        <f aca="false">+'GM Batch2-APA'!C35</f>
        <v>Hanil Jigyeong 2 (APA)</v>
      </c>
      <c r="D24" s="596" t="n">
        <f aca="false">+'GM Batch2-APA'!D35</f>
        <v>149.64</v>
      </c>
      <c r="E24" s="597" t="n">
        <v>850000</v>
      </c>
      <c r="F24" s="389" t="n">
        <f aca="false">+D24*E24</f>
        <v>127194000</v>
      </c>
      <c r="G24" s="452" t="n">
        <f aca="false">+L24+N24+P24</f>
        <v>88287600</v>
      </c>
      <c r="H24" s="389" t="n">
        <f aca="false">+J24</f>
        <v>38906400</v>
      </c>
      <c r="I24" s="598" t="n">
        <f aca="false">+I23</f>
        <v>45807</v>
      </c>
      <c r="J24" s="389" t="n">
        <f aca="false">+'GM Batch2-APA'!Q36+'GM Batch2-APA'!Q37+'GM Batch2-APA'!Q38</f>
        <v>38906400</v>
      </c>
      <c r="K24" s="598"/>
      <c r="L24" s="452" t="n">
        <f aca="false">+'GM Batch2-APA'!W36+'GM Batch2-APA'!W37</f>
        <v>19453200</v>
      </c>
      <c r="M24" s="598"/>
      <c r="N24" s="452" t="n">
        <f aca="false">+'GM Batch2-APA'!AD36+'GM Batch2-APA'!AD37</f>
        <v>29179800</v>
      </c>
      <c r="O24" s="612"/>
      <c r="P24" s="452" t="n">
        <f aca="false">+'GM Batch2-APA'!BM36+'GM Batch2-APA'!BM37+'GM Batch2-APA'!BM38</f>
        <v>39654600</v>
      </c>
      <c r="Q24" s="612"/>
      <c r="S24" s="616" t="n">
        <f aca="false">+F24=G24+H24</f>
        <v>1</v>
      </c>
      <c r="T24" s="616"/>
    </row>
    <row r="25" customFormat="false" ht="16.5" hidden="false" customHeight="false" outlineLevel="0" collapsed="false">
      <c r="B25" s="594"/>
      <c r="C25" s="596" t="str">
        <f aca="false">+'GM Batch2-APA'!C41</f>
        <v>Ho Duck4 (APA)</v>
      </c>
      <c r="D25" s="596" t="n">
        <f aca="false">+'GM Batch2-APA'!D41</f>
        <v>299.28</v>
      </c>
      <c r="E25" s="597" t="n">
        <v>850000</v>
      </c>
      <c r="F25" s="389" t="n">
        <f aca="false">+D25*E25</f>
        <v>254388000</v>
      </c>
      <c r="G25" s="452" t="n">
        <f aca="false">+L25+N25+P25</f>
        <v>176575200</v>
      </c>
      <c r="H25" s="389" t="n">
        <f aca="false">+J25</f>
        <v>77812800</v>
      </c>
      <c r="I25" s="598" t="n">
        <f aca="false">+I24</f>
        <v>45807</v>
      </c>
      <c r="J25" s="389" t="n">
        <f aca="false">+'GM Batch2-APA'!Q42+'GM Batch2-APA'!Q43+'GM Batch2-APA'!Q44</f>
        <v>77812800</v>
      </c>
      <c r="K25" s="598"/>
      <c r="L25" s="452" t="n">
        <f aca="false">+'GM Batch2-APA'!W42+'GM Batch2-APA'!W43</f>
        <v>38906400</v>
      </c>
      <c r="M25" s="598"/>
      <c r="N25" s="452" t="n">
        <f aca="false">+'GM Batch2-APA'!AD42+'GM Batch2-APA'!AD43</f>
        <v>58359600</v>
      </c>
      <c r="O25" s="612"/>
      <c r="P25" s="452" t="n">
        <f aca="false">+'GM Batch2-APA'!BM42+'GM Batch2-APA'!BM43+'GM Batch2-APA'!BM44</f>
        <v>79309200</v>
      </c>
      <c r="Q25" s="612"/>
      <c r="S25" s="616" t="n">
        <f aca="false">+F25=G25+H25</f>
        <v>1</v>
      </c>
      <c r="T25" s="616"/>
    </row>
    <row r="26" customFormat="false" ht="16.5" hidden="false" customHeight="false" outlineLevel="0" collapsed="false">
      <c r="B26" s="0" t="s">
        <v>479</v>
      </c>
    </row>
    <row r="27" customFormat="false" ht="16.5" hidden="false" customHeight="false" outlineLevel="0" collapsed="false">
      <c r="B27" s="0" t="s">
        <v>480</v>
      </c>
    </row>
    <row r="28" customFormat="false" ht="16.5" hidden="false" customHeight="false" outlineLevel="0" collapsed="false">
      <c r="B28" s="0" t="s">
        <v>481</v>
      </c>
    </row>
    <row r="29" customFormat="false" ht="16.5" hidden="false" customHeight="false" outlineLevel="0" collapsed="false">
      <c r="B29" s="0" t="s">
        <v>482</v>
      </c>
    </row>
    <row r="30" customFormat="false" ht="16.5" hidden="false" customHeight="false" outlineLevel="0" collapsed="false">
      <c r="Q30" s="5" t="s">
        <v>47</v>
      </c>
    </row>
    <row r="31" customFormat="false" ht="16.5" hidden="false" customHeight="true" outlineLevel="0" collapsed="false">
      <c r="B31" s="297" t="s">
        <v>96</v>
      </c>
      <c r="C31" s="297" t="s">
        <v>477</v>
      </c>
      <c r="D31" s="299" t="s">
        <v>123</v>
      </c>
      <c r="E31" s="586" t="s">
        <v>473</v>
      </c>
      <c r="F31" s="587" t="s">
        <v>109</v>
      </c>
      <c r="G31" s="611" t="s">
        <v>474</v>
      </c>
      <c r="H31" s="588" t="s">
        <v>414</v>
      </c>
      <c r="I31" s="587" t="s">
        <v>483</v>
      </c>
      <c r="J31" s="587"/>
      <c r="K31" s="587" t="s">
        <v>436</v>
      </c>
      <c r="L31" s="587"/>
      <c r="M31" s="587" t="s">
        <v>437</v>
      </c>
      <c r="N31" s="587"/>
      <c r="O31" s="587" t="s">
        <v>484</v>
      </c>
      <c r="P31" s="587"/>
      <c r="Q31" s="587" t="s">
        <v>216</v>
      </c>
    </row>
    <row r="32" customFormat="false" ht="16.5" hidden="false" customHeight="false" outlineLevel="0" collapsed="false">
      <c r="B32" s="297"/>
      <c r="C32" s="297"/>
      <c r="D32" s="299"/>
      <c r="E32" s="586"/>
      <c r="F32" s="587"/>
      <c r="G32" s="611"/>
      <c r="H32" s="588"/>
      <c r="I32" s="587" t="s">
        <v>168</v>
      </c>
      <c r="J32" s="593" t="s">
        <v>432</v>
      </c>
      <c r="K32" s="587" t="s">
        <v>168</v>
      </c>
      <c r="L32" s="593" t="s">
        <v>475</v>
      </c>
      <c r="M32" s="587" t="s">
        <v>168</v>
      </c>
      <c r="N32" s="593" t="s">
        <v>475</v>
      </c>
      <c r="O32" s="587" t="s">
        <v>168</v>
      </c>
      <c r="P32" s="593" t="s">
        <v>475</v>
      </c>
      <c r="Q32" s="587"/>
    </row>
    <row r="33" customFormat="false" ht="16.5" hidden="false" customHeight="false" outlineLevel="0" collapsed="false">
      <c r="B33" s="594" t="s">
        <v>434</v>
      </c>
      <c r="C33" s="595"/>
      <c r="D33" s="596" t="n">
        <f aca="false">+SUM(D34:D37)</f>
        <v>2443.32</v>
      </c>
      <c r="E33" s="597"/>
      <c r="F33" s="389" t="n">
        <f aca="false">+SUM(F34:F37)</f>
        <v>1390156000</v>
      </c>
      <c r="G33" s="452" t="n">
        <f aca="false">+SUM(G34:G37)</f>
        <v>488664000</v>
      </c>
      <c r="H33" s="389" t="n">
        <f aca="false">+SUM(H34:H37)</f>
        <v>901492000</v>
      </c>
      <c r="I33" s="598"/>
      <c r="J33" s="389" t="n">
        <f aca="false">+SUM(J34:J37)</f>
        <v>901492000</v>
      </c>
      <c r="K33" s="389"/>
      <c r="L33" s="452" t="n">
        <f aca="false">+SUM(L34:L37)</f>
        <v>0</v>
      </c>
      <c r="M33" s="389"/>
      <c r="N33" s="452" t="n">
        <f aca="false">+SUM(N34:N37)</f>
        <v>0</v>
      </c>
      <c r="O33" s="452"/>
      <c r="P33" s="452" t="n">
        <f aca="false">+SUM(P34:P37)</f>
        <v>488664000</v>
      </c>
      <c r="Q33" s="452"/>
    </row>
    <row r="34" customFormat="false" ht="16.5" hidden="false" customHeight="false" outlineLevel="0" collapsed="false">
      <c r="B34" s="594"/>
      <c r="C34" s="596" t="str">
        <f aca="false">+'GM Batch2-SPA'!C11</f>
        <v>Galsan (SPA)</v>
      </c>
      <c r="D34" s="596" t="n">
        <v>617.76</v>
      </c>
      <c r="E34" s="597"/>
      <c r="F34" s="389" t="n">
        <f aca="false">+D34*200000000/1000+223820970</f>
        <v>347372970</v>
      </c>
      <c r="G34" s="452" t="n">
        <f aca="false">+L34+N34+P34</f>
        <v>123552000</v>
      </c>
      <c r="H34" s="389" t="n">
        <f aca="false">+J34</f>
        <v>223820970</v>
      </c>
      <c r="I34" s="598" t="n">
        <f aca="false">+'GM Batch2-SPA'!N12</f>
        <v>45863</v>
      </c>
      <c r="J34" s="389" t="n">
        <f aca="false">+'GM Batch2-SPA'!K12</f>
        <v>223820970</v>
      </c>
      <c r="K34" s="598"/>
      <c r="L34" s="452"/>
      <c r="M34" s="598"/>
      <c r="N34" s="452"/>
      <c r="O34" s="612"/>
      <c r="P34" s="452" t="n">
        <f aca="false">+D34*200000000/1000</f>
        <v>123552000</v>
      </c>
      <c r="Q34" s="615"/>
      <c r="S34" s="616" t="n">
        <f aca="false">+P34+J34=F34</f>
        <v>1</v>
      </c>
      <c r="T34" s="616"/>
    </row>
    <row r="35" customFormat="false" ht="16.5" hidden="false" customHeight="false" outlineLevel="0" collapsed="false">
      <c r="B35" s="594"/>
      <c r="C35" s="596" t="str">
        <f aca="false">+'GM Batch2-SPA'!C17</f>
        <v>Mineuri (SPA)</v>
      </c>
      <c r="D35" s="596" t="n">
        <v>564.96</v>
      </c>
      <c r="E35" s="597"/>
      <c r="F35" s="389" t="n">
        <f aca="false">+D35*200000000/1000+110418040</f>
        <v>223410040</v>
      </c>
      <c r="G35" s="452" t="n">
        <f aca="false">+L35+N35+P35</f>
        <v>112992000</v>
      </c>
      <c r="H35" s="389" t="n">
        <f aca="false">+J35</f>
        <v>110418040</v>
      </c>
      <c r="I35" s="598" t="n">
        <f aca="false">+I34</f>
        <v>45863</v>
      </c>
      <c r="J35" s="389" t="n">
        <f aca="false">+'GM Batch2-SPA'!Q18</f>
        <v>110418040</v>
      </c>
      <c r="K35" s="598"/>
      <c r="L35" s="452"/>
      <c r="M35" s="598"/>
      <c r="N35" s="452"/>
      <c r="O35" s="612"/>
      <c r="P35" s="452" t="n">
        <f aca="false">+D35*200000000/1000</f>
        <v>112992000</v>
      </c>
      <c r="Q35" s="612"/>
      <c r="S35" s="616" t="n">
        <f aca="false">+P35+J35=F35</f>
        <v>1</v>
      </c>
      <c r="T35" s="616"/>
    </row>
    <row r="36" customFormat="false" ht="16.5" hidden="false" customHeight="false" outlineLevel="0" collapsed="false">
      <c r="B36" s="594"/>
      <c r="C36" s="596" t="str">
        <f aca="false">+'GM Batch2-SPA'!C23</f>
        <v>Seagol(SPA)</v>
      </c>
      <c r="D36" s="596" t="n">
        <v>634.92</v>
      </c>
      <c r="E36" s="597"/>
      <c r="F36" s="389" t="n">
        <f aca="false">+D36*200000000/1000+108773270</f>
        <v>235757270</v>
      </c>
      <c r="G36" s="452" t="n">
        <f aca="false">+L36+N36+P36</f>
        <v>126984000</v>
      </c>
      <c r="H36" s="389" t="n">
        <f aca="false">+J36</f>
        <v>108773270</v>
      </c>
      <c r="I36" s="598" t="n">
        <f aca="false">+I35</f>
        <v>45863</v>
      </c>
      <c r="J36" s="389" t="n">
        <f aca="false">+'GM Batch2-SPA'!Q24</f>
        <v>108773270</v>
      </c>
      <c r="K36" s="598"/>
      <c r="L36" s="452"/>
      <c r="M36" s="598"/>
      <c r="N36" s="452"/>
      <c r="O36" s="612"/>
      <c r="P36" s="452" t="n">
        <f aca="false">+D36*200000000/1000</f>
        <v>126984000</v>
      </c>
      <c r="Q36" s="612"/>
      <c r="S36" s="616" t="n">
        <f aca="false">+P36+J36=F36</f>
        <v>1</v>
      </c>
      <c r="T36" s="616"/>
    </row>
    <row r="37" customFormat="false" ht="16.5" hidden="false" customHeight="false" outlineLevel="0" collapsed="false">
      <c r="B37" s="594"/>
      <c r="C37" s="596" t="str">
        <f aca="false">+'GM Batch2-SPA'!C29</f>
        <v>Jaesan (SPA)</v>
      </c>
      <c r="D37" s="596" t="n">
        <v>625.68</v>
      </c>
      <c r="E37" s="597"/>
      <c r="F37" s="389" t="n">
        <f aca="false">+D37*200000000/1000+458479720</f>
        <v>583615720</v>
      </c>
      <c r="G37" s="452" t="n">
        <f aca="false">+L37+N37+P37</f>
        <v>125136000</v>
      </c>
      <c r="H37" s="389" t="n">
        <f aca="false">+J37</f>
        <v>458479720</v>
      </c>
      <c r="I37" s="598" t="n">
        <f aca="false">+I36</f>
        <v>45863</v>
      </c>
      <c r="J37" s="389" t="n">
        <f aca="false">+'GM Batch2-SPA'!Q30</f>
        <v>458479720</v>
      </c>
      <c r="K37" s="598"/>
      <c r="L37" s="452"/>
      <c r="M37" s="598"/>
      <c r="N37" s="452"/>
      <c r="O37" s="612"/>
      <c r="P37" s="452" t="n">
        <f aca="false">+D37*200000000/1000</f>
        <v>125136000</v>
      </c>
      <c r="Q37" s="612"/>
      <c r="S37" s="616" t="n">
        <f aca="false">+P37+J37=F37</f>
        <v>1</v>
      </c>
      <c r="T37" s="616"/>
    </row>
    <row r="38" customFormat="false" ht="16.5" hidden="false" customHeight="false" outlineLevel="0" collapsed="false">
      <c r="B38" s="0" t="s">
        <v>485</v>
      </c>
    </row>
    <row r="39" customFormat="false" ht="16.5" hidden="false" customHeight="false" outlineLevel="0" collapsed="false">
      <c r="B39" s="0" t="s">
        <v>486</v>
      </c>
    </row>
  </sheetData>
  <mergeCells count="39">
    <mergeCell ref="B4:B5"/>
    <mergeCell ref="C4:C5"/>
    <mergeCell ref="D4:D5"/>
    <mergeCell ref="E4:E5"/>
    <mergeCell ref="F4:F5"/>
    <mergeCell ref="G4:G5"/>
    <mergeCell ref="H4:H5"/>
    <mergeCell ref="I4:J4"/>
    <mergeCell ref="K4:L4"/>
    <mergeCell ref="M4:N4"/>
    <mergeCell ref="O4:P4"/>
    <mergeCell ref="Q4:Q5"/>
    <mergeCell ref="B6:B14"/>
    <mergeCell ref="B17:B18"/>
    <mergeCell ref="C17:C18"/>
    <mergeCell ref="D17:D18"/>
    <mergeCell ref="E17:E18"/>
    <mergeCell ref="F17:F18"/>
    <mergeCell ref="G17:G18"/>
    <mergeCell ref="H17:H18"/>
    <mergeCell ref="I17:J17"/>
    <mergeCell ref="K17:L17"/>
    <mergeCell ref="M17:N17"/>
    <mergeCell ref="O17:P17"/>
    <mergeCell ref="Q17:Q18"/>
    <mergeCell ref="B19:B25"/>
    <mergeCell ref="B31:B32"/>
    <mergeCell ref="C31:C32"/>
    <mergeCell ref="D31:D32"/>
    <mergeCell ref="E31:E32"/>
    <mergeCell ref="F31:F32"/>
    <mergeCell ref="G31:G32"/>
    <mergeCell ref="H31:H32"/>
    <mergeCell ref="I31:J31"/>
    <mergeCell ref="K31:L31"/>
    <mergeCell ref="M31:N31"/>
    <mergeCell ref="O31:P31"/>
    <mergeCell ref="Q31:Q32"/>
    <mergeCell ref="B33:B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XFD72"/>
  <sheetViews>
    <sheetView showFormulas="false" showGridLines="false" showRowColHeaders="true" showZeros="true" rightToLeft="false" tabSelected="false" showOutlineSymbols="true" defaultGridColor="true" view="normal" topLeftCell="A1" colorId="64" zoomScale="115" zoomScaleNormal="115" zoomScalePageLayoutView="55" workbookViewId="0">
      <pane xSplit="9" ySplit="10" topLeftCell="BG11" activePane="bottomRight" state="frozen"/>
      <selection pane="topLeft" activeCell="A1" activeCellId="0" sqref="A1"/>
      <selection pane="topRight" activeCell="BG1" activeCellId="0" sqref="BG1"/>
      <selection pane="bottomLeft" activeCell="A11" activeCellId="0" sqref="A11"/>
      <selection pane="bottomRight" activeCell="B4" activeCellId="0" sqref="B4"/>
    </sheetView>
  </sheetViews>
  <sheetFormatPr defaultColWidth="9" defaultRowHeight="12.75" zeroHeight="false" outlineLevelRow="0" outlineLevelCol="1"/>
  <cols>
    <col collapsed="false" customWidth="true" hidden="false" outlineLevel="0" max="1" min="1" style="40" width="1.63"/>
    <col collapsed="false" customWidth="true" hidden="false" outlineLevel="0" max="2" min="2" style="40" width="4.88"/>
    <col collapsed="false" customWidth="true" hidden="false" outlineLevel="0" max="3" min="3" style="40" width="17.63"/>
    <col collapsed="false" customWidth="true" hidden="false" outlineLevel="0" max="4" min="4" style="40" width="12.62"/>
    <col collapsed="false" customWidth="true" hidden="false" outlineLevel="0" max="5" min="5" style="40" width="12.37"/>
    <col collapsed="false" customWidth="true" hidden="false" outlineLevel="0" max="6" min="6" style="40" width="17"/>
    <col collapsed="false" customWidth="true" hidden="false" outlineLevel="0" max="9" min="7" style="40" width="11.62"/>
    <col collapsed="false" customWidth="true" hidden="false" outlineLevel="0" max="10" min="10" style="40" width="6.63"/>
    <col collapsed="false" customWidth="true" hidden="false" outlineLevel="0" max="12" min="11" style="40" width="11.62"/>
    <col collapsed="false" customWidth="true" hidden="false" outlineLevel="0" max="14" min="13" style="40" width="10.12"/>
    <col collapsed="false" customWidth="true" hidden="false" outlineLevel="0" max="15" min="15" style="40" width="6.63"/>
    <col collapsed="false" customWidth="true" hidden="false" outlineLevel="0" max="18" min="16" style="40" width="11.62"/>
    <col collapsed="false" customWidth="true" hidden="false" outlineLevel="0" max="19" min="19" style="40" width="9.75"/>
    <col collapsed="false" customWidth="true" hidden="false" outlineLevel="0" max="21" min="20" style="40" width="10.12"/>
    <col collapsed="false" customWidth="true" hidden="false" outlineLevel="0" max="22" min="22" style="40" width="6.63"/>
    <col collapsed="false" customWidth="true" hidden="false" outlineLevel="0" max="25" min="23" style="40" width="11.62"/>
    <col collapsed="false" customWidth="true" hidden="false" outlineLevel="0" max="26" min="26" style="40" width="12.12"/>
    <col collapsed="false" customWidth="true" hidden="false" outlineLevel="0" max="28" min="27" style="40" width="10.12"/>
    <col collapsed="false" customWidth="true" hidden="false" outlineLevel="0" max="29" min="29" style="40" width="6.63"/>
    <col collapsed="false" customWidth="true" hidden="false" outlineLevel="0" max="32" min="30" style="40" width="11.62"/>
    <col collapsed="false" customWidth="true" hidden="false" outlineLevel="0" max="33" min="33" style="40" width="12.12"/>
    <col collapsed="false" customWidth="true" hidden="false" outlineLevel="1" max="35" min="34" style="40" width="10.12"/>
    <col collapsed="false" customWidth="true" hidden="false" outlineLevel="1" max="36" min="36" style="40" width="6.63"/>
    <col collapsed="false" customWidth="true" hidden="false" outlineLevel="1" max="39" min="37" style="40" width="11.62"/>
    <col collapsed="false" customWidth="true" hidden="false" outlineLevel="1" max="40" min="40" style="40" width="12.12"/>
    <col collapsed="false" customWidth="true" hidden="false" outlineLevel="0" max="42" min="41" style="40" width="10.12"/>
    <col collapsed="false" customWidth="true" hidden="false" outlineLevel="0" max="43" min="43" style="40" width="6.63"/>
    <col collapsed="false" customWidth="true" hidden="false" outlineLevel="0" max="46" min="44" style="40" width="11.62"/>
    <col collapsed="false" customWidth="true" hidden="false" outlineLevel="0" max="47" min="47" style="40" width="12.12"/>
    <col collapsed="false" customWidth="true" hidden="false" outlineLevel="0" max="49" min="48" style="40" width="10.12"/>
    <col collapsed="false" customWidth="true" hidden="false" outlineLevel="0" max="50" min="50" style="40" width="6.63"/>
    <col collapsed="false" customWidth="true" hidden="false" outlineLevel="0" max="53" min="51" style="40" width="11.62"/>
    <col collapsed="false" customWidth="true" hidden="false" outlineLevel="0" max="54" min="54" style="40" width="12.12"/>
    <col collapsed="false" customWidth="true" hidden="false" outlineLevel="0" max="56" min="55" style="40" width="10.12"/>
    <col collapsed="false" customWidth="true" hidden="false" outlineLevel="0" max="57" min="57" style="40" width="6.63"/>
    <col collapsed="false" customWidth="true" hidden="false" outlineLevel="0" max="60" min="58" style="40" width="11.62"/>
    <col collapsed="false" customWidth="true" hidden="false" outlineLevel="0" max="61" min="61" style="40" width="12.12"/>
    <col collapsed="false" customWidth="true" hidden="false" outlineLevel="0" max="63" min="62" style="40" width="10.12"/>
    <col collapsed="false" customWidth="true" hidden="false" outlineLevel="0" max="64" min="64" style="40" width="6.63"/>
    <col collapsed="false" customWidth="true" hidden="false" outlineLevel="0" max="67" min="65" style="40" width="11.62"/>
    <col collapsed="false" customWidth="true" hidden="false" outlineLevel="0" max="68" min="68" style="40" width="12.12"/>
    <col collapsed="false" customWidth="true" hidden="false" outlineLevel="0" max="69" min="69" style="40" width="1.63"/>
    <col collapsed="false" customWidth="true" hidden="false" outlineLevel="0" max="72" min="70" style="40" width="9.62"/>
    <col collapsed="false" customWidth="true" hidden="false" outlineLevel="0" max="73" min="73" style="40" width="12.12"/>
    <col collapsed="false" customWidth="true" hidden="false" outlineLevel="0" max="74" min="74" style="40" width="1.63"/>
    <col collapsed="false" customWidth="true" hidden="false" outlineLevel="0" max="76" min="75" style="40" width="13.63"/>
    <col collapsed="false" customWidth="true" hidden="false" outlineLevel="0" max="77" min="77" style="40" width="12.12"/>
    <col collapsed="false" customWidth="true" hidden="false" outlineLevel="0" max="78" min="78" style="40" width="15"/>
    <col collapsed="false" customWidth="false" hidden="false" outlineLevel="0" max="16384" min="79" style="40" width="9"/>
  </cols>
  <sheetData>
    <row r="1" s="617" customFormat="true" ht="12.75" hidden="false" customHeight="false" outlineLevel="0" collapsed="false">
      <c r="BV1" s="40"/>
      <c r="BY1" s="40"/>
    </row>
    <row r="2" s="617" customFormat="true" ht="12.75" hidden="false" customHeight="false" outlineLevel="0" collapsed="false">
      <c r="BV2" s="40"/>
      <c r="BY2" s="40"/>
    </row>
    <row r="3" s="617" customFormat="true" ht="12.75" hidden="false" customHeight="false" outlineLevel="0" collapsed="false">
      <c r="G3" s="618"/>
      <c r="BV3" s="40"/>
      <c r="BY3" s="40"/>
    </row>
    <row r="4" s="617" customFormat="true" ht="12.75" hidden="false" customHeight="false" outlineLevel="0" collapsed="false">
      <c r="G4" s="618"/>
      <c r="BV4" s="40"/>
      <c r="BY4" s="40"/>
    </row>
    <row r="5" s="617" customFormat="true" ht="12.75" hidden="false" customHeight="false" outlineLevel="0" collapsed="false">
      <c r="G5" s="619"/>
      <c r="AE5" s="620"/>
      <c r="BV5" s="40"/>
      <c r="BY5" s="40"/>
    </row>
    <row r="6" s="617" customFormat="true" ht="12.75" hidden="false" customHeight="false" outlineLevel="0" collapsed="false">
      <c r="G6" s="618"/>
      <c r="AE6" s="618"/>
      <c r="BV6" s="40"/>
      <c r="BY6" s="40"/>
    </row>
    <row r="7" s="617" customFormat="true" ht="12.75" hidden="false" customHeight="false" outlineLevel="0" collapsed="false">
      <c r="G7" s="618"/>
      <c r="AE7" s="618"/>
      <c r="BV7" s="40"/>
      <c r="BY7" s="40"/>
    </row>
    <row r="8" customFormat="false" ht="12.75" hidden="false" customHeight="false" outlineLevel="0" collapsed="false">
      <c r="A8" s="621"/>
      <c r="B8" s="622"/>
      <c r="C8" s="622"/>
      <c r="D8" s="623"/>
      <c r="E8" s="623"/>
      <c r="F8" s="621"/>
      <c r="G8" s="624"/>
      <c r="H8" s="624"/>
      <c r="I8" s="624"/>
      <c r="J8" s="621"/>
      <c r="K8" s="621"/>
      <c r="L8" s="621"/>
      <c r="M8" s="621"/>
      <c r="N8" s="621"/>
      <c r="O8" s="621"/>
      <c r="P8" s="621"/>
      <c r="Q8" s="621"/>
      <c r="R8" s="621"/>
      <c r="S8" s="621"/>
      <c r="T8" s="621"/>
      <c r="U8" s="621"/>
      <c r="V8" s="621"/>
      <c r="W8" s="621"/>
      <c r="X8" s="621"/>
      <c r="Y8" s="621"/>
      <c r="Z8" s="621"/>
      <c r="AA8" s="621"/>
      <c r="AB8" s="621"/>
      <c r="AC8" s="621"/>
      <c r="AD8" s="621"/>
      <c r="AE8" s="621"/>
      <c r="AF8" s="621"/>
      <c r="AG8" s="621"/>
      <c r="AH8" s="621"/>
      <c r="AI8" s="621"/>
      <c r="AJ8" s="621"/>
      <c r="AK8" s="621"/>
      <c r="AL8" s="621"/>
      <c r="AM8" s="621"/>
      <c r="AN8" s="621"/>
      <c r="AO8" s="621"/>
      <c r="AP8" s="621"/>
      <c r="AQ8" s="621"/>
      <c r="AR8" s="621"/>
      <c r="AS8" s="621"/>
      <c r="AT8" s="621"/>
      <c r="AU8" s="621"/>
      <c r="AV8" s="621"/>
      <c r="AW8" s="621"/>
      <c r="AX8" s="621"/>
      <c r="AY8" s="621"/>
      <c r="AZ8" s="621"/>
      <c r="BA8" s="621"/>
      <c r="BB8" s="621"/>
      <c r="BC8" s="621"/>
      <c r="BD8" s="621"/>
      <c r="BE8" s="621"/>
      <c r="BF8" s="621"/>
      <c r="BG8" s="621"/>
      <c r="BH8" s="621"/>
      <c r="BI8" s="621"/>
      <c r="BJ8" s="621"/>
      <c r="BK8" s="621"/>
      <c r="BL8" s="621"/>
      <c r="BM8" s="621"/>
      <c r="BN8" s="621"/>
      <c r="BO8" s="621"/>
      <c r="BP8" s="621"/>
      <c r="BQ8" s="625"/>
      <c r="BR8" s="621"/>
      <c r="BS8" s="621"/>
      <c r="BT8" s="621"/>
      <c r="BU8" s="621"/>
      <c r="BV8" s="621"/>
      <c r="BW8" s="621"/>
      <c r="BX8" s="621"/>
      <c r="BY8" s="621"/>
      <c r="BZ8" s="621"/>
      <c r="CA8" s="621"/>
      <c r="CB8" s="621"/>
      <c r="CC8" s="621"/>
      <c r="CD8" s="621"/>
    </row>
    <row r="9" customFormat="false" ht="27.75" hidden="false" customHeight="true" outlineLevel="0" collapsed="false">
      <c r="A9" s="621"/>
      <c r="B9" s="110" t="s">
        <v>121</v>
      </c>
      <c r="C9" s="110" t="s">
        <v>122</v>
      </c>
      <c r="D9" s="111" t="s">
        <v>123</v>
      </c>
      <c r="E9" s="111" t="s">
        <v>487</v>
      </c>
      <c r="F9" s="111" t="s">
        <v>488</v>
      </c>
      <c r="G9" s="111" t="s">
        <v>489</v>
      </c>
      <c r="H9" s="111" t="s">
        <v>490</v>
      </c>
      <c r="I9" s="111" t="s">
        <v>491</v>
      </c>
      <c r="J9" s="111" t="s">
        <v>492</v>
      </c>
      <c r="K9" s="111"/>
      <c r="L9" s="111"/>
      <c r="M9" s="111" t="s">
        <v>435</v>
      </c>
      <c r="N9" s="111"/>
      <c r="O9" s="111"/>
      <c r="P9" s="111"/>
      <c r="Q9" s="111"/>
      <c r="R9" s="111"/>
      <c r="S9" s="111"/>
      <c r="T9" s="111" t="s">
        <v>436</v>
      </c>
      <c r="U9" s="111"/>
      <c r="V9" s="111"/>
      <c r="W9" s="111"/>
      <c r="X9" s="111"/>
      <c r="Y9" s="111"/>
      <c r="Z9" s="111"/>
      <c r="AA9" s="111" t="s">
        <v>437</v>
      </c>
      <c r="AB9" s="111"/>
      <c r="AC9" s="111"/>
      <c r="AD9" s="111"/>
      <c r="AE9" s="111"/>
      <c r="AF9" s="111"/>
      <c r="AG9" s="111"/>
      <c r="AH9" s="111" t="s">
        <v>438</v>
      </c>
      <c r="AI9" s="111"/>
      <c r="AJ9" s="111"/>
      <c r="AK9" s="111"/>
      <c r="AL9" s="111"/>
      <c r="AM9" s="111"/>
      <c r="AN9" s="111"/>
      <c r="AO9" s="111" t="s">
        <v>493</v>
      </c>
      <c r="AP9" s="111"/>
      <c r="AQ9" s="111"/>
      <c r="AR9" s="111"/>
      <c r="AS9" s="111"/>
      <c r="AT9" s="111"/>
      <c r="AU9" s="111"/>
      <c r="AV9" s="111" t="s">
        <v>494</v>
      </c>
      <c r="AW9" s="111"/>
      <c r="AX9" s="111"/>
      <c r="AY9" s="111"/>
      <c r="AZ9" s="111"/>
      <c r="BA9" s="111"/>
      <c r="BB9" s="111"/>
      <c r="BC9" s="111" t="s">
        <v>495</v>
      </c>
      <c r="BD9" s="111"/>
      <c r="BE9" s="111"/>
      <c r="BF9" s="111"/>
      <c r="BG9" s="111"/>
      <c r="BH9" s="111"/>
      <c r="BI9" s="111"/>
      <c r="BJ9" s="111" t="s">
        <v>496</v>
      </c>
      <c r="BK9" s="111"/>
      <c r="BL9" s="111"/>
      <c r="BM9" s="111"/>
      <c r="BN9" s="111"/>
      <c r="BO9" s="111"/>
      <c r="BP9" s="111"/>
      <c r="BQ9" s="626"/>
      <c r="BR9" s="111" t="s">
        <v>497</v>
      </c>
      <c r="BS9" s="111"/>
      <c r="BT9" s="111"/>
      <c r="BU9" s="621"/>
      <c r="BV9" s="621"/>
      <c r="BW9" s="621"/>
      <c r="BX9" s="621"/>
      <c r="BY9" s="621"/>
      <c r="BZ9" s="621"/>
      <c r="CA9" s="621"/>
      <c r="CB9" s="621"/>
      <c r="CC9" s="625"/>
      <c r="CD9" s="625"/>
    </row>
    <row r="10" customFormat="false" ht="42" hidden="false" customHeight="true" outlineLevel="0" collapsed="false">
      <c r="A10" s="621"/>
      <c r="B10" s="110"/>
      <c r="C10" s="110"/>
      <c r="D10" s="111"/>
      <c r="E10" s="111"/>
      <c r="F10" s="111"/>
      <c r="G10" s="111"/>
      <c r="H10" s="111"/>
      <c r="I10" s="111"/>
      <c r="J10" s="111" t="s">
        <v>339</v>
      </c>
      <c r="K10" s="111" t="s">
        <v>498</v>
      </c>
      <c r="L10" s="111" t="s">
        <v>499</v>
      </c>
      <c r="M10" s="111" t="s">
        <v>500</v>
      </c>
      <c r="N10" s="111" t="s">
        <v>501</v>
      </c>
      <c r="O10" s="111" t="s">
        <v>339</v>
      </c>
      <c r="P10" s="111" t="s">
        <v>502</v>
      </c>
      <c r="Q10" s="111" t="s">
        <v>430</v>
      </c>
      <c r="R10" s="111" t="s">
        <v>503</v>
      </c>
      <c r="S10" s="111" t="s">
        <v>504</v>
      </c>
      <c r="T10" s="111" t="s">
        <v>500</v>
      </c>
      <c r="U10" s="111" t="s">
        <v>501</v>
      </c>
      <c r="V10" s="111" t="s">
        <v>339</v>
      </c>
      <c r="W10" s="111" t="s">
        <v>502</v>
      </c>
      <c r="X10" s="111" t="s">
        <v>430</v>
      </c>
      <c r="Y10" s="111" t="s">
        <v>503</v>
      </c>
      <c r="Z10" s="111" t="s">
        <v>504</v>
      </c>
      <c r="AA10" s="111" t="s">
        <v>500</v>
      </c>
      <c r="AB10" s="111" t="s">
        <v>501</v>
      </c>
      <c r="AC10" s="111" t="s">
        <v>339</v>
      </c>
      <c r="AD10" s="111" t="s">
        <v>502</v>
      </c>
      <c r="AE10" s="111" t="s">
        <v>430</v>
      </c>
      <c r="AF10" s="111" t="s">
        <v>503</v>
      </c>
      <c r="AG10" s="111" t="s">
        <v>504</v>
      </c>
      <c r="AH10" s="111" t="s">
        <v>500</v>
      </c>
      <c r="AI10" s="111" t="s">
        <v>501</v>
      </c>
      <c r="AJ10" s="111" t="s">
        <v>339</v>
      </c>
      <c r="AK10" s="111" t="s">
        <v>502</v>
      </c>
      <c r="AL10" s="111" t="s">
        <v>430</v>
      </c>
      <c r="AM10" s="111" t="s">
        <v>503</v>
      </c>
      <c r="AN10" s="111" t="s">
        <v>504</v>
      </c>
      <c r="AO10" s="111" t="s">
        <v>500</v>
      </c>
      <c r="AP10" s="111" t="s">
        <v>501</v>
      </c>
      <c r="AQ10" s="111" t="s">
        <v>339</v>
      </c>
      <c r="AR10" s="111" t="s">
        <v>502</v>
      </c>
      <c r="AS10" s="111" t="s">
        <v>430</v>
      </c>
      <c r="AT10" s="111" t="s">
        <v>503</v>
      </c>
      <c r="AU10" s="111" t="s">
        <v>504</v>
      </c>
      <c r="AV10" s="111" t="s">
        <v>500</v>
      </c>
      <c r="AW10" s="111" t="s">
        <v>501</v>
      </c>
      <c r="AX10" s="111" t="s">
        <v>339</v>
      </c>
      <c r="AY10" s="111" t="s">
        <v>502</v>
      </c>
      <c r="AZ10" s="111" t="s">
        <v>430</v>
      </c>
      <c r="BA10" s="111" t="s">
        <v>503</v>
      </c>
      <c r="BB10" s="111" t="s">
        <v>504</v>
      </c>
      <c r="BC10" s="111" t="s">
        <v>500</v>
      </c>
      <c r="BD10" s="111" t="s">
        <v>501</v>
      </c>
      <c r="BE10" s="111" t="s">
        <v>339</v>
      </c>
      <c r="BF10" s="111" t="s">
        <v>502</v>
      </c>
      <c r="BG10" s="111" t="s">
        <v>430</v>
      </c>
      <c r="BH10" s="111" t="s">
        <v>503</v>
      </c>
      <c r="BI10" s="111" t="s">
        <v>504</v>
      </c>
      <c r="BJ10" s="111" t="s">
        <v>500</v>
      </c>
      <c r="BK10" s="111" t="s">
        <v>501</v>
      </c>
      <c r="BL10" s="111" t="s">
        <v>339</v>
      </c>
      <c r="BM10" s="111" t="s">
        <v>502</v>
      </c>
      <c r="BN10" s="111" t="s">
        <v>430</v>
      </c>
      <c r="BO10" s="111" t="s">
        <v>503</v>
      </c>
      <c r="BP10" s="111" t="s">
        <v>504</v>
      </c>
      <c r="BQ10" s="627"/>
      <c r="BR10" s="111"/>
      <c r="BS10" s="111"/>
      <c r="BT10" s="111"/>
      <c r="BU10" s="621"/>
      <c r="BV10" s="621"/>
      <c r="BW10" s="621"/>
      <c r="BX10" s="621"/>
      <c r="BY10" s="621"/>
      <c r="BZ10" s="621"/>
      <c r="CA10" s="621"/>
      <c r="CB10" s="621"/>
      <c r="CC10" s="625"/>
      <c r="CD10" s="625"/>
    </row>
    <row r="11" customFormat="false" ht="16.5" hidden="false" customHeight="true" outlineLevel="0" collapsed="false">
      <c r="A11" s="628"/>
      <c r="B11" s="629" t="n">
        <v>1</v>
      </c>
      <c r="C11" s="630" t="s">
        <v>170</v>
      </c>
      <c r="D11" s="631" t="n">
        <v>999.58</v>
      </c>
      <c r="E11" s="631" t="s">
        <v>505</v>
      </c>
      <c r="F11" s="632" t="s">
        <v>112</v>
      </c>
      <c r="G11" s="633" t="n">
        <f aca="false">+'PAYMENT RATIO_RAW'!F$5*'GM Batch1'!$D$11/1000+27500000*D11/1000</f>
        <v>1077047450</v>
      </c>
      <c r="H11" s="633" t="n">
        <f aca="false">+G11*10%</f>
        <v>107704745</v>
      </c>
      <c r="I11" s="633" t="n">
        <f aca="false">SUM(G11:H11)</f>
        <v>1184752195</v>
      </c>
      <c r="J11" s="634" t="n">
        <f aca="false">+IFERROR(K11/I11,"-")</f>
        <v>0.194977482189852</v>
      </c>
      <c r="K11" s="635" t="n">
        <f aca="false">+IFERROR(Q11+X11+AE11+AS11+AZ11+BG11+BN11,"-")</f>
        <v>231000000</v>
      </c>
      <c r="L11" s="635" t="n">
        <f aca="false">+I11-K11</f>
        <v>953752195</v>
      </c>
      <c r="M11" s="636"/>
      <c r="N11" s="637"/>
      <c r="O11" s="638"/>
      <c r="P11" s="639" t="n">
        <f aca="false">+$I11*'PAYMENT RATIO_RAW'!G$5</f>
        <v>0</v>
      </c>
      <c r="Q11" s="640"/>
      <c r="R11" s="640" t="n">
        <f aca="false">+P11-Q11</f>
        <v>0</v>
      </c>
      <c r="S11" s="641"/>
      <c r="T11" s="636"/>
      <c r="U11" s="637"/>
      <c r="V11" s="638"/>
      <c r="W11" s="640" t="n">
        <f aca="false">+$I11*'PAYMENT RATIO_RAW'!N$5</f>
        <v>0</v>
      </c>
      <c r="X11" s="640"/>
      <c r="Y11" s="640" t="n">
        <f aca="false">+W11-X11</f>
        <v>0</v>
      </c>
      <c r="Z11" s="641"/>
      <c r="AA11" s="636" t="n">
        <v>45920</v>
      </c>
      <c r="AB11" s="642" t="n">
        <v>45915</v>
      </c>
      <c r="AC11" s="638" t="n">
        <f aca="false">+IFERROR(AD11/$I11,"-")</f>
        <v>0.194895591647332</v>
      </c>
      <c r="AD11" s="640" t="n">
        <f aca="false">+'PAYMENT RATIO_RAW'!$U$60*$D11*1050000000/1000*1.1</f>
        <v>230902980</v>
      </c>
      <c r="AE11" s="640" t="n">
        <v>231000000</v>
      </c>
      <c r="AF11" s="640" t="n">
        <f aca="false">+AD11-AE11</f>
        <v>-97019.9999999404</v>
      </c>
      <c r="AG11" s="643" t="s">
        <v>506</v>
      </c>
      <c r="AH11" s="636" t="n">
        <f aca="false">+EDATE(AO11,0)</f>
        <v>45950</v>
      </c>
      <c r="AI11" s="642" t="n">
        <v>45980</v>
      </c>
      <c r="AJ11" s="638" t="n">
        <f aca="false">+IFERROR(AK11/$I11,"-")</f>
        <v>0</v>
      </c>
      <c r="AK11" s="640" t="n">
        <f aca="false">+'PAYMENT RATIO_RAW'!AB$60*$I11</f>
        <v>0</v>
      </c>
      <c r="AL11" s="640" t="n">
        <v>231000000</v>
      </c>
      <c r="AM11" s="640" t="n">
        <f aca="false">+AK11-AL11</f>
        <v>-231000000</v>
      </c>
      <c r="AN11" s="641"/>
      <c r="AO11" s="636" t="n">
        <f aca="false">+EDATE(AV11,0)-10</f>
        <v>45950</v>
      </c>
      <c r="AP11" s="637"/>
      <c r="AQ11" s="638" t="n">
        <f aca="false">+IFERROR(AR11/$I11,"-")</f>
        <v>0.512761020881671</v>
      </c>
      <c r="AR11" s="640" t="n">
        <f aca="false">+'PAYMENT RATIO_RAW'!AI$60*$D11*1050000000/1000*1.1+27500000*D11/1000*1.1</f>
        <v>607494745</v>
      </c>
      <c r="AS11" s="640"/>
      <c r="AT11" s="640" t="n">
        <f aca="false">+AR11-AS11</f>
        <v>607494745</v>
      </c>
      <c r="AU11" s="641"/>
      <c r="AV11" s="636" t="n">
        <f aca="false">+EDATE(BC11,-1)</f>
        <v>45960</v>
      </c>
      <c r="AW11" s="636"/>
      <c r="AX11" s="638" t="n">
        <f aca="false">+IFERROR(AY11/$I11,"-")</f>
        <v>0</v>
      </c>
      <c r="AY11" s="640" t="n">
        <f aca="false">+'PAYMENT RATIO_RAW'!AP$60*$I11</f>
        <v>0</v>
      </c>
      <c r="AZ11" s="640"/>
      <c r="BA11" s="640" t="n">
        <f aca="false">+AY11-AZ11</f>
        <v>0</v>
      </c>
      <c r="BB11" s="641"/>
      <c r="BC11" s="636" t="n">
        <f aca="false">+EDATE(BJ11,-1)</f>
        <v>45991</v>
      </c>
      <c r="BD11" s="636"/>
      <c r="BE11" s="638" t="n">
        <f aca="false">+IFERROR(BF11/$I11,"-")</f>
        <v>0.243619489559165</v>
      </c>
      <c r="BF11" s="640" t="n">
        <f aca="false">+'PAYMENT RATIO_RAW'!AW$60*$D11*1050000000/1000*1.1</f>
        <v>288628725</v>
      </c>
      <c r="BG11" s="640"/>
      <c r="BH11" s="640" t="n">
        <f aca="false">+BF11-BG11</f>
        <v>288628725</v>
      </c>
      <c r="BI11" s="641"/>
      <c r="BJ11" s="637" t="n">
        <v>46022</v>
      </c>
      <c r="BK11" s="636"/>
      <c r="BL11" s="638" t="n">
        <f aca="false">+IFERROR(BM11/$I11,"-")</f>
        <v>0.048723897911833</v>
      </c>
      <c r="BM11" s="640" t="n">
        <f aca="false">+'PAYMENT RATIO_RAW'!BD$60*$D11*1050000000/1000*1.1</f>
        <v>57725745</v>
      </c>
      <c r="BN11" s="640"/>
      <c r="BO11" s="640" t="n">
        <f aca="false">+BM11-BN11</f>
        <v>57725745</v>
      </c>
      <c r="BP11" s="641"/>
      <c r="BQ11" s="644"/>
      <c r="BR11" s="645" t="n">
        <f aca="false">+P11+W11+AD11+AK11+AR11+AY11+BF11+BM11=I11</f>
        <v>1</v>
      </c>
      <c r="BS11" s="645" t="n">
        <f aca="false">+Q11+X11+AE11+AS11+AZ11+BG11+BN11=K11</f>
        <v>1</v>
      </c>
      <c r="BT11" s="645"/>
      <c r="BU11" s="646" t="n">
        <f aca="false">+D11*1050000000/1000*1.1+D11*27500000/1000*1.1</f>
        <v>1184752195</v>
      </c>
      <c r="BV11" s="621"/>
      <c r="BW11" s="621"/>
      <c r="BX11" s="646" t="n">
        <v>27500000</v>
      </c>
      <c r="BY11" s="621"/>
      <c r="BZ11" s="621"/>
      <c r="CA11" s="621"/>
      <c r="CB11" s="621"/>
      <c r="CC11" s="625"/>
      <c r="CD11" s="625"/>
    </row>
    <row r="12" customFormat="false" ht="12.75" hidden="false" customHeight="false" outlineLevel="0" collapsed="false">
      <c r="A12" s="628"/>
      <c r="B12" s="629"/>
      <c r="C12" s="630"/>
      <c r="D12" s="631"/>
      <c r="E12" s="631"/>
      <c r="F12" s="647" t="s">
        <v>114</v>
      </c>
      <c r="G12" s="648" t="n">
        <f aca="false">+'PAYMENT RATIO_RAW'!F$6*'GM Batch1'!$D$11/1000</f>
        <v>549769000</v>
      </c>
      <c r="H12" s="648"/>
      <c r="I12" s="648" t="n">
        <f aca="false">SUM(G12:H12)</f>
        <v>549769000</v>
      </c>
      <c r="J12" s="647" t="n">
        <f aca="false">+IFERROR(K12/I12,"-")</f>
        <v>0.669475179575422</v>
      </c>
      <c r="K12" s="649" t="n">
        <f aca="false">+IFERROR(Q12+X12+AE12+AS12+AZ12+BG12+BN12,"-")</f>
        <v>368056700</v>
      </c>
      <c r="L12" s="649" t="n">
        <f aca="false">+I12-K12</f>
        <v>181712300</v>
      </c>
      <c r="M12" s="650" t="n">
        <v>45450</v>
      </c>
      <c r="N12" s="650" t="n">
        <v>45450</v>
      </c>
      <c r="O12" s="651" t="n">
        <f aca="false">+IFERROR(P12/$I12,"-")</f>
        <v>0.55</v>
      </c>
      <c r="P12" s="649" t="n">
        <f aca="false">+$I12*'PAYMENT RATIO_RAW'!G$6</f>
        <v>302372950</v>
      </c>
      <c r="Q12" s="649" t="n">
        <v>302372950</v>
      </c>
      <c r="R12" s="649" t="n">
        <f aca="false">+P12-Q12</f>
        <v>0</v>
      </c>
      <c r="S12" s="652"/>
      <c r="T12" s="650" t="n">
        <v>45456</v>
      </c>
      <c r="U12" s="650" t="n">
        <v>45456</v>
      </c>
      <c r="V12" s="651" t="n">
        <f aca="false">+IFERROR(W12/$I12,"-")</f>
        <v>0.119475179575422</v>
      </c>
      <c r="W12" s="653" t="n">
        <f aca="false">+$I12*'PAYMENT RATIO_RAW'!N$6-16781600</f>
        <v>65683750</v>
      </c>
      <c r="X12" s="649" t="n">
        <v>65683750</v>
      </c>
      <c r="Y12" s="649" t="n">
        <f aca="false">+W12-X12</f>
        <v>0</v>
      </c>
      <c r="Z12" s="654"/>
      <c r="AA12" s="650" t="n">
        <v>45950</v>
      </c>
      <c r="AB12" s="650"/>
      <c r="AC12" s="651" t="n">
        <f aca="false">+IFERROR(AD12/$I12,"-")</f>
        <v>0.0305248204245783</v>
      </c>
      <c r="AD12" s="653" t="n">
        <f aca="false">+$I12*'PAYMENT RATIO_RAW'!U$6+16781600</f>
        <v>16781600</v>
      </c>
      <c r="AE12" s="649"/>
      <c r="AF12" s="649" t="n">
        <f aca="false">+AD12-AE12</f>
        <v>16781600</v>
      </c>
      <c r="AG12" s="652"/>
      <c r="AH12" s="650"/>
      <c r="AI12" s="650"/>
      <c r="AJ12" s="651" t="n">
        <f aca="false">+IFERROR(AK12/$I12,"-")</f>
        <v>0</v>
      </c>
      <c r="AK12" s="649" t="n">
        <f aca="false">+$I12*'PAYMENT RATIO_RAW'!AB35</f>
        <v>0</v>
      </c>
      <c r="AL12" s="649"/>
      <c r="AM12" s="649" t="n">
        <f aca="false">+AK12-AL12</f>
        <v>0</v>
      </c>
      <c r="AN12" s="652"/>
      <c r="AO12" s="650"/>
      <c r="AP12" s="650"/>
      <c r="AQ12" s="651"/>
      <c r="AR12" s="653" t="n">
        <f aca="false">+$I12*'PAYMENT RATIO_RAW'!AI$6</f>
        <v>0</v>
      </c>
      <c r="AS12" s="649"/>
      <c r="AT12" s="649" t="n">
        <f aca="false">+AR12-AS12</f>
        <v>0</v>
      </c>
      <c r="AU12" s="652"/>
      <c r="AV12" s="650"/>
      <c r="AW12" s="650"/>
      <c r="AX12" s="651"/>
      <c r="AY12" s="653" t="n">
        <f aca="false">+$I12*'PAYMENT RATIO_RAW'!AP$6</f>
        <v>0</v>
      </c>
      <c r="AZ12" s="649"/>
      <c r="BA12" s="649" t="n">
        <f aca="false">+AY12-AZ12</f>
        <v>0</v>
      </c>
      <c r="BB12" s="652"/>
      <c r="BC12" s="650"/>
      <c r="BD12" s="650"/>
      <c r="BE12" s="651" t="n">
        <f aca="false">+IFERROR(BF12/$I12,"-")</f>
        <v>0</v>
      </c>
      <c r="BF12" s="653" t="n">
        <f aca="false">+$I12*'PAYMENT RATIO_RAW'!AW$6</f>
        <v>0</v>
      </c>
      <c r="BG12" s="649"/>
      <c r="BH12" s="653" t="n">
        <f aca="false">+BF12-BG12</f>
        <v>0</v>
      </c>
      <c r="BI12" s="652"/>
      <c r="BJ12" s="650" t="n">
        <f aca="false">+BJ11</f>
        <v>46022</v>
      </c>
      <c r="BK12" s="650"/>
      <c r="BL12" s="651" t="n">
        <f aca="false">+IFERROR(BM12/$I12,"-")</f>
        <v>0.3</v>
      </c>
      <c r="BM12" s="649" t="n">
        <f aca="false">+$I12*'PAYMENT RATIO_RAW'!BD$6</f>
        <v>164930700</v>
      </c>
      <c r="BN12" s="649"/>
      <c r="BO12" s="649" t="n">
        <f aca="false">+BM12-BN12</f>
        <v>164930700</v>
      </c>
      <c r="BP12" s="652"/>
      <c r="BQ12" s="644"/>
      <c r="BR12" s="645" t="n">
        <f aca="false">+BM12+BF12+AY12+AR12+AD12+W12+P12=I12</f>
        <v>1</v>
      </c>
      <c r="BS12" s="645" t="n">
        <f aca="false">+Q12+X12+AE12+AS12+AZ12+BG12+BN12=K12</f>
        <v>1</v>
      </c>
      <c r="BT12" s="645" t="n">
        <f aca="false">+BF12+BF14+AY12+AY14+AR12+AR14+AD12+AD14+W12+W14+P12+P14+BM12+BM14=('PAYMENT RATIO_RAW'!$F$6+'PAYMENT RATIO_RAW'!$F$8)*D11/1000</f>
        <v>1</v>
      </c>
      <c r="BU12" s="646" t="n">
        <f aca="false">+$D11*1050000000/1000*1.1</f>
        <v>1154514900</v>
      </c>
      <c r="BV12" s="621"/>
      <c r="BW12" s="655" t="b">
        <f aca="false">+$BU12*20%=AD11</f>
        <v>1</v>
      </c>
      <c r="BX12" s="655" t="b">
        <f aca="false">+$BU12*50%+BX11*D11/1000*1.1=AR11</f>
        <v>1</v>
      </c>
      <c r="BY12" s="655" t="b">
        <f aca="false">+$BU12*25%=BF11</f>
        <v>1</v>
      </c>
      <c r="BZ12" s="655" t="b">
        <f aca="false">+$BU12*5%=BM11</f>
        <v>1</v>
      </c>
      <c r="CA12" s="621"/>
      <c r="CB12" s="621"/>
      <c r="CC12" s="625"/>
      <c r="CD12" s="625"/>
      <c r="XFD12" s="621"/>
    </row>
    <row r="13" customFormat="false" ht="12.75" hidden="true" customHeight="false" outlineLevel="0" collapsed="false">
      <c r="A13" s="628"/>
      <c r="B13" s="629"/>
      <c r="C13" s="630"/>
      <c r="D13" s="631"/>
      <c r="E13" s="631"/>
      <c r="F13" s="656" t="s">
        <v>404</v>
      </c>
      <c r="G13" s="657" t="n">
        <f aca="false">+'PAYMENT RATIO_RAW'!F$7*'GM Batch1'!$D$11/1000</f>
        <v>0</v>
      </c>
      <c r="H13" s="657" t="n">
        <f aca="false">+G13*10%</f>
        <v>0</v>
      </c>
      <c r="I13" s="657" t="n">
        <f aca="false">SUM(G13:H13)</f>
        <v>0</v>
      </c>
      <c r="J13" s="656" t="str">
        <f aca="false">+IFERROR(K13/I13,"-")</f>
        <v>-</v>
      </c>
      <c r="K13" s="639" t="n">
        <f aca="false">+IFERROR(Q13+X13+AE13+AS13+AZ13+BG13+BN13,"-")</f>
        <v>0</v>
      </c>
      <c r="L13" s="639" t="n">
        <f aca="false">+I13-K13</f>
        <v>0</v>
      </c>
      <c r="M13" s="658"/>
      <c r="N13" s="658"/>
      <c r="O13" s="659" t="str">
        <f aca="false">+IFERROR(P13/$I13,"-")</f>
        <v>-</v>
      </c>
      <c r="P13" s="639" t="n">
        <f aca="false">+$I13*'PAYMENT RATIO_RAW'!G$7</f>
        <v>0</v>
      </c>
      <c r="Q13" s="639"/>
      <c r="R13" s="639" t="n">
        <f aca="false">+P13-Q13</f>
        <v>0</v>
      </c>
      <c r="S13" s="660"/>
      <c r="T13" s="658"/>
      <c r="U13" s="658"/>
      <c r="V13" s="659" t="str">
        <f aca="false">+IFERROR(W13/$I13,"-")</f>
        <v>-</v>
      </c>
      <c r="W13" s="640" t="n">
        <f aca="false">+$I13*'PAYMENT RATIO_RAW'!N$7</f>
        <v>0</v>
      </c>
      <c r="X13" s="639"/>
      <c r="Y13" s="639" t="n">
        <f aca="false">+W13-X13</f>
        <v>0</v>
      </c>
      <c r="Z13" s="660"/>
      <c r="AA13" s="658"/>
      <c r="AB13" s="658"/>
      <c r="AC13" s="659" t="str">
        <f aca="false">+IFERROR(AD13/$I13,"-")</f>
        <v>-</v>
      </c>
      <c r="AD13" s="640" t="n">
        <f aca="false">+$I13*'PAYMENT RATIO_RAW'!U$7</f>
        <v>0</v>
      </c>
      <c r="AE13" s="639"/>
      <c r="AF13" s="639" t="n">
        <f aca="false">+AD13-AE13</f>
        <v>0</v>
      </c>
      <c r="AG13" s="660"/>
      <c r="AH13" s="658"/>
      <c r="AI13" s="658"/>
      <c r="AJ13" s="659" t="str">
        <f aca="false">+IFERROR(AK13/$I13,"-")</f>
        <v>-</v>
      </c>
      <c r="AK13" s="639" t="n">
        <f aca="false">+$I13*'PAYMENT RATIO_RAW'!AB36</f>
        <v>0</v>
      </c>
      <c r="AL13" s="639"/>
      <c r="AM13" s="639" t="n">
        <f aca="false">+AK13-AL13</f>
        <v>0</v>
      </c>
      <c r="AN13" s="660"/>
      <c r="AO13" s="658"/>
      <c r="AP13" s="658"/>
      <c r="AQ13" s="659"/>
      <c r="AR13" s="640" t="n">
        <f aca="false">+$I13*'PAYMENT RATIO_RAW'!AI$7</f>
        <v>0</v>
      </c>
      <c r="AS13" s="639"/>
      <c r="AT13" s="639" t="n">
        <f aca="false">+AR13-AS13</f>
        <v>0</v>
      </c>
      <c r="AU13" s="660"/>
      <c r="AV13" s="658"/>
      <c r="AW13" s="658"/>
      <c r="AX13" s="659"/>
      <c r="AY13" s="640" t="n">
        <f aca="false">+$I13*'PAYMENT RATIO_RAW'!AP$7</f>
        <v>0</v>
      </c>
      <c r="AZ13" s="639"/>
      <c r="BA13" s="639" t="n">
        <f aca="false">+AY13-AZ13</f>
        <v>0</v>
      </c>
      <c r="BB13" s="660"/>
      <c r="BC13" s="658"/>
      <c r="BD13" s="658"/>
      <c r="BE13" s="659" t="str">
        <f aca="false">+IFERROR(BF13/$I13,"-")</f>
        <v>-</v>
      </c>
      <c r="BF13" s="640" t="n">
        <f aca="false">+$I13*'PAYMENT RATIO_RAW'!AW$7</f>
        <v>0</v>
      </c>
      <c r="BG13" s="639"/>
      <c r="BH13" s="640" t="n">
        <f aca="false">+BF13-BG13</f>
        <v>0</v>
      </c>
      <c r="BI13" s="660"/>
      <c r="BJ13" s="658"/>
      <c r="BK13" s="658"/>
      <c r="BL13" s="659" t="str">
        <f aca="false">+IFERROR(BM13/$I13,"-")</f>
        <v>-</v>
      </c>
      <c r="BM13" s="639" t="n">
        <f aca="false">+$I13*'PAYMENT RATIO_RAW'!BD$7</f>
        <v>0</v>
      </c>
      <c r="BN13" s="639"/>
      <c r="BO13" s="639" t="n">
        <f aca="false">+BM13-BN13</f>
        <v>0</v>
      </c>
      <c r="BP13" s="660"/>
      <c r="BQ13" s="644"/>
      <c r="BR13" s="645" t="n">
        <f aca="false">+P13+W13+AD13+AR13+AY13+BF13+BM13=I13</f>
        <v>1</v>
      </c>
      <c r="BS13" s="645" t="n">
        <f aca="false">+Q13+X13+AE13+AS13+AZ13+BG13+BN13=K13</f>
        <v>1</v>
      </c>
      <c r="BT13" s="645"/>
      <c r="BU13" s="646"/>
      <c r="BV13" s="621"/>
      <c r="BW13" s="621"/>
      <c r="BX13" s="621"/>
      <c r="BY13" s="621"/>
      <c r="BZ13" s="621"/>
      <c r="CA13" s="621"/>
      <c r="CB13" s="621"/>
      <c r="CC13" s="625"/>
      <c r="CD13" s="625"/>
    </row>
    <row r="14" customFormat="false" ht="12.75" hidden="true" customHeight="false" outlineLevel="0" collapsed="false">
      <c r="A14" s="628"/>
      <c r="B14" s="629"/>
      <c r="C14" s="630"/>
      <c r="D14" s="631"/>
      <c r="E14" s="631"/>
      <c r="F14" s="656" t="s">
        <v>507</v>
      </c>
      <c r="G14" s="657" t="n">
        <f aca="false">+'PAYMENT RATIO_RAW'!F$8*'GM Batch1'!$D$11/1000</f>
        <v>0</v>
      </c>
      <c r="H14" s="657" t="n">
        <f aca="false">+G14*10%</f>
        <v>0</v>
      </c>
      <c r="I14" s="661" t="n">
        <f aca="false">SUM(G14:H14)</f>
        <v>0</v>
      </c>
      <c r="J14" s="656" t="str">
        <f aca="false">+IFERROR(K14/I14,"-")</f>
        <v>-</v>
      </c>
      <c r="K14" s="639" t="n">
        <f aca="false">+IFERROR(Q14+X14+AE14+AS14+AZ14+BG14+BN14,"-")</f>
        <v>0</v>
      </c>
      <c r="L14" s="639" t="n">
        <f aca="false">+I14-K14</f>
        <v>0</v>
      </c>
      <c r="M14" s="658"/>
      <c r="N14" s="642"/>
      <c r="O14" s="659" t="str">
        <f aca="false">+IFERROR(P14/$I14,"-")</f>
        <v>-</v>
      </c>
      <c r="P14" s="639" t="n">
        <f aca="false">+$I14*'PAYMENT RATIO_RAW'!G$8</f>
        <v>0</v>
      </c>
      <c r="Q14" s="639"/>
      <c r="R14" s="639" t="n">
        <f aca="false">+P14-Q14</f>
        <v>0</v>
      </c>
      <c r="S14" s="660"/>
      <c r="T14" s="658"/>
      <c r="U14" s="642"/>
      <c r="V14" s="659" t="str">
        <f aca="false">+IFERROR(W14/$I14,"-")</f>
        <v>-</v>
      </c>
      <c r="W14" s="640" t="n">
        <f aca="false">+$I14*'PAYMENT RATIO_RAW'!N$8</f>
        <v>0</v>
      </c>
      <c r="X14" s="639"/>
      <c r="Y14" s="639" t="n">
        <f aca="false">+W14-X14</f>
        <v>0</v>
      </c>
      <c r="Z14" s="660"/>
      <c r="AA14" s="658"/>
      <c r="AB14" s="642"/>
      <c r="AC14" s="659" t="str">
        <f aca="false">+IFERROR(AD14/$I14,"-")</f>
        <v>-</v>
      </c>
      <c r="AD14" s="640" t="n">
        <f aca="false">+$I14*'PAYMENT RATIO_RAW'!U$8</f>
        <v>0</v>
      </c>
      <c r="AE14" s="639"/>
      <c r="AF14" s="639" t="n">
        <f aca="false">+AD14-AE14</f>
        <v>0</v>
      </c>
      <c r="AG14" s="660"/>
      <c r="AH14" s="642"/>
      <c r="AI14" s="642"/>
      <c r="AJ14" s="659" t="str">
        <f aca="false">+IFERROR(AK14/$I14,"-")</f>
        <v>-</v>
      </c>
      <c r="AK14" s="639" t="n">
        <f aca="false">+$I14*'PAYMENT RATIO_RAW'!AB36</f>
        <v>0</v>
      </c>
      <c r="AL14" s="639"/>
      <c r="AM14" s="639" t="n">
        <f aca="false">+AK14-AL14</f>
        <v>0</v>
      </c>
      <c r="AN14" s="660"/>
      <c r="AO14" s="642"/>
      <c r="AP14" s="642"/>
      <c r="AQ14" s="659"/>
      <c r="AR14" s="640" t="n">
        <f aca="false">+$I14*'PAYMENT RATIO_RAW'!AI$8</f>
        <v>0</v>
      </c>
      <c r="AS14" s="639"/>
      <c r="AT14" s="639" t="n">
        <f aca="false">+AR14-AS14</f>
        <v>0</v>
      </c>
      <c r="AU14" s="660"/>
      <c r="AV14" s="642"/>
      <c r="AW14" s="642"/>
      <c r="AX14" s="659"/>
      <c r="AY14" s="640" t="n">
        <f aca="false">+$I14*'PAYMENT RATIO_RAW'!AP$8</f>
        <v>0</v>
      </c>
      <c r="AZ14" s="639"/>
      <c r="BA14" s="639" t="n">
        <f aca="false">+AY14-AZ14</f>
        <v>0</v>
      </c>
      <c r="BB14" s="660"/>
      <c r="BC14" s="642"/>
      <c r="BD14" s="642"/>
      <c r="BE14" s="659" t="str">
        <f aca="false">+IFERROR(BF14/$I14,"-")</f>
        <v>-</v>
      </c>
      <c r="BF14" s="640" t="n">
        <f aca="false">+$I14*'PAYMENT RATIO_RAW'!AW$8</f>
        <v>0</v>
      </c>
      <c r="BG14" s="639"/>
      <c r="BH14" s="640" t="n">
        <f aca="false">+BF14-BG14</f>
        <v>0</v>
      </c>
      <c r="BI14" s="660"/>
      <c r="BJ14" s="642"/>
      <c r="BK14" s="642"/>
      <c r="BL14" s="659" t="str">
        <f aca="false">+IFERROR(BM14/$I14,"-")</f>
        <v>-</v>
      </c>
      <c r="BM14" s="639" t="n">
        <f aca="false">+$I14*'PAYMENT RATIO_RAW'!BD$8</f>
        <v>0</v>
      </c>
      <c r="BN14" s="639"/>
      <c r="BO14" s="639" t="n">
        <f aca="false">+BM14-BN14</f>
        <v>0</v>
      </c>
      <c r="BP14" s="660"/>
      <c r="BQ14" s="644"/>
      <c r="BR14" s="645" t="n">
        <f aca="false">+P14+W14+AD14+AR14+AY14+BF14+BM14=I14</f>
        <v>1</v>
      </c>
      <c r="BS14" s="645" t="n">
        <f aca="false">+Q14+X14+AE14+AS14+AZ14+BG14+BN14=K14</f>
        <v>1</v>
      </c>
      <c r="BT14" s="645"/>
      <c r="BU14" s="646"/>
      <c r="BV14" s="621"/>
      <c r="BW14" s="621"/>
      <c r="BX14" s="621"/>
      <c r="BY14" s="621"/>
      <c r="BZ14" s="621"/>
      <c r="CA14" s="621"/>
      <c r="CB14" s="621"/>
      <c r="CC14" s="625"/>
      <c r="CD14" s="625"/>
    </row>
    <row r="15" customFormat="false" ht="12.75" hidden="true" customHeight="false" outlineLevel="0" collapsed="false">
      <c r="A15" s="628"/>
      <c r="B15" s="629"/>
      <c r="C15" s="630"/>
      <c r="D15" s="631"/>
      <c r="E15" s="631"/>
      <c r="F15" s="662" t="s">
        <v>508</v>
      </c>
      <c r="G15" s="661" t="n">
        <f aca="false">+'PAYMENT RATIO_RAW'!F$9*'GM Batch1'!$D$11/1000</f>
        <v>0</v>
      </c>
      <c r="H15" s="661" t="n">
        <f aca="false">+G15*10%</f>
        <v>0</v>
      </c>
      <c r="I15" s="661" t="n">
        <f aca="false">SUM(G15:H15)</f>
        <v>0</v>
      </c>
      <c r="J15" s="662" t="str">
        <f aca="false">+IFERROR(K15/I15,"-")</f>
        <v>-</v>
      </c>
      <c r="K15" s="663" t="n">
        <f aca="false">+IFERROR(Q15+X15+AE15+AS15+AZ15+BG15+BN15,"-")</f>
        <v>0</v>
      </c>
      <c r="L15" s="663" t="n">
        <f aca="false">+I15-K15</f>
        <v>0</v>
      </c>
      <c r="M15" s="664"/>
      <c r="N15" s="662"/>
      <c r="O15" s="665"/>
      <c r="P15" s="663" t="n">
        <f aca="false">+$I15*'PAYMENT RATIO_RAW'!G$9</f>
        <v>0</v>
      </c>
      <c r="Q15" s="663"/>
      <c r="R15" s="663" t="n">
        <f aca="false">+P15-Q15</f>
        <v>0</v>
      </c>
      <c r="S15" s="662"/>
      <c r="T15" s="664"/>
      <c r="U15" s="662"/>
      <c r="V15" s="665"/>
      <c r="W15" s="640" t="n">
        <f aca="false">+$I15*'PAYMENT RATIO_RAW'!N$9</f>
        <v>0</v>
      </c>
      <c r="X15" s="663"/>
      <c r="Y15" s="663" t="n">
        <f aca="false">+W15-X15</f>
        <v>0</v>
      </c>
      <c r="Z15" s="662"/>
      <c r="AA15" s="664"/>
      <c r="AB15" s="662"/>
      <c r="AC15" s="665"/>
      <c r="AD15" s="640" t="n">
        <f aca="false">+$I15*'PAYMENT RATIO_RAW'!U$9</f>
        <v>0</v>
      </c>
      <c r="AE15" s="663"/>
      <c r="AF15" s="663" t="n">
        <f aca="false">+AD15-AE15</f>
        <v>0</v>
      </c>
      <c r="AG15" s="662"/>
      <c r="AH15" s="664"/>
      <c r="AI15" s="662"/>
      <c r="AJ15" s="665"/>
      <c r="AK15" s="663"/>
      <c r="AL15" s="663"/>
      <c r="AM15" s="663"/>
      <c r="AN15" s="662"/>
      <c r="AO15" s="664"/>
      <c r="AP15" s="662"/>
      <c r="AQ15" s="665"/>
      <c r="AR15" s="640" t="n">
        <f aca="false">+$I15*'PAYMENT RATIO_RAW'!AI$9</f>
        <v>0</v>
      </c>
      <c r="AS15" s="663"/>
      <c r="AT15" s="663"/>
      <c r="AU15" s="662"/>
      <c r="AV15" s="664"/>
      <c r="AW15" s="662"/>
      <c r="AX15" s="665"/>
      <c r="AY15" s="640" t="n">
        <f aca="false">+$I15*'PAYMENT RATIO_RAW'!AP$9</f>
        <v>0</v>
      </c>
      <c r="AZ15" s="663"/>
      <c r="BA15" s="663"/>
      <c r="BB15" s="662"/>
      <c r="BC15" s="664"/>
      <c r="BD15" s="662"/>
      <c r="BE15" s="665" t="str">
        <f aca="false">+IFERROR(BF15/$I15,"-")</f>
        <v>-</v>
      </c>
      <c r="BF15" s="640" t="n">
        <f aca="false">+$I15*'PAYMENT RATIO_RAW'!AW$9</f>
        <v>0</v>
      </c>
      <c r="BG15" s="663"/>
      <c r="BH15" s="640" t="n">
        <f aca="false">+BF15-BG15</f>
        <v>0</v>
      </c>
      <c r="BI15" s="662"/>
      <c r="BJ15" s="664"/>
      <c r="BK15" s="662"/>
      <c r="BL15" s="665" t="str">
        <f aca="false">+IFERROR(BM15/$I15,"-")</f>
        <v>-</v>
      </c>
      <c r="BM15" s="663" t="n">
        <f aca="false">+$I15*'PAYMENT RATIO_RAW'!BD$9</f>
        <v>0</v>
      </c>
      <c r="BN15" s="663"/>
      <c r="BO15" s="663" t="n">
        <f aca="false">+BM15-BN15</f>
        <v>0</v>
      </c>
      <c r="BP15" s="662"/>
      <c r="BQ15" s="666"/>
      <c r="BR15" s="667" t="n">
        <f aca="false">+P15+W15+AD15+AR15+AY15+BF15+BM15=I15</f>
        <v>1</v>
      </c>
      <c r="BS15" s="668" t="n">
        <f aca="false">+Q15+X15+AE15+AS15+AZ15+BG15+BN15=K15</f>
        <v>1</v>
      </c>
      <c r="BT15" s="668"/>
      <c r="BU15" s="646"/>
      <c r="BV15" s="621"/>
      <c r="BW15" s="621"/>
      <c r="BX15" s="621"/>
      <c r="BY15" s="621"/>
      <c r="BZ15" s="621"/>
      <c r="CA15" s="621"/>
      <c r="CB15" s="621"/>
      <c r="CC15" s="625"/>
      <c r="CD15" s="625"/>
    </row>
    <row r="16" customFormat="false" ht="12.75" hidden="false" customHeight="false" outlineLevel="0" collapsed="false">
      <c r="A16" s="628"/>
      <c r="B16" s="629"/>
      <c r="C16" s="630"/>
      <c r="D16" s="631"/>
      <c r="E16" s="631"/>
      <c r="F16" s="669" t="s">
        <v>109</v>
      </c>
      <c r="G16" s="670" t="n">
        <f aca="false">SUM(G11:G15)</f>
        <v>1626816450</v>
      </c>
      <c r="H16" s="670" t="n">
        <f aca="false">SUM(H11:H15)</f>
        <v>107704745</v>
      </c>
      <c r="I16" s="670" t="n">
        <f aca="false">SUM(I11:I15)</f>
        <v>1734521195</v>
      </c>
      <c r="J16" s="669" t="n">
        <f aca="false">+IFERROR(K16/I16,"-")</f>
        <v>0.345372948873075</v>
      </c>
      <c r="K16" s="670" t="n">
        <f aca="false">SUM(K11:K15)</f>
        <v>599056700</v>
      </c>
      <c r="L16" s="670" t="n">
        <f aca="false">SUM(L11:L15)</f>
        <v>1135464495</v>
      </c>
      <c r="M16" s="671"/>
      <c r="N16" s="669"/>
      <c r="O16" s="672" t="n">
        <f aca="false">+IFERROR(P16/$I16,"-")</f>
        <v>0.1743264659271</v>
      </c>
      <c r="P16" s="670" t="n">
        <f aca="false">SUM(P11:P15)</f>
        <v>302372950</v>
      </c>
      <c r="Q16" s="670" t="n">
        <f aca="false">SUM(Q11:Q15)</f>
        <v>302372950</v>
      </c>
      <c r="R16" s="673" t="n">
        <f aca="false">+P16-Q16</f>
        <v>0</v>
      </c>
      <c r="S16" s="669"/>
      <c r="T16" s="671"/>
      <c r="U16" s="669"/>
      <c r="V16" s="672" t="n">
        <f aca="false">+IFERROR(W16/$I16,"-")</f>
        <v>0.0378685196752525</v>
      </c>
      <c r="W16" s="670" t="n">
        <f aca="false">SUM(W11:W15)</f>
        <v>65683750</v>
      </c>
      <c r="X16" s="670" t="n">
        <f aca="false">SUM(X11:X15)</f>
        <v>65683750</v>
      </c>
      <c r="Y16" s="673" t="n">
        <f aca="false">+W16-X16</f>
        <v>0</v>
      </c>
      <c r="Z16" s="669"/>
      <c r="AA16" s="671"/>
      <c r="AB16" s="669"/>
      <c r="AC16" s="672" t="n">
        <f aca="false">+IFERROR(AD16/$I16,"-")</f>
        <v>0.142797090467378</v>
      </c>
      <c r="AD16" s="670" t="n">
        <f aca="false">SUM(AD11:AD15)</f>
        <v>247684580</v>
      </c>
      <c r="AE16" s="670" t="n">
        <f aca="false">SUM(AE11:AE15)</f>
        <v>231000000</v>
      </c>
      <c r="AF16" s="673" t="n">
        <f aca="false">+AD16-AE16</f>
        <v>16684580.0000001</v>
      </c>
      <c r="AG16" s="669"/>
      <c r="AH16" s="671"/>
      <c r="AI16" s="669"/>
      <c r="AJ16" s="672" t="n">
        <f aca="false">+IFERROR(AK16/$I16,"-")</f>
        <v>0</v>
      </c>
      <c r="AK16" s="670" t="n">
        <f aca="false">SUM(AK11:AK15)</f>
        <v>0</v>
      </c>
      <c r="AL16" s="670" t="n">
        <f aca="false">SUM(AL11:AL15)</f>
        <v>231000000</v>
      </c>
      <c r="AM16" s="673" t="n">
        <f aca="false">+AK16-AL16</f>
        <v>-231000000</v>
      </c>
      <c r="AN16" s="669"/>
      <c r="AO16" s="671"/>
      <c r="AP16" s="669"/>
      <c r="AQ16" s="672" t="n">
        <f aca="false">+IFERROR(AR16/$I16,"-")</f>
        <v>0.350237717908082</v>
      </c>
      <c r="AR16" s="670" t="n">
        <f aca="false">SUM(AR11:AR15)</f>
        <v>607494745</v>
      </c>
      <c r="AS16" s="670" t="n">
        <f aca="false">SUM(AS11:AS15)</f>
        <v>0</v>
      </c>
      <c r="AT16" s="673" t="n">
        <f aca="false">+AR16-AS16</f>
        <v>607494745</v>
      </c>
      <c r="AU16" s="669"/>
      <c r="AV16" s="671"/>
      <c r="AW16" s="669"/>
      <c r="AX16" s="672" t="n">
        <f aca="false">+IFERROR(AY16/$I16,"-")</f>
        <v>0</v>
      </c>
      <c r="AY16" s="670" t="n">
        <f aca="false">SUM(AY11:AY15)</f>
        <v>0</v>
      </c>
      <c r="AZ16" s="670" t="n">
        <f aca="false">SUM(AZ11:AZ15)</f>
        <v>0</v>
      </c>
      <c r="BA16" s="673" t="n">
        <f aca="false">+AY16-AZ16</f>
        <v>0</v>
      </c>
      <c r="BB16" s="669"/>
      <c r="BC16" s="671"/>
      <c r="BD16" s="669"/>
      <c r="BE16" s="672" t="n">
        <f aca="false">+IFERROR(BF16/$I16,"-")</f>
        <v>0.166402535657686</v>
      </c>
      <c r="BF16" s="670" t="n">
        <f aca="false">SUM(BF11:BF15)</f>
        <v>288628725</v>
      </c>
      <c r="BG16" s="670" t="n">
        <f aca="false">SUM(BG11:BG15)</f>
        <v>0</v>
      </c>
      <c r="BH16" s="673" t="n">
        <f aca="false">+BF16-BG16</f>
        <v>288628725</v>
      </c>
      <c r="BI16" s="669"/>
      <c r="BJ16" s="671"/>
      <c r="BK16" s="669"/>
      <c r="BL16" s="672" t="n">
        <f aca="false">+IFERROR(BM16/$I16,"-")</f>
        <v>0.128367670364501</v>
      </c>
      <c r="BM16" s="670" t="n">
        <f aca="false">SUM(BM11:BM15)</f>
        <v>222656445</v>
      </c>
      <c r="BN16" s="670" t="n">
        <f aca="false">SUM(BN11:BN15)</f>
        <v>0</v>
      </c>
      <c r="BO16" s="673" t="n">
        <f aca="false">+BM16-BN16</f>
        <v>222656445</v>
      </c>
      <c r="BP16" s="669"/>
      <c r="BQ16" s="666"/>
      <c r="BR16" s="674"/>
      <c r="BS16" s="675"/>
      <c r="BT16" s="675"/>
      <c r="BU16" s="646" t="n">
        <f aca="false">+BX11*D11/1000*1.1</f>
        <v>30237295</v>
      </c>
      <c r="BV16" s="621"/>
      <c r="BW16" s="621"/>
      <c r="BX16" s="621"/>
      <c r="BY16" s="621"/>
      <c r="BZ16" s="621"/>
      <c r="CA16" s="621"/>
      <c r="CB16" s="621"/>
      <c r="CC16" s="625"/>
      <c r="CD16" s="625"/>
    </row>
    <row r="17" customFormat="false" ht="13.4" hidden="false" customHeight="false" outlineLevel="0" collapsed="false">
      <c r="A17" s="628"/>
      <c r="B17" s="629" t="n">
        <v>2</v>
      </c>
      <c r="C17" s="631" t="s">
        <v>171</v>
      </c>
      <c r="D17" s="631" t="n">
        <v>999.58</v>
      </c>
      <c r="E17" s="631" t="s">
        <v>505</v>
      </c>
      <c r="F17" s="634" t="s">
        <v>112</v>
      </c>
      <c r="G17" s="633" t="n">
        <f aca="false">+'PAYMENT RATIO_RAW'!F$5*$D$17/1000+27500000*D$17/1000</f>
        <v>1077047450</v>
      </c>
      <c r="H17" s="676" t="n">
        <f aca="false">+G17*10%</f>
        <v>107704745</v>
      </c>
      <c r="I17" s="676" t="n">
        <f aca="false">SUM(G17:H17)</f>
        <v>1184752195</v>
      </c>
      <c r="J17" s="662" t="n">
        <f aca="false">+IFERROR(K17/I17,"-")</f>
        <v>0.194977482189852</v>
      </c>
      <c r="K17" s="663" t="n">
        <f aca="false">+IFERROR(Q17+X17+AE17+AS17+AZ17+BG17+BN17,"-")</f>
        <v>231000000</v>
      </c>
      <c r="L17" s="640" t="n">
        <f aca="false">+I17-K17</f>
        <v>953752195</v>
      </c>
      <c r="M17" s="636"/>
      <c r="N17" s="637"/>
      <c r="O17" s="638"/>
      <c r="P17" s="639" t="n">
        <f aca="false">+$I17*'PAYMENT RATIO_RAW'!G$5</f>
        <v>0</v>
      </c>
      <c r="Q17" s="640"/>
      <c r="R17" s="640" t="n">
        <f aca="false">+P17-Q17</f>
        <v>0</v>
      </c>
      <c r="S17" s="641"/>
      <c r="T17" s="636"/>
      <c r="U17" s="637"/>
      <c r="V17" s="638"/>
      <c r="W17" s="640" t="n">
        <f aca="false">+$I17*'PAYMENT RATIO_RAW'!N$5</f>
        <v>0</v>
      </c>
      <c r="X17" s="640"/>
      <c r="Y17" s="640" t="n">
        <f aca="false">+W17-X17</f>
        <v>0</v>
      </c>
      <c r="Z17" s="641"/>
      <c r="AA17" s="636" t="n">
        <f aca="false">+$AA$11</f>
        <v>45920</v>
      </c>
      <c r="AB17" s="642" t="n">
        <v>45915</v>
      </c>
      <c r="AC17" s="638" t="n">
        <f aca="false">+IFERROR(AD17/$I17,"-")</f>
        <v>0.194895591647332</v>
      </c>
      <c r="AD17" s="640" t="n">
        <f aca="false">+'PAYMENT RATIO_RAW'!$U$60*$D17*1050000000/1000*1.1</f>
        <v>230902980</v>
      </c>
      <c r="AE17" s="640" t="n">
        <v>231000000</v>
      </c>
      <c r="AF17" s="640" t="n">
        <f aca="false">+AD17-AE17</f>
        <v>-97019.9999999404</v>
      </c>
      <c r="AG17" s="643" t="s">
        <v>506</v>
      </c>
      <c r="AH17" s="636" t="n">
        <f aca="false">+EDATE(AO17,0)</f>
        <v>45950</v>
      </c>
      <c r="AI17" s="642" t="n">
        <v>45980</v>
      </c>
      <c r="AJ17" s="638" t="n">
        <f aca="false">+IFERROR(AK17/$I17,"-")</f>
        <v>0</v>
      </c>
      <c r="AK17" s="640" t="n">
        <f aca="false">+'PAYMENT RATIO_RAW'!AB$60*$I17</f>
        <v>0</v>
      </c>
      <c r="AL17" s="640" t="n">
        <v>231000000</v>
      </c>
      <c r="AM17" s="640" t="n">
        <f aca="false">+AK17-AL17</f>
        <v>-231000000</v>
      </c>
      <c r="AN17" s="641"/>
      <c r="AO17" s="636" t="n">
        <f aca="false">+EDATE(AV17,0)-10</f>
        <v>45950</v>
      </c>
      <c r="AP17" s="637"/>
      <c r="AQ17" s="638" t="n">
        <f aca="false">+IFERROR(AR17/$I17,"-")</f>
        <v>0.512761020881671</v>
      </c>
      <c r="AR17" s="640" t="n">
        <f aca="false">+'PAYMENT RATIO_RAW'!AI$60*$D17*1050000000/1000*1.1+27500000*$D17/1000*1.1</f>
        <v>607494745</v>
      </c>
      <c r="AS17" s="640"/>
      <c r="AT17" s="640" t="n">
        <f aca="false">+AR17-AS17</f>
        <v>607494745</v>
      </c>
      <c r="AU17" s="641"/>
      <c r="AV17" s="636" t="n">
        <f aca="false">+EDATE(BC17,-1)</f>
        <v>45960</v>
      </c>
      <c r="AW17" s="636"/>
      <c r="AX17" s="638" t="n">
        <f aca="false">+IFERROR(AY17/$I17,"-")</f>
        <v>0</v>
      </c>
      <c r="AY17" s="640" t="n">
        <f aca="false">+'PAYMENT RATIO_RAW'!AP$60*$I17</f>
        <v>0</v>
      </c>
      <c r="AZ17" s="640"/>
      <c r="BA17" s="640" t="n">
        <f aca="false">+AY17-AZ17</f>
        <v>0</v>
      </c>
      <c r="BB17" s="641"/>
      <c r="BC17" s="636" t="n">
        <f aca="false">+EDATE(BJ17,-1)</f>
        <v>45991</v>
      </c>
      <c r="BD17" s="636"/>
      <c r="BE17" s="638" t="n">
        <f aca="false">+IFERROR(BF17/$I17,"-")</f>
        <v>0.243619489559165</v>
      </c>
      <c r="BF17" s="640" t="n">
        <f aca="false">+'PAYMENT RATIO_RAW'!AW$60*$D17*1050000000/1000*1.1</f>
        <v>288628725</v>
      </c>
      <c r="BG17" s="640"/>
      <c r="BH17" s="640" t="n">
        <f aca="false">+BF17-BG17</f>
        <v>288628725</v>
      </c>
      <c r="BI17" s="641"/>
      <c r="BJ17" s="637" t="n">
        <v>46022</v>
      </c>
      <c r="BK17" s="636"/>
      <c r="BL17" s="638" t="n">
        <f aca="false">+IFERROR(BM17/$I17,"-")</f>
        <v>0.048723897911833</v>
      </c>
      <c r="BM17" s="640" t="n">
        <f aca="false">+'PAYMENT RATIO_RAW'!BD$60*$D17*1050000000/1000*1.1</f>
        <v>57725745</v>
      </c>
      <c r="BN17" s="640"/>
      <c r="BO17" s="640" t="n">
        <f aca="false">+BM17-BN17</f>
        <v>57725745</v>
      </c>
      <c r="BP17" s="641"/>
      <c r="BQ17" s="644"/>
      <c r="BR17" s="645" t="n">
        <f aca="false">+P17+W17+AD17+AK17+AR17+AY17+BF17+BM17=I17</f>
        <v>1</v>
      </c>
      <c r="BS17" s="645" t="n">
        <f aca="false">+Q17+X17+AE17+AS17+AZ17+BG17+BN17=K17</f>
        <v>1</v>
      </c>
      <c r="BT17" s="645"/>
      <c r="BU17" s="621"/>
      <c r="BV17" s="621"/>
      <c r="BW17" s="621"/>
      <c r="BX17" s="621"/>
      <c r="BY17" s="621"/>
      <c r="BZ17" s="621"/>
      <c r="CA17" s="621"/>
      <c r="CB17" s="621"/>
      <c r="CC17" s="625"/>
      <c r="CD17" s="625"/>
    </row>
    <row r="18" customFormat="false" ht="12.75" hidden="false" customHeight="false" outlineLevel="0" collapsed="false">
      <c r="A18" s="628"/>
      <c r="B18" s="629"/>
      <c r="C18" s="631"/>
      <c r="D18" s="631"/>
      <c r="E18" s="631"/>
      <c r="F18" s="647" t="s">
        <v>114</v>
      </c>
      <c r="G18" s="648" t="n">
        <f aca="false">+'PAYMENT RATIO_RAW'!F$6*'GM Batch1'!$D$17/1000</f>
        <v>549769000</v>
      </c>
      <c r="H18" s="648"/>
      <c r="I18" s="648" t="n">
        <f aca="false">SUM(G18:H18)</f>
        <v>549769000</v>
      </c>
      <c r="J18" s="647" t="n">
        <f aca="false">+IFERROR(K18/I18,"-")</f>
        <v>0.669475179575422</v>
      </c>
      <c r="K18" s="649" t="n">
        <f aca="false">+IFERROR(Q18+X18+AE18+AS18+AZ18+BG18+BN18,"-")</f>
        <v>368056700</v>
      </c>
      <c r="L18" s="649" t="n">
        <f aca="false">+I18-K18</f>
        <v>181712300</v>
      </c>
      <c r="M18" s="650" t="n">
        <v>45450</v>
      </c>
      <c r="N18" s="650" t="n">
        <v>45450</v>
      </c>
      <c r="O18" s="651" t="n">
        <f aca="false">+IFERROR(P18/$I18,"-")</f>
        <v>0.55</v>
      </c>
      <c r="P18" s="649" t="n">
        <f aca="false">+$I18*'PAYMENT RATIO_RAW'!G$6</f>
        <v>302372950</v>
      </c>
      <c r="Q18" s="649" t="n">
        <v>302372950</v>
      </c>
      <c r="R18" s="649" t="n">
        <f aca="false">+P18-Q18</f>
        <v>0</v>
      </c>
      <c r="S18" s="652"/>
      <c r="T18" s="650" t="n">
        <v>45456</v>
      </c>
      <c r="U18" s="650" t="n">
        <v>45456</v>
      </c>
      <c r="V18" s="651" t="n">
        <f aca="false">+IFERROR(W18/$I18,"-")</f>
        <v>0.119475179575422</v>
      </c>
      <c r="W18" s="653" t="n">
        <f aca="false">+$I18*'PAYMENT RATIO_RAW'!N$6-16781600</f>
        <v>65683750</v>
      </c>
      <c r="X18" s="649" t="n">
        <v>65683750</v>
      </c>
      <c r="Y18" s="649" t="n">
        <f aca="false">+W18-X18</f>
        <v>0</v>
      </c>
      <c r="Z18" s="654"/>
      <c r="AA18" s="650" t="n">
        <v>45950</v>
      </c>
      <c r="AB18" s="677"/>
      <c r="AC18" s="651" t="n">
        <f aca="false">+IFERROR(AD18/$I18,"-")</f>
        <v>0.0305248204245783</v>
      </c>
      <c r="AD18" s="653" t="n">
        <f aca="false">+$I18*'PAYMENT RATIO_RAW'!U$6+16781600</f>
        <v>16781600</v>
      </c>
      <c r="AE18" s="649"/>
      <c r="AF18" s="649" t="n">
        <f aca="false">+AD18-AE18</f>
        <v>16781600</v>
      </c>
      <c r="AG18" s="652"/>
      <c r="AH18" s="650"/>
      <c r="AI18" s="650"/>
      <c r="AJ18" s="651" t="n">
        <f aca="false">+IFERROR(AK18/$I18,"-")</f>
        <v>0</v>
      </c>
      <c r="AK18" s="649" t="n">
        <f aca="false">+$I18*'PAYMENT RATIO_RAW'!AB40</f>
        <v>0</v>
      </c>
      <c r="AL18" s="649"/>
      <c r="AM18" s="649" t="n">
        <f aca="false">+AK18-AL18</f>
        <v>0</v>
      </c>
      <c r="AN18" s="652"/>
      <c r="AO18" s="650"/>
      <c r="AP18" s="650"/>
      <c r="AQ18" s="651"/>
      <c r="AR18" s="653" t="n">
        <f aca="false">+$I18*'PAYMENT RATIO_RAW'!AI$6</f>
        <v>0</v>
      </c>
      <c r="AS18" s="649"/>
      <c r="AT18" s="649" t="n">
        <f aca="false">+AR18-AS18</f>
        <v>0</v>
      </c>
      <c r="AU18" s="652"/>
      <c r="AV18" s="650"/>
      <c r="AW18" s="650"/>
      <c r="AX18" s="651"/>
      <c r="AY18" s="653" t="n">
        <f aca="false">+$I18*'PAYMENT RATIO_RAW'!AP$6</f>
        <v>0</v>
      </c>
      <c r="AZ18" s="649"/>
      <c r="BA18" s="649" t="n">
        <f aca="false">+AY18-AZ18</f>
        <v>0</v>
      </c>
      <c r="BB18" s="652"/>
      <c r="BC18" s="650"/>
      <c r="BD18" s="650"/>
      <c r="BE18" s="651" t="n">
        <f aca="false">+IFERROR(BF18/$I18,"-")</f>
        <v>0</v>
      </c>
      <c r="BF18" s="653" t="n">
        <f aca="false">+$I18*'PAYMENT RATIO_RAW'!AW$6</f>
        <v>0</v>
      </c>
      <c r="BG18" s="649"/>
      <c r="BH18" s="653" t="n">
        <f aca="false">+BF18-BG18</f>
        <v>0</v>
      </c>
      <c r="BI18" s="652"/>
      <c r="BJ18" s="650" t="n">
        <f aca="false">+BJ17</f>
        <v>46022</v>
      </c>
      <c r="BK18" s="650"/>
      <c r="BL18" s="651" t="n">
        <f aca="false">+IFERROR(BM18/$I18,"-")</f>
        <v>0.3</v>
      </c>
      <c r="BM18" s="649" t="n">
        <f aca="false">+$I18*'PAYMENT RATIO_RAW'!BD$6</f>
        <v>164930700</v>
      </c>
      <c r="BN18" s="649"/>
      <c r="BO18" s="649" t="n">
        <f aca="false">+BM18-BN18</f>
        <v>164930700</v>
      </c>
      <c r="BP18" s="652"/>
      <c r="BQ18" s="644"/>
      <c r="BR18" s="645" t="n">
        <f aca="false">+P18+W18+AD18+AR18+AY18+BF18+BM18=I18</f>
        <v>1</v>
      </c>
      <c r="BS18" s="645" t="n">
        <f aca="false">+Q18+X18+AE18+AS18+AZ18+BG18+BN18=K18</f>
        <v>1</v>
      </c>
      <c r="BT18" s="645" t="n">
        <f aca="false">+BF18+BF20+AY18+AY20+AR18+AR20+AD18+AD20+W18+W20+P18+P20+BM18+BM20=('PAYMENT RATIO_RAW'!$F$6+'PAYMENT RATIO_RAW'!$F$8)*D17/1000</f>
        <v>1</v>
      </c>
      <c r="BU18" s="621"/>
      <c r="BV18" s="621"/>
      <c r="BW18" s="621"/>
      <c r="BX18" s="621"/>
      <c r="BY18" s="621"/>
      <c r="BZ18" s="621"/>
      <c r="CA18" s="621"/>
      <c r="CB18" s="621"/>
      <c r="CC18" s="625"/>
      <c r="CD18" s="625"/>
    </row>
    <row r="19" customFormat="false" ht="12.75" hidden="true" customHeight="false" outlineLevel="0" collapsed="false">
      <c r="A19" s="628"/>
      <c r="B19" s="629"/>
      <c r="C19" s="631"/>
      <c r="D19" s="631"/>
      <c r="E19" s="631"/>
      <c r="F19" s="656" t="s">
        <v>404</v>
      </c>
      <c r="G19" s="657" t="n">
        <f aca="false">+'PAYMENT RATIO_RAW'!F$7*'GM Batch1'!$D$17/1000</f>
        <v>0</v>
      </c>
      <c r="H19" s="657" t="n">
        <f aca="false">+G19*10%</f>
        <v>0</v>
      </c>
      <c r="I19" s="657" t="n">
        <f aca="false">SUM(G19:H19)</f>
        <v>0</v>
      </c>
      <c r="J19" s="656" t="str">
        <f aca="false">+IFERROR(K19/I19,"-")</f>
        <v>-</v>
      </c>
      <c r="K19" s="639" t="n">
        <f aca="false">+IFERROR(Q19+X19+AE19+AS19+AZ19+BG19+BN19,"-")</f>
        <v>0</v>
      </c>
      <c r="L19" s="639" t="n">
        <f aca="false">+I19-K19</f>
        <v>0</v>
      </c>
      <c r="M19" s="658"/>
      <c r="N19" s="658"/>
      <c r="O19" s="659" t="str">
        <f aca="false">+IFERROR(P19/$I19,"-")</f>
        <v>-</v>
      </c>
      <c r="P19" s="639" t="n">
        <f aca="false">+$I19*'PAYMENT RATIO_RAW'!G$7</f>
        <v>0</v>
      </c>
      <c r="Q19" s="639"/>
      <c r="R19" s="639" t="n">
        <f aca="false">+P19-Q19</f>
        <v>0</v>
      </c>
      <c r="S19" s="660"/>
      <c r="T19" s="658"/>
      <c r="U19" s="658"/>
      <c r="V19" s="659" t="str">
        <f aca="false">+IFERROR(W19/$I19,"-")</f>
        <v>-</v>
      </c>
      <c r="W19" s="640" t="n">
        <f aca="false">+$I19*'PAYMENT RATIO_RAW'!N$7</f>
        <v>0</v>
      </c>
      <c r="X19" s="639"/>
      <c r="Y19" s="639" t="n">
        <f aca="false">+W19-X19</f>
        <v>0</v>
      </c>
      <c r="Z19" s="660"/>
      <c r="AA19" s="658"/>
      <c r="AB19" s="678"/>
      <c r="AC19" s="659" t="str">
        <f aca="false">+IFERROR(AD19/$I19,"-")</f>
        <v>-</v>
      </c>
      <c r="AD19" s="640" t="n">
        <f aca="false">+$I19*'PAYMENT RATIO_RAW'!U$7</f>
        <v>0</v>
      </c>
      <c r="AE19" s="639"/>
      <c r="AF19" s="639" t="n">
        <f aca="false">+AD19-AE19</f>
        <v>0</v>
      </c>
      <c r="AG19" s="660"/>
      <c r="AH19" s="658"/>
      <c r="AI19" s="658"/>
      <c r="AJ19" s="659" t="str">
        <f aca="false">+IFERROR(AK19/$I19,"-")</f>
        <v>-</v>
      </c>
      <c r="AK19" s="639" t="n">
        <f aca="false">+$I19*'PAYMENT RATIO_RAW'!AB40</f>
        <v>0</v>
      </c>
      <c r="AL19" s="639"/>
      <c r="AM19" s="639" t="n">
        <f aca="false">+AK19-AL19</f>
        <v>0</v>
      </c>
      <c r="AN19" s="660"/>
      <c r="AO19" s="658"/>
      <c r="AP19" s="658"/>
      <c r="AQ19" s="659"/>
      <c r="AR19" s="640" t="n">
        <f aca="false">+$I19*'PAYMENT RATIO_RAW'!AI$7</f>
        <v>0</v>
      </c>
      <c r="AS19" s="639"/>
      <c r="AT19" s="639" t="n">
        <f aca="false">+AR19-AS19</f>
        <v>0</v>
      </c>
      <c r="AU19" s="660"/>
      <c r="AV19" s="658"/>
      <c r="AW19" s="658"/>
      <c r="AX19" s="659"/>
      <c r="AY19" s="640" t="n">
        <f aca="false">+$I19*'PAYMENT RATIO_RAW'!AP$7</f>
        <v>0</v>
      </c>
      <c r="AZ19" s="639"/>
      <c r="BA19" s="639" t="n">
        <f aca="false">+AY19-AZ19</f>
        <v>0</v>
      </c>
      <c r="BB19" s="660"/>
      <c r="BC19" s="658"/>
      <c r="BD19" s="658"/>
      <c r="BE19" s="659" t="str">
        <f aca="false">+IFERROR(BF19/$I19,"-")</f>
        <v>-</v>
      </c>
      <c r="BF19" s="640" t="n">
        <f aca="false">+$I19*'PAYMENT RATIO_RAW'!AW$7</f>
        <v>0</v>
      </c>
      <c r="BG19" s="639"/>
      <c r="BH19" s="640" t="n">
        <f aca="false">+BF19-BG19</f>
        <v>0</v>
      </c>
      <c r="BI19" s="660"/>
      <c r="BJ19" s="658"/>
      <c r="BK19" s="658"/>
      <c r="BL19" s="659" t="str">
        <f aca="false">+IFERROR(BM19/$I19,"-")</f>
        <v>-</v>
      </c>
      <c r="BM19" s="639" t="n">
        <f aca="false">+$I19*'PAYMENT RATIO_RAW'!BD$7</f>
        <v>0</v>
      </c>
      <c r="BN19" s="639"/>
      <c r="BO19" s="639" t="n">
        <f aca="false">+BM19-BN19</f>
        <v>0</v>
      </c>
      <c r="BP19" s="660"/>
      <c r="BQ19" s="644"/>
      <c r="BR19" s="645" t="n">
        <f aca="false">+P19+W19+AD19+AR19+AY19+BF19+BM19=I19</f>
        <v>1</v>
      </c>
      <c r="BS19" s="645" t="n">
        <f aca="false">+Q19+X19+AE19+AS19+AZ19+BG19+BN19=K19</f>
        <v>1</v>
      </c>
      <c r="BT19" s="645"/>
      <c r="BU19" s="621"/>
      <c r="BV19" s="621"/>
      <c r="BW19" s="621"/>
      <c r="BX19" s="621"/>
      <c r="BY19" s="621"/>
      <c r="BZ19" s="621"/>
      <c r="CA19" s="621"/>
      <c r="CB19" s="621"/>
      <c r="CC19" s="625"/>
      <c r="CD19" s="625"/>
    </row>
    <row r="20" customFormat="false" ht="12.75" hidden="true" customHeight="false" outlineLevel="0" collapsed="false">
      <c r="A20" s="628"/>
      <c r="B20" s="629"/>
      <c r="C20" s="631"/>
      <c r="D20" s="631"/>
      <c r="E20" s="631"/>
      <c r="F20" s="656" t="s">
        <v>507</v>
      </c>
      <c r="G20" s="657" t="n">
        <f aca="false">+'PAYMENT RATIO_RAW'!F$8*'GM Batch1'!$D$17/1000</f>
        <v>0</v>
      </c>
      <c r="H20" s="657" t="n">
        <f aca="false">+G20*10%</f>
        <v>0</v>
      </c>
      <c r="I20" s="657" t="n">
        <f aca="false">SUM(G20:H20)</f>
        <v>0</v>
      </c>
      <c r="J20" s="656" t="str">
        <f aca="false">+IFERROR(K20/I20,"-")</f>
        <v>-</v>
      </c>
      <c r="K20" s="639" t="n">
        <f aca="false">+IFERROR(Q20+X20+AE20+AS20+AZ20+BG20+BN20,"-")</f>
        <v>0</v>
      </c>
      <c r="L20" s="639" t="n">
        <f aca="false">+I20-K20</f>
        <v>0</v>
      </c>
      <c r="M20" s="658"/>
      <c r="N20" s="642"/>
      <c r="O20" s="659" t="str">
        <f aca="false">+IFERROR(P20/$I20,"-")</f>
        <v>-</v>
      </c>
      <c r="P20" s="639" t="n">
        <f aca="false">+$I20*'PAYMENT RATIO_RAW'!G$8</f>
        <v>0</v>
      </c>
      <c r="Q20" s="639"/>
      <c r="R20" s="639" t="n">
        <f aca="false">+P20-Q20</f>
        <v>0</v>
      </c>
      <c r="S20" s="660"/>
      <c r="T20" s="658"/>
      <c r="U20" s="642"/>
      <c r="V20" s="659" t="str">
        <f aca="false">+IFERROR(W20/$I20,"-")</f>
        <v>-</v>
      </c>
      <c r="W20" s="640" t="n">
        <f aca="false">+$I20*'PAYMENT RATIO_RAW'!N$8</f>
        <v>0</v>
      </c>
      <c r="X20" s="639"/>
      <c r="Y20" s="639" t="n">
        <f aca="false">+W20-X20</f>
        <v>0</v>
      </c>
      <c r="Z20" s="660"/>
      <c r="AA20" s="658"/>
      <c r="AB20" s="642"/>
      <c r="AC20" s="659" t="str">
        <f aca="false">+IFERROR(AD20/$I20,"-")</f>
        <v>-</v>
      </c>
      <c r="AD20" s="640" t="n">
        <f aca="false">+$I20*'PAYMENT RATIO_RAW'!U$8</f>
        <v>0</v>
      </c>
      <c r="AE20" s="639"/>
      <c r="AF20" s="639" t="n">
        <f aca="false">+AD20-AE20</f>
        <v>0</v>
      </c>
      <c r="AG20" s="660"/>
      <c r="AH20" s="642"/>
      <c r="AI20" s="642"/>
      <c r="AJ20" s="659" t="str">
        <f aca="false">+IFERROR(AK20/$I20,"-")</f>
        <v>-</v>
      </c>
      <c r="AK20" s="639" t="n">
        <f aca="false">+$I20*'PAYMENT RATIO_RAW'!AB41</f>
        <v>0</v>
      </c>
      <c r="AL20" s="639"/>
      <c r="AM20" s="639" t="n">
        <f aca="false">+AK20-AL20</f>
        <v>0</v>
      </c>
      <c r="AN20" s="660"/>
      <c r="AO20" s="642"/>
      <c r="AP20" s="642"/>
      <c r="AQ20" s="659"/>
      <c r="AR20" s="640" t="n">
        <f aca="false">+$I20*'PAYMENT RATIO_RAW'!AI$8</f>
        <v>0</v>
      </c>
      <c r="AS20" s="639"/>
      <c r="AT20" s="639" t="n">
        <f aca="false">+AR20-AS20</f>
        <v>0</v>
      </c>
      <c r="AU20" s="660"/>
      <c r="AV20" s="642"/>
      <c r="AW20" s="642"/>
      <c r="AX20" s="659"/>
      <c r="AY20" s="640" t="n">
        <f aca="false">+$I20*'PAYMENT RATIO_RAW'!AP$8</f>
        <v>0</v>
      </c>
      <c r="AZ20" s="639"/>
      <c r="BA20" s="639" t="n">
        <f aca="false">+AY20-AZ20</f>
        <v>0</v>
      </c>
      <c r="BB20" s="660"/>
      <c r="BC20" s="642"/>
      <c r="BD20" s="642"/>
      <c r="BE20" s="659" t="str">
        <f aca="false">+IFERROR(BF20/$I20,"-")</f>
        <v>-</v>
      </c>
      <c r="BF20" s="640" t="n">
        <f aca="false">+$I20*'PAYMENT RATIO_RAW'!AW$8</f>
        <v>0</v>
      </c>
      <c r="BG20" s="639"/>
      <c r="BH20" s="640" t="n">
        <f aca="false">+BF20-BG20</f>
        <v>0</v>
      </c>
      <c r="BI20" s="660"/>
      <c r="BJ20" s="642"/>
      <c r="BK20" s="642"/>
      <c r="BL20" s="659" t="str">
        <f aca="false">+IFERROR(BM20/$I20,"-")</f>
        <v>-</v>
      </c>
      <c r="BM20" s="639" t="n">
        <f aca="false">+$I20*'PAYMENT RATIO_RAW'!BD$8</f>
        <v>0</v>
      </c>
      <c r="BN20" s="639"/>
      <c r="BO20" s="639" t="n">
        <f aca="false">+BM20-BN20</f>
        <v>0</v>
      </c>
      <c r="BP20" s="660"/>
      <c r="BQ20" s="644"/>
      <c r="BR20" s="645" t="n">
        <f aca="false">+P20+W20+AD20+AR20+AY20+BF20+BM20=I20</f>
        <v>1</v>
      </c>
      <c r="BS20" s="645" t="n">
        <f aca="false">+Q20+X20+AE20+AS20+AZ20+BG20+BN20=K20</f>
        <v>1</v>
      </c>
      <c r="BT20" s="645"/>
      <c r="BU20" s="621"/>
      <c r="BV20" s="621"/>
      <c r="BW20" s="621"/>
      <c r="BX20" s="621"/>
      <c r="BY20" s="621"/>
      <c r="BZ20" s="621"/>
      <c r="CA20" s="621"/>
      <c r="CB20" s="621"/>
      <c r="CC20" s="625"/>
      <c r="CD20" s="625"/>
    </row>
    <row r="21" customFormat="false" ht="12.75" hidden="true" customHeight="false" outlineLevel="0" collapsed="false">
      <c r="A21" s="628"/>
      <c r="B21" s="629"/>
      <c r="C21" s="631"/>
      <c r="D21" s="631"/>
      <c r="E21" s="631"/>
      <c r="F21" s="679" t="s">
        <v>508</v>
      </c>
      <c r="G21" s="661" t="n">
        <f aca="false">+'PAYMENT RATIO_RAW'!F$9*'GM Batch1'!$D$17/1000</f>
        <v>0</v>
      </c>
      <c r="H21" s="680" t="n">
        <f aca="false">+G21*0.1</f>
        <v>0</v>
      </c>
      <c r="I21" s="680" t="n">
        <f aca="false">SUM(G21:H21)</f>
        <v>0</v>
      </c>
      <c r="J21" s="679" t="str">
        <f aca="false">+IFERROR(K21/I21,"-")</f>
        <v>-</v>
      </c>
      <c r="K21" s="681" t="n">
        <f aca="false">+IFERROR(Q21+X21+AE21+AS21+AZ21+BG21+BN21,"-")</f>
        <v>0</v>
      </c>
      <c r="L21" s="681" t="n">
        <f aca="false">+I21-K21</f>
        <v>0</v>
      </c>
      <c r="M21" s="664"/>
      <c r="N21" s="662"/>
      <c r="O21" s="665"/>
      <c r="P21" s="663" t="n">
        <f aca="false">+$I21*'PAYMENT RATIO_RAW'!G$9</f>
        <v>0</v>
      </c>
      <c r="Q21" s="663"/>
      <c r="R21" s="663" t="n">
        <f aca="false">+P21-Q21</f>
        <v>0</v>
      </c>
      <c r="S21" s="662"/>
      <c r="T21" s="664"/>
      <c r="U21" s="662"/>
      <c r="V21" s="665"/>
      <c r="W21" s="640" t="n">
        <f aca="false">+$I21*'PAYMENT RATIO_RAW'!N$9</f>
        <v>0</v>
      </c>
      <c r="X21" s="663"/>
      <c r="Y21" s="663" t="n">
        <f aca="false">+W21-X21</f>
        <v>0</v>
      </c>
      <c r="Z21" s="662"/>
      <c r="AA21" s="664"/>
      <c r="AB21" s="662"/>
      <c r="AC21" s="665"/>
      <c r="AD21" s="640" t="n">
        <f aca="false">+$I21*'PAYMENT RATIO_RAW'!U$9</f>
        <v>0</v>
      </c>
      <c r="AE21" s="663"/>
      <c r="AF21" s="663" t="n">
        <f aca="false">+AD21-AE21</f>
        <v>0</v>
      </c>
      <c r="AG21" s="662"/>
      <c r="AH21" s="664"/>
      <c r="AI21" s="662"/>
      <c r="AJ21" s="665"/>
      <c r="AK21" s="663"/>
      <c r="AL21" s="663"/>
      <c r="AM21" s="663"/>
      <c r="AN21" s="662"/>
      <c r="AO21" s="664"/>
      <c r="AP21" s="662"/>
      <c r="AQ21" s="665"/>
      <c r="AR21" s="640" t="n">
        <f aca="false">+$I21*'PAYMENT RATIO_RAW'!AI$9</f>
        <v>0</v>
      </c>
      <c r="AS21" s="663"/>
      <c r="AT21" s="663"/>
      <c r="AU21" s="662"/>
      <c r="AV21" s="664"/>
      <c r="AW21" s="662"/>
      <c r="AX21" s="665"/>
      <c r="AY21" s="640" t="n">
        <f aca="false">+$I21*'PAYMENT RATIO_RAW'!AP$9</f>
        <v>0</v>
      </c>
      <c r="AZ21" s="663"/>
      <c r="BA21" s="663"/>
      <c r="BB21" s="662"/>
      <c r="BC21" s="664"/>
      <c r="BD21" s="662"/>
      <c r="BE21" s="665" t="str">
        <f aca="false">+IFERROR(BF21/$I21,"-")</f>
        <v>-</v>
      </c>
      <c r="BF21" s="640" t="n">
        <f aca="false">+$I21*'PAYMENT RATIO_RAW'!AW$9</f>
        <v>0</v>
      </c>
      <c r="BG21" s="663"/>
      <c r="BH21" s="640" t="n">
        <f aca="false">+BF21-BG21</f>
        <v>0</v>
      </c>
      <c r="BI21" s="662"/>
      <c r="BJ21" s="664"/>
      <c r="BK21" s="662"/>
      <c r="BL21" s="665" t="str">
        <f aca="false">+IFERROR(BM21/$I21,"-")</f>
        <v>-</v>
      </c>
      <c r="BM21" s="663" t="n">
        <f aca="false">+$I21*'PAYMENT RATIO_RAW'!BD$9</f>
        <v>0</v>
      </c>
      <c r="BN21" s="663"/>
      <c r="BO21" s="663" t="n">
        <f aca="false">+BM21-BN21</f>
        <v>0</v>
      </c>
      <c r="BP21" s="662"/>
      <c r="BQ21" s="666"/>
      <c r="BR21" s="667" t="n">
        <f aca="false">+P21+W21+AD21+AR21+AY21+BF21+BM21=I21</f>
        <v>1</v>
      </c>
      <c r="BS21" s="668" t="n">
        <f aca="false">+Q21+X21+AE21+AS21+AZ21+BG21+BN21=K21</f>
        <v>1</v>
      </c>
      <c r="BT21" s="668"/>
      <c r="BU21" s="621"/>
      <c r="BV21" s="621"/>
      <c r="BW21" s="621"/>
      <c r="BX21" s="621"/>
      <c r="BY21" s="621"/>
      <c r="BZ21" s="621"/>
      <c r="CA21" s="621"/>
      <c r="CB21" s="621"/>
      <c r="CC21" s="625"/>
      <c r="CD21" s="625"/>
    </row>
    <row r="22" customFormat="false" ht="12.75" hidden="false" customHeight="false" outlineLevel="0" collapsed="false">
      <c r="A22" s="628"/>
      <c r="B22" s="629"/>
      <c r="C22" s="631"/>
      <c r="D22" s="631"/>
      <c r="E22" s="631"/>
      <c r="F22" s="669" t="s">
        <v>109</v>
      </c>
      <c r="G22" s="670" t="n">
        <f aca="false">SUM(G17:G21)</f>
        <v>1626816450</v>
      </c>
      <c r="H22" s="670" t="n">
        <f aca="false">SUM(H17:H21)</f>
        <v>107704745</v>
      </c>
      <c r="I22" s="670" t="n">
        <f aca="false">SUM(I17:I21)</f>
        <v>1734521195</v>
      </c>
      <c r="J22" s="669" t="n">
        <f aca="false">+IFERROR(K22/I22,"-")</f>
        <v>0.345372948873075</v>
      </c>
      <c r="K22" s="670" t="n">
        <f aca="false">SUM(K17:K21)</f>
        <v>599056700</v>
      </c>
      <c r="L22" s="670" t="n">
        <f aca="false">SUM(L17:L21)</f>
        <v>1135464495</v>
      </c>
      <c r="M22" s="671"/>
      <c r="N22" s="669"/>
      <c r="O22" s="672" t="n">
        <f aca="false">+IFERROR(P22/$I22,"-")</f>
        <v>0.1743264659271</v>
      </c>
      <c r="P22" s="670" t="n">
        <f aca="false">SUM(P17:P21)</f>
        <v>302372950</v>
      </c>
      <c r="Q22" s="670" t="n">
        <f aca="false">SUM(Q17:Q21)</f>
        <v>302372950</v>
      </c>
      <c r="R22" s="673" t="n">
        <f aca="false">+P22-Q22</f>
        <v>0</v>
      </c>
      <c r="S22" s="669"/>
      <c r="T22" s="671"/>
      <c r="U22" s="669"/>
      <c r="V22" s="672" t="n">
        <f aca="false">+IFERROR(W22/$I22,"-")</f>
        <v>0.0378685196752525</v>
      </c>
      <c r="W22" s="670" t="n">
        <f aca="false">SUM(W17:W21)</f>
        <v>65683750</v>
      </c>
      <c r="X22" s="670" t="n">
        <f aca="false">SUM(X17:X21)</f>
        <v>65683750</v>
      </c>
      <c r="Y22" s="673" t="n">
        <f aca="false">+W22-X22</f>
        <v>0</v>
      </c>
      <c r="Z22" s="669"/>
      <c r="AA22" s="671"/>
      <c r="AB22" s="682"/>
      <c r="AC22" s="672" t="n">
        <f aca="false">+IFERROR(AD22/$I22,"-")</f>
        <v>0.142797090467378</v>
      </c>
      <c r="AD22" s="670" t="n">
        <f aca="false">SUM(AD17:AD21)</f>
        <v>247684580</v>
      </c>
      <c r="AE22" s="670" t="n">
        <f aca="false">SUM(AE17:AE21)</f>
        <v>231000000</v>
      </c>
      <c r="AF22" s="673" t="n">
        <f aca="false">+AD22-AE22</f>
        <v>16684580.0000001</v>
      </c>
      <c r="AG22" s="669"/>
      <c r="AH22" s="671"/>
      <c r="AI22" s="669"/>
      <c r="AJ22" s="672" t="n">
        <f aca="false">+IFERROR(AK22/$I22,"-")</f>
        <v>0</v>
      </c>
      <c r="AK22" s="670" t="n">
        <f aca="false">SUM(AK17:AK21)</f>
        <v>0</v>
      </c>
      <c r="AL22" s="670" t="n">
        <f aca="false">SUM(AL17:AL21)</f>
        <v>231000000</v>
      </c>
      <c r="AM22" s="673" t="n">
        <f aca="false">+AK22-AL22</f>
        <v>-231000000</v>
      </c>
      <c r="AN22" s="669"/>
      <c r="AO22" s="671"/>
      <c r="AP22" s="669"/>
      <c r="AQ22" s="672" t="n">
        <f aca="false">+IFERROR(AR22/$I22,"-")</f>
        <v>0.350237717908082</v>
      </c>
      <c r="AR22" s="670" t="n">
        <f aca="false">SUM(AR17:AR21)</f>
        <v>607494745</v>
      </c>
      <c r="AS22" s="670" t="n">
        <f aca="false">SUM(AS17:AS21)</f>
        <v>0</v>
      </c>
      <c r="AT22" s="673" t="n">
        <f aca="false">+AR22-AS22</f>
        <v>607494745</v>
      </c>
      <c r="AU22" s="669"/>
      <c r="AV22" s="671"/>
      <c r="AW22" s="669"/>
      <c r="AX22" s="672" t="n">
        <f aca="false">+IFERROR(AY22/$I22,"-")</f>
        <v>0</v>
      </c>
      <c r="AY22" s="670" t="n">
        <f aca="false">SUM(AY17:AY21)</f>
        <v>0</v>
      </c>
      <c r="AZ22" s="670" t="n">
        <f aca="false">SUM(AZ17:AZ21)</f>
        <v>0</v>
      </c>
      <c r="BA22" s="673" t="n">
        <f aca="false">+AY22-AZ22</f>
        <v>0</v>
      </c>
      <c r="BB22" s="669"/>
      <c r="BC22" s="671"/>
      <c r="BD22" s="669"/>
      <c r="BE22" s="672" t="n">
        <f aca="false">+IFERROR(BF22/$I22,"-")</f>
        <v>0.166402535657686</v>
      </c>
      <c r="BF22" s="670" t="n">
        <f aca="false">SUM(BF17:BF21)</f>
        <v>288628725</v>
      </c>
      <c r="BG22" s="670" t="n">
        <f aca="false">SUM(BG17:BG21)</f>
        <v>0</v>
      </c>
      <c r="BH22" s="673" t="n">
        <f aca="false">+BF22-BG22</f>
        <v>288628725</v>
      </c>
      <c r="BI22" s="669"/>
      <c r="BJ22" s="671"/>
      <c r="BK22" s="669"/>
      <c r="BL22" s="672" t="n">
        <f aca="false">+IFERROR(BM22/$I22,"-")</f>
        <v>0.128367670364501</v>
      </c>
      <c r="BM22" s="670" t="n">
        <f aca="false">SUM(BM17:BM21)</f>
        <v>222656445</v>
      </c>
      <c r="BN22" s="670" t="n">
        <f aca="false">SUM(BN17:BN21)</f>
        <v>0</v>
      </c>
      <c r="BO22" s="673" t="n">
        <f aca="false">+BM22-BN22</f>
        <v>222656445</v>
      </c>
      <c r="BP22" s="669"/>
      <c r="BQ22" s="666"/>
      <c r="BR22" s="674"/>
      <c r="BS22" s="675"/>
      <c r="BT22" s="675"/>
      <c r="BU22" s="621"/>
      <c r="BV22" s="621"/>
      <c r="BW22" s="621"/>
      <c r="BX22" s="621"/>
      <c r="BY22" s="621"/>
      <c r="BZ22" s="621"/>
      <c r="CA22" s="621"/>
      <c r="CB22" s="621"/>
      <c r="CC22" s="625"/>
      <c r="CD22" s="625"/>
    </row>
    <row r="23" customFormat="false" ht="13.4" hidden="false" customHeight="false" outlineLevel="0" collapsed="false">
      <c r="A23" s="683"/>
      <c r="B23" s="629" t="n">
        <v>3</v>
      </c>
      <c r="C23" s="631" t="s">
        <v>172</v>
      </c>
      <c r="D23" s="684" t="n">
        <v>999.6</v>
      </c>
      <c r="E23" s="631" t="s">
        <v>505</v>
      </c>
      <c r="F23" s="632" t="s">
        <v>112</v>
      </c>
      <c r="G23" s="633" t="n">
        <f aca="false">+'PAYMENT RATIO_RAW'!F$5*$D$23/1000+27500000*D$23/1000</f>
        <v>1077069000</v>
      </c>
      <c r="H23" s="633" t="n">
        <f aca="false">+G23*10%</f>
        <v>107706900</v>
      </c>
      <c r="I23" s="633" t="n">
        <f aca="false">SUM(G23:H23)</f>
        <v>1184775900</v>
      </c>
      <c r="J23" s="634" t="n">
        <f aca="false">+IFERROR(K23/I23,"-")</f>
        <v>0.194973581079764</v>
      </c>
      <c r="K23" s="640" t="n">
        <f aca="false">+IFERROR(Q23+X23+AE23+AS23+AZ23+BG23+BN23,"-")</f>
        <v>231000000</v>
      </c>
      <c r="L23" s="640" t="n">
        <f aca="false">+I23-K23</f>
        <v>953775900</v>
      </c>
      <c r="M23" s="636"/>
      <c r="N23" s="637"/>
      <c r="O23" s="638"/>
      <c r="P23" s="639" t="n">
        <f aca="false">+$I23*'PAYMENT RATIO_RAW'!G$5</f>
        <v>0</v>
      </c>
      <c r="Q23" s="640"/>
      <c r="R23" s="640" t="n">
        <f aca="false">+P23-Q23</f>
        <v>0</v>
      </c>
      <c r="S23" s="641"/>
      <c r="T23" s="636"/>
      <c r="U23" s="637"/>
      <c r="V23" s="638"/>
      <c r="W23" s="640" t="n">
        <f aca="false">+$I23*'PAYMENT RATIO_RAW'!N$5</f>
        <v>0</v>
      </c>
      <c r="X23" s="640"/>
      <c r="Y23" s="640" t="n">
        <f aca="false">+W23-X23</f>
        <v>0</v>
      </c>
      <c r="Z23" s="641"/>
      <c r="AA23" s="636" t="n">
        <f aca="false">+$AA$11</f>
        <v>45920</v>
      </c>
      <c r="AB23" s="637" t="n">
        <v>45915</v>
      </c>
      <c r="AC23" s="638" t="n">
        <f aca="false">+IFERROR(AD23/$I23,"-")</f>
        <v>0.194895591647332</v>
      </c>
      <c r="AD23" s="640" t="n">
        <f aca="false">+'PAYMENT RATIO_RAW'!$U$60*$D23*1050000000/1000*1.1</f>
        <v>230907600</v>
      </c>
      <c r="AE23" s="640" t="n">
        <v>231000000</v>
      </c>
      <c r="AF23" s="640" t="n">
        <f aca="false">+AD23-AE23</f>
        <v>-92399.9999999404</v>
      </c>
      <c r="AG23" s="643" t="s">
        <v>506</v>
      </c>
      <c r="AH23" s="636" t="n">
        <f aca="false">+EDATE(AO23,0)</f>
        <v>45950</v>
      </c>
      <c r="AI23" s="642" t="n">
        <v>45980</v>
      </c>
      <c r="AJ23" s="638" t="n">
        <f aca="false">+IFERROR(AK23/$I23,"-")</f>
        <v>0</v>
      </c>
      <c r="AK23" s="640" t="n">
        <f aca="false">+'PAYMENT RATIO_RAW'!AB$60*$I23</f>
        <v>0</v>
      </c>
      <c r="AL23" s="640" t="n">
        <v>231000000</v>
      </c>
      <c r="AM23" s="640" t="n">
        <f aca="false">+AK23-AL23</f>
        <v>-231000000</v>
      </c>
      <c r="AN23" s="641"/>
      <c r="AO23" s="636" t="n">
        <f aca="false">+EDATE(AV23,0)-10</f>
        <v>45950</v>
      </c>
      <c r="AP23" s="637"/>
      <c r="AQ23" s="638" t="n">
        <f aca="false">+IFERROR(AR23/$I23,"-")</f>
        <v>0.512761020881671</v>
      </c>
      <c r="AR23" s="640" t="n">
        <f aca="false">+'PAYMENT RATIO_RAW'!AI$60*$D23*1050000000/1000*1.1+27500000*$D23/1000*1.1</f>
        <v>607506900</v>
      </c>
      <c r="AS23" s="640"/>
      <c r="AT23" s="640" t="n">
        <f aca="false">+AR23-AS23</f>
        <v>607506900</v>
      </c>
      <c r="AU23" s="641"/>
      <c r="AV23" s="636" t="n">
        <f aca="false">+EDATE(BC23,-1)</f>
        <v>45960</v>
      </c>
      <c r="AW23" s="636"/>
      <c r="AX23" s="638" t="n">
        <f aca="false">+IFERROR(AY23/$I23,"-")</f>
        <v>0</v>
      </c>
      <c r="AY23" s="640" t="n">
        <f aca="false">+'PAYMENT RATIO_RAW'!AP$60*$I23</f>
        <v>0</v>
      </c>
      <c r="AZ23" s="640"/>
      <c r="BA23" s="640" t="n">
        <f aca="false">+AY23-AZ23</f>
        <v>0</v>
      </c>
      <c r="BB23" s="641"/>
      <c r="BC23" s="636" t="n">
        <f aca="false">+EDATE(BJ23,-1)</f>
        <v>45991</v>
      </c>
      <c r="BD23" s="636"/>
      <c r="BE23" s="638" t="n">
        <f aca="false">+IFERROR(BF23/$I23,"-")</f>
        <v>0.243619489559165</v>
      </c>
      <c r="BF23" s="640" t="n">
        <f aca="false">+'PAYMENT RATIO_RAW'!AW$60*$D23*1050000000/1000*1.1</f>
        <v>288634500</v>
      </c>
      <c r="BG23" s="640"/>
      <c r="BH23" s="640" t="n">
        <f aca="false">+BF23-BG23</f>
        <v>288634500</v>
      </c>
      <c r="BI23" s="641"/>
      <c r="BJ23" s="637" t="n">
        <v>46022</v>
      </c>
      <c r="BK23" s="636"/>
      <c r="BL23" s="638" t="n">
        <f aca="false">+IFERROR(BM23/$I23,"-")</f>
        <v>0.048723897911833</v>
      </c>
      <c r="BM23" s="640" t="n">
        <f aca="false">+'PAYMENT RATIO_RAW'!BD$60*$D23*1050000000/1000*1.1</f>
        <v>57726900</v>
      </c>
      <c r="BN23" s="640"/>
      <c r="BO23" s="640" t="n">
        <f aca="false">+BM23-BN23</f>
        <v>57726900</v>
      </c>
      <c r="BP23" s="641"/>
      <c r="BQ23" s="644"/>
      <c r="BR23" s="645" t="n">
        <f aca="false">+P23+W23+AD23+AK23+AR23+AY23+BF23+BM23=I23</f>
        <v>1</v>
      </c>
      <c r="BS23" s="645" t="n">
        <f aca="false">+Q23+X23+AE23+AS23+AZ23+BG23+BN23=K23</f>
        <v>1</v>
      </c>
      <c r="BT23" s="645"/>
      <c r="BU23" s="625"/>
      <c r="BV23" s="625"/>
      <c r="BW23" s="625"/>
      <c r="BX23" s="625"/>
      <c r="BY23" s="625"/>
      <c r="BZ23" s="625"/>
      <c r="CA23" s="625"/>
      <c r="CB23" s="625"/>
      <c r="CC23" s="625"/>
      <c r="CD23" s="625"/>
    </row>
    <row r="24" customFormat="false" ht="12.75" hidden="false" customHeight="false" outlineLevel="0" collapsed="false">
      <c r="A24" s="683"/>
      <c r="B24" s="629"/>
      <c r="C24" s="631"/>
      <c r="D24" s="684"/>
      <c r="E24" s="631"/>
      <c r="F24" s="647" t="s">
        <v>114</v>
      </c>
      <c r="G24" s="648" t="n">
        <f aca="false">+'PAYMENT RATIO_RAW'!F$6*'GM Batch1'!$D$23/1000</f>
        <v>549780000</v>
      </c>
      <c r="H24" s="648"/>
      <c r="I24" s="648" t="n">
        <f aca="false">SUM(G24:H24)</f>
        <v>549780000</v>
      </c>
      <c r="J24" s="647" t="n">
        <f aca="false">+IFERROR(K24/I24,"-")</f>
        <v>0.669472789115646</v>
      </c>
      <c r="K24" s="649" t="n">
        <f aca="false">+IFERROR(Q24+X24+AE24+AS24+AZ24+BG24+BN24,"-")</f>
        <v>368062750</v>
      </c>
      <c r="L24" s="649" t="n">
        <f aca="false">+I24-K24</f>
        <v>181717250</v>
      </c>
      <c r="M24" s="650" t="n">
        <v>45450</v>
      </c>
      <c r="N24" s="650" t="n">
        <v>45450</v>
      </c>
      <c r="O24" s="651" t="n">
        <f aca="false">+IFERROR(P24/$I24,"-")</f>
        <v>0.55</v>
      </c>
      <c r="P24" s="649" t="n">
        <f aca="false">+$I24*'PAYMENT RATIO_RAW'!G$6</f>
        <v>302379000</v>
      </c>
      <c r="Q24" s="649" t="n">
        <v>302379000</v>
      </c>
      <c r="R24" s="649" t="n">
        <f aca="false">+P24-Q24</f>
        <v>0</v>
      </c>
      <c r="S24" s="652"/>
      <c r="T24" s="650" t="n">
        <v>45456</v>
      </c>
      <c r="U24" s="650" t="n">
        <v>45456</v>
      </c>
      <c r="V24" s="651" t="n">
        <f aca="false">+IFERROR(W24/$I24,"-")</f>
        <v>0.119472789115646</v>
      </c>
      <c r="W24" s="653" t="n">
        <f aca="false">+$I24*'PAYMENT RATIO_RAW'!N$6-16783250</f>
        <v>65683750</v>
      </c>
      <c r="X24" s="649" t="n">
        <v>65683750</v>
      </c>
      <c r="Y24" s="649" t="n">
        <f aca="false">+W24-X24</f>
        <v>0</v>
      </c>
      <c r="Z24" s="654"/>
      <c r="AA24" s="650" t="n">
        <v>45950</v>
      </c>
      <c r="AB24" s="677"/>
      <c r="AC24" s="651" t="n">
        <f aca="false">+IFERROR(AD24/$I24,"-")</f>
        <v>0.0305272108843537</v>
      </c>
      <c r="AD24" s="653" t="n">
        <f aca="false">+$I24*'PAYMENT RATIO_RAW'!U$6+16783250</f>
        <v>16783250</v>
      </c>
      <c r="AE24" s="649"/>
      <c r="AF24" s="649" t="n">
        <f aca="false">+AD24-AE24</f>
        <v>16783250</v>
      </c>
      <c r="AG24" s="652"/>
      <c r="AH24" s="650"/>
      <c r="AI24" s="650"/>
      <c r="AJ24" s="651" t="n">
        <f aca="false">+IFERROR(AK24/$I24,"-")</f>
        <v>0</v>
      </c>
      <c r="AK24" s="649" t="n">
        <f aca="false">+$I24*'PAYMENT RATIO_RAW'!AB44</f>
        <v>0</v>
      </c>
      <c r="AL24" s="649"/>
      <c r="AM24" s="649" t="n">
        <f aca="false">+AK24-AL24</f>
        <v>0</v>
      </c>
      <c r="AN24" s="652"/>
      <c r="AO24" s="650"/>
      <c r="AP24" s="650"/>
      <c r="AQ24" s="651"/>
      <c r="AR24" s="653" t="n">
        <f aca="false">+$I24*'PAYMENT RATIO_RAW'!AI$6</f>
        <v>0</v>
      </c>
      <c r="AS24" s="649"/>
      <c r="AT24" s="649" t="n">
        <f aca="false">+AR24-AS24</f>
        <v>0</v>
      </c>
      <c r="AU24" s="652"/>
      <c r="AV24" s="650"/>
      <c r="AW24" s="650"/>
      <c r="AX24" s="651"/>
      <c r="AY24" s="653" t="n">
        <f aca="false">+$I24*'PAYMENT RATIO_RAW'!AP$6</f>
        <v>0</v>
      </c>
      <c r="AZ24" s="649"/>
      <c r="BA24" s="649" t="n">
        <f aca="false">+AY24-AZ24</f>
        <v>0</v>
      </c>
      <c r="BB24" s="652"/>
      <c r="BC24" s="650"/>
      <c r="BD24" s="650"/>
      <c r="BE24" s="651" t="n">
        <f aca="false">+IFERROR(BF24/$I24,"-")</f>
        <v>0</v>
      </c>
      <c r="BF24" s="653" t="n">
        <f aca="false">+$I24*'PAYMENT RATIO_RAW'!AW$6</f>
        <v>0</v>
      </c>
      <c r="BG24" s="649"/>
      <c r="BH24" s="653" t="n">
        <f aca="false">+BF24-BG24</f>
        <v>0</v>
      </c>
      <c r="BI24" s="652"/>
      <c r="BJ24" s="650" t="n">
        <f aca="false">+BJ23</f>
        <v>46022</v>
      </c>
      <c r="BK24" s="650"/>
      <c r="BL24" s="651" t="n">
        <f aca="false">+IFERROR(BM24/$I24,"-")</f>
        <v>0.3</v>
      </c>
      <c r="BM24" s="649" t="n">
        <f aca="false">+$I24*'PAYMENT RATIO_RAW'!BD$6</f>
        <v>164934000</v>
      </c>
      <c r="BN24" s="649"/>
      <c r="BO24" s="649" t="n">
        <f aca="false">+BM24-BN24</f>
        <v>164934000</v>
      </c>
      <c r="BP24" s="652"/>
      <c r="BQ24" s="644"/>
      <c r="BR24" s="645" t="n">
        <f aca="false">+P24+W24+AD24+AR24+AY24+BF24+BM24=I24</f>
        <v>1</v>
      </c>
      <c r="BS24" s="645" t="n">
        <f aca="false">+Q24+X24+AE24+AS24+AZ24+BG24+BN24=K24</f>
        <v>1</v>
      </c>
      <c r="BT24" s="645" t="n">
        <f aca="false">+BF24+BF26+AY24+AY26+AR24+AR26+AD24+AD26+W24+W26+P24+P26+BM24+BM26=('PAYMENT RATIO_RAW'!$F$6+'PAYMENT RATIO_RAW'!$F$8)*D23/1000</f>
        <v>1</v>
      </c>
      <c r="BU24" s="625"/>
      <c r="BV24" s="625"/>
      <c r="BW24" s="625"/>
      <c r="BX24" s="625"/>
      <c r="BY24" s="625"/>
      <c r="BZ24" s="625"/>
      <c r="CA24" s="625"/>
      <c r="CB24" s="625"/>
      <c r="CC24" s="625"/>
      <c r="CD24" s="625"/>
    </row>
    <row r="25" customFormat="false" ht="12.75" hidden="true" customHeight="false" outlineLevel="0" collapsed="false">
      <c r="A25" s="683"/>
      <c r="B25" s="629"/>
      <c r="C25" s="631"/>
      <c r="D25" s="684"/>
      <c r="E25" s="631"/>
      <c r="F25" s="656" t="s">
        <v>404</v>
      </c>
      <c r="G25" s="657" t="n">
        <f aca="false">+'PAYMENT RATIO_RAW'!F$7*'GM Batch1'!$D$23/1000</f>
        <v>0</v>
      </c>
      <c r="H25" s="657"/>
      <c r="I25" s="657" t="n">
        <f aca="false">SUM(G25:H25)</f>
        <v>0</v>
      </c>
      <c r="J25" s="656" t="str">
        <f aca="false">+IFERROR(K25/I25,"-")</f>
        <v>-</v>
      </c>
      <c r="K25" s="639" t="n">
        <f aca="false">+IFERROR(Q25+X25+AE25+AS25+AZ25+BG25+BN25,"-")</f>
        <v>0</v>
      </c>
      <c r="L25" s="639" t="n">
        <f aca="false">+I25-K25</f>
        <v>0</v>
      </c>
      <c r="M25" s="658"/>
      <c r="N25" s="658"/>
      <c r="O25" s="659" t="str">
        <f aca="false">+IFERROR(P25/$I25,"-")</f>
        <v>-</v>
      </c>
      <c r="P25" s="639" t="n">
        <f aca="false">+$I25*'PAYMENT RATIO_RAW'!G$7</f>
        <v>0</v>
      </c>
      <c r="Q25" s="639"/>
      <c r="R25" s="639" t="n">
        <f aca="false">+P25-Q25</f>
        <v>0</v>
      </c>
      <c r="S25" s="660"/>
      <c r="T25" s="658"/>
      <c r="U25" s="658"/>
      <c r="V25" s="659" t="str">
        <f aca="false">+IFERROR(W25/$I25,"-")</f>
        <v>-</v>
      </c>
      <c r="W25" s="640" t="n">
        <f aca="false">+$I25*'PAYMENT RATIO_RAW'!N$7</f>
        <v>0</v>
      </c>
      <c r="X25" s="639"/>
      <c r="Y25" s="639" t="n">
        <f aca="false">+W25-X25</f>
        <v>0</v>
      </c>
      <c r="Z25" s="660"/>
      <c r="AA25" s="658"/>
      <c r="AB25" s="678"/>
      <c r="AC25" s="659" t="str">
        <f aca="false">+IFERROR(AD25/$I25,"-")</f>
        <v>-</v>
      </c>
      <c r="AD25" s="640" t="n">
        <f aca="false">+$I25*'PAYMENT RATIO_RAW'!U$7</f>
        <v>0</v>
      </c>
      <c r="AE25" s="639"/>
      <c r="AF25" s="639" t="n">
        <f aca="false">+AD25-AE25</f>
        <v>0</v>
      </c>
      <c r="AG25" s="660"/>
      <c r="AH25" s="658"/>
      <c r="AI25" s="658"/>
      <c r="AJ25" s="659" t="str">
        <f aca="false">+IFERROR(AK25/$I25,"-")</f>
        <v>-</v>
      </c>
      <c r="AK25" s="639" t="n">
        <f aca="false">+$I25*'PAYMENT RATIO_RAW'!AB45</f>
        <v>0</v>
      </c>
      <c r="AL25" s="639"/>
      <c r="AM25" s="639" t="n">
        <f aca="false">+AK25-AL25</f>
        <v>0</v>
      </c>
      <c r="AN25" s="660"/>
      <c r="AO25" s="658"/>
      <c r="AP25" s="658"/>
      <c r="AQ25" s="659"/>
      <c r="AR25" s="640" t="n">
        <f aca="false">+$I25*'PAYMENT RATIO_RAW'!AI$7</f>
        <v>0</v>
      </c>
      <c r="AS25" s="639"/>
      <c r="AT25" s="639" t="n">
        <f aca="false">+AR25-AS25</f>
        <v>0</v>
      </c>
      <c r="AU25" s="660"/>
      <c r="AV25" s="658"/>
      <c r="AW25" s="658"/>
      <c r="AX25" s="659"/>
      <c r="AY25" s="640" t="n">
        <f aca="false">+$I25*'PAYMENT RATIO_RAW'!AP$7</f>
        <v>0</v>
      </c>
      <c r="AZ25" s="639"/>
      <c r="BA25" s="639" t="n">
        <f aca="false">+AY25-AZ25</f>
        <v>0</v>
      </c>
      <c r="BB25" s="660"/>
      <c r="BC25" s="658"/>
      <c r="BD25" s="658"/>
      <c r="BE25" s="659" t="str">
        <f aca="false">+IFERROR(BF25/$I25,"-")</f>
        <v>-</v>
      </c>
      <c r="BF25" s="640" t="n">
        <f aca="false">+$I25*'PAYMENT RATIO_RAW'!AW$7</f>
        <v>0</v>
      </c>
      <c r="BG25" s="639"/>
      <c r="BH25" s="640" t="n">
        <f aca="false">+BF25-BG25</f>
        <v>0</v>
      </c>
      <c r="BI25" s="660"/>
      <c r="BJ25" s="658"/>
      <c r="BK25" s="658"/>
      <c r="BL25" s="659" t="str">
        <f aca="false">+IFERROR(BM25/$I25,"-")</f>
        <v>-</v>
      </c>
      <c r="BM25" s="639" t="n">
        <f aca="false">+$I25*'PAYMENT RATIO_RAW'!BD$7</f>
        <v>0</v>
      </c>
      <c r="BN25" s="639"/>
      <c r="BO25" s="639" t="n">
        <f aca="false">+BM25-BN25</f>
        <v>0</v>
      </c>
      <c r="BP25" s="660"/>
      <c r="BQ25" s="644"/>
      <c r="BR25" s="645" t="n">
        <f aca="false">+P25+W25+AD25+AR25+AY25+BF25+BM25=I25</f>
        <v>1</v>
      </c>
      <c r="BS25" s="645" t="n">
        <f aca="false">+Q25+X25+AE25+AS25+AZ25+BG25+BN25=K25</f>
        <v>1</v>
      </c>
      <c r="BT25" s="645"/>
      <c r="BU25" s="625"/>
      <c r="BV25" s="625"/>
      <c r="BW25" s="625"/>
      <c r="BX25" s="625"/>
      <c r="BY25" s="625"/>
      <c r="BZ25" s="625"/>
      <c r="CA25" s="625"/>
      <c r="CB25" s="625"/>
      <c r="CC25" s="625"/>
      <c r="CD25" s="625"/>
    </row>
    <row r="26" customFormat="false" ht="12.75" hidden="true" customHeight="false" outlineLevel="0" collapsed="false">
      <c r="A26" s="683"/>
      <c r="B26" s="629"/>
      <c r="C26" s="631"/>
      <c r="D26" s="684"/>
      <c r="E26" s="631"/>
      <c r="F26" s="656" t="s">
        <v>507</v>
      </c>
      <c r="G26" s="657" t="n">
        <f aca="false">+'PAYMENT RATIO_RAW'!F$8*'GM Batch1'!$D$23/1000</f>
        <v>0</v>
      </c>
      <c r="H26" s="657" t="n">
        <f aca="false">+G26*10%</f>
        <v>0</v>
      </c>
      <c r="I26" s="657" t="n">
        <f aca="false">SUM(G26:H26)</f>
        <v>0</v>
      </c>
      <c r="J26" s="656" t="str">
        <f aca="false">+IFERROR(K26/I26,"-")</f>
        <v>-</v>
      </c>
      <c r="K26" s="639" t="n">
        <f aca="false">+IFERROR(Q26+X26+AE26+AS26+AZ26+BG26+BN26,"-")</f>
        <v>0</v>
      </c>
      <c r="L26" s="639" t="n">
        <f aca="false">+I26-K26</f>
        <v>0</v>
      </c>
      <c r="M26" s="658"/>
      <c r="N26" s="642"/>
      <c r="O26" s="659" t="str">
        <f aca="false">+IFERROR(P26/$I26,"-")</f>
        <v>-</v>
      </c>
      <c r="P26" s="639" t="n">
        <f aca="false">+$I26*'PAYMENT RATIO_RAW'!G$8</f>
        <v>0</v>
      </c>
      <c r="Q26" s="639"/>
      <c r="R26" s="639" t="n">
        <f aca="false">+P26-Q26</f>
        <v>0</v>
      </c>
      <c r="S26" s="660"/>
      <c r="T26" s="658"/>
      <c r="U26" s="642"/>
      <c r="V26" s="659" t="str">
        <f aca="false">+IFERROR(W26/$I26,"-")</f>
        <v>-</v>
      </c>
      <c r="W26" s="640" t="n">
        <f aca="false">+$I26*'PAYMENT RATIO_RAW'!N$8</f>
        <v>0</v>
      </c>
      <c r="X26" s="639"/>
      <c r="Y26" s="639" t="n">
        <f aca="false">+W26-X26</f>
        <v>0</v>
      </c>
      <c r="Z26" s="660"/>
      <c r="AA26" s="658"/>
      <c r="AB26" s="642"/>
      <c r="AC26" s="659" t="str">
        <f aca="false">+IFERROR(AD26/$I26,"-")</f>
        <v>-</v>
      </c>
      <c r="AD26" s="640" t="n">
        <f aca="false">+$I26*'PAYMENT RATIO_RAW'!U$8</f>
        <v>0</v>
      </c>
      <c r="AE26" s="639"/>
      <c r="AF26" s="639" t="n">
        <f aca="false">+AD26-AE26</f>
        <v>0</v>
      </c>
      <c r="AG26" s="660"/>
      <c r="AH26" s="642"/>
      <c r="AI26" s="642"/>
      <c r="AJ26" s="659" t="str">
        <f aca="false">+IFERROR(AK26/$I26,"-")</f>
        <v>-</v>
      </c>
      <c r="AK26" s="639" t="n">
        <f aca="false">+$I26*'PAYMENT RATIO_RAW'!AB46</f>
        <v>0</v>
      </c>
      <c r="AL26" s="639"/>
      <c r="AM26" s="639" t="n">
        <f aca="false">+AK26-AL26</f>
        <v>0</v>
      </c>
      <c r="AN26" s="660"/>
      <c r="AO26" s="642"/>
      <c r="AP26" s="642"/>
      <c r="AQ26" s="659"/>
      <c r="AR26" s="640" t="n">
        <f aca="false">+$I26*'PAYMENT RATIO_RAW'!AI$8</f>
        <v>0</v>
      </c>
      <c r="AS26" s="639"/>
      <c r="AT26" s="639" t="n">
        <f aca="false">+AR26-AS26</f>
        <v>0</v>
      </c>
      <c r="AU26" s="660"/>
      <c r="AV26" s="642"/>
      <c r="AW26" s="642"/>
      <c r="AX26" s="659"/>
      <c r="AY26" s="640" t="n">
        <f aca="false">+$I26*'PAYMENT RATIO_RAW'!AP$8</f>
        <v>0</v>
      </c>
      <c r="AZ26" s="639"/>
      <c r="BA26" s="639" t="n">
        <f aca="false">+AY26-AZ26</f>
        <v>0</v>
      </c>
      <c r="BB26" s="660"/>
      <c r="BC26" s="642"/>
      <c r="BD26" s="642"/>
      <c r="BE26" s="659" t="str">
        <f aca="false">+IFERROR(BF26/$I26,"-")</f>
        <v>-</v>
      </c>
      <c r="BF26" s="640" t="n">
        <f aca="false">+$I26*'PAYMENT RATIO_RAW'!AW$8</f>
        <v>0</v>
      </c>
      <c r="BG26" s="639"/>
      <c r="BH26" s="640" t="n">
        <f aca="false">+BF26-BG26</f>
        <v>0</v>
      </c>
      <c r="BI26" s="660"/>
      <c r="BJ26" s="642"/>
      <c r="BK26" s="642"/>
      <c r="BL26" s="659" t="str">
        <f aca="false">+IFERROR(BM26/$I26,"-")</f>
        <v>-</v>
      </c>
      <c r="BM26" s="639" t="n">
        <f aca="false">+$I26*'PAYMENT RATIO_RAW'!BD$8</f>
        <v>0</v>
      </c>
      <c r="BN26" s="639"/>
      <c r="BO26" s="639" t="n">
        <f aca="false">+BM26-BN26</f>
        <v>0</v>
      </c>
      <c r="BP26" s="660"/>
      <c r="BQ26" s="644"/>
      <c r="BR26" s="645" t="n">
        <f aca="false">+P26+W26+AD26+AR26+AY26+BF26+BM26=I26</f>
        <v>1</v>
      </c>
      <c r="BS26" s="645" t="n">
        <f aca="false">+Q26+X26+AE26+AS26+AZ26+BG26+BN26=K26</f>
        <v>1</v>
      </c>
      <c r="BT26" s="645"/>
      <c r="BU26" s="625"/>
      <c r="BV26" s="625"/>
      <c r="BW26" s="625"/>
      <c r="BX26" s="625"/>
      <c r="BY26" s="625"/>
      <c r="BZ26" s="625"/>
      <c r="CA26" s="625"/>
      <c r="CB26" s="625"/>
      <c r="CC26" s="625"/>
      <c r="CD26" s="625"/>
    </row>
    <row r="27" customFormat="false" ht="12.75" hidden="true" customHeight="false" outlineLevel="0" collapsed="false">
      <c r="A27" s="683"/>
      <c r="B27" s="629"/>
      <c r="C27" s="631"/>
      <c r="D27" s="684"/>
      <c r="E27" s="631"/>
      <c r="F27" s="679" t="s">
        <v>508</v>
      </c>
      <c r="G27" s="661" t="n">
        <f aca="false">+'PAYMENT RATIO_RAW'!F$9*'GM Batch1'!$D$23/1000</f>
        <v>0</v>
      </c>
      <c r="H27" s="680" t="n">
        <f aca="false">+G27*0.1</f>
        <v>0</v>
      </c>
      <c r="I27" s="680" t="n">
        <f aca="false">SUM(G27:H27)</f>
        <v>0</v>
      </c>
      <c r="J27" s="679" t="str">
        <f aca="false">+IFERROR(K27/I27,"-")</f>
        <v>-</v>
      </c>
      <c r="K27" s="681" t="n">
        <f aca="false">+IFERROR(Q27+X27+AE27+AS27+AZ27+BG27+BN27,"-")</f>
        <v>0</v>
      </c>
      <c r="L27" s="681" t="n">
        <f aca="false">+I27-K27</f>
        <v>0</v>
      </c>
      <c r="M27" s="664"/>
      <c r="N27" s="662"/>
      <c r="O27" s="665"/>
      <c r="P27" s="663" t="n">
        <f aca="false">+$I27*'PAYMENT RATIO_RAW'!G$9</f>
        <v>0</v>
      </c>
      <c r="Q27" s="663"/>
      <c r="R27" s="663" t="n">
        <f aca="false">+P27-Q27</f>
        <v>0</v>
      </c>
      <c r="S27" s="662"/>
      <c r="T27" s="664"/>
      <c r="U27" s="662"/>
      <c r="V27" s="665"/>
      <c r="W27" s="640" t="n">
        <f aca="false">+$I27*'PAYMENT RATIO_RAW'!N$9</f>
        <v>0</v>
      </c>
      <c r="X27" s="663"/>
      <c r="Y27" s="663" t="n">
        <f aca="false">+W27-X27</f>
        <v>0</v>
      </c>
      <c r="Z27" s="662"/>
      <c r="AA27" s="664"/>
      <c r="AB27" s="662"/>
      <c r="AC27" s="665"/>
      <c r="AD27" s="640" t="n">
        <f aca="false">+$I27*'PAYMENT RATIO_RAW'!U$9</f>
        <v>0</v>
      </c>
      <c r="AE27" s="663"/>
      <c r="AF27" s="663" t="n">
        <f aca="false">+AD27-AE27</f>
        <v>0</v>
      </c>
      <c r="AG27" s="662"/>
      <c r="AH27" s="664"/>
      <c r="AI27" s="662"/>
      <c r="AJ27" s="665"/>
      <c r="AK27" s="663"/>
      <c r="AL27" s="663"/>
      <c r="AM27" s="663"/>
      <c r="AN27" s="662"/>
      <c r="AO27" s="664"/>
      <c r="AP27" s="662"/>
      <c r="AQ27" s="665"/>
      <c r="AR27" s="640" t="n">
        <f aca="false">+$I27*'PAYMENT RATIO_RAW'!AI$9</f>
        <v>0</v>
      </c>
      <c r="AS27" s="663"/>
      <c r="AT27" s="663"/>
      <c r="AU27" s="662"/>
      <c r="AV27" s="664"/>
      <c r="AW27" s="662"/>
      <c r="AX27" s="665"/>
      <c r="AY27" s="640" t="n">
        <f aca="false">+$I27*'PAYMENT RATIO_RAW'!AP$9</f>
        <v>0</v>
      </c>
      <c r="AZ27" s="663"/>
      <c r="BA27" s="663"/>
      <c r="BB27" s="662"/>
      <c r="BC27" s="664"/>
      <c r="BD27" s="662"/>
      <c r="BE27" s="665" t="str">
        <f aca="false">+IFERROR(BF27/$I27,"-")</f>
        <v>-</v>
      </c>
      <c r="BF27" s="640" t="n">
        <f aca="false">+$I27*'PAYMENT RATIO_RAW'!AW$9</f>
        <v>0</v>
      </c>
      <c r="BG27" s="663"/>
      <c r="BH27" s="640" t="n">
        <f aca="false">+BF27-BG27</f>
        <v>0</v>
      </c>
      <c r="BI27" s="662"/>
      <c r="BJ27" s="664"/>
      <c r="BK27" s="662"/>
      <c r="BL27" s="665" t="str">
        <f aca="false">+IFERROR(BM27/$I27,"-")</f>
        <v>-</v>
      </c>
      <c r="BM27" s="663" t="n">
        <f aca="false">+$I27*'PAYMENT RATIO_RAW'!BD$9</f>
        <v>0</v>
      </c>
      <c r="BN27" s="663"/>
      <c r="BO27" s="663" t="n">
        <f aca="false">+BM27-BN27</f>
        <v>0</v>
      </c>
      <c r="BP27" s="662"/>
      <c r="BQ27" s="666"/>
      <c r="BR27" s="667" t="n">
        <f aca="false">+P27+W27+AD27+AR27+AY27+BF27+BM27=I27</f>
        <v>1</v>
      </c>
      <c r="BS27" s="668" t="n">
        <f aca="false">+Q27+X27+AE27+AS27+AZ27+BG27+BN27=K27</f>
        <v>1</v>
      </c>
      <c r="BT27" s="668"/>
      <c r="BU27" s="625"/>
      <c r="BV27" s="625"/>
      <c r="BW27" s="625"/>
      <c r="BX27" s="625"/>
      <c r="BY27" s="625"/>
      <c r="BZ27" s="625"/>
      <c r="CA27" s="625"/>
      <c r="CB27" s="625"/>
      <c r="CC27" s="625"/>
      <c r="CD27" s="625"/>
    </row>
    <row r="28" customFormat="false" ht="12.75" hidden="false" customHeight="false" outlineLevel="0" collapsed="false">
      <c r="A28" s="628"/>
      <c r="B28" s="629"/>
      <c r="C28" s="631"/>
      <c r="D28" s="684"/>
      <c r="E28" s="631"/>
      <c r="F28" s="669" t="s">
        <v>109</v>
      </c>
      <c r="G28" s="670" t="n">
        <f aca="false">SUM(G23:G27)</f>
        <v>1626849000</v>
      </c>
      <c r="H28" s="670" t="n">
        <f aca="false">SUM(H23:H27)</f>
        <v>107706900</v>
      </c>
      <c r="I28" s="670" t="n">
        <f aca="false">SUM(I23:I27)</f>
        <v>1734555900</v>
      </c>
      <c r="J28" s="669" t="n">
        <f aca="false">+IFERROR(K28/I28,"-")</f>
        <v>0.345369526574497</v>
      </c>
      <c r="K28" s="670" t="n">
        <f aca="false">SUM(K23:K27)</f>
        <v>599062750</v>
      </c>
      <c r="L28" s="670" t="n">
        <f aca="false">SUM(L23:L27)</f>
        <v>1135493150</v>
      </c>
      <c r="M28" s="671"/>
      <c r="N28" s="669"/>
      <c r="O28" s="672" t="n">
        <f aca="false">+IFERROR(P28/$I28,"-")</f>
        <v>0.1743264659271</v>
      </c>
      <c r="P28" s="670" t="n">
        <f aca="false">SUM(P23:P27)</f>
        <v>302379000</v>
      </c>
      <c r="Q28" s="670" t="n">
        <f aca="false">SUM(Q23:Q27)</f>
        <v>302379000</v>
      </c>
      <c r="R28" s="673" t="n">
        <f aca="false">+P28-Q28</f>
        <v>0</v>
      </c>
      <c r="S28" s="669"/>
      <c r="T28" s="671"/>
      <c r="U28" s="669"/>
      <c r="V28" s="672" t="n">
        <f aca="false">+IFERROR(W28/$I28,"-")</f>
        <v>0.0378677620017896</v>
      </c>
      <c r="W28" s="670" t="n">
        <f aca="false">SUM(W23:W27)</f>
        <v>65683750</v>
      </c>
      <c r="X28" s="670" t="n">
        <f aca="false">SUM(X23:X27)</f>
        <v>65683750</v>
      </c>
      <c r="Y28" s="673" t="n">
        <f aca="false">+W28-X28</f>
        <v>0</v>
      </c>
      <c r="Z28" s="669"/>
      <c r="AA28" s="671"/>
      <c r="AB28" s="682"/>
      <c r="AC28" s="672" t="n">
        <f aca="false">+IFERROR(AD28/$I28,"-")</f>
        <v>0.142797848140841</v>
      </c>
      <c r="AD28" s="670" t="n">
        <f aca="false">SUM(AD23:AD27)</f>
        <v>247690850</v>
      </c>
      <c r="AE28" s="670" t="n">
        <f aca="false">SUM(AE23:AE27)</f>
        <v>231000000</v>
      </c>
      <c r="AF28" s="673" t="n">
        <f aca="false">+AD28-AE28</f>
        <v>16690850.0000001</v>
      </c>
      <c r="AG28" s="669"/>
      <c r="AH28" s="671"/>
      <c r="AI28" s="669"/>
      <c r="AJ28" s="672" t="n">
        <f aca="false">+IFERROR(AK28/$I28,"-")</f>
        <v>0</v>
      </c>
      <c r="AK28" s="670" t="n">
        <f aca="false">SUM(AK23:AK27)</f>
        <v>0</v>
      </c>
      <c r="AL28" s="670" t="n">
        <f aca="false">SUM(AL23:AL27)</f>
        <v>231000000</v>
      </c>
      <c r="AM28" s="673" t="n">
        <f aca="false">+AK28-AL28</f>
        <v>-231000000</v>
      </c>
      <c r="AN28" s="669"/>
      <c r="AO28" s="671"/>
      <c r="AP28" s="669"/>
      <c r="AQ28" s="672" t="n">
        <f aca="false">+IFERROR(AR28/$I28,"-")</f>
        <v>0.350237717908082</v>
      </c>
      <c r="AR28" s="670" t="n">
        <f aca="false">SUM(AR23:AR27)</f>
        <v>607506900</v>
      </c>
      <c r="AS28" s="670" t="n">
        <f aca="false">SUM(AS23:AS27)</f>
        <v>0</v>
      </c>
      <c r="AT28" s="673" t="n">
        <f aca="false">+AR28-AS28</f>
        <v>607506900</v>
      </c>
      <c r="AU28" s="669"/>
      <c r="AV28" s="671"/>
      <c r="AW28" s="669"/>
      <c r="AX28" s="672" t="n">
        <f aca="false">+IFERROR(AY28/$I28,"-")</f>
        <v>0</v>
      </c>
      <c r="AY28" s="670" t="n">
        <f aca="false">SUM(AY23:AY27)</f>
        <v>0</v>
      </c>
      <c r="AZ28" s="670" t="n">
        <f aca="false">SUM(AZ23:AZ27)</f>
        <v>0</v>
      </c>
      <c r="BA28" s="673" t="n">
        <f aca="false">+AY28-AZ28</f>
        <v>0</v>
      </c>
      <c r="BB28" s="669"/>
      <c r="BC28" s="671"/>
      <c r="BD28" s="669"/>
      <c r="BE28" s="672" t="n">
        <f aca="false">+IFERROR(BF28/$I28,"-")</f>
        <v>0.166402535657686</v>
      </c>
      <c r="BF28" s="670" t="n">
        <f aca="false">SUM(BF23:BF27)</f>
        <v>288634500</v>
      </c>
      <c r="BG28" s="670" t="n">
        <f aca="false">SUM(BG23:BG27)</f>
        <v>0</v>
      </c>
      <c r="BH28" s="673" t="n">
        <f aca="false">+BF28-BG28</f>
        <v>288634500</v>
      </c>
      <c r="BI28" s="669"/>
      <c r="BJ28" s="671"/>
      <c r="BK28" s="669"/>
      <c r="BL28" s="672" t="n">
        <f aca="false">+IFERROR(BM28/$I28,"-")</f>
        <v>0.128367670364501</v>
      </c>
      <c r="BM28" s="670" t="n">
        <f aca="false">SUM(BM23:BM27)</f>
        <v>222660900</v>
      </c>
      <c r="BN28" s="670" t="n">
        <f aca="false">SUM(BN23:BN27)</f>
        <v>0</v>
      </c>
      <c r="BO28" s="673" t="n">
        <f aca="false">+BM28-BN28</f>
        <v>222660900</v>
      </c>
      <c r="BP28" s="669"/>
      <c r="BQ28" s="666"/>
      <c r="BR28" s="674"/>
      <c r="BS28" s="675"/>
      <c r="BT28" s="675"/>
      <c r="BU28" s="621"/>
      <c r="BV28" s="621"/>
      <c r="BW28" s="621"/>
      <c r="BX28" s="621"/>
      <c r="BY28" s="621"/>
      <c r="BZ28" s="621"/>
      <c r="CA28" s="621"/>
      <c r="CB28" s="621"/>
      <c r="CC28" s="625"/>
      <c r="CD28" s="625"/>
    </row>
    <row r="29" customFormat="false" ht="13.4" hidden="false" customHeight="true" outlineLevel="0" collapsed="false">
      <c r="A29" s="628"/>
      <c r="B29" s="629" t="n">
        <v>4</v>
      </c>
      <c r="C29" s="630" t="s">
        <v>173</v>
      </c>
      <c r="D29" s="684" t="n">
        <v>999.6</v>
      </c>
      <c r="E29" s="631" t="s">
        <v>505</v>
      </c>
      <c r="F29" s="632" t="s">
        <v>112</v>
      </c>
      <c r="G29" s="633" t="n">
        <f aca="false">+'PAYMENT RATIO_RAW'!F$5*$D$29/1000+27500000*D$29/1000</f>
        <v>1077069000</v>
      </c>
      <c r="H29" s="633" t="n">
        <f aca="false">+G29*10%</f>
        <v>107706900</v>
      </c>
      <c r="I29" s="633" t="n">
        <f aca="false">SUM(G29:H29)</f>
        <v>1184775900</v>
      </c>
      <c r="J29" s="634" t="n">
        <f aca="false">+IFERROR(K29/I29,"-")</f>
        <v>0.194973581079764</v>
      </c>
      <c r="K29" s="640" t="n">
        <f aca="false">+IFERROR(Q29+X29+AE29+AS29+AZ29+BG29+BN29,"-")</f>
        <v>231000000</v>
      </c>
      <c r="L29" s="640" t="n">
        <f aca="false">+I29-K29</f>
        <v>953775900</v>
      </c>
      <c r="M29" s="636"/>
      <c r="N29" s="637"/>
      <c r="O29" s="638"/>
      <c r="P29" s="639" t="n">
        <f aca="false">+$I29*'PAYMENT RATIO_RAW'!G$5</f>
        <v>0</v>
      </c>
      <c r="Q29" s="640"/>
      <c r="R29" s="640" t="n">
        <f aca="false">+P29-Q29</f>
        <v>0</v>
      </c>
      <c r="S29" s="641"/>
      <c r="T29" s="636"/>
      <c r="U29" s="637"/>
      <c r="V29" s="638"/>
      <c r="W29" s="640" t="n">
        <f aca="false">+$I29*'PAYMENT RATIO_RAW'!N$5</f>
        <v>0</v>
      </c>
      <c r="X29" s="640"/>
      <c r="Y29" s="640" t="n">
        <f aca="false">+W29-X29</f>
        <v>0</v>
      </c>
      <c r="Z29" s="641"/>
      <c r="AA29" s="636" t="n">
        <f aca="false">+$AA$11</f>
        <v>45920</v>
      </c>
      <c r="AB29" s="637" t="n">
        <v>45915</v>
      </c>
      <c r="AC29" s="638" t="n">
        <f aca="false">+IFERROR(AD29/$I29,"-")</f>
        <v>0.194895591647332</v>
      </c>
      <c r="AD29" s="640" t="n">
        <f aca="false">+'PAYMENT RATIO_RAW'!$U$60*$D29*1050000000/1000*1.1</f>
        <v>230907600</v>
      </c>
      <c r="AE29" s="640" t="n">
        <v>231000000</v>
      </c>
      <c r="AF29" s="640" t="n">
        <f aca="false">+AD29-AE29</f>
        <v>-92399.9999999404</v>
      </c>
      <c r="AG29" s="643" t="s">
        <v>506</v>
      </c>
      <c r="AH29" s="636" t="n">
        <f aca="false">+EDATE(AO29,0)</f>
        <v>45950</v>
      </c>
      <c r="AI29" s="642" t="n">
        <v>45980</v>
      </c>
      <c r="AJ29" s="638" t="n">
        <f aca="false">+IFERROR(AK29/$I29,"-")</f>
        <v>0</v>
      </c>
      <c r="AK29" s="640" t="n">
        <f aca="false">+'PAYMENT RATIO_RAW'!AB$60*$I29</f>
        <v>0</v>
      </c>
      <c r="AL29" s="640" t="n">
        <v>231000000</v>
      </c>
      <c r="AM29" s="640" t="n">
        <f aca="false">+AK29-AL29</f>
        <v>-231000000</v>
      </c>
      <c r="AN29" s="641"/>
      <c r="AO29" s="636" t="n">
        <f aca="false">+EDATE(AV29,0)-10</f>
        <v>45950</v>
      </c>
      <c r="AP29" s="637"/>
      <c r="AQ29" s="638" t="n">
        <f aca="false">+IFERROR(AR29/$I29,"-")</f>
        <v>0.512761020881671</v>
      </c>
      <c r="AR29" s="640" t="n">
        <f aca="false">+'PAYMENT RATIO_RAW'!AI$60*$D29*1050000000/1000*1.1+27500000*$D29/1000*1.1</f>
        <v>607506900</v>
      </c>
      <c r="AS29" s="640"/>
      <c r="AT29" s="640" t="n">
        <f aca="false">+AR29-AS29</f>
        <v>607506900</v>
      </c>
      <c r="AU29" s="641"/>
      <c r="AV29" s="636" t="n">
        <f aca="false">+EDATE(BC29,-1)</f>
        <v>45960</v>
      </c>
      <c r="AW29" s="636"/>
      <c r="AX29" s="638" t="n">
        <f aca="false">+IFERROR(AY29/$I29,"-")</f>
        <v>0</v>
      </c>
      <c r="AY29" s="640" t="n">
        <f aca="false">+'PAYMENT RATIO_RAW'!AP$60*$I29</f>
        <v>0</v>
      </c>
      <c r="AZ29" s="640"/>
      <c r="BA29" s="640" t="n">
        <f aca="false">+AY29-AZ29</f>
        <v>0</v>
      </c>
      <c r="BB29" s="641"/>
      <c r="BC29" s="636" t="n">
        <f aca="false">+EDATE(BJ29,-1)</f>
        <v>45991</v>
      </c>
      <c r="BD29" s="636"/>
      <c r="BE29" s="638" t="n">
        <f aca="false">+IFERROR(BF29/$I29,"-")</f>
        <v>0.243619489559165</v>
      </c>
      <c r="BF29" s="640" t="n">
        <f aca="false">+'PAYMENT RATIO_RAW'!AW$60*$D29*1050000000/1000*1.1</f>
        <v>288634500</v>
      </c>
      <c r="BG29" s="640"/>
      <c r="BH29" s="640" t="n">
        <f aca="false">+BF29-BG29</f>
        <v>288634500</v>
      </c>
      <c r="BI29" s="641"/>
      <c r="BJ29" s="637" t="n">
        <v>46022</v>
      </c>
      <c r="BK29" s="636"/>
      <c r="BL29" s="638" t="n">
        <f aca="false">+IFERROR(BM29/$I29,"-")</f>
        <v>0.048723897911833</v>
      </c>
      <c r="BM29" s="640" t="n">
        <f aca="false">+'PAYMENT RATIO_RAW'!BD$60*$D29*1050000000/1000*1.1</f>
        <v>57726900</v>
      </c>
      <c r="BN29" s="640"/>
      <c r="BO29" s="640" t="n">
        <f aca="false">+BM29-BN29</f>
        <v>57726900</v>
      </c>
      <c r="BP29" s="641"/>
      <c r="BQ29" s="644"/>
      <c r="BR29" s="645" t="n">
        <f aca="false">+P29+W29+AD29+AK29+AR29+AY29+BF29+BM29=I29</f>
        <v>1</v>
      </c>
      <c r="BS29" s="645" t="n">
        <f aca="false">+Q29+X29+AE29+AS29+AZ29+BG29+BN29=K29</f>
        <v>1</v>
      </c>
      <c r="BT29" s="645"/>
      <c r="BU29" s="621"/>
      <c r="BV29" s="621"/>
      <c r="BW29" s="621"/>
      <c r="BX29" s="621"/>
      <c r="BY29" s="621"/>
      <c r="BZ29" s="621"/>
      <c r="CA29" s="621"/>
      <c r="CB29" s="621"/>
      <c r="CC29" s="625"/>
      <c r="CD29" s="625"/>
    </row>
    <row r="30" customFormat="false" ht="12.75" hidden="false" customHeight="false" outlineLevel="0" collapsed="false">
      <c r="A30" s="628"/>
      <c r="B30" s="629"/>
      <c r="C30" s="630"/>
      <c r="D30" s="684"/>
      <c r="E30" s="631"/>
      <c r="F30" s="647" t="s">
        <v>114</v>
      </c>
      <c r="G30" s="648" t="n">
        <f aca="false">+'PAYMENT RATIO_RAW'!F$6*'GM Batch1'!$D$29/1000</f>
        <v>549780000</v>
      </c>
      <c r="H30" s="648"/>
      <c r="I30" s="648" t="n">
        <f aca="false">SUM(G30:H30)</f>
        <v>549780000</v>
      </c>
      <c r="J30" s="647" t="n">
        <f aca="false">+IFERROR(K30/I30,"-")</f>
        <v>0.669472789115646</v>
      </c>
      <c r="K30" s="649" t="n">
        <f aca="false">+IFERROR(Q30+X30+AE30+AS30+AZ30+BG30+BN30,"-")</f>
        <v>368062750</v>
      </c>
      <c r="L30" s="649" t="n">
        <f aca="false">+I30-K30</f>
        <v>181717250</v>
      </c>
      <c r="M30" s="650" t="n">
        <v>45450</v>
      </c>
      <c r="N30" s="650" t="n">
        <v>45450</v>
      </c>
      <c r="O30" s="651" t="n">
        <f aca="false">+IFERROR(P30/$I30,"-")</f>
        <v>0.55</v>
      </c>
      <c r="P30" s="649" t="n">
        <f aca="false">+$I30*'PAYMENT RATIO_RAW'!G$6</f>
        <v>302379000</v>
      </c>
      <c r="Q30" s="649" t="n">
        <v>302379000</v>
      </c>
      <c r="R30" s="649" t="n">
        <f aca="false">+P30-Q30</f>
        <v>0</v>
      </c>
      <c r="S30" s="652"/>
      <c r="T30" s="650" t="n">
        <v>45456</v>
      </c>
      <c r="U30" s="650" t="n">
        <v>45456</v>
      </c>
      <c r="V30" s="651" t="n">
        <f aca="false">+IFERROR(W30/$I30,"-")</f>
        <v>0.119472789115646</v>
      </c>
      <c r="W30" s="653" t="n">
        <f aca="false">+$I30*'PAYMENT RATIO_RAW'!N$6-16783250</f>
        <v>65683750</v>
      </c>
      <c r="X30" s="649" t="n">
        <v>65683750</v>
      </c>
      <c r="Y30" s="649" t="n">
        <f aca="false">+W30-X30</f>
        <v>0</v>
      </c>
      <c r="Z30" s="654"/>
      <c r="AA30" s="650" t="n">
        <v>45950</v>
      </c>
      <c r="AB30" s="650"/>
      <c r="AC30" s="651" t="n">
        <f aca="false">+IFERROR(AD30/$I30,"-")</f>
        <v>0.0305272108843537</v>
      </c>
      <c r="AD30" s="653" t="n">
        <f aca="false">+$I30*'PAYMENT RATIO_RAW'!U$6+16783250</f>
        <v>16783250</v>
      </c>
      <c r="AE30" s="649"/>
      <c r="AF30" s="649" t="n">
        <f aca="false">+AD30-AE30</f>
        <v>16783250</v>
      </c>
      <c r="AG30" s="652"/>
      <c r="AH30" s="650"/>
      <c r="AI30" s="650"/>
      <c r="AJ30" s="651" t="n">
        <f aca="false">+IFERROR(AK30/$I30,"-")</f>
        <v>0</v>
      </c>
      <c r="AK30" s="649" t="n">
        <f aca="false">+$I30*'PAYMENT RATIO_RAW'!AB50</f>
        <v>0</v>
      </c>
      <c r="AL30" s="649"/>
      <c r="AM30" s="649" t="n">
        <f aca="false">+AK30-AL30</f>
        <v>0</v>
      </c>
      <c r="AN30" s="652"/>
      <c r="AO30" s="650"/>
      <c r="AP30" s="650"/>
      <c r="AQ30" s="651"/>
      <c r="AR30" s="653" t="n">
        <f aca="false">+$I30*'PAYMENT RATIO_RAW'!AI$6</f>
        <v>0</v>
      </c>
      <c r="AS30" s="649"/>
      <c r="AT30" s="649" t="n">
        <f aca="false">+AR30-AS30</f>
        <v>0</v>
      </c>
      <c r="AU30" s="652"/>
      <c r="AV30" s="650"/>
      <c r="AW30" s="650"/>
      <c r="AX30" s="651"/>
      <c r="AY30" s="653" t="n">
        <f aca="false">+$I30*'PAYMENT RATIO_RAW'!AP$6</f>
        <v>0</v>
      </c>
      <c r="AZ30" s="649"/>
      <c r="BA30" s="649" t="n">
        <f aca="false">+AY30-AZ30</f>
        <v>0</v>
      </c>
      <c r="BB30" s="652"/>
      <c r="BC30" s="650"/>
      <c r="BD30" s="650"/>
      <c r="BE30" s="651" t="n">
        <f aca="false">+IFERROR(BF30/$I30,"-")</f>
        <v>0</v>
      </c>
      <c r="BF30" s="653" t="n">
        <f aca="false">+$I30*'PAYMENT RATIO_RAW'!AW$6</f>
        <v>0</v>
      </c>
      <c r="BG30" s="649"/>
      <c r="BH30" s="653" t="n">
        <f aca="false">+BF30-BG30</f>
        <v>0</v>
      </c>
      <c r="BI30" s="652"/>
      <c r="BJ30" s="650" t="n">
        <f aca="false">+BJ29</f>
        <v>46022</v>
      </c>
      <c r="BK30" s="650"/>
      <c r="BL30" s="651" t="n">
        <f aca="false">+IFERROR(BM30/$I30,"-")</f>
        <v>0.3</v>
      </c>
      <c r="BM30" s="649" t="n">
        <f aca="false">+$I30*'PAYMENT RATIO_RAW'!BD$6</f>
        <v>164934000</v>
      </c>
      <c r="BN30" s="649"/>
      <c r="BO30" s="649" t="n">
        <f aca="false">+BM30-BN30</f>
        <v>164934000</v>
      </c>
      <c r="BP30" s="652"/>
      <c r="BQ30" s="644"/>
      <c r="BR30" s="645" t="n">
        <f aca="false">+P30+W30+AD30+AR30+AY30+BF30+BM30=I30</f>
        <v>1</v>
      </c>
      <c r="BS30" s="645" t="n">
        <f aca="false">+Q30+X30+AE30+AS30+AZ30+BG30+BN30=K30</f>
        <v>1</v>
      </c>
      <c r="BT30" s="645" t="n">
        <f aca="false">+BF30+BF32+AY30+AY32+AR30+AR32+AD30+AD32+W30+W32+P30+P32+BM30+BM32=('PAYMENT RATIO_RAW'!$F$6+'PAYMENT RATIO_RAW'!$F$8)*D29/1000</f>
        <v>1</v>
      </c>
      <c r="BU30" s="621"/>
      <c r="BV30" s="621"/>
      <c r="BW30" s="621"/>
      <c r="BX30" s="621"/>
      <c r="BY30" s="621"/>
      <c r="BZ30" s="621"/>
      <c r="CA30" s="621"/>
      <c r="CB30" s="621"/>
      <c r="CC30" s="625"/>
      <c r="CD30" s="625"/>
    </row>
    <row r="31" customFormat="false" ht="12.75" hidden="true" customHeight="false" outlineLevel="0" collapsed="false">
      <c r="A31" s="628"/>
      <c r="B31" s="629"/>
      <c r="C31" s="630"/>
      <c r="D31" s="684"/>
      <c r="E31" s="631"/>
      <c r="F31" s="656" t="s">
        <v>404</v>
      </c>
      <c r="G31" s="657" t="n">
        <f aca="false">+'PAYMENT RATIO_RAW'!F$7*'GM Batch1'!$D$29/1000</f>
        <v>0</v>
      </c>
      <c r="H31" s="657"/>
      <c r="I31" s="657" t="n">
        <f aca="false">SUM(G31:H31)</f>
        <v>0</v>
      </c>
      <c r="J31" s="656" t="str">
        <f aca="false">+IFERROR(K31/I31,"-")</f>
        <v>-</v>
      </c>
      <c r="K31" s="639" t="n">
        <f aca="false">+IFERROR(Q31+X31+AE31+AS31+AZ31+BG31+BN31,"-")</f>
        <v>0</v>
      </c>
      <c r="L31" s="639" t="n">
        <f aca="false">+I31-K31</f>
        <v>0</v>
      </c>
      <c r="M31" s="658"/>
      <c r="N31" s="658"/>
      <c r="O31" s="659" t="str">
        <f aca="false">+IFERROR(P31/$I31,"-")</f>
        <v>-</v>
      </c>
      <c r="P31" s="639" t="n">
        <f aca="false">+$I31*'PAYMENT RATIO_RAW'!G$7</f>
        <v>0</v>
      </c>
      <c r="Q31" s="639"/>
      <c r="R31" s="639" t="n">
        <f aca="false">+P31-Q31</f>
        <v>0</v>
      </c>
      <c r="S31" s="660"/>
      <c r="T31" s="658"/>
      <c r="U31" s="658"/>
      <c r="V31" s="659" t="str">
        <f aca="false">+IFERROR(W31/$I31,"-")</f>
        <v>-</v>
      </c>
      <c r="W31" s="640" t="n">
        <f aca="false">+$I31*'PAYMENT RATIO_RAW'!N$7</f>
        <v>0</v>
      </c>
      <c r="X31" s="639"/>
      <c r="Y31" s="639" t="n">
        <f aca="false">+W31-X31</f>
        <v>0</v>
      </c>
      <c r="Z31" s="660"/>
      <c r="AA31" s="658"/>
      <c r="AB31" s="658"/>
      <c r="AC31" s="659" t="str">
        <f aca="false">+IFERROR(AD31/$I31,"-")</f>
        <v>-</v>
      </c>
      <c r="AD31" s="640" t="n">
        <f aca="false">+$I31*'PAYMENT RATIO_RAW'!U$7</f>
        <v>0</v>
      </c>
      <c r="AE31" s="639"/>
      <c r="AF31" s="639" t="n">
        <f aca="false">+AD31-AE31</f>
        <v>0</v>
      </c>
      <c r="AG31" s="660"/>
      <c r="AH31" s="658"/>
      <c r="AI31" s="658"/>
      <c r="AJ31" s="659" t="str">
        <f aca="false">+IFERROR(AK31/$I31,"-")</f>
        <v>-</v>
      </c>
      <c r="AK31" s="639" t="n">
        <f aca="false">+$I31*'PAYMENT RATIO_RAW'!AB51</f>
        <v>0</v>
      </c>
      <c r="AL31" s="639"/>
      <c r="AM31" s="639" t="n">
        <f aca="false">+AK31-AL31</f>
        <v>0</v>
      </c>
      <c r="AN31" s="660"/>
      <c r="AO31" s="658"/>
      <c r="AP31" s="658"/>
      <c r="AQ31" s="659"/>
      <c r="AR31" s="640" t="n">
        <f aca="false">+$I31*'PAYMENT RATIO_RAW'!AI$7</f>
        <v>0</v>
      </c>
      <c r="AS31" s="639"/>
      <c r="AT31" s="639" t="n">
        <f aca="false">+AR31-AS31</f>
        <v>0</v>
      </c>
      <c r="AU31" s="660"/>
      <c r="AV31" s="658"/>
      <c r="AW31" s="658"/>
      <c r="AX31" s="659"/>
      <c r="AY31" s="640" t="n">
        <f aca="false">+$I31*'PAYMENT RATIO_RAW'!AP$7</f>
        <v>0</v>
      </c>
      <c r="AZ31" s="639"/>
      <c r="BA31" s="639" t="n">
        <f aca="false">+AY31-AZ31</f>
        <v>0</v>
      </c>
      <c r="BB31" s="660"/>
      <c r="BC31" s="658"/>
      <c r="BD31" s="658"/>
      <c r="BE31" s="659" t="str">
        <f aca="false">+IFERROR(BF31/$I31,"-")</f>
        <v>-</v>
      </c>
      <c r="BF31" s="640" t="n">
        <f aca="false">+$I31*'PAYMENT RATIO_RAW'!AW$7</f>
        <v>0</v>
      </c>
      <c r="BG31" s="639"/>
      <c r="BH31" s="640" t="n">
        <f aca="false">+BF31-BG31</f>
        <v>0</v>
      </c>
      <c r="BI31" s="660"/>
      <c r="BJ31" s="658"/>
      <c r="BK31" s="658"/>
      <c r="BL31" s="659" t="str">
        <f aca="false">+IFERROR(BM31/$I31,"-")</f>
        <v>-</v>
      </c>
      <c r="BM31" s="639" t="n">
        <f aca="false">+$I31*'PAYMENT RATIO_RAW'!BD$7</f>
        <v>0</v>
      </c>
      <c r="BN31" s="639"/>
      <c r="BO31" s="639" t="n">
        <f aca="false">+BM31-BN31</f>
        <v>0</v>
      </c>
      <c r="BP31" s="660"/>
      <c r="BQ31" s="644"/>
      <c r="BR31" s="645" t="n">
        <f aca="false">+P31+W31+AD31+AR31+AY31+BF31+BM31=I31</f>
        <v>1</v>
      </c>
      <c r="BS31" s="645" t="n">
        <f aca="false">+Q31+X31+AE31+AS31+AZ31+BG31+BN31=K31</f>
        <v>1</v>
      </c>
      <c r="BT31" s="645"/>
      <c r="BU31" s="621"/>
      <c r="BV31" s="621"/>
      <c r="BW31" s="621"/>
      <c r="BX31" s="621"/>
      <c r="BY31" s="621"/>
      <c r="BZ31" s="621"/>
      <c r="CA31" s="621"/>
      <c r="CB31" s="621"/>
      <c r="CC31" s="625"/>
      <c r="CD31" s="625"/>
    </row>
    <row r="32" customFormat="false" ht="12.75" hidden="true" customHeight="false" outlineLevel="0" collapsed="false">
      <c r="A32" s="628"/>
      <c r="B32" s="629"/>
      <c r="C32" s="630"/>
      <c r="D32" s="684"/>
      <c r="E32" s="631"/>
      <c r="F32" s="656" t="s">
        <v>507</v>
      </c>
      <c r="G32" s="657" t="n">
        <f aca="false">+'PAYMENT RATIO_RAW'!F$8*'GM Batch1'!$D$29/1000</f>
        <v>0</v>
      </c>
      <c r="H32" s="657" t="n">
        <f aca="false">+G32*10%</f>
        <v>0</v>
      </c>
      <c r="I32" s="657" t="n">
        <f aca="false">SUM(G32:H32)</f>
        <v>0</v>
      </c>
      <c r="J32" s="656" t="str">
        <f aca="false">+IFERROR(K32/I32,"-")</f>
        <v>-</v>
      </c>
      <c r="K32" s="639" t="n">
        <f aca="false">+IFERROR(Q32+X32+AE32+AS32+AZ32+BG32+BN32,"-")</f>
        <v>0</v>
      </c>
      <c r="L32" s="639" t="n">
        <f aca="false">+I32-K32</f>
        <v>0</v>
      </c>
      <c r="M32" s="658"/>
      <c r="N32" s="642"/>
      <c r="O32" s="659" t="str">
        <f aca="false">+IFERROR(P32/$I32,"-")</f>
        <v>-</v>
      </c>
      <c r="P32" s="639" t="n">
        <f aca="false">+$I32*'PAYMENT RATIO_RAW'!G$8</f>
        <v>0</v>
      </c>
      <c r="Q32" s="639"/>
      <c r="R32" s="639" t="n">
        <f aca="false">+P32-Q32</f>
        <v>0</v>
      </c>
      <c r="S32" s="660"/>
      <c r="T32" s="658"/>
      <c r="U32" s="642"/>
      <c r="V32" s="659" t="str">
        <f aca="false">+IFERROR(W32/$I32,"-")</f>
        <v>-</v>
      </c>
      <c r="W32" s="640" t="n">
        <f aca="false">+$I32*'PAYMENT RATIO_RAW'!N$8</f>
        <v>0</v>
      </c>
      <c r="X32" s="639"/>
      <c r="Y32" s="639" t="n">
        <f aca="false">+W32-X32</f>
        <v>0</v>
      </c>
      <c r="Z32" s="660"/>
      <c r="AA32" s="658"/>
      <c r="AB32" s="642"/>
      <c r="AC32" s="659" t="str">
        <f aca="false">+IFERROR(AD32/$I32,"-")</f>
        <v>-</v>
      </c>
      <c r="AD32" s="640" t="n">
        <f aca="false">+$I32*'PAYMENT RATIO_RAW'!U$8</f>
        <v>0</v>
      </c>
      <c r="AE32" s="639"/>
      <c r="AF32" s="639" t="n">
        <f aca="false">+AD32-AE32</f>
        <v>0</v>
      </c>
      <c r="AG32" s="660"/>
      <c r="AH32" s="642"/>
      <c r="AI32" s="642"/>
      <c r="AJ32" s="659" t="str">
        <f aca="false">+IFERROR(AK32/$I32,"-")</f>
        <v>-</v>
      </c>
      <c r="AK32" s="639"/>
      <c r="AL32" s="639"/>
      <c r="AM32" s="639" t="n">
        <f aca="false">+AK32-AL32</f>
        <v>0</v>
      </c>
      <c r="AN32" s="660"/>
      <c r="AO32" s="642"/>
      <c r="AP32" s="642"/>
      <c r="AQ32" s="659"/>
      <c r="AR32" s="640" t="n">
        <f aca="false">+$I32*'PAYMENT RATIO_RAW'!AI$8</f>
        <v>0</v>
      </c>
      <c r="AS32" s="639"/>
      <c r="AT32" s="639" t="n">
        <f aca="false">+AR32-AS32</f>
        <v>0</v>
      </c>
      <c r="AU32" s="660"/>
      <c r="AV32" s="642"/>
      <c r="AW32" s="642"/>
      <c r="AX32" s="659"/>
      <c r="AY32" s="640" t="n">
        <f aca="false">+$I32*'PAYMENT RATIO_RAW'!AP$8</f>
        <v>0</v>
      </c>
      <c r="AZ32" s="639"/>
      <c r="BA32" s="639" t="n">
        <f aca="false">+AY32-AZ32</f>
        <v>0</v>
      </c>
      <c r="BB32" s="660"/>
      <c r="BC32" s="642"/>
      <c r="BD32" s="642"/>
      <c r="BE32" s="659" t="str">
        <f aca="false">+IFERROR(BF32/$I32,"-")</f>
        <v>-</v>
      </c>
      <c r="BF32" s="640" t="n">
        <f aca="false">+$I32*'PAYMENT RATIO_RAW'!AW$8</f>
        <v>0</v>
      </c>
      <c r="BG32" s="639"/>
      <c r="BH32" s="640" t="n">
        <f aca="false">+BF32-BG32</f>
        <v>0</v>
      </c>
      <c r="BI32" s="660"/>
      <c r="BJ32" s="642"/>
      <c r="BK32" s="642"/>
      <c r="BL32" s="659" t="str">
        <f aca="false">+IFERROR(BM32/$I32,"-")</f>
        <v>-</v>
      </c>
      <c r="BM32" s="639" t="n">
        <f aca="false">+$I32*'PAYMENT RATIO_RAW'!BD$8</f>
        <v>0</v>
      </c>
      <c r="BN32" s="639"/>
      <c r="BO32" s="639" t="n">
        <f aca="false">+BM32-BN32</f>
        <v>0</v>
      </c>
      <c r="BP32" s="660"/>
      <c r="BQ32" s="644"/>
      <c r="BR32" s="645" t="n">
        <f aca="false">+P32+W32+AD32+AR32+AY32+BF32+BM32=I32</f>
        <v>1</v>
      </c>
      <c r="BS32" s="645" t="n">
        <f aca="false">+Q32+X32+AE32+AS32+AZ32+BG32+BN32=K32</f>
        <v>1</v>
      </c>
      <c r="BT32" s="645"/>
      <c r="BU32" s="621"/>
      <c r="BV32" s="621"/>
      <c r="BW32" s="621"/>
      <c r="BX32" s="621"/>
      <c r="BY32" s="621"/>
      <c r="BZ32" s="621"/>
      <c r="CA32" s="621"/>
      <c r="CB32" s="621"/>
      <c r="CC32" s="625"/>
      <c r="CD32" s="625"/>
    </row>
    <row r="33" customFormat="false" ht="12.75" hidden="true" customHeight="false" outlineLevel="0" collapsed="false">
      <c r="A33" s="628"/>
      <c r="B33" s="629"/>
      <c r="C33" s="630"/>
      <c r="D33" s="684"/>
      <c r="E33" s="631"/>
      <c r="F33" s="679" t="s">
        <v>508</v>
      </c>
      <c r="G33" s="661" t="n">
        <f aca="false">+'PAYMENT RATIO_RAW'!F$9*'GM Batch1'!$D$29/1000</f>
        <v>0</v>
      </c>
      <c r="H33" s="680" t="n">
        <f aca="false">+G33*0.1</f>
        <v>0</v>
      </c>
      <c r="I33" s="680" t="n">
        <f aca="false">SUM(G33:H33)</f>
        <v>0</v>
      </c>
      <c r="J33" s="679" t="str">
        <f aca="false">+IFERROR(K33/I33,"-")</f>
        <v>-</v>
      </c>
      <c r="K33" s="681" t="n">
        <f aca="false">+IFERROR(Q33+X33+AE33+AS33+AZ33+BG33+BN33,"-")</f>
        <v>0</v>
      </c>
      <c r="L33" s="681" t="n">
        <f aca="false">+I33-K33</f>
        <v>0</v>
      </c>
      <c r="M33" s="664"/>
      <c r="N33" s="662"/>
      <c r="O33" s="665"/>
      <c r="P33" s="663" t="n">
        <f aca="false">+$I33*'PAYMENT RATIO_RAW'!G$9</f>
        <v>0</v>
      </c>
      <c r="Q33" s="663"/>
      <c r="R33" s="663" t="n">
        <f aca="false">+P33-Q33</f>
        <v>0</v>
      </c>
      <c r="S33" s="662"/>
      <c r="T33" s="664"/>
      <c r="U33" s="662"/>
      <c r="V33" s="665"/>
      <c r="W33" s="640" t="n">
        <f aca="false">+$I33*'PAYMENT RATIO_RAW'!N$9</f>
        <v>0</v>
      </c>
      <c r="X33" s="663"/>
      <c r="Y33" s="663" t="n">
        <f aca="false">+W33-X33</f>
        <v>0</v>
      </c>
      <c r="Z33" s="662"/>
      <c r="AA33" s="664"/>
      <c r="AB33" s="662"/>
      <c r="AC33" s="665"/>
      <c r="AD33" s="640" t="n">
        <f aca="false">+$I33*'PAYMENT RATIO_RAW'!U$9</f>
        <v>0</v>
      </c>
      <c r="AE33" s="663"/>
      <c r="AF33" s="663" t="n">
        <f aca="false">+AD33-AE33</f>
        <v>0</v>
      </c>
      <c r="AG33" s="662"/>
      <c r="AH33" s="664"/>
      <c r="AI33" s="662"/>
      <c r="AJ33" s="665"/>
      <c r="AK33" s="663"/>
      <c r="AL33" s="663"/>
      <c r="AM33" s="663"/>
      <c r="AN33" s="662"/>
      <c r="AO33" s="664"/>
      <c r="AP33" s="662"/>
      <c r="AQ33" s="665"/>
      <c r="AR33" s="640" t="n">
        <f aca="false">+$I33*'PAYMENT RATIO_RAW'!AI$9</f>
        <v>0</v>
      </c>
      <c r="AS33" s="663"/>
      <c r="AT33" s="663"/>
      <c r="AU33" s="662"/>
      <c r="AV33" s="664"/>
      <c r="AW33" s="662"/>
      <c r="AX33" s="665"/>
      <c r="AY33" s="640" t="n">
        <f aca="false">+$I33*'PAYMENT RATIO_RAW'!AP$9</f>
        <v>0</v>
      </c>
      <c r="AZ33" s="663"/>
      <c r="BA33" s="663"/>
      <c r="BB33" s="662"/>
      <c r="BC33" s="664"/>
      <c r="BD33" s="662"/>
      <c r="BE33" s="665" t="str">
        <f aca="false">+IFERROR(BF33/$I33,"-")</f>
        <v>-</v>
      </c>
      <c r="BF33" s="640" t="n">
        <f aca="false">+$I33*'PAYMENT RATIO_RAW'!AW$9</f>
        <v>0</v>
      </c>
      <c r="BG33" s="663"/>
      <c r="BH33" s="640" t="n">
        <f aca="false">+BF33-BG33</f>
        <v>0</v>
      </c>
      <c r="BI33" s="662"/>
      <c r="BJ33" s="664"/>
      <c r="BK33" s="662"/>
      <c r="BL33" s="665" t="str">
        <f aca="false">+IFERROR(BM33/$I33,"-")</f>
        <v>-</v>
      </c>
      <c r="BM33" s="663" t="n">
        <f aca="false">+$I33*'PAYMENT RATIO_RAW'!BD$9</f>
        <v>0</v>
      </c>
      <c r="BN33" s="663"/>
      <c r="BO33" s="663" t="n">
        <f aca="false">+BM33-BN33</f>
        <v>0</v>
      </c>
      <c r="BP33" s="662"/>
      <c r="BQ33" s="666"/>
      <c r="BR33" s="667" t="n">
        <f aca="false">+P33+W33+AD33+AR33+AY33+BF33+BM33=I33</f>
        <v>1</v>
      </c>
      <c r="BS33" s="668" t="n">
        <f aca="false">+Q33+X33+AE33+AS33+AZ33+BG33+BN33=K33</f>
        <v>1</v>
      </c>
      <c r="BT33" s="668"/>
      <c r="BU33" s="621"/>
      <c r="BV33" s="621"/>
      <c r="BW33" s="621"/>
      <c r="BX33" s="621"/>
      <c r="BY33" s="621"/>
      <c r="BZ33" s="621"/>
      <c r="CA33" s="621"/>
      <c r="CB33" s="621"/>
      <c r="CC33" s="625"/>
      <c r="CD33" s="625"/>
    </row>
    <row r="34" customFormat="false" ht="12.75" hidden="false" customHeight="false" outlineLevel="0" collapsed="false">
      <c r="A34" s="628"/>
      <c r="B34" s="629"/>
      <c r="C34" s="630"/>
      <c r="D34" s="684"/>
      <c r="E34" s="631"/>
      <c r="F34" s="669" t="s">
        <v>109</v>
      </c>
      <c r="G34" s="670" t="n">
        <f aca="false">SUM(G29:G33)</f>
        <v>1626849000</v>
      </c>
      <c r="H34" s="670" t="n">
        <f aca="false">SUM(H29:H33)</f>
        <v>107706900</v>
      </c>
      <c r="I34" s="670" t="n">
        <f aca="false">SUM(I29:I33)</f>
        <v>1734555900</v>
      </c>
      <c r="J34" s="669" t="n">
        <f aca="false">+IFERROR(K34/I34,"-")</f>
        <v>0.345369526574497</v>
      </c>
      <c r="K34" s="670" t="n">
        <f aca="false">SUM(K29:K33)</f>
        <v>599062750</v>
      </c>
      <c r="L34" s="670" t="n">
        <f aca="false">SUM(L29:L33)</f>
        <v>1135493150</v>
      </c>
      <c r="M34" s="671"/>
      <c r="N34" s="669"/>
      <c r="O34" s="672" t="n">
        <f aca="false">+IFERROR(P34/$I34,"-")</f>
        <v>0.1743264659271</v>
      </c>
      <c r="P34" s="670" t="n">
        <f aca="false">SUM(P29:P33)</f>
        <v>302379000</v>
      </c>
      <c r="Q34" s="670" t="n">
        <f aca="false">SUM(Q29:Q33)</f>
        <v>302379000</v>
      </c>
      <c r="R34" s="673" t="n">
        <f aca="false">+P34-Q34</f>
        <v>0</v>
      </c>
      <c r="S34" s="669"/>
      <c r="T34" s="671"/>
      <c r="U34" s="669"/>
      <c r="V34" s="672" t="n">
        <f aca="false">+IFERROR(W34/$I34,"-")</f>
        <v>0.0378677620017896</v>
      </c>
      <c r="W34" s="670" t="n">
        <f aca="false">SUM(W29:W33)</f>
        <v>65683750</v>
      </c>
      <c r="X34" s="670" t="n">
        <f aca="false">SUM(X29:X33)</f>
        <v>65683750</v>
      </c>
      <c r="Y34" s="673" t="n">
        <f aca="false">+W34-X34</f>
        <v>0</v>
      </c>
      <c r="Z34" s="669"/>
      <c r="AA34" s="671"/>
      <c r="AB34" s="669"/>
      <c r="AC34" s="672" t="n">
        <f aca="false">+IFERROR(AD34/$I34,"-")</f>
        <v>0.142797848140841</v>
      </c>
      <c r="AD34" s="670" t="n">
        <f aca="false">SUM(AD29:AD33)</f>
        <v>247690850</v>
      </c>
      <c r="AE34" s="670" t="n">
        <f aca="false">SUM(AE29:AE33)</f>
        <v>231000000</v>
      </c>
      <c r="AF34" s="673" t="n">
        <f aca="false">+AD34-AE34</f>
        <v>16690850.0000001</v>
      </c>
      <c r="AG34" s="669"/>
      <c r="AH34" s="671"/>
      <c r="AI34" s="669"/>
      <c r="AJ34" s="672" t="n">
        <f aca="false">+IFERROR(AK34/$I34,"-")</f>
        <v>0</v>
      </c>
      <c r="AK34" s="670" t="n">
        <f aca="false">SUM(AK29:AK33)</f>
        <v>0</v>
      </c>
      <c r="AL34" s="670" t="n">
        <f aca="false">SUM(AL29:AL33)</f>
        <v>231000000</v>
      </c>
      <c r="AM34" s="673" t="n">
        <f aca="false">+AK34-AL34</f>
        <v>-231000000</v>
      </c>
      <c r="AN34" s="669"/>
      <c r="AO34" s="671"/>
      <c r="AP34" s="669"/>
      <c r="AQ34" s="672" t="n">
        <f aca="false">+IFERROR(AR34/$I34,"-")</f>
        <v>0.350237717908082</v>
      </c>
      <c r="AR34" s="670" t="n">
        <f aca="false">SUM(AR29:AR33)</f>
        <v>607506900</v>
      </c>
      <c r="AS34" s="670" t="n">
        <f aca="false">SUM(AS29:AS33)</f>
        <v>0</v>
      </c>
      <c r="AT34" s="673" t="n">
        <f aca="false">+AR34-AS34</f>
        <v>607506900</v>
      </c>
      <c r="AU34" s="669"/>
      <c r="AV34" s="671"/>
      <c r="AW34" s="669"/>
      <c r="AX34" s="672" t="n">
        <f aca="false">+IFERROR(AY34/$I34,"-")</f>
        <v>0</v>
      </c>
      <c r="AY34" s="670" t="n">
        <f aca="false">SUM(AY29:AY33)</f>
        <v>0</v>
      </c>
      <c r="AZ34" s="670" t="n">
        <f aca="false">SUM(AZ29:AZ33)</f>
        <v>0</v>
      </c>
      <c r="BA34" s="673" t="n">
        <f aca="false">+AY34-AZ34</f>
        <v>0</v>
      </c>
      <c r="BB34" s="669"/>
      <c r="BC34" s="671"/>
      <c r="BD34" s="669"/>
      <c r="BE34" s="672" t="n">
        <f aca="false">+IFERROR(BF34/$I34,"-")</f>
        <v>0.166402535657686</v>
      </c>
      <c r="BF34" s="670" t="n">
        <f aca="false">SUM(BF29:BF33)</f>
        <v>288634500</v>
      </c>
      <c r="BG34" s="670" t="n">
        <f aca="false">SUM(BG29:BG33)</f>
        <v>0</v>
      </c>
      <c r="BH34" s="673" t="n">
        <f aca="false">+BF34-BG34</f>
        <v>288634500</v>
      </c>
      <c r="BI34" s="669"/>
      <c r="BJ34" s="671"/>
      <c r="BK34" s="669"/>
      <c r="BL34" s="672" t="n">
        <f aca="false">+IFERROR(BM34/$I34,"-")</f>
        <v>0.128367670364501</v>
      </c>
      <c r="BM34" s="670" t="n">
        <f aca="false">SUM(BM29:BM33)</f>
        <v>222660900</v>
      </c>
      <c r="BN34" s="670" t="n">
        <f aca="false">SUM(BN29:BN33)</f>
        <v>0</v>
      </c>
      <c r="BO34" s="673" t="n">
        <f aca="false">+BM34-BN34</f>
        <v>222660900</v>
      </c>
      <c r="BP34" s="669"/>
      <c r="BQ34" s="666"/>
      <c r="BR34" s="674"/>
      <c r="BS34" s="675"/>
      <c r="BT34" s="675"/>
      <c r="BU34" s="621"/>
      <c r="BV34" s="621"/>
      <c r="BW34" s="621"/>
      <c r="BX34" s="621"/>
      <c r="BY34" s="621"/>
      <c r="BZ34" s="621"/>
      <c r="CA34" s="621"/>
      <c r="CB34" s="621"/>
      <c r="CC34" s="625"/>
      <c r="CD34" s="625"/>
    </row>
    <row r="35" customFormat="false" ht="12.75" hidden="false" customHeight="false" outlineLevel="0" collapsed="false">
      <c r="A35" s="628"/>
      <c r="B35" s="629" t="n">
        <v>5</v>
      </c>
      <c r="C35" s="631" t="s">
        <v>174</v>
      </c>
      <c r="D35" s="684" t="n">
        <v>999.24</v>
      </c>
      <c r="E35" s="631" t="s">
        <v>505</v>
      </c>
      <c r="F35" s="632" t="s">
        <v>112</v>
      </c>
      <c r="G35" s="633" t="n">
        <f aca="false">+'PAYMENT RATIO_RAW'!F$5*$D$35/1000+27500000*D$35/1000</f>
        <v>1076681100</v>
      </c>
      <c r="H35" s="633" t="n">
        <f aca="false">+G35*10%</f>
        <v>107668110</v>
      </c>
      <c r="I35" s="633" t="n">
        <f aca="false">SUM(G35:H35)</f>
        <v>1184349210</v>
      </c>
      <c r="J35" s="634" t="n">
        <f aca="false">+IFERROR(K35/I35,"-")</f>
        <v>0</v>
      </c>
      <c r="K35" s="640" t="n">
        <f aca="false">+IFERROR(Q35+X35+AE35+AS35+AZ35+BG35+BN35,"-")</f>
        <v>0</v>
      </c>
      <c r="L35" s="640" t="n">
        <f aca="false">+I35-K35</f>
        <v>1184349210</v>
      </c>
      <c r="M35" s="636"/>
      <c r="N35" s="637"/>
      <c r="O35" s="638"/>
      <c r="P35" s="639" t="n">
        <f aca="false">+$I35*'PAYMENT RATIO_RAW'!G$5</f>
        <v>0</v>
      </c>
      <c r="Q35" s="640"/>
      <c r="R35" s="640" t="n">
        <f aca="false">+P35-Q35</f>
        <v>0</v>
      </c>
      <c r="S35" s="641"/>
      <c r="T35" s="636"/>
      <c r="U35" s="637"/>
      <c r="V35" s="638"/>
      <c r="W35" s="640" t="n">
        <f aca="false">+$I35*'PAYMENT RATIO_RAW'!N$5</f>
        <v>0</v>
      </c>
      <c r="X35" s="640"/>
      <c r="Y35" s="640" t="n">
        <f aca="false">+W35-X35</f>
        <v>0</v>
      </c>
      <c r="Z35" s="641"/>
      <c r="AA35" s="636" t="n">
        <f aca="false">+EDATE(AH35,-2)</f>
        <v>46052</v>
      </c>
      <c r="AB35" s="642"/>
      <c r="AC35" s="638" t="n">
        <f aca="false">+IFERROR(AD35/$I35,"-")</f>
        <v>0.194895591647332</v>
      </c>
      <c r="AD35" s="640" t="n">
        <f aca="false">+'PAYMENT RATIO_RAW'!$U$60*$D35*1050000000/1000*1.1</f>
        <v>230824440</v>
      </c>
      <c r="AE35" s="640"/>
      <c r="AF35" s="640" t="n">
        <f aca="false">+AD35-AE35</f>
        <v>230824440</v>
      </c>
      <c r="AG35" s="641"/>
      <c r="AH35" s="636" t="n">
        <f aca="false">+EDATE(AO35,-1)</f>
        <v>46111</v>
      </c>
      <c r="AI35" s="642"/>
      <c r="AJ35" s="638" t="n">
        <f aca="false">+IFERROR(AK35/$I35,"-")</f>
        <v>0</v>
      </c>
      <c r="AK35" s="640" t="n">
        <f aca="false">+'PAYMENT RATIO_RAW'!$AB65*I35</f>
        <v>0</v>
      </c>
      <c r="AL35" s="640"/>
      <c r="AM35" s="640" t="n">
        <f aca="false">+AK35-AL35</f>
        <v>0</v>
      </c>
      <c r="AN35" s="641"/>
      <c r="AO35" s="636" t="n">
        <f aca="false">+EDATE(AV35,-1)</f>
        <v>46142</v>
      </c>
      <c r="AP35" s="637"/>
      <c r="AQ35" s="638" t="n">
        <f aca="false">+IFERROR(AR35/$I35,"-")</f>
        <v>0.512761020881671</v>
      </c>
      <c r="AR35" s="640" t="n">
        <f aca="false">+'PAYMENT RATIO_RAW'!AI$60*$D35*1050000000/1000*1.1+27500000*$D35/1000*1.1</f>
        <v>607288110</v>
      </c>
      <c r="AS35" s="640"/>
      <c r="AT35" s="640" t="n">
        <f aca="false">+AR35-AS35</f>
        <v>607288110</v>
      </c>
      <c r="AU35" s="641"/>
      <c r="AV35" s="636" t="n">
        <f aca="false">+EDATE(BC35,-1)</f>
        <v>46172</v>
      </c>
      <c r="AW35" s="636"/>
      <c r="AX35" s="638" t="n">
        <f aca="false">+IFERROR(AY35/$I35,"-")</f>
        <v>0</v>
      </c>
      <c r="AY35" s="640" t="n">
        <f aca="false">+'PAYMENT RATIO_RAW'!AP65*$I35</f>
        <v>0</v>
      </c>
      <c r="AZ35" s="640"/>
      <c r="BA35" s="640" t="n">
        <f aca="false">+AY35-AZ35</f>
        <v>0</v>
      </c>
      <c r="BB35" s="641"/>
      <c r="BC35" s="636" t="n">
        <f aca="false">+EDATE(BJ35,-1)</f>
        <v>46203</v>
      </c>
      <c r="BD35" s="636"/>
      <c r="BE35" s="638" t="n">
        <f aca="false">+IFERROR(BF35/$I35,"-")</f>
        <v>0.243619489559165</v>
      </c>
      <c r="BF35" s="640" t="n">
        <f aca="false">+'PAYMENT RATIO_RAW'!AW$60*$D35*1050000000/1000*1.1</f>
        <v>288530550</v>
      </c>
      <c r="BG35" s="640"/>
      <c r="BH35" s="640" t="n">
        <f aca="false">+BF35-BG35</f>
        <v>288530550</v>
      </c>
      <c r="BI35" s="641"/>
      <c r="BJ35" s="637" t="n">
        <v>46233</v>
      </c>
      <c r="BK35" s="636"/>
      <c r="BL35" s="638" t="n">
        <f aca="false">+IFERROR(BM35/$I35,"-")</f>
        <v>0.048723897911833</v>
      </c>
      <c r="BM35" s="640" t="n">
        <f aca="false">+'PAYMENT RATIO_RAW'!BD$60*$D35*1050000000/1000*1.1</f>
        <v>57706110</v>
      </c>
      <c r="BN35" s="640"/>
      <c r="BO35" s="640" t="n">
        <f aca="false">+BM35-BN35</f>
        <v>57706110</v>
      </c>
      <c r="BP35" s="641"/>
      <c r="BQ35" s="644"/>
      <c r="BR35" s="645" t="n">
        <f aca="false">+P35+W35+AD35+AK35+AR35+AY35+BF35+BM35=I35</f>
        <v>1</v>
      </c>
      <c r="BS35" s="645" t="n">
        <f aca="false">+Q35+X35+AE35+AS35+AZ35+BG35+BN35=K35</f>
        <v>1</v>
      </c>
      <c r="BT35" s="645"/>
      <c r="BU35" s="621"/>
      <c r="BV35" s="621"/>
      <c r="BW35" s="621"/>
      <c r="BX35" s="621"/>
      <c r="BY35" s="621"/>
      <c r="BZ35" s="621"/>
      <c r="CA35" s="621"/>
      <c r="CB35" s="621"/>
      <c r="CC35" s="625"/>
      <c r="CD35" s="625"/>
    </row>
    <row r="36" customFormat="false" ht="12.75" hidden="false" customHeight="false" outlineLevel="0" collapsed="false">
      <c r="A36" s="628"/>
      <c r="B36" s="629"/>
      <c r="C36" s="631"/>
      <c r="D36" s="684"/>
      <c r="E36" s="631"/>
      <c r="F36" s="647" t="s">
        <v>114</v>
      </c>
      <c r="G36" s="648" t="n">
        <f aca="false">+'PAYMENT RATIO_RAW'!F$6*'GM Batch1'!$D$35/1000</f>
        <v>549582000</v>
      </c>
      <c r="H36" s="648"/>
      <c r="I36" s="648" t="n">
        <f aca="false">SUM(G36:H36)</f>
        <v>549582000</v>
      </c>
      <c r="J36" s="647" t="n">
        <f aca="false">+IFERROR(K36/I36,"-")</f>
        <v>0.621154077098595</v>
      </c>
      <c r="K36" s="649" t="n">
        <f aca="false">+IFERROR(Q36+X36+AE36+AS36+AZ36+BG36+BN36,"-")</f>
        <v>341375100</v>
      </c>
      <c r="L36" s="649" t="n">
        <f aca="false">+I36-K36</f>
        <v>208206900</v>
      </c>
      <c r="M36" s="650" t="n">
        <v>45450</v>
      </c>
      <c r="N36" s="650" t="n">
        <v>45450</v>
      </c>
      <c r="O36" s="651" t="n">
        <f aca="false">+IFERROR(P36/$I36,"-")</f>
        <v>0.55</v>
      </c>
      <c r="P36" s="649" t="n">
        <f aca="false">+$I36*'PAYMENT RATIO_RAW'!G$6</f>
        <v>302270100</v>
      </c>
      <c r="Q36" s="649" t="n">
        <v>302270100</v>
      </c>
      <c r="R36" s="649" t="n">
        <f aca="false">+P36-Q36</f>
        <v>0</v>
      </c>
      <c r="S36" s="652"/>
      <c r="T36" s="650" t="n">
        <v>45456</v>
      </c>
      <c r="U36" s="650" t="n">
        <v>45456</v>
      </c>
      <c r="V36" s="651" t="n">
        <f aca="false">+IFERROR(W36/$I36,"-")</f>
        <v>0.0711540770985949</v>
      </c>
      <c r="W36" s="653" t="n">
        <f aca="false">+$I36*'PAYMENT RATIO_RAW'!N$6-43332300</f>
        <v>39105000</v>
      </c>
      <c r="X36" s="649" t="n">
        <v>39105000</v>
      </c>
      <c r="Y36" s="649" t="n">
        <f aca="false">+W36-X36</f>
        <v>0</v>
      </c>
      <c r="Z36" s="654"/>
      <c r="AA36" s="650" t="n">
        <v>46022</v>
      </c>
      <c r="AB36" s="650"/>
      <c r="AC36" s="651" t="n">
        <f aca="false">+IFERROR(AD36/$I36,"-")</f>
        <v>0.0788459229014051</v>
      </c>
      <c r="AD36" s="653" t="n">
        <f aca="false">+$I36*'PAYMENT RATIO_RAW'!U$6+43332300</f>
        <v>43332300</v>
      </c>
      <c r="AE36" s="649"/>
      <c r="AF36" s="649" t="n">
        <f aca="false">+AD36-AE36</f>
        <v>43332300</v>
      </c>
      <c r="AG36" s="652"/>
      <c r="AH36" s="650"/>
      <c r="AI36" s="650"/>
      <c r="AJ36" s="651" t="n">
        <f aca="false">+IFERROR(AK36/$I36,"-")</f>
        <v>0</v>
      </c>
      <c r="AK36" s="653" t="n">
        <f aca="false">+'PAYMENT RATIO_RAW'!$AB66*I36</f>
        <v>0</v>
      </c>
      <c r="AL36" s="649"/>
      <c r="AM36" s="649" t="n">
        <f aca="false">+AK36-AL36</f>
        <v>0</v>
      </c>
      <c r="AN36" s="652"/>
      <c r="AO36" s="650"/>
      <c r="AP36" s="650"/>
      <c r="AQ36" s="651"/>
      <c r="AR36" s="653" t="n">
        <f aca="false">+$I36*'PAYMENT RATIO_RAW'!AI$6</f>
        <v>0</v>
      </c>
      <c r="AS36" s="649"/>
      <c r="AT36" s="649" t="n">
        <f aca="false">+AR36-AS36</f>
        <v>0</v>
      </c>
      <c r="AU36" s="652"/>
      <c r="AV36" s="650"/>
      <c r="AW36" s="650"/>
      <c r="AX36" s="651"/>
      <c r="AY36" s="653" t="n">
        <f aca="false">+$I36*'PAYMENT RATIO_RAW'!AP$6</f>
        <v>0</v>
      </c>
      <c r="AZ36" s="649"/>
      <c r="BA36" s="649" t="n">
        <f aca="false">+AY36-AZ36</f>
        <v>0</v>
      </c>
      <c r="BB36" s="652"/>
      <c r="BC36" s="650"/>
      <c r="BD36" s="650"/>
      <c r="BE36" s="651" t="n">
        <f aca="false">+IFERROR(BF36/$I36,"-")</f>
        <v>0</v>
      </c>
      <c r="BF36" s="653" t="n">
        <f aca="false">+$I36*'PAYMENT RATIO_RAW'!AW$6</f>
        <v>0</v>
      </c>
      <c r="BG36" s="649"/>
      <c r="BH36" s="653" t="n">
        <f aca="false">+BF36-BG36</f>
        <v>0</v>
      </c>
      <c r="BI36" s="652"/>
      <c r="BJ36" s="650" t="n">
        <f aca="false">+BJ35</f>
        <v>46233</v>
      </c>
      <c r="BK36" s="650"/>
      <c r="BL36" s="651" t="n">
        <f aca="false">+IFERROR(BM36/$I36,"-")</f>
        <v>0.3</v>
      </c>
      <c r="BM36" s="649" t="n">
        <f aca="false">+$I36*'PAYMENT RATIO_RAW'!BD$6</f>
        <v>164874600</v>
      </c>
      <c r="BN36" s="649"/>
      <c r="BO36" s="649" t="n">
        <f aca="false">+BM36-BN36</f>
        <v>164874600</v>
      </c>
      <c r="BP36" s="652"/>
      <c r="BQ36" s="644"/>
      <c r="BR36" s="645" t="n">
        <f aca="false">+P36+W36+AD36+AR36+AY36+BF36+BM36=I36</f>
        <v>1</v>
      </c>
      <c r="BS36" s="645" t="n">
        <f aca="false">+Q36+X36+AE36+AS36+AZ36+BG36+BN36=K36</f>
        <v>1</v>
      </c>
      <c r="BT36" s="645" t="n">
        <f aca="false">+BF36+BF38+AY36+AY38+AR36+AR38+AD36+AD38+W36+W38+P36+P38+BM36+BM38=('PAYMENT RATIO_RAW'!$F$6+'PAYMENT RATIO_RAW'!$F$8)*D35/1000</f>
        <v>1</v>
      </c>
      <c r="BU36" s="621"/>
      <c r="BV36" s="621"/>
      <c r="BW36" s="621"/>
      <c r="BX36" s="621"/>
      <c r="BY36" s="621"/>
      <c r="BZ36" s="621"/>
      <c r="CA36" s="621"/>
      <c r="CB36" s="621"/>
      <c r="CC36" s="625"/>
      <c r="CD36" s="625"/>
    </row>
    <row r="37" customFormat="false" ht="12.75" hidden="true" customHeight="false" outlineLevel="0" collapsed="false">
      <c r="A37" s="628"/>
      <c r="B37" s="629"/>
      <c r="C37" s="631"/>
      <c r="D37" s="684"/>
      <c r="E37" s="631"/>
      <c r="F37" s="656" t="s">
        <v>404</v>
      </c>
      <c r="G37" s="657" t="n">
        <f aca="false">+'PAYMENT RATIO_RAW'!F$7*'GM Batch1'!$D$35/1000</f>
        <v>0</v>
      </c>
      <c r="H37" s="657"/>
      <c r="I37" s="657" t="n">
        <f aca="false">SUM(G37:H37)</f>
        <v>0</v>
      </c>
      <c r="J37" s="656" t="str">
        <f aca="false">+IFERROR(K37/I37,"-")</f>
        <v>-</v>
      </c>
      <c r="K37" s="639" t="n">
        <f aca="false">+IFERROR(Q37+X37+AE37+AS37+AZ37+BG37+BN37,"-")</f>
        <v>0</v>
      </c>
      <c r="L37" s="639" t="n">
        <f aca="false">+I37-K37</f>
        <v>0</v>
      </c>
      <c r="M37" s="658"/>
      <c r="N37" s="658"/>
      <c r="O37" s="659" t="str">
        <f aca="false">+IFERROR(P37/$I37,"-")</f>
        <v>-</v>
      </c>
      <c r="P37" s="639" t="n">
        <f aca="false">+$I37*'PAYMENT RATIO_RAW'!G$7</f>
        <v>0</v>
      </c>
      <c r="Q37" s="639"/>
      <c r="R37" s="639" t="n">
        <f aca="false">+P37-Q37</f>
        <v>0</v>
      </c>
      <c r="S37" s="660"/>
      <c r="T37" s="658"/>
      <c r="U37" s="658"/>
      <c r="V37" s="659" t="str">
        <f aca="false">+IFERROR(W37/$I37,"-")</f>
        <v>-</v>
      </c>
      <c r="W37" s="640" t="n">
        <f aca="false">+$I37*'PAYMENT RATIO_RAW'!N$7</f>
        <v>0</v>
      </c>
      <c r="X37" s="639"/>
      <c r="Y37" s="639" t="n">
        <f aca="false">+W37-X37</f>
        <v>0</v>
      </c>
      <c r="Z37" s="660"/>
      <c r="AA37" s="658"/>
      <c r="AB37" s="658"/>
      <c r="AC37" s="659" t="str">
        <f aca="false">+IFERROR(AD37/$I37,"-")</f>
        <v>-</v>
      </c>
      <c r="AD37" s="640" t="n">
        <f aca="false">+$I37*'PAYMENT RATIO_RAW'!U$7</f>
        <v>0</v>
      </c>
      <c r="AE37" s="639"/>
      <c r="AF37" s="639" t="n">
        <f aca="false">+AD37-AE37</f>
        <v>0</v>
      </c>
      <c r="AG37" s="660"/>
      <c r="AH37" s="658"/>
      <c r="AI37" s="658"/>
      <c r="AJ37" s="659" t="str">
        <f aca="false">+IFERROR(AK37/$I37,"-")</f>
        <v>-</v>
      </c>
      <c r="AK37" s="640" t="n">
        <f aca="false">+'PAYMENT RATIO_RAW'!$AB67*I37</f>
        <v>0</v>
      </c>
      <c r="AL37" s="639"/>
      <c r="AM37" s="639" t="n">
        <f aca="false">+AK37-AL37</f>
        <v>0</v>
      </c>
      <c r="AN37" s="660"/>
      <c r="AO37" s="658"/>
      <c r="AP37" s="658"/>
      <c r="AQ37" s="659"/>
      <c r="AR37" s="640" t="n">
        <f aca="false">+$I37*'PAYMENT RATIO_RAW'!AI$7</f>
        <v>0</v>
      </c>
      <c r="AS37" s="639"/>
      <c r="AT37" s="639" t="n">
        <f aca="false">+AR37-AS37</f>
        <v>0</v>
      </c>
      <c r="AU37" s="660"/>
      <c r="AV37" s="658"/>
      <c r="AW37" s="658"/>
      <c r="AX37" s="659"/>
      <c r="AY37" s="640" t="n">
        <f aca="false">+$I37*'PAYMENT RATIO_RAW'!AP$7</f>
        <v>0</v>
      </c>
      <c r="AZ37" s="639"/>
      <c r="BA37" s="639" t="n">
        <f aca="false">+AY37-AZ37</f>
        <v>0</v>
      </c>
      <c r="BB37" s="660"/>
      <c r="BC37" s="658"/>
      <c r="BD37" s="658"/>
      <c r="BE37" s="659" t="str">
        <f aca="false">+IFERROR(BF37/$I37,"-")</f>
        <v>-</v>
      </c>
      <c r="BF37" s="640" t="n">
        <f aca="false">+$I37*'PAYMENT RATIO_RAW'!AW$7</f>
        <v>0</v>
      </c>
      <c r="BG37" s="639"/>
      <c r="BH37" s="640" t="n">
        <f aca="false">+BF37-BG37</f>
        <v>0</v>
      </c>
      <c r="BI37" s="660"/>
      <c r="BJ37" s="658"/>
      <c r="BK37" s="658"/>
      <c r="BL37" s="659" t="str">
        <f aca="false">+IFERROR(BM37/$I37,"-")</f>
        <v>-</v>
      </c>
      <c r="BM37" s="639" t="n">
        <f aca="false">+$I37*'PAYMENT RATIO_RAW'!BD$7</f>
        <v>0</v>
      </c>
      <c r="BN37" s="639"/>
      <c r="BO37" s="639" t="n">
        <f aca="false">+BM37-BN37</f>
        <v>0</v>
      </c>
      <c r="BP37" s="660"/>
      <c r="BQ37" s="644"/>
      <c r="BR37" s="645" t="n">
        <f aca="false">+P37+W37+AD37+AR37+AY37+BF37+BM37=I37</f>
        <v>1</v>
      </c>
      <c r="BS37" s="645" t="n">
        <f aca="false">+Q37+X37+AE37+AS37+AZ37+BG37+BN37=K37</f>
        <v>1</v>
      </c>
      <c r="BT37" s="645"/>
      <c r="BU37" s="621"/>
      <c r="BV37" s="621"/>
      <c r="BW37" s="621"/>
      <c r="BX37" s="621"/>
      <c r="BY37" s="621"/>
      <c r="BZ37" s="621"/>
      <c r="CA37" s="621"/>
      <c r="CB37" s="621"/>
      <c r="CC37" s="625"/>
      <c r="CD37" s="625"/>
    </row>
    <row r="38" customFormat="false" ht="12.75" hidden="true" customHeight="false" outlineLevel="0" collapsed="false">
      <c r="A38" s="628"/>
      <c r="B38" s="629"/>
      <c r="C38" s="631"/>
      <c r="D38" s="684"/>
      <c r="E38" s="631"/>
      <c r="F38" s="656" t="s">
        <v>507</v>
      </c>
      <c r="G38" s="657" t="n">
        <f aca="false">+'PAYMENT RATIO_RAW'!F$8*'GM Batch1'!$D$35/1000</f>
        <v>0</v>
      </c>
      <c r="H38" s="657" t="n">
        <f aca="false">+G38*10%</f>
        <v>0</v>
      </c>
      <c r="I38" s="657" t="n">
        <f aca="false">SUM(G38:H38)</f>
        <v>0</v>
      </c>
      <c r="J38" s="656" t="str">
        <f aca="false">+IFERROR(K38/I38,"-")</f>
        <v>-</v>
      </c>
      <c r="K38" s="639" t="n">
        <f aca="false">+IFERROR(Q38+X38+AE38+AS38+AZ38+BG38+BN38,"-")</f>
        <v>0</v>
      </c>
      <c r="L38" s="639" t="n">
        <f aca="false">+I38-K38</f>
        <v>0</v>
      </c>
      <c r="M38" s="658"/>
      <c r="N38" s="642"/>
      <c r="O38" s="659" t="str">
        <f aca="false">+IFERROR(P38/$I38,"-")</f>
        <v>-</v>
      </c>
      <c r="P38" s="639" t="n">
        <f aca="false">+$I38*'PAYMENT RATIO_RAW'!G$8</f>
        <v>0</v>
      </c>
      <c r="Q38" s="639"/>
      <c r="R38" s="639" t="n">
        <f aca="false">+P38-Q38</f>
        <v>0</v>
      </c>
      <c r="S38" s="660"/>
      <c r="T38" s="658"/>
      <c r="U38" s="642"/>
      <c r="V38" s="659" t="str">
        <f aca="false">+IFERROR(W38/$I38,"-")</f>
        <v>-</v>
      </c>
      <c r="W38" s="640" t="n">
        <f aca="false">+$I38*'PAYMENT RATIO_RAW'!N$8</f>
        <v>0</v>
      </c>
      <c r="X38" s="639"/>
      <c r="Y38" s="639" t="n">
        <f aca="false">+W38-X38</f>
        <v>0</v>
      </c>
      <c r="Z38" s="660"/>
      <c r="AA38" s="658"/>
      <c r="AB38" s="642"/>
      <c r="AC38" s="659" t="str">
        <f aca="false">+IFERROR(AD38/$I38,"-")</f>
        <v>-</v>
      </c>
      <c r="AD38" s="640" t="n">
        <f aca="false">+$I38*'PAYMENT RATIO_RAW'!U$8</f>
        <v>0</v>
      </c>
      <c r="AE38" s="639"/>
      <c r="AF38" s="639" t="n">
        <f aca="false">+AD38-AE38</f>
        <v>0</v>
      </c>
      <c r="AG38" s="660"/>
      <c r="AH38" s="642"/>
      <c r="AI38" s="642"/>
      <c r="AJ38" s="659" t="str">
        <f aca="false">+IFERROR(AK38/$I38,"-")</f>
        <v>-</v>
      </c>
      <c r="AK38" s="640" t="n">
        <f aca="false">+'PAYMENT RATIO_RAW'!$AB68*I38</f>
        <v>0</v>
      </c>
      <c r="AL38" s="639"/>
      <c r="AM38" s="639" t="n">
        <f aca="false">+AK38-AL38</f>
        <v>0</v>
      </c>
      <c r="AN38" s="660"/>
      <c r="AO38" s="642"/>
      <c r="AP38" s="642"/>
      <c r="AQ38" s="659"/>
      <c r="AR38" s="640" t="n">
        <f aca="false">+$I38*'PAYMENT RATIO_RAW'!AI$8</f>
        <v>0</v>
      </c>
      <c r="AS38" s="639"/>
      <c r="AT38" s="639" t="n">
        <f aca="false">+AR38-AS38</f>
        <v>0</v>
      </c>
      <c r="AU38" s="660"/>
      <c r="AV38" s="642"/>
      <c r="AW38" s="642"/>
      <c r="AX38" s="659"/>
      <c r="AY38" s="640" t="n">
        <f aca="false">+$I38*'PAYMENT RATIO_RAW'!AP$8</f>
        <v>0</v>
      </c>
      <c r="AZ38" s="639"/>
      <c r="BA38" s="639" t="n">
        <f aca="false">+AY38-AZ38</f>
        <v>0</v>
      </c>
      <c r="BB38" s="660"/>
      <c r="BC38" s="642"/>
      <c r="BD38" s="642"/>
      <c r="BE38" s="659" t="str">
        <f aca="false">+IFERROR(BF38/$I38,"-")</f>
        <v>-</v>
      </c>
      <c r="BF38" s="640" t="n">
        <f aca="false">+$I38*'PAYMENT RATIO_RAW'!AW$8</f>
        <v>0</v>
      </c>
      <c r="BG38" s="639"/>
      <c r="BH38" s="640" t="n">
        <f aca="false">+BF38-BG38</f>
        <v>0</v>
      </c>
      <c r="BI38" s="660"/>
      <c r="BJ38" s="642"/>
      <c r="BK38" s="642"/>
      <c r="BL38" s="659" t="str">
        <f aca="false">+IFERROR(BM38/$I38,"-")</f>
        <v>-</v>
      </c>
      <c r="BM38" s="639" t="n">
        <f aca="false">+$I38*'PAYMENT RATIO_RAW'!BD$8</f>
        <v>0</v>
      </c>
      <c r="BN38" s="639"/>
      <c r="BO38" s="639" t="n">
        <f aca="false">+BM38-BN38</f>
        <v>0</v>
      </c>
      <c r="BP38" s="660"/>
      <c r="BQ38" s="644"/>
      <c r="BR38" s="645" t="n">
        <f aca="false">+P38+W38+AD38+AR38+AY38+BF38+BM38=I38</f>
        <v>1</v>
      </c>
      <c r="BS38" s="645" t="n">
        <f aca="false">+Q38+X38+AE38+AS38+AZ38+BG38+BN38=K38</f>
        <v>1</v>
      </c>
      <c r="BT38" s="645"/>
      <c r="BU38" s="621"/>
      <c r="BV38" s="621"/>
      <c r="BW38" s="621"/>
      <c r="BX38" s="621"/>
      <c r="BY38" s="621"/>
      <c r="BZ38" s="621"/>
      <c r="CA38" s="621"/>
      <c r="CB38" s="621"/>
      <c r="CC38" s="625"/>
      <c r="CD38" s="625"/>
    </row>
    <row r="39" customFormat="false" ht="12.75" hidden="true" customHeight="false" outlineLevel="0" collapsed="false">
      <c r="A39" s="628"/>
      <c r="B39" s="629"/>
      <c r="C39" s="631"/>
      <c r="D39" s="684"/>
      <c r="E39" s="631"/>
      <c r="F39" s="679" t="s">
        <v>508</v>
      </c>
      <c r="G39" s="661" t="n">
        <f aca="false">+'PAYMENT RATIO_RAW'!F$9*'GM Batch1'!$D$35/1000</f>
        <v>0</v>
      </c>
      <c r="H39" s="680" t="n">
        <f aca="false">+G39*0.1</f>
        <v>0</v>
      </c>
      <c r="I39" s="680" t="n">
        <f aca="false">SUM(G39:H39)</f>
        <v>0</v>
      </c>
      <c r="J39" s="679" t="str">
        <f aca="false">+IFERROR(K39/I39,"-")</f>
        <v>-</v>
      </c>
      <c r="K39" s="681" t="n">
        <f aca="false">+IFERROR(Q39+X39+AE39+AS39+AZ39+BG39+BN39,"-")</f>
        <v>0</v>
      </c>
      <c r="L39" s="681" t="n">
        <f aca="false">+I39-K39</f>
        <v>0</v>
      </c>
      <c r="M39" s="664"/>
      <c r="N39" s="662"/>
      <c r="O39" s="665"/>
      <c r="P39" s="663" t="n">
        <f aca="false">+$I39*'PAYMENT RATIO_RAW'!G$9</f>
        <v>0</v>
      </c>
      <c r="Q39" s="663"/>
      <c r="R39" s="663" t="n">
        <f aca="false">+P39-Q39</f>
        <v>0</v>
      </c>
      <c r="S39" s="662"/>
      <c r="T39" s="664"/>
      <c r="U39" s="662"/>
      <c r="V39" s="665"/>
      <c r="W39" s="640" t="n">
        <f aca="false">+$I39*'PAYMENT RATIO_RAW'!N$9</f>
        <v>0</v>
      </c>
      <c r="X39" s="663"/>
      <c r="Y39" s="663" t="n">
        <f aca="false">+W39-X39</f>
        <v>0</v>
      </c>
      <c r="Z39" s="662"/>
      <c r="AA39" s="664"/>
      <c r="AB39" s="662"/>
      <c r="AC39" s="665"/>
      <c r="AD39" s="640" t="n">
        <f aca="false">+$I39*'PAYMENT RATIO_RAW'!U$9</f>
        <v>0</v>
      </c>
      <c r="AE39" s="663"/>
      <c r="AF39" s="663" t="n">
        <f aca="false">+AD39-AE39</f>
        <v>0</v>
      </c>
      <c r="AG39" s="662"/>
      <c r="AH39" s="664"/>
      <c r="AI39" s="662"/>
      <c r="AJ39" s="665"/>
      <c r="AK39" s="640" t="n">
        <f aca="false">+'PAYMENT RATIO_RAW'!$AB69*I39</f>
        <v>0</v>
      </c>
      <c r="AL39" s="663"/>
      <c r="AM39" s="663"/>
      <c r="AN39" s="662"/>
      <c r="AO39" s="664"/>
      <c r="AP39" s="662"/>
      <c r="AQ39" s="665"/>
      <c r="AR39" s="640" t="n">
        <f aca="false">+$I39*'PAYMENT RATIO_RAW'!AI$9</f>
        <v>0</v>
      </c>
      <c r="AS39" s="663"/>
      <c r="AT39" s="663"/>
      <c r="AU39" s="662"/>
      <c r="AV39" s="664"/>
      <c r="AW39" s="662"/>
      <c r="AX39" s="665"/>
      <c r="AY39" s="640" t="n">
        <f aca="false">+$I39*'PAYMENT RATIO_RAW'!AP$9</f>
        <v>0</v>
      </c>
      <c r="AZ39" s="663"/>
      <c r="BA39" s="663"/>
      <c r="BB39" s="662"/>
      <c r="BC39" s="664"/>
      <c r="BD39" s="662"/>
      <c r="BE39" s="665" t="str">
        <f aca="false">+IFERROR(BF39/$I39,"-")</f>
        <v>-</v>
      </c>
      <c r="BF39" s="640" t="n">
        <f aca="false">+$I39*'PAYMENT RATIO_RAW'!AW$9</f>
        <v>0</v>
      </c>
      <c r="BG39" s="663"/>
      <c r="BH39" s="640" t="n">
        <f aca="false">+BF39-BG39</f>
        <v>0</v>
      </c>
      <c r="BI39" s="662"/>
      <c r="BJ39" s="664"/>
      <c r="BK39" s="662"/>
      <c r="BL39" s="665" t="str">
        <f aca="false">+IFERROR(BM39/$I39,"-")</f>
        <v>-</v>
      </c>
      <c r="BM39" s="663" t="n">
        <f aca="false">+$I39*'PAYMENT RATIO_RAW'!BD$9</f>
        <v>0</v>
      </c>
      <c r="BN39" s="663"/>
      <c r="BO39" s="663" t="n">
        <f aca="false">+BM39-BN39</f>
        <v>0</v>
      </c>
      <c r="BP39" s="662"/>
      <c r="BQ39" s="666"/>
      <c r="BR39" s="667" t="n">
        <f aca="false">+P39+W39+AD39+AR39+AY39+BF39+BM39=I39</f>
        <v>1</v>
      </c>
      <c r="BS39" s="668" t="n">
        <f aca="false">+Q39+X39+AE39+AS39+AZ39+BG39+BN39=K39</f>
        <v>1</v>
      </c>
      <c r="BT39" s="668"/>
      <c r="BU39" s="621"/>
      <c r="BV39" s="621"/>
      <c r="BW39" s="621"/>
      <c r="BX39" s="621"/>
      <c r="BY39" s="621"/>
      <c r="BZ39" s="621"/>
      <c r="CA39" s="621"/>
      <c r="CB39" s="621"/>
      <c r="CC39" s="625"/>
      <c r="CD39" s="625"/>
    </row>
    <row r="40" customFormat="false" ht="12.75" hidden="false" customHeight="false" outlineLevel="0" collapsed="false">
      <c r="A40" s="628"/>
      <c r="B40" s="629"/>
      <c r="C40" s="631"/>
      <c r="D40" s="684"/>
      <c r="E40" s="631"/>
      <c r="F40" s="669" t="s">
        <v>109</v>
      </c>
      <c r="G40" s="670" t="n">
        <f aca="false">SUM(G35:G39)</f>
        <v>1626263100</v>
      </c>
      <c r="H40" s="670" t="n">
        <f aca="false">SUM(H35:H39)</f>
        <v>107668110</v>
      </c>
      <c r="I40" s="670" t="n">
        <f aca="false">SUM(I35:I39)</f>
        <v>1733931210</v>
      </c>
      <c r="J40" s="669" t="n">
        <f aca="false">+IFERROR(K40/I40,"-")</f>
        <v>0.19687926373965</v>
      </c>
      <c r="K40" s="670" t="n">
        <f aca="false">SUM(K35:K39)</f>
        <v>341375100</v>
      </c>
      <c r="L40" s="670" t="n">
        <f aca="false">SUM(L35:L39)</f>
        <v>1392556110</v>
      </c>
      <c r="M40" s="671"/>
      <c r="N40" s="669"/>
      <c r="O40" s="672" t="n">
        <f aca="false">+IFERROR(P40/$I40,"-")</f>
        <v>0.1743264659271</v>
      </c>
      <c r="P40" s="670" t="n">
        <f aca="false">SUM(P35:P39)</f>
        <v>302270100</v>
      </c>
      <c r="Q40" s="670" t="n">
        <f aca="false">SUM(Q35:Q39)</f>
        <v>302270100</v>
      </c>
      <c r="R40" s="673" t="n">
        <f aca="false">+P40-Q40</f>
        <v>0</v>
      </c>
      <c r="S40" s="669"/>
      <c r="T40" s="671"/>
      <c r="U40" s="669"/>
      <c r="V40" s="672" t="n">
        <f aca="false">+IFERROR(W40/$I40,"-")</f>
        <v>0.0225527978125499</v>
      </c>
      <c r="W40" s="670" t="n">
        <f aca="false">SUM(W35:W39)</f>
        <v>39105000</v>
      </c>
      <c r="X40" s="670" t="n">
        <f aca="false">SUM(X35:X39)</f>
        <v>39105000</v>
      </c>
      <c r="Y40" s="673" t="n">
        <f aca="false">+W40-X40</f>
        <v>0</v>
      </c>
      <c r="Z40" s="669"/>
      <c r="AA40" s="671"/>
      <c r="AB40" s="669"/>
      <c r="AC40" s="672" t="n">
        <f aca="false">+IFERROR(AD40/$I40,"-")</f>
        <v>0.158112812330081</v>
      </c>
      <c r="AD40" s="670" t="n">
        <f aca="false">SUM(AD35:AD39)</f>
        <v>274156740</v>
      </c>
      <c r="AE40" s="670" t="n">
        <f aca="false">SUM(AE35:AE39)</f>
        <v>0</v>
      </c>
      <c r="AF40" s="673" t="n">
        <f aca="false">+AD40-AE40</f>
        <v>274156740</v>
      </c>
      <c r="AG40" s="669"/>
      <c r="AH40" s="671"/>
      <c r="AI40" s="669"/>
      <c r="AJ40" s="672" t="n">
        <f aca="false">+IFERROR(AK40/$I40,"-")</f>
        <v>0</v>
      </c>
      <c r="AK40" s="670" t="n">
        <f aca="false">SUM(AK35:AK39)</f>
        <v>0</v>
      </c>
      <c r="AL40" s="670" t="n">
        <f aca="false">SUM(AL35:AL39)</f>
        <v>0</v>
      </c>
      <c r="AM40" s="673" t="n">
        <f aca="false">+AK40-AL40</f>
        <v>0</v>
      </c>
      <c r="AN40" s="669"/>
      <c r="AO40" s="671"/>
      <c r="AP40" s="669"/>
      <c r="AQ40" s="672" t="n">
        <f aca="false">+IFERROR(AR40/$I40,"-")</f>
        <v>0.350237717908082</v>
      </c>
      <c r="AR40" s="670" t="n">
        <f aca="false">SUM(AR35:AR39)</f>
        <v>607288110</v>
      </c>
      <c r="AS40" s="670" t="n">
        <f aca="false">SUM(AS35:AS39)</f>
        <v>0</v>
      </c>
      <c r="AT40" s="673" t="n">
        <f aca="false">+AR40-AS40</f>
        <v>607288110</v>
      </c>
      <c r="AU40" s="669"/>
      <c r="AV40" s="671"/>
      <c r="AW40" s="669"/>
      <c r="AX40" s="672" t="n">
        <f aca="false">+IFERROR(AY40/$I40,"-")</f>
        <v>0</v>
      </c>
      <c r="AY40" s="670" t="n">
        <f aca="false">SUM(AY35:AY39)</f>
        <v>0</v>
      </c>
      <c r="AZ40" s="670" t="n">
        <f aca="false">SUM(AZ35:AZ39)</f>
        <v>0</v>
      </c>
      <c r="BA40" s="673" t="n">
        <f aca="false">+AY40-AZ40</f>
        <v>0</v>
      </c>
      <c r="BB40" s="669"/>
      <c r="BC40" s="671"/>
      <c r="BD40" s="669"/>
      <c r="BE40" s="672" t="n">
        <f aca="false">+IFERROR(BF40/$I40,"-")</f>
        <v>0.166402535657686</v>
      </c>
      <c r="BF40" s="670" t="n">
        <f aca="false">SUM(BF35:BF39)</f>
        <v>288530550</v>
      </c>
      <c r="BG40" s="670" t="n">
        <f aca="false">SUM(BG35:BG39)</f>
        <v>0</v>
      </c>
      <c r="BH40" s="673" t="n">
        <f aca="false">+BF40-BG40</f>
        <v>288530550</v>
      </c>
      <c r="BI40" s="669"/>
      <c r="BJ40" s="671"/>
      <c r="BK40" s="669"/>
      <c r="BL40" s="672" t="n">
        <f aca="false">+IFERROR(BM40/$I40,"-")</f>
        <v>0.128367670364501</v>
      </c>
      <c r="BM40" s="670" t="n">
        <f aca="false">SUM(BM35:BM39)</f>
        <v>222580710</v>
      </c>
      <c r="BN40" s="670" t="n">
        <f aca="false">SUM(BN35:BN39)</f>
        <v>0</v>
      </c>
      <c r="BO40" s="673" t="n">
        <f aca="false">+BM40-BN40</f>
        <v>222580710</v>
      </c>
      <c r="BP40" s="669"/>
      <c r="BQ40" s="666"/>
      <c r="BR40" s="674"/>
      <c r="BS40" s="675"/>
      <c r="BT40" s="675"/>
      <c r="BU40" s="621"/>
      <c r="BV40" s="621"/>
      <c r="BW40" s="621"/>
      <c r="BX40" s="621"/>
      <c r="BY40" s="621"/>
      <c r="BZ40" s="621"/>
      <c r="CA40" s="621"/>
      <c r="CB40" s="621"/>
      <c r="CC40" s="625"/>
      <c r="CD40" s="625"/>
    </row>
    <row r="41" customFormat="false" ht="12.75" hidden="false" customHeight="false" outlineLevel="0" collapsed="false">
      <c r="A41" s="628"/>
      <c r="B41" s="629" t="n">
        <v>6</v>
      </c>
      <c r="C41" s="631" t="s">
        <v>175</v>
      </c>
      <c r="D41" s="684" t="n">
        <v>999.24</v>
      </c>
      <c r="E41" s="631" t="s">
        <v>505</v>
      </c>
      <c r="F41" s="632" t="s">
        <v>112</v>
      </c>
      <c r="G41" s="633" t="n">
        <f aca="false">+'PAYMENT RATIO_RAW'!F$5*$D$41/1000+27500000*D$41/1000</f>
        <v>1076681100</v>
      </c>
      <c r="H41" s="633" t="n">
        <f aca="false">+G41*10%</f>
        <v>107668110</v>
      </c>
      <c r="I41" s="633" t="n">
        <f aca="false">SUM(G41:H41)</f>
        <v>1184349210</v>
      </c>
      <c r="J41" s="634" t="n">
        <f aca="false">+IFERROR(K41/I41,"-")</f>
        <v>0</v>
      </c>
      <c r="K41" s="640" t="n">
        <f aca="false">+IFERROR(Q41+X41+AE41+AS41+AZ41+BG41+BN41,"-")</f>
        <v>0</v>
      </c>
      <c r="L41" s="640" t="n">
        <f aca="false">+I41-K41</f>
        <v>1184349210</v>
      </c>
      <c r="M41" s="636"/>
      <c r="N41" s="637"/>
      <c r="O41" s="638"/>
      <c r="P41" s="639" t="n">
        <f aca="false">+$I41*'PAYMENT RATIO_RAW'!G$5</f>
        <v>0</v>
      </c>
      <c r="Q41" s="640"/>
      <c r="R41" s="640" t="n">
        <f aca="false">+P41-Q41</f>
        <v>0</v>
      </c>
      <c r="S41" s="641"/>
      <c r="T41" s="636"/>
      <c r="U41" s="637"/>
      <c r="V41" s="638"/>
      <c r="W41" s="640" t="n">
        <f aca="false">+$I41*'PAYMENT RATIO_RAW'!N$5</f>
        <v>0</v>
      </c>
      <c r="X41" s="640"/>
      <c r="Y41" s="640" t="n">
        <f aca="false">+W41-X41</f>
        <v>0</v>
      </c>
      <c r="Z41" s="641"/>
      <c r="AA41" s="636" t="n">
        <f aca="false">+EDATE(AH41,-2)</f>
        <v>46052</v>
      </c>
      <c r="AB41" s="642"/>
      <c r="AC41" s="638" t="n">
        <f aca="false">+IFERROR(AD41/$I41,"-")</f>
        <v>0.194895591647332</v>
      </c>
      <c r="AD41" s="640" t="n">
        <f aca="false">+'PAYMENT RATIO_RAW'!$U$60*$D41*1050000000/1000*1.1</f>
        <v>230824440</v>
      </c>
      <c r="AE41" s="640"/>
      <c r="AF41" s="640" t="n">
        <f aca="false">+AD41-AE41</f>
        <v>230824440</v>
      </c>
      <c r="AG41" s="641"/>
      <c r="AH41" s="636" t="n">
        <f aca="false">+EDATE(AO41,-1)</f>
        <v>46111</v>
      </c>
      <c r="AI41" s="642"/>
      <c r="AJ41" s="638" t="n">
        <f aca="false">+IFERROR(AK41/$I41,"-")</f>
        <v>0</v>
      </c>
      <c r="AK41" s="640" t="n">
        <f aca="false">+'PAYMENT RATIO_RAW'!$AB65*I41</f>
        <v>0</v>
      </c>
      <c r="AL41" s="640"/>
      <c r="AM41" s="640" t="n">
        <f aca="false">+AK41-AL41</f>
        <v>0</v>
      </c>
      <c r="AN41" s="641"/>
      <c r="AO41" s="636" t="n">
        <f aca="false">+EDATE(AV41,-1)</f>
        <v>46142</v>
      </c>
      <c r="AP41" s="637"/>
      <c r="AQ41" s="638" t="n">
        <f aca="false">+IFERROR(AR41/$I41,"-")</f>
        <v>0.512761020881671</v>
      </c>
      <c r="AR41" s="640" t="n">
        <f aca="false">+'PAYMENT RATIO_RAW'!AI$60*$D41*1050000000/1000*1.1+27500000*$D41/1000*1.1</f>
        <v>607288110</v>
      </c>
      <c r="AS41" s="640"/>
      <c r="AT41" s="640" t="n">
        <f aca="false">+AR41-AS41</f>
        <v>607288110</v>
      </c>
      <c r="AU41" s="641"/>
      <c r="AV41" s="636" t="n">
        <f aca="false">+EDATE(BC41,-1)</f>
        <v>46172</v>
      </c>
      <c r="AW41" s="636"/>
      <c r="AX41" s="638" t="n">
        <f aca="false">+IFERROR(AY41/$I41,"-")</f>
        <v>0</v>
      </c>
      <c r="AY41" s="640" t="n">
        <f aca="false">+'PAYMENT RATIO_RAW'!AP65*$I41</f>
        <v>0</v>
      </c>
      <c r="AZ41" s="640"/>
      <c r="BA41" s="640" t="n">
        <f aca="false">+AY41-AZ41</f>
        <v>0</v>
      </c>
      <c r="BB41" s="641"/>
      <c r="BC41" s="636" t="n">
        <f aca="false">+EDATE(BJ41,-1)</f>
        <v>46203</v>
      </c>
      <c r="BD41" s="636"/>
      <c r="BE41" s="638" t="n">
        <f aca="false">+IFERROR(BF41/$I41,"-")</f>
        <v>0.243619489559165</v>
      </c>
      <c r="BF41" s="640" t="n">
        <f aca="false">+'PAYMENT RATIO_RAW'!AW$60*$D41*1050000000/1000*1.1</f>
        <v>288530550</v>
      </c>
      <c r="BG41" s="640"/>
      <c r="BH41" s="640" t="n">
        <f aca="false">+BF41-BG41</f>
        <v>288530550</v>
      </c>
      <c r="BI41" s="641"/>
      <c r="BJ41" s="637" t="n">
        <v>46233</v>
      </c>
      <c r="BK41" s="636"/>
      <c r="BL41" s="638" t="n">
        <f aca="false">+IFERROR(BM41/$I41,"-")</f>
        <v>0.048723897911833</v>
      </c>
      <c r="BM41" s="640" t="n">
        <f aca="false">+'PAYMENT RATIO_RAW'!BD$60*$D41*1050000000/1000*1.1</f>
        <v>57706110</v>
      </c>
      <c r="BN41" s="640"/>
      <c r="BO41" s="640" t="n">
        <f aca="false">+BM41-BN41</f>
        <v>57706110</v>
      </c>
      <c r="BP41" s="641"/>
      <c r="BQ41" s="644"/>
      <c r="BR41" s="645" t="n">
        <f aca="false">+P41+W41+AD41+AK41+AR41+AY41+BF41+BM41=I41</f>
        <v>1</v>
      </c>
      <c r="BS41" s="645" t="n">
        <f aca="false">+Q41+X41+AE41+AS41+AZ41+BG41+BN41=K41</f>
        <v>1</v>
      </c>
      <c r="BT41" s="645"/>
      <c r="BU41" s="621"/>
      <c r="BV41" s="621"/>
      <c r="BW41" s="621"/>
      <c r="BX41" s="621"/>
      <c r="BY41" s="621"/>
      <c r="BZ41" s="621"/>
      <c r="CA41" s="621"/>
      <c r="CB41" s="621"/>
      <c r="CC41" s="625"/>
      <c r="CD41" s="625"/>
    </row>
    <row r="42" customFormat="false" ht="12.75" hidden="false" customHeight="false" outlineLevel="0" collapsed="false">
      <c r="A42" s="628"/>
      <c r="B42" s="629"/>
      <c r="C42" s="631"/>
      <c r="D42" s="684"/>
      <c r="E42" s="631"/>
      <c r="F42" s="647" t="s">
        <v>114</v>
      </c>
      <c r="G42" s="648" t="n">
        <f aca="false">+'PAYMENT RATIO_RAW'!F$6*'GM Batch1'!$D$41/1000</f>
        <v>549582000</v>
      </c>
      <c r="H42" s="648"/>
      <c r="I42" s="648" t="n">
        <f aca="false">SUM(G42:H42)</f>
        <v>549582000</v>
      </c>
      <c r="J42" s="647" t="n">
        <f aca="false">+IFERROR(K42/I42,"-")</f>
        <v>0.621154077098595</v>
      </c>
      <c r="K42" s="649" t="n">
        <f aca="false">+IFERROR(Q42+X42+AE42+AS42+AZ42+BG42+BN42,"-")</f>
        <v>341375100</v>
      </c>
      <c r="L42" s="649" t="n">
        <f aca="false">+I42-K42</f>
        <v>208206900</v>
      </c>
      <c r="M42" s="650" t="n">
        <v>45450</v>
      </c>
      <c r="N42" s="650" t="n">
        <v>45450</v>
      </c>
      <c r="O42" s="651" t="n">
        <f aca="false">+IFERROR(P42/$I42,"-")</f>
        <v>0.55</v>
      </c>
      <c r="P42" s="649" t="n">
        <f aca="false">+$I42*'PAYMENT RATIO_RAW'!G$6</f>
        <v>302270100</v>
      </c>
      <c r="Q42" s="649" t="n">
        <v>302270100</v>
      </c>
      <c r="R42" s="649" t="n">
        <f aca="false">+P42-Q42</f>
        <v>0</v>
      </c>
      <c r="S42" s="652"/>
      <c r="T42" s="650" t="n">
        <v>45456</v>
      </c>
      <c r="U42" s="650" t="n">
        <v>45456</v>
      </c>
      <c r="V42" s="651" t="n">
        <f aca="false">+IFERROR(W42/$I42,"-")</f>
        <v>0.0711540770985949</v>
      </c>
      <c r="W42" s="653" t="n">
        <f aca="false">+$I42*'PAYMENT RATIO_RAW'!N$6-43332300</f>
        <v>39105000</v>
      </c>
      <c r="X42" s="649" t="n">
        <v>39105000</v>
      </c>
      <c r="Y42" s="649" t="n">
        <f aca="false">+W42-X42</f>
        <v>0</v>
      </c>
      <c r="Z42" s="654"/>
      <c r="AA42" s="650" t="n">
        <v>46022</v>
      </c>
      <c r="AB42" s="650"/>
      <c r="AC42" s="651" t="n">
        <f aca="false">+IFERROR(AD42/$I42,"-")</f>
        <v>0.0788459229014051</v>
      </c>
      <c r="AD42" s="653" t="n">
        <f aca="false">+$I42*'PAYMENT RATIO_RAW'!U$6+43332300</f>
        <v>43332300</v>
      </c>
      <c r="AE42" s="649"/>
      <c r="AF42" s="649" t="n">
        <f aca="false">+AD42-AE42</f>
        <v>43332300</v>
      </c>
      <c r="AG42" s="652"/>
      <c r="AH42" s="650"/>
      <c r="AI42" s="650"/>
      <c r="AJ42" s="651" t="n">
        <f aca="false">+IFERROR(AK42/$I42,"-")</f>
        <v>0</v>
      </c>
      <c r="AK42" s="653" t="n">
        <f aca="false">+'PAYMENT RATIO_RAW'!$AB66*I42</f>
        <v>0</v>
      </c>
      <c r="AL42" s="649"/>
      <c r="AM42" s="649" t="n">
        <f aca="false">+AK42-AL42</f>
        <v>0</v>
      </c>
      <c r="AN42" s="652"/>
      <c r="AO42" s="650"/>
      <c r="AP42" s="650"/>
      <c r="AQ42" s="651"/>
      <c r="AR42" s="653" t="n">
        <f aca="false">+$I42*'PAYMENT RATIO_RAW'!AI$6</f>
        <v>0</v>
      </c>
      <c r="AS42" s="649"/>
      <c r="AT42" s="649" t="n">
        <f aca="false">+AR42-AS42</f>
        <v>0</v>
      </c>
      <c r="AU42" s="652"/>
      <c r="AV42" s="650"/>
      <c r="AW42" s="650"/>
      <c r="AX42" s="651"/>
      <c r="AY42" s="653" t="n">
        <f aca="false">+$I42*'PAYMENT RATIO_RAW'!AP$6</f>
        <v>0</v>
      </c>
      <c r="AZ42" s="649"/>
      <c r="BA42" s="649" t="n">
        <f aca="false">+AY42-AZ42</f>
        <v>0</v>
      </c>
      <c r="BB42" s="652"/>
      <c r="BC42" s="650"/>
      <c r="BD42" s="650"/>
      <c r="BE42" s="651" t="n">
        <f aca="false">+IFERROR(BF42/$I42,"-")</f>
        <v>0</v>
      </c>
      <c r="BF42" s="653" t="n">
        <f aca="false">+$I42*'PAYMENT RATIO_RAW'!AW$6</f>
        <v>0</v>
      </c>
      <c r="BG42" s="649"/>
      <c r="BH42" s="653" t="n">
        <f aca="false">+BF42-BG42</f>
        <v>0</v>
      </c>
      <c r="BI42" s="652"/>
      <c r="BJ42" s="650" t="n">
        <f aca="false">+BJ41</f>
        <v>46233</v>
      </c>
      <c r="BK42" s="650"/>
      <c r="BL42" s="651" t="n">
        <f aca="false">+IFERROR(BM42/$I42,"-")</f>
        <v>0.3</v>
      </c>
      <c r="BM42" s="649" t="n">
        <f aca="false">+$I42*'PAYMENT RATIO_RAW'!BD$6</f>
        <v>164874600</v>
      </c>
      <c r="BN42" s="649"/>
      <c r="BO42" s="649" t="n">
        <f aca="false">+BM42-BN42</f>
        <v>164874600</v>
      </c>
      <c r="BP42" s="652"/>
      <c r="BQ42" s="644"/>
      <c r="BR42" s="645" t="n">
        <f aca="false">+P42+W42+AD42+AR42+AY42+BF42+BM42=I42</f>
        <v>1</v>
      </c>
      <c r="BS42" s="645" t="n">
        <f aca="false">+Q42+X42+AE42+AS42+AZ42+BG42+BN42=K42</f>
        <v>1</v>
      </c>
      <c r="BT42" s="645" t="n">
        <f aca="false">+BF42+BF44+AY42+AY44+AR42+AR44+AD42+AD44+W42+W44+P42+P44+BM42+BM44=('PAYMENT RATIO_RAW'!$F$6+'PAYMENT RATIO_RAW'!$F$8)*D41/1000</f>
        <v>1</v>
      </c>
      <c r="BU42" s="621"/>
      <c r="BV42" s="621"/>
      <c r="BW42" s="621"/>
      <c r="BX42" s="621"/>
      <c r="BY42" s="621"/>
      <c r="BZ42" s="621"/>
      <c r="CA42" s="621"/>
      <c r="CB42" s="621"/>
      <c r="CC42" s="625"/>
      <c r="CD42" s="625"/>
    </row>
    <row r="43" customFormat="false" ht="12.75" hidden="true" customHeight="false" outlineLevel="0" collapsed="false">
      <c r="A43" s="628"/>
      <c r="B43" s="629"/>
      <c r="C43" s="631"/>
      <c r="D43" s="684"/>
      <c r="E43" s="631"/>
      <c r="F43" s="656" t="s">
        <v>404</v>
      </c>
      <c r="G43" s="657" t="n">
        <f aca="false">+'PAYMENT RATIO_RAW'!F$7*'GM Batch1'!$D$41/1000</f>
        <v>0</v>
      </c>
      <c r="H43" s="657"/>
      <c r="I43" s="657" t="n">
        <f aca="false">SUM(G43:H43)</f>
        <v>0</v>
      </c>
      <c r="J43" s="656" t="str">
        <f aca="false">+IFERROR(K43/I43,"-")</f>
        <v>-</v>
      </c>
      <c r="K43" s="639" t="n">
        <f aca="false">+IFERROR(Q43+X43+AE43+AS43+AZ43+BG43+BN43,"-")</f>
        <v>0</v>
      </c>
      <c r="L43" s="639" t="n">
        <f aca="false">+I43-K43</f>
        <v>0</v>
      </c>
      <c r="M43" s="658"/>
      <c r="N43" s="658"/>
      <c r="O43" s="659" t="str">
        <f aca="false">+IFERROR(P43/$I43,"-")</f>
        <v>-</v>
      </c>
      <c r="P43" s="639" t="n">
        <f aca="false">+$I43*'PAYMENT RATIO_RAW'!G$7</f>
        <v>0</v>
      </c>
      <c r="Q43" s="639"/>
      <c r="R43" s="639" t="n">
        <f aca="false">+P43-Q43</f>
        <v>0</v>
      </c>
      <c r="S43" s="660"/>
      <c r="T43" s="658"/>
      <c r="U43" s="658"/>
      <c r="V43" s="659" t="str">
        <f aca="false">+IFERROR(W43/$I43,"-")</f>
        <v>-</v>
      </c>
      <c r="W43" s="640" t="n">
        <f aca="false">+$I43*'PAYMENT RATIO_RAW'!N$7</f>
        <v>0</v>
      </c>
      <c r="X43" s="639"/>
      <c r="Y43" s="639" t="n">
        <f aca="false">+W43-X43</f>
        <v>0</v>
      </c>
      <c r="Z43" s="660"/>
      <c r="AA43" s="658"/>
      <c r="AB43" s="658"/>
      <c r="AC43" s="659" t="str">
        <f aca="false">+IFERROR(AD43/$I43,"-")</f>
        <v>-</v>
      </c>
      <c r="AD43" s="640" t="n">
        <f aca="false">+$I43*'PAYMENT RATIO_RAW'!U$7</f>
        <v>0</v>
      </c>
      <c r="AE43" s="639"/>
      <c r="AF43" s="639" t="n">
        <f aca="false">+AD43-AE43</f>
        <v>0</v>
      </c>
      <c r="AG43" s="660"/>
      <c r="AH43" s="658"/>
      <c r="AI43" s="658"/>
      <c r="AJ43" s="659" t="str">
        <f aca="false">+IFERROR(AK43/$I43,"-")</f>
        <v>-</v>
      </c>
      <c r="AK43" s="640" t="n">
        <f aca="false">+'PAYMENT RATIO_RAW'!$AB67*I43</f>
        <v>0</v>
      </c>
      <c r="AL43" s="639"/>
      <c r="AM43" s="639" t="n">
        <f aca="false">+AK43-AL43</f>
        <v>0</v>
      </c>
      <c r="AN43" s="660"/>
      <c r="AO43" s="658"/>
      <c r="AP43" s="658"/>
      <c r="AQ43" s="659"/>
      <c r="AR43" s="640" t="n">
        <f aca="false">+$I43*'PAYMENT RATIO_RAW'!AI$7</f>
        <v>0</v>
      </c>
      <c r="AS43" s="639"/>
      <c r="AT43" s="639" t="n">
        <f aca="false">+AR43-AS43</f>
        <v>0</v>
      </c>
      <c r="AU43" s="660"/>
      <c r="AV43" s="658"/>
      <c r="AW43" s="658"/>
      <c r="AX43" s="659"/>
      <c r="AY43" s="640" t="n">
        <f aca="false">+$I43*'PAYMENT RATIO_RAW'!AP$7</f>
        <v>0</v>
      </c>
      <c r="AZ43" s="639"/>
      <c r="BA43" s="639" t="n">
        <f aca="false">+AY43-AZ43</f>
        <v>0</v>
      </c>
      <c r="BB43" s="660"/>
      <c r="BC43" s="658"/>
      <c r="BD43" s="658"/>
      <c r="BE43" s="659" t="str">
        <f aca="false">+IFERROR(BF43/$I43,"-")</f>
        <v>-</v>
      </c>
      <c r="BF43" s="640" t="n">
        <f aca="false">+$I43*'PAYMENT RATIO_RAW'!AW$7</f>
        <v>0</v>
      </c>
      <c r="BG43" s="639"/>
      <c r="BH43" s="640" t="n">
        <f aca="false">+BF43-BG43</f>
        <v>0</v>
      </c>
      <c r="BI43" s="660"/>
      <c r="BJ43" s="658"/>
      <c r="BK43" s="658"/>
      <c r="BL43" s="659" t="str">
        <f aca="false">+IFERROR(BM43/$I43,"-")</f>
        <v>-</v>
      </c>
      <c r="BM43" s="639" t="n">
        <f aca="false">+$I43*'PAYMENT RATIO_RAW'!BD$7</f>
        <v>0</v>
      </c>
      <c r="BN43" s="639"/>
      <c r="BO43" s="639" t="n">
        <f aca="false">+BM43-BN43</f>
        <v>0</v>
      </c>
      <c r="BP43" s="660"/>
      <c r="BQ43" s="644"/>
      <c r="BR43" s="645" t="n">
        <f aca="false">+P43+W43+AD43+AR43+AY43+BF43+BM43=I43</f>
        <v>1</v>
      </c>
      <c r="BS43" s="645" t="n">
        <f aca="false">+Q43+X43+AE43+AS43+AZ43+BG43+BN43=K43</f>
        <v>1</v>
      </c>
      <c r="BT43" s="645"/>
      <c r="BU43" s="621"/>
      <c r="BV43" s="621"/>
      <c r="BW43" s="621"/>
      <c r="BX43" s="621"/>
      <c r="BY43" s="621"/>
      <c r="BZ43" s="621"/>
      <c r="CA43" s="621"/>
      <c r="CB43" s="621"/>
      <c r="CC43" s="625"/>
      <c r="CD43" s="625"/>
    </row>
    <row r="44" customFormat="false" ht="12.75" hidden="true" customHeight="false" outlineLevel="0" collapsed="false">
      <c r="A44" s="628"/>
      <c r="B44" s="629"/>
      <c r="C44" s="631"/>
      <c r="D44" s="684"/>
      <c r="E44" s="631"/>
      <c r="F44" s="656" t="s">
        <v>507</v>
      </c>
      <c r="G44" s="657" t="n">
        <f aca="false">+'PAYMENT RATIO_RAW'!F$8*'GM Batch1'!$D$41/1000</f>
        <v>0</v>
      </c>
      <c r="H44" s="657" t="n">
        <f aca="false">+G44*10%</f>
        <v>0</v>
      </c>
      <c r="I44" s="657" t="n">
        <f aca="false">SUM(G44:H44)</f>
        <v>0</v>
      </c>
      <c r="J44" s="656" t="str">
        <f aca="false">+IFERROR(K44/I44,"-")</f>
        <v>-</v>
      </c>
      <c r="K44" s="639" t="n">
        <f aca="false">+IFERROR(Q44+X44+AE44+AS44+AZ44+BG44+BN44,"-")</f>
        <v>0</v>
      </c>
      <c r="L44" s="639" t="n">
        <f aca="false">+I44-K44</f>
        <v>0</v>
      </c>
      <c r="M44" s="658"/>
      <c r="N44" s="642"/>
      <c r="O44" s="659" t="str">
        <f aca="false">+IFERROR(P44/$I44,"-")</f>
        <v>-</v>
      </c>
      <c r="P44" s="639" t="n">
        <f aca="false">+$I44*'PAYMENT RATIO_RAW'!G$8</f>
        <v>0</v>
      </c>
      <c r="Q44" s="639"/>
      <c r="R44" s="639" t="n">
        <f aca="false">+P44-Q44</f>
        <v>0</v>
      </c>
      <c r="S44" s="660"/>
      <c r="T44" s="658"/>
      <c r="U44" s="642"/>
      <c r="V44" s="659" t="str">
        <f aca="false">+IFERROR(W44/$I44,"-")</f>
        <v>-</v>
      </c>
      <c r="W44" s="640" t="n">
        <f aca="false">+$I44*'PAYMENT RATIO_RAW'!N$8</f>
        <v>0</v>
      </c>
      <c r="X44" s="639"/>
      <c r="Y44" s="639" t="n">
        <f aca="false">+W44-X44</f>
        <v>0</v>
      </c>
      <c r="Z44" s="660"/>
      <c r="AA44" s="658"/>
      <c r="AB44" s="642"/>
      <c r="AC44" s="659" t="str">
        <f aca="false">+IFERROR(AD44/$I44,"-")</f>
        <v>-</v>
      </c>
      <c r="AD44" s="640" t="n">
        <f aca="false">+$I44*'PAYMENT RATIO_RAW'!U$8</f>
        <v>0</v>
      </c>
      <c r="AE44" s="639"/>
      <c r="AF44" s="639" t="n">
        <f aca="false">+AD44-AE44</f>
        <v>0</v>
      </c>
      <c r="AG44" s="660"/>
      <c r="AH44" s="642"/>
      <c r="AI44" s="642"/>
      <c r="AJ44" s="659" t="str">
        <f aca="false">+IFERROR(AK44/$I44,"-")</f>
        <v>-</v>
      </c>
      <c r="AK44" s="640" t="n">
        <f aca="false">+'PAYMENT RATIO_RAW'!$AB68*I44</f>
        <v>0</v>
      </c>
      <c r="AL44" s="639"/>
      <c r="AM44" s="639" t="n">
        <f aca="false">+AK44-AL44</f>
        <v>0</v>
      </c>
      <c r="AN44" s="660"/>
      <c r="AO44" s="642"/>
      <c r="AP44" s="642"/>
      <c r="AQ44" s="659"/>
      <c r="AR44" s="640" t="n">
        <f aca="false">+$I44*'PAYMENT RATIO_RAW'!AI$8</f>
        <v>0</v>
      </c>
      <c r="AS44" s="639"/>
      <c r="AT44" s="639" t="n">
        <f aca="false">+AR44-AS44</f>
        <v>0</v>
      </c>
      <c r="AU44" s="660"/>
      <c r="AV44" s="642"/>
      <c r="AW44" s="642"/>
      <c r="AX44" s="659"/>
      <c r="AY44" s="640" t="n">
        <f aca="false">+$I44*'PAYMENT RATIO_RAW'!AP$8</f>
        <v>0</v>
      </c>
      <c r="AZ44" s="639"/>
      <c r="BA44" s="639" t="n">
        <f aca="false">+AY44-AZ44</f>
        <v>0</v>
      </c>
      <c r="BB44" s="660"/>
      <c r="BC44" s="642"/>
      <c r="BD44" s="642"/>
      <c r="BE44" s="659" t="str">
        <f aca="false">+IFERROR(BF44/$I44,"-")</f>
        <v>-</v>
      </c>
      <c r="BF44" s="640" t="n">
        <f aca="false">+$I44*'PAYMENT RATIO_RAW'!AW$8</f>
        <v>0</v>
      </c>
      <c r="BG44" s="639"/>
      <c r="BH44" s="640" t="n">
        <f aca="false">+BF44-BG44</f>
        <v>0</v>
      </c>
      <c r="BI44" s="660"/>
      <c r="BJ44" s="642"/>
      <c r="BK44" s="642"/>
      <c r="BL44" s="659" t="str">
        <f aca="false">+IFERROR(BM44/$I44,"-")</f>
        <v>-</v>
      </c>
      <c r="BM44" s="639" t="n">
        <f aca="false">+$I44*'PAYMENT RATIO_RAW'!BD$8</f>
        <v>0</v>
      </c>
      <c r="BN44" s="639"/>
      <c r="BO44" s="639" t="n">
        <f aca="false">+BM44-BN44</f>
        <v>0</v>
      </c>
      <c r="BP44" s="660"/>
      <c r="BQ44" s="644"/>
      <c r="BR44" s="645" t="n">
        <f aca="false">+P44+W44+AD44+AR44+AY44+BF44+BM44=I44</f>
        <v>1</v>
      </c>
      <c r="BS44" s="645" t="n">
        <f aca="false">+Q44+X44+AE44+AS44+AZ44+BG44+BN44=K44</f>
        <v>1</v>
      </c>
      <c r="BT44" s="645"/>
      <c r="BU44" s="621"/>
      <c r="BV44" s="621"/>
      <c r="BW44" s="621"/>
      <c r="BX44" s="621"/>
      <c r="BY44" s="621"/>
      <c r="BZ44" s="621"/>
      <c r="CA44" s="621"/>
      <c r="CB44" s="621"/>
      <c r="CC44" s="625"/>
      <c r="CD44" s="625"/>
    </row>
    <row r="45" customFormat="false" ht="12.75" hidden="true" customHeight="false" outlineLevel="0" collapsed="false">
      <c r="A45" s="628"/>
      <c r="B45" s="629"/>
      <c r="C45" s="631"/>
      <c r="D45" s="684"/>
      <c r="E45" s="631"/>
      <c r="F45" s="679" t="s">
        <v>508</v>
      </c>
      <c r="G45" s="661" t="n">
        <f aca="false">+'PAYMENT RATIO_RAW'!F$9*'GM Batch1'!$D$41/1000</f>
        <v>0</v>
      </c>
      <c r="H45" s="680" t="n">
        <f aca="false">+G45*0.1</f>
        <v>0</v>
      </c>
      <c r="I45" s="680" t="n">
        <f aca="false">SUM(G45:H45)</f>
        <v>0</v>
      </c>
      <c r="J45" s="679" t="str">
        <f aca="false">+IFERROR(K45/I45,"-")</f>
        <v>-</v>
      </c>
      <c r="K45" s="681" t="n">
        <f aca="false">+IFERROR(Q45+X45+AE45+AS45+AZ45+BG45+BN45,"-")</f>
        <v>0</v>
      </c>
      <c r="L45" s="681" t="n">
        <f aca="false">+I45-K45</f>
        <v>0</v>
      </c>
      <c r="M45" s="664"/>
      <c r="N45" s="662"/>
      <c r="O45" s="665"/>
      <c r="P45" s="663" t="n">
        <f aca="false">+$I45*'PAYMENT RATIO_RAW'!G$9</f>
        <v>0</v>
      </c>
      <c r="Q45" s="663"/>
      <c r="R45" s="663" t="n">
        <f aca="false">+P45-Q45</f>
        <v>0</v>
      </c>
      <c r="S45" s="662"/>
      <c r="T45" s="664"/>
      <c r="U45" s="662"/>
      <c r="V45" s="665"/>
      <c r="W45" s="640" t="n">
        <f aca="false">+$I45*'PAYMENT RATIO_RAW'!N$9</f>
        <v>0</v>
      </c>
      <c r="X45" s="663"/>
      <c r="Y45" s="663" t="n">
        <f aca="false">+W45-X45</f>
        <v>0</v>
      </c>
      <c r="Z45" s="662"/>
      <c r="AA45" s="664"/>
      <c r="AB45" s="662"/>
      <c r="AC45" s="665"/>
      <c r="AD45" s="640" t="n">
        <f aca="false">+$I45*'PAYMENT RATIO_RAW'!U$9</f>
        <v>0</v>
      </c>
      <c r="AE45" s="663"/>
      <c r="AF45" s="663" t="n">
        <f aca="false">+AD45-AE45</f>
        <v>0</v>
      </c>
      <c r="AG45" s="662"/>
      <c r="AH45" s="664"/>
      <c r="AI45" s="662"/>
      <c r="AJ45" s="665"/>
      <c r="AK45" s="640" t="n">
        <f aca="false">+'PAYMENT RATIO_RAW'!$AB69*I45</f>
        <v>0</v>
      </c>
      <c r="AL45" s="663"/>
      <c r="AM45" s="663"/>
      <c r="AN45" s="662"/>
      <c r="AO45" s="664"/>
      <c r="AP45" s="662"/>
      <c r="AQ45" s="665"/>
      <c r="AR45" s="640" t="n">
        <f aca="false">+$I45*'PAYMENT RATIO_RAW'!AI$9</f>
        <v>0</v>
      </c>
      <c r="AS45" s="663"/>
      <c r="AT45" s="663"/>
      <c r="AU45" s="662"/>
      <c r="AV45" s="664"/>
      <c r="AW45" s="662"/>
      <c r="AX45" s="665"/>
      <c r="AY45" s="640" t="n">
        <f aca="false">+$I45*'PAYMENT RATIO_RAW'!AP$9</f>
        <v>0</v>
      </c>
      <c r="AZ45" s="663"/>
      <c r="BA45" s="663"/>
      <c r="BB45" s="662"/>
      <c r="BC45" s="664"/>
      <c r="BD45" s="662"/>
      <c r="BE45" s="665" t="str">
        <f aca="false">+IFERROR(BF45/$I45,"-")</f>
        <v>-</v>
      </c>
      <c r="BF45" s="640" t="n">
        <f aca="false">+$I45*'PAYMENT RATIO_RAW'!AW$9</f>
        <v>0</v>
      </c>
      <c r="BG45" s="663"/>
      <c r="BH45" s="640" t="n">
        <f aca="false">+BF45-BG45</f>
        <v>0</v>
      </c>
      <c r="BI45" s="662"/>
      <c r="BJ45" s="664"/>
      <c r="BK45" s="662"/>
      <c r="BL45" s="665" t="str">
        <f aca="false">+IFERROR(BM45/$I45,"-")</f>
        <v>-</v>
      </c>
      <c r="BM45" s="663" t="n">
        <f aca="false">+$I45*'PAYMENT RATIO_RAW'!BD$9</f>
        <v>0</v>
      </c>
      <c r="BN45" s="663"/>
      <c r="BO45" s="663" t="n">
        <f aca="false">+BM45-BN45</f>
        <v>0</v>
      </c>
      <c r="BP45" s="662"/>
      <c r="BQ45" s="666"/>
      <c r="BR45" s="667" t="n">
        <f aca="false">+P45+W45+AD45+AR45+AY45+BF45+BM45=I45</f>
        <v>1</v>
      </c>
      <c r="BS45" s="668" t="n">
        <f aca="false">+Q45+X45+AE45+AS45+AZ45+BG45+BN45=K45</f>
        <v>1</v>
      </c>
      <c r="BT45" s="668"/>
      <c r="BU45" s="621"/>
      <c r="BV45" s="621"/>
      <c r="BW45" s="621"/>
      <c r="BX45" s="621"/>
      <c r="BY45" s="621"/>
      <c r="BZ45" s="621"/>
      <c r="CA45" s="621"/>
      <c r="CB45" s="621"/>
      <c r="CC45" s="625"/>
      <c r="CD45" s="625"/>
    </row>
    <row r="46" customFormat="false" ht="12.75" hidden="false" customHeight="false" outlineLevel="0" collapsed="false">
      <c r="A46" s="628"/>
      <c r="B46" s="629"/>
      <c r="C46" s="631"/>
      <c r="D46" s="684"/>
      <c r="E46" s="631"/>
      <c r="F46" s="669" t="s">
        <v>109</v>
      </c>
      <c r="G46" s="670" t="n">
        <f aca="false">SUM(G41:G45)</f>
        <v>1626263100</v>
      </c>
      <c r="H46" s="670" t="n">
        <f aca="false">SUM(H41:H45)</f>
        <v>107668110</v>
      </c>
      <c r="I46" s="670" t="n">
        <f aca="false">SUM(I41:I45)</f>
        <v>1733931210</v>
      </c>
      <c r="J46" s="669" t="n">
        <f aca="false">+IFERROR(K46/I46,"-")</f>
        <v>0.19687926373965</v>
      </c>
      <c r="K46" s="670" t="n">
        <f aca="false">SUM(K41:K45)</f>
        <v>341375100</v>
      </c>
      <c r="L46" s="670" t="n">
        <f aca="false">SUM(L41:L45)</f>
        <v>1392556110</v>
      </c>
      <c r="M46" s="671"/>
      <c r="N46" s="669"/>
      <c r="O46" s="672" t="n">
        <f aca="false">+IFERROR(P46/$I46,"-")</f>
        <v>0.1743264659271</v>
      </c>
      <c r="P46" s="670" t="n">
        <f aca="false">SUM(P41:P45)</f>
        <v>302270100</v>
      </c>
      <c r="Q46" s="670" t="n">
        <f aca="false">SUM(Q41:Q45)</f>
        <v>302270100</v>
      </c>
      <c r="R46" s="673" t="n">
        <f aca="false">+P46-Q46</f>
        <v>0</v>
      </c>
      <c r="S46" s="669"/>
      <c r="T46" s="671"/>
      <c r="U46" s="669"/>
      <c r="V46" s="672" t="n">
        <f aca="false">+IFERROR(W46/$I46,"-")</f>
        <v>0.0225527978125499</v>
      </c>
      <c r="W46" s="670" t="n">
        <f aca="false">SUM(W41:W45)</f>
        <v>39105000</v>
      </c>
      <c r="X46" s="670" t="n">
        <f aca="false">SUM(X41:X45)</f>
        <v>39105000</v>
      </c>
      <c r="Y46" s="673" t="n">
        <f aca="false">+W46-X46</f>
        <v>0</v>
      </c>
      <c r="Z46" s="669"/>
      <c r="AA46" s="671"/>
      <c r="AB46" s="669"/>
      <c r="AC46" s="672" t="n">
        <f aca="false">+IFERROR(AD46/$I46,"-")</f>
        <v>0.158112812330081</v>
      </c>
      <c r="AD46" s="670" t="n">
        <f aca="false">SUM(AD41:AD45)</f>
        <v>274156740</v>
      </c>
      <c r="AE46" s="670" t="n">
        <f aca="false">SUM(AE41:AE45)</f>
        <v>0</v>
      </c>
      <c r="AF46" s="673" t="n">
        <f aca="false">+AD46-AE46</f>
        <v>274156740</v>
      </c>
      <c r="AG46" s="669"/>
      <c r="AH46" s="671"/>
      <c r="AI46" s="669"/>
      <c r="AJ46" s="672" t="n">
        <f aca="false">+IFERROR(AK46/$I46,"-")</f>
        <v>0</v>
      </c>
      <c r="AK46" s="670" t="n">
        <f aca="false">SUM(AK41:AK45)</f>
        <v>0</v>
      </c>
      <c r="AL46" s="670" t="n">
        <f aca="false">SUM(AL41:AL45)</f>
        <v>0</v>
      </c>
      <c r="AM46" s="673" t="n">
        <f aca="false">+AK46-AL46</f>
        <v>0</v>
      </c>
      <c r="AN46" s="669"/>
      <c r="AO46" s="671"/>
      <c r="AP46" s="669"/>
      <c r="AQ46" s="672" t="n">
        <f aca="false">+IFERROR(AR46/$I46,"-")</f>
        <v>0.350237717908082</v>
      </c>
      <c r="AR46" s="670" t="n">
        <f aca="false">SUM(AR41:AR45)</f>
        <v>607288110</v>
      </c>
      <c r="AS46" s="670" t="n">
        <f aca="false">SUM(AS41:AS45)</f>
        <v>0</v>
      </c>
      <c r="AT46" s="673" t="n">
        <f aca="false">+AR46-AS46</f>
        <v>607288110</v>
      </c>
      <c r="AU46" s="669"/>
      <c r="AV46" s="671"/>
      <c r="AW46" s="669"/>
      <c r="AX46" s="672" t="n">
        <f aca="false">+IFERROR(AY46/$I46,"-")</f>
        <v>0</v>
      </c>
      <c r="AY46" s="670" t="n">
        <f aca="false">SUM(AY41:AY45)</f>
        <v>0</v>
      </c>
      <c r="AZ46" s="670" t="n">
        <f aca="false">SUM(AZ41:AZ45)</f>
        <v>0</v>
      </c>
      <c r="BA46" s="673" t="n">
        <f aca="false">+AY46-AZ46</f>
        <v>0</v>
      </c>
      <c r="BB46" s="669"/>
      <c r="BC46" s="671"/>
      <c r="BD46" s="669"/>
      <c r="BE46" s="672" t="n">
        <f aca="false">+IFERROR(BF46/$I46,"-")</f>
        <v>0.166402535657686</v>
      </c>
      <c r="BF46" s="670" t="n">
        <f aca="false">SUM(BF41:BF45)</f>
        <v>288530550</v>
      </c>
      <c r="BG46" s="670" t="n">
        <f aca="false">SUM(BG41:BG45)</f>
        <v>0</v>
      </c>
      <c r="BH46" s="673" t="n">
        <f aca="false">+BF46-BG46</f>
        <v>288530550</v>
      </c>
      <c r="BI46" s="669"/>
      <c r="BJ46" s="671"/>
      <c r="BK46" s="669"/>
      <c r="BL46" s="672" t="n">
        <f aca="false">+IFERROR(BM46/$I46,"-")</f>
        <v>0.128367670364501</v>
      </c>
      <c r="BM46" s="670" t="n">
        <f aca="false">SUM(BM41:BM45)</f>
        <v>222580710</v>
      </c>
      <c r="BN46" s="670" t="n">
        <f aca="false">SUM(BN41:BN45)</f>
        <v>0</v>
      </c>
      <c r="BO46" s="673" t="n">
        <f aca="false">+BM46-BN46</f>
        <v>222580710</v>
      </c>
      <c r="BP46" s="669"/>
      <c r="BQ46" s="666"/>
      <c r="BR46" s="674"/>
      <c r="BS46" s="675"/>
      <c r="BT46" s="675"/>
      <c r="BU46" s="621"/>
      <c r="BV46" s="621"/>
      <c r="BW46" s="621"/>
      <c r="BX46" s="621"/>
      <c r="BY46" s="621"/>
      <c r="BZ46" s="621"/>
      <c r="CA46" s="621"/>
      <c r="CB46" s="621"/>
      <c r="CC46" s="625"/>
      <c r="CD46" s="625"/>
    </row>
    <row r="47" customFormat="false" ht="12.75" hidden="false" customHeight="false" outlineLevel="0" collapsed="false">
      <c r="A47" s="628"/>
      <c r="B47" s="629" t="n">
        <v>7</v>
      </c>
      <c r="C47" s="631" t="s">
        <v>176</v>
      </c>
      <c r="D47" s="684" t="n">
        <v>999.44</v>
      </c>
      <c r="E47" s="631" t="s">
        <v>505</v>
      </c>
      <c r="F47" s="632" t="s">
        <v>112</v>
      </c>
      <c r="G47" s="633" t="n">
        <f aca="false">+'PAYMENT RATIO_RAW'!F$5*$D$47/1000+27500000*D$47/1000</f>
        <v>1076896600</v>
      </c>
      <c r="H47" s="633" t="n">
        <f aca="false">+G47*10%</f>
        <v>107689660</v>
      </c>
      <c r="I47" s="633" t="n">
        <f aca="false">SUM(G47:H47)</f>
        <v>1184586260</v>
      </c>
      <c r="J47" s="634" t="n">
        <f aca="false">+IFERROR(K47/I47,"-")</f>
        <v>0</v>
      </c>
      <c r="K47" s="640" t="n">
        <f aca="false">+IFERROR(Q47+X47+AE47+AS47+AZ47+BG47+BN47,"-")</f>
        <v>0</v>
      </c>
      <c r="L47" s="640" t="n">
        <f aca="false">+I47-K47</f>
        <v>1184586260</v>
      </c>
      <c r="M47" s="636"/>
      <c r="N47" s="637"/>
      <c r="O47" s="638"/>
      <c r="P47" s="639" t="n">
        <f aca="false">+$I47*'PAYMENT RATIO_RAW'!G$5</f>
        <v>0</v>
      </c>
      <c r="Q47" s="640"/>
      <c r="R47" s="640" t="n">
        <f aca="false">+P47-Q47</f>
        <v>0</v>
      </c>
      <c r="S47" s="641"/>
      <c r="T47" s="636"/>
      <c r="U47" s="637"/>
      <c r="V47" s="638"/>
      <c r="W47" s="640" t="n">
        <f aca="false">+$I47*'PAYMENT RATIO_RAW'!N$5</f>
        <v>0</v>
      </c>
      <c r="X47" s="640"/>
      <c r="Y47" s="640" t="n">
        <f aca="false">+W47-X47</f>
        <v>0</v>
      </c>
      <c r="Z47" s="641"/>
      <c r="AA47" s="636" t="n">
        <f aca="false">+EDATE(AH47,-2)</f>
        <v>46052</v>
      </c>
      <c r="AB47" s="642"/>
      <c r="AC47" s="638" t="n">
        <f aca="false">+IFERROR(AD47/$I47,"-")</f>
        <v>0.194895591647332</v>
      </c>
      <c r="AD47" s="640" t="n">
        <f aca="false">+'PAYMENT RATIO_RAW'!$U$60*$D47*1050000000/1000*1.1</f>
        <v>230870640</v>
      </c>
      <c r="AE47" s="640"/>
      <c r="AF47" s="640" t="n">
        <f aca="false">+AD47-AE47</f>
        <v>230870640</v>
      </c>
      <c r="AG47" s="641"/>
      <c r="AH47" s="636" t="n">
        <f aca="false">+EDATE(AO47,-1)</f>
        <v>46111</v>
      </c>
      <c r="AI47" s="642"/>
      <c r="AJ47" s="638" t="n">
        <f aca="false">+IFERROR(AK47/$I47,"-")</f>
        <v>0</v>
      </c>
      <c r="AK47" s="640" t="n">
        <f aca="false">+'PAYMENT RATIO_RAW'!$AB70*I47</f>
        <v>0</v>
      </c>
      <c r="AL47" s="640"/>
      <c r="AM47" s="640" t="n">
        <f aca="false">+AK47-AL47</f>
        <v>0</v>
      </c>
      <c r="AN47" s="641"/>
      <c r="AO47" s="636" t="n">
        <f aca="false">+EDATE(AV47,-1)</f>
        <v>46142</v>
      </c>
      <c r="AP47" s="637"/>
      <c r="AQ47" s="638" t="n">
        <f aca="false">+IFERROR(AR47/$I47,"-")</f>
        <v>0.512761020881671</v>
      </c>
      <c r="AR47" s="640" t="n">
        <f aca="false">+'PAYMENT RATIO_RAW'!AI$60*$D47*1050000000/1000*1.1+27500000*$D47/1000*1.1</f>
        <v>607409660</v>
      </c>
      <c r="AS47" s="640"/>
      <c r="AT47" s="640" t="n">
        <f aca="false">+AR47-AS47</f>
        <v>607409660</v>
      </c>
      <c r="AU47" s="641"/>
      <c r="AV47" s="636" t="n">
        <f aca="false">+EDATE(BC47,-1)</f>
        <v>46172</v>
      </c>
      <c r="AW47" s="636"/>
      <c r="AX47" s="638" t="n">
        <f aca="false">+IFERROR(AY47/$I47,"-")</f>
        <v>0</v>
      </c>
      <c r="AY47" s="640" t="n">
        <f aca="false">+'PAYMENT RATIO_RAW'!AP70*$I47</f>
        <v>0</v>
      </c>
      <c r="AZ47" s="640"/>
      <c r="BA47" s="640" t="n">
        <f aca="false">+AY47-AZ47</f>
        <v>0</v>
      </c>
      <c r="BB47" s="641"/>
      <c r="BC47" s="636" t="n">
        <f aca="false">+EDATE(BJ47,-1)</f>
        <v>46203</v>
      </c>
      <c r="BD47" s="636"/>
      <c r="BE47" s="638" t="n">
        <f aca="false">+IFERROR(BF47/$I47,"-")</f>
        <v>0.243619489559165</v>
      </c>
      <c r="BF47" s="640" t="n">
        <f aca="false">+'PAYMENT RATIO_RAW'!AW$60*$D47*1050000000/1000*1.1</f>
        <v>288588300</v>
      </c>
      <c r="BG47" s="640"/>
      <c r="BH47" s="640" t="n">
        <f aca="false">+BF47-BG47</f>
        <v>288588300</v>
      </c>
      <c r="BI47" s="641"/>
      <c r="BJ47" s="637" t="n">
        <v>46233</v>
      </c>
      <c r="BK47" s="636"/>
      <c r="BL47" s="638" t="n">
        <f aca="false">+IFERROR(BM47/$I47,"-")</f>
        <v>0.048723897911833</v>
      </c>
      <c r="BM47" s="640" t="n">
        <f aca="false">+'PAYMENT RATIO_RAW'!BD$60*$D47*1050000000/1000*1.1</f>
        <v>57717660</v>
      </c>
      <c r="BN47" s="640"/>
      <c r="BO47" s="640" t="n">
        <f aca="false">+BM47-BN47</f>
        <v>57717660</v>
      </c>
      <c r="BP47" s="641"/>
      <c r="BQ47" s="644"/>
      <c r="BR47" s="645" t="n">
        <f aca="false">+P47+W47+AD47+AK47+AR47+AY47+BF47+BM47=I47</f>
        <v>1</v>
      </c>
      <c r="BS47" s="645" t="n">
        <f aca="false">+Q47+X47+AE47+AS47+AZ47+BG47+BN47=K47</f>
        <v>1</v>
      </c>
      <c r="BT47" s="645"/>
      <c r="BU47" s="621"/>
      <c r="BV47" s="621"/>
      <c r="BW47" s="621"/>
      <c r="BX47" s="621"/>
      <c r="BY47" s="621"/>
      <c r="BZ47" s="621"/>
      <c r="CA47" s="621"/>
      <c r="CB47" s="621"/>
      <c r="CC47" s="625"/>
      <c r="CD47" s="625"/>
    </row>
    <row r="48" customFormat="false" ht="12.75" hidden="false" customHeight="false" outlineLevel="0" collapsed="false">
      <c r="A48" s="628"/>
      <c r="B48" s="629"/>
      <c r="C48" s="631"/>
      <c r="D48" s="684"/>
      <c r="E48" s="631"/>
      <c r="F48" s="647" t="s">
        <v>114</v>
      </c>
      <c r="G48" s="648" t="n">
        <f aca="false">+'PAYMENT RATIO_RAW'!F$6*'GM Batch1'!$D$47/1000</f>
        <v>549692000</v>
      </c>
      <c r="H48" s="648"/>
      <c r="I48" s="648" t="n">
        <f aca="false">SUM(G48:H48)</f>
        <v>549692000</v>
      </c>
      <c r="J48" s="647" t="n">
        <f aca="false">+IFERROR(K48/I48,"-")</f>
        <v>0.621139838309453</v>
      </c>
      <c r="K48" s="649" t="n">
        <f aca="false">+IFERROR(Q48+X48+AE48+AS48+AZ48+BG48+BN48,"-")</f>
        <v>341435600</v>
      </c>
      <c r="L48" s="649" t="n">
        <f aca="false">+I48-K48</f>
        <v>208256400</v>
      </c>
      <c r="M48" s="650" t="n">
        <v>45450</v>
      </c>
      <c r="N48" s="650" t="n">
        <v>45450</v>
      </c>
      <c r="O48" s="651" t="n">
        <f aca="false">+IFERROR(P48/$I48,"-")</f>
        <v>0.55</v>
      </c>
      <c r="P48" s="649" t="n">
        <f aca="false">+$I48*'PAYMENT RATIO_RAW'!G$6</f>
        <v>302330600</v>
      </c>
      <c r="Q48" s="649" t="n">
        <v>302330600</v>
      </c>
      <c r="R48" s="649" t="n">
        <f aca="false">+P48-Q48</f>
        <v>0</v>
      </c>
      <c r="S48" s="652"/>
      <c r="T48" s="650" t="n">
        <v>45456</v>
      </c>
      <c r="U48" s="650" t="n">
        <v>45456</v>
      </c>
      <c r="V48" s="651" t="n">
        <f aca="false">+IFERROR(W48/$I48,"-")</f>
        <v>0.0711398383094533</v>
      </c>
      <c r="W48" s="653" t="n">
        <f aca="false">+$I48*'PAYMENT RATIO_RAW'!N$6-43348800</f>
        <v>39105000</v>
      </c>
      <c r="X48" s="649" t="n">
        <v>39105000</v>
      </c>
      <c r="Y48" s="649" t="n">
        <f aca="false">+W48-X48</f>
        <v>0</v>
      </c>
      <c r="Z48" s="654"/>
      <c r="AA48" s="650" t="n">
        <v>46022</v>
      </c>
      <c r="AB48" s="650"/>
      <c r="AC48" s="651" t="n">
        <f aca="false">+IFERROR(AD48/$I48,"-")</f>
        <v>0.0788601616905467</v>
      </c>
      <c r="AD48" s="653" t="n">
        <f aca="false">+$I48*'PAYMENT RATIO_RAW'!U$6+43348800</f>
        <v>43348800</v>
      </c>
      <c r="AE48" s="649"/>
      <c r="AF48" s="649" t="n">
        <f aca="false">+AD48-AE48</f>
        <v>43348800</v>
      </c>
      <c r="AG48" s="652"/>
      <c r="AH48" s="650"/>
      <c r="AI48" s="650"/>
      <c r="AJ48" s="651" t="n">
        <f aca="false">+IFERROR(AK48/$I48,"-")</f>
        <v>0</v>
      </c>
      <c r="AK48" s="653" t="n">
        <f aca="false">+'PAYMENT RATIO_RAW'!$AB71*I48</f>
        <v>0</v>
      </c>
      <c r="AL48" s="649"/>
      <c r="AM48" s="649" t="n">
        <f aca="false">+AK48-AL48</f>
        <v>0</v>
      </c>
      <c r="AN48" s="652"/>
      <c r="AO48" s="650"/>
      <c r="AP48" s="650"/>
      <c r="AQ48" s="651"/>
      <c r="AR48" s="653" t="n">
        <f aca="false">+$I48*'PAYMENT RATIO_RAW'!AI$6</f>
        <v>0</v>
      </c>
      <c r="AS48" s="649"/>
      <c r="AT48" s="649" t="n">
        <f aca="false">+AR48-AS48</f>
        <v>0</v>
      </c>
      <c r="AU48" s="652"/>
      <c r="AV48" s="650"/>
      <c r="AW48" s="650"/>
      <c r="AX48" s="651"/>
      <c r="AY48" s="653" t="n">
        <f aca="false">+$I48*'PAYMENT RATIO_RAW'!AP$6</f>
        <v>0</v>
      </c>
      <c r="AZ48" s="649"/>
      <c r="BA48" s="649" t="n">
        <f aca="false">+AY48-AZ48</f>
        <v>0</v>
      </c>
      <c r="BB48" s="652"/>
      <c r="BC48" s="650"/>
      <c r="BD48" s="650"/>
      <c r="BE48" s="651" t="n">
        <f aca="false">+IFERROR(BF48/$I48,"-")</f>
        <v>0</v>
      </c>
      <c r="BF48" s="653" t="n">
        <f aca="false">+$I48*'PAYMENT RATIO_RAW'!AW$6</f>
        <v>0</v>
      </c>
      <c r="BG48" s="649"/>
      <c r="BH48" s="653" t="n">
        <f aca="false">+BF48-BG48</f>
        <v>0</v>
      </c>
      <c r="BI48" s="652"/>
      <c r="BJ48" s="650" t="n">
        <f aca="false">+BJ47</f>
        <v>46233</v>
      </c>
      <c r="BK48" s="650"/>
      <c r="BL48" s="651" t="n">
        <f aca="false">+IFERROR(BM48/$I48,"-")</f>
        <v>0.3</v>
      </c>
      <c r="BM48" s="649" t="n">
        <f aca="false">+$I48*'PAYMENT RATIO_RAW'!BD$6</f>
        <v>164907600</v>
      </c>
      <c r="BN48" s="649"/>
      <c r="BO48" s="649" t="n">
        <f aca="false">+BM48-BN48</f>
        <v>164907600</v>
      </c>
      <c r="BP48" s="652"/>
      <c r="BQ48" s="644"/>
      <c r="BR48" s="645" t="n">
        <f aca="false">+P48+W48+AD48+AR48+AY48+BF48+BM48=I48</f>
        <v>1</v>
      </c>
      <c r="BS48" s="645" t="n">
        <f aca="false">+Q48+X48+AE48+AS48+AZ48+BG48+BN48=K48</f>
        <v>1</v>
      </c>
      <c r="BT48" s="645" t="n">
        <f aca="false">+BF48+BF50+AY48+AY50+AR48+AR50+AD48+AD50+W48+W50+P48+P50+BM48+BM50=('PAYMENT RATIO_RAW'!$F$6+'PAYMENT RATIO_RAW'!$F$8)*D47/1000</f>
        <v>1</v>
      </c>
      <c r="BU48" s="621"/>
      <c r="BV48" s="621"/>
      <c r="BW48" s="621"/>
      <c r="BX48" s="621"/>
      <c r="BY48" s="621"/>
      <c r="BZ48" s="621"/>
      <c r="CA48" s="621"/>
      <c r="CB48" s="621"/>
      <c r="CC48" s="625"/>
      <c r="CD48" s="625"/>
    </row>
    <row r="49" customFormat="false" ht="12.75" hidden="true" customHeight="false" outlineLevel="0" collapsed="false">
      <c r="A49" s="628"/>
      <c r="B49" s="629"/>
      <c r="C49" s="631"/>
      <c r="D49" s="684"/>
      <c r="E49" s="631"/>
      <c r="F49" s="656" t="s">
        <v>404</v>
      </c>
      <c r="G49" s="657" t="n">
        <f aca="false">+'PAYMENT RATIO_RAW'!F$7*'GM Batch1'!$D$47/1000</f>
        <v>0</v>
      </c>
      <c r="H49" s="657"/>
      <c r="I49" s="657" t="n">
        <f aca="false">SUM(G49:H49)</f>
        <v>0</v>
      </c>
      <c r="J49" s="656" t="str">
        <f aca="false">+IFERROR(K49/I49,"-")</f>
        <v>-</v>
      </c>
      <c r="K49" s="639" t="n">
        <f aca="false">+IFERROR(Q49+X49+AE49+AS49+AZ49+BG49+BN49,"-")</f>
        <v>0</v>
      </c>
      <c r="L49" s="639" t="n">
        <f aca="false">+I49-K49</f>
        <v>0</v>
      </c>
      <c r="M49" s="658"/>
      <c r="N49" s="658"/>
      <c r="O49" s="659" t="str">
        <f aca="false">+IFERROR(P49/$I49,"-")</f>
        <v>-</v>
      </c>
      <c r="P49" s="639" t="n">
        <f aca="false">+$I49*'PAYMENT RATIO_RAW'!G$7</f>
        <v>0</v>
      </c>
      <c r="Q49" s="639"/>
      <c r="R49" s="639" t="n">
        <f aca="false">+P49-Q49</f>
        <v>0</v>
      </c>
      <c r="S49" s="660"/>
      <c r="T49" s="658"/>
      <c r="U49" s="658"/>
      <c r="V49" s="659" t="str">
        <f aca="false">+IFERROR(W49/$I49,"-")</f>
        <v>-</v>
      </c>
      <c r="W49" s="640" t="n">
        <f aca="false">+$I49*'PAYMENT RATIO_RAW'!N$7</f>
        <v>0</v>
      </c>
      <c r="X49" s="639"/>
      <c r="Y49" s="639" t="n">
        <f aca="false">+W49-X49</f>
        <v>0</v>
      </c>
      <c r="Z49" s="660"/>
      <c r="AA49" s="658"/>
      <c r="AB49" s="658"/>
      <c r="AC49" s="659" t="str">
        <f aca="false">+IFERROR(AD49/$I49,"-")</f>
        <v>-</v>
      </c>
      <c r="AD49" s="640" t="n">
        <f aca="false">+$I49*'PAYMENT RATIO_RAW'!U$7</f>
        <v>0</v>
      </c>
      <c r="AE49" s="639"/>
      <c r="AF49" s="639" t="n">
        <f aca="false">+AD49-AE49</f>
        <v>0</v>
      </c>
      <c r="AG49" s="660"/>
      <c r="AH49" s="658"/>
      <c r="AI49" s="658"/>
      <c r="AJ49" s="659" t="str">
        <f aca="false">+IFERROR(AK49/$I49,"-")</f>
        <v>-</v>
      </c>
      <c r="AK49" s="640" t="n">
        <f aca="false">+'PAYMENT RATIO_RAW'!$AB72*I49</f>
        <v>0</v>
      </c>
      <c r="AL49" s="639"/>
      <c r="AM49" s="639" t="n">
        <f aca="false">+AK49-AL49</f>
        <v>0</v>
      </c>
      <c r="AN49" s="660"/>
      <c r="AO49" s="658"/>
      <c r="AP49" s="658"/>
      <c r="AQ49" s="659"/>
      <c r="AR49" s="640" t="n">
        <f aca="false">+$I49*'PAYMENT RATIO_RAW'!AI$7</f>
        <v>0</v>
      </c>
      <c r="AS49" s="639"/>
      <c r="AT49" s="639" t="n">
        <f aca="false">+AR49-AS49</f>
        <v>0</v>
      </c>
      <c r="AU49" s="660"/>
      <c r="AV49" s="658"/>
      <c r="AW49" s="658"/>
      <c r="AX49" s="659"/>
      <c r="AY49" s="640" t="n">
        <f aca="false">+$I49*'PAYMENT RATIO_RAW'!AP$7</f>
        <v>0</v>
      </c>
      <c r="AZ49" s="639"/>
      <c r="BA49" s="639" t="n">
        <f aca="false">+AY49-AZ49</f>
        <v>0</v>
      </c>
      <c r="BB49" s="660"/>
      <c r="BC49" s="658"/>
      <c r="BD49" s="658"/>
      <c r="BE49" s="659" t="str">
        <f aca="false">+IFERROR(BF49/$I49,"-")</f>
        <v>-</v>
      </c>
      <c r="BF49" s="640" t="n">
        <f aca="false">+$I49*'PAYMENT RATIO_RAW'!AW$7</f>
        <v>0</v>
      </c>
      <c r="BG49" s="639"/>
      <c r="BH49" s="640" t="n">
        <f aca="false">+BF49-BG49</f>
        <v>0</v>
      </c>
      <c r="BI49" s="660"/>
      <c r="BJ49" s="658"/>
      <c r="BK49" s="658"/>
      <c r="BL49" s="659" t="str">
        <f aca="false">+IFERROR(BM49/$I49,"-")</f>
        <v>-</v>
      </c>
      <c r="BM49" s="639" t="n">
        <f aca="false">+$I49*'PAYMENT RATIO_RAW'!BD$7</f>
        <v>0</v>
      </c>
      <c r="BN49" s="639"/>
      <c r="BO49" s="639" t="n">
        <f aca="false">+BM49-BN49</f>
        <v>0</v>
      </c>
      <c r="BP49" s="660"/>
      <c r="BQ49" s="644"/>
      <c r="BR49" s="645" t="n">
        <f aca="false">+P49+W49+AD49+AR49+AY49+BF49+BM49=I49</f>
        <v>1</v>
      </c>
      <c r="BS49" s="645" t="n">
        <f aca="false">+Q49+X49+AE49+AS49+AZ49+BG49+BN49=K49</f>
        <v>1</v>
      </c>
      <c r="BT49" s="645"/>
      <c r="BU49" s="621"/>
      <c r="BV49" s="621"/>
      <c r="BW49" s="621"/>
      <c r="BX49" s="621"/>
      <c r="BY49" s="621"/>
      <c r="BZ49" s="621"/>
      <c r="CA49" s="621"/>
      <c r="CB49" s="621"/>
      <c r="CC49" s="625"/>
      <c r="CD49" s="625"/>
    </row>
    <row r="50" customFormat="false" ht="12.75" hidden="true" customHeight="false" outlineLevel="0" collapsed="false">
      <c r="A50" s="628"/>
      <c r="B50" s="629"/>
      <c r="C50" s="631"/>
      <c r="D50" s="684"/>
      <c r="E50" s="631"/>
      <c r="F50" s="656" t="s">
        <v>507</v>
      </c>
      <c r="G50" s="657" t="n">
        <f aca="false">+'PAYMENT RATIO_RAW'!F$8*'GM Batch1'!$D$47/1000</f>
        <v>0</v>
      </c>
      <c r="H50" s="657" t="n">
        <f aca="false">+G50*10%</f>
        <v>0</v>
      </c>
      <c r="I50" s="657" t="n">
        <f aca="false">SUM(G50:H50)</f>
        <v>0</v>
      </c>
      <c r="J50" s="656" t="str">
        <f aca="false">+IFERROR(K50/I50,"-")</f>
        <v>-</v>
      </c>
      <c r="K50" s="639" t="n">
        <f aca="false">+IFERROR(Q50+X50+AE50+AS50+AZ50+BG50+BN50,"-")</f>
        <v>0</v>
      </c>
      <c r="L50" s="639" t="n">
        <f aca="false">+I50-K50</f>
        <v>0</v>
      </c>
      <c r="M50" s="658"/>
      <c r="N50" s="642"/>
      <c r="O50" s="659" t="str">
        <f aca="false">+IFERROR(P50/$I50,"-")</f>
        <v>-</v>
      </c>
      <c r="P50" s="639" t="n">
        <f aca="false">+$I50*'PAYMENT RATIO_RAW'!G$8</f>
        <v>0</v>
      </c>
      <c r="Q50" s="639"/>
      <c r="R50" s="639" t="n">
        <f aca="false">+P50-Q50</f>
        <v>0</v>
      </c>
      <c r="S50" s="660"/>
      <c r="T50" s="658"/>
      <c r="U50" s="642"/>
      <c r="V50" s="659" t="str">
        <f aca="false">+IFERROR(W50/$I50,"-")</f>
        <v>-</v>
      </c>
      <c r="W50" s="640" t="n">
        <f aca="false">+$I50*'PAYMENT RATIO_RAW'!N$8</f>
        <v>0</v>
      </c>
      <c r="X50" s="639"/>
      <c r="Y50" s="639" t="n">
        <f aca="false">+W50-X50</f>
        <v>0</v>
      </c>
      <c r="Z50" s="660"/>
      <c r="AA50" s="658"/>
      <c r="AB50" s="642"/>
      <c r="AC50" s="659" t="str">
        <f aca="false">+IFERROR(AD50/$I50,"-")</f>
        <v>-</v>
      </c>
      <c r="AD50" s="640" t="n">
        <f aca="false">+$I50*'PAYMENT RATIO_RAW'!U$8</f>
        <v>0</v>
      </c>
      <c r="AE50" s="639"/>
      <c r="AF50" s="639" t="n">
        <f aca="false">+AD50-AE50</f>
        <v>0</v>
      </c>
      <c r="AG50" s="660"/>
      <c r="AH50" s="642"/>
      <c r="AI50" s="642"/>
      <c r="AJ50" s="659" t="str">
        <f aca="false">+IFERROR(AK50/$I50,"-")</f>
        <v>-</v>
      </c>
      <c r="AK50" s="640" t="n">
        <f aca="false">+'PAYMENT RATIO_RAW'!$AB73*I50</f>
        <v>0</v>
      </c>
      <c r="AL50" s="639"/>
      <c r="AM50" s="639" t="n">
        <f aca="false">+AK50-AL50</f>
        <v>0</v>
      </c>
      <c r="AN50" s="660"/>
      <c r="AO50" s="642"/>
      <c r="AP50" s="642"/>
      <c r="AQ50" s="659"/>
      <c r="AR50" s="640" t="n">
        <f aca="false">+$I50*'PAYMENT RATIO_RAW'!AI$8</f>
        <v>0</v>
      </c>
      <c r="AS50" s="639"/>
      <c r="AT50" s="639" t="n">
        <f aca="false">+AR50-AS50</f>
        <v>0</v>
      </c>
      <c r="AU50" s="660"/>
      <c r="AV50" s="642"/>
      <c r="AW50" s="642"/>
      <c r="AX50" s="659"/>
      <c r="AY50" s="640" t="n">
        <f aca="false">+$I50*'PAYMENT RATIO_RAW'!AP$8</f>
        <v>0</v>
      </c>
      <c r="AZ50" s="639"/>
      <c r="BA50" s="639" t="n">
        <f aca="false">+AY50-AZ50</f>
        <v>0</v>
      </c>
      <c r="BB50" s="660"/>
      <c r="BC50" s="642"/>
      <c r="BD50" s="642"/>
      <c r="BE50" s="659" t="str">
        <f aca="false">+IFERROR(BF50/$I50,"-")</f>
        <v>-</v>
      </c>
      <c r="BF50" s="640" t="n">
        <f aca="false">+$I50*'PAYMENT RATIO_RAW'!AW$8</f>
        <v>0</v>
      </c>
      <c r="BG50" s="639"/>
      <c r="BH50" s="640" t="n">
        <f aca="false">+BF50-BG50</f>
        <v>0</v>
      </c>
      <c r="BI50" s="660"/>
      <c r="BJ50" s="642"/>
      <c r="BK50" s="642"/>
      <c r="BL50" s="659" t="str">
        <f aca="false">+IFERROR(BM50/$I50,"-")</f>
        <v>-</v>
      </c>
      <c r="BM50" s="639" t="n">
        <f aca="false">+$I50*'PAYMENT RATIO_RAW'!BD$8</f>
        <v>0</v>
      </c>
      <c r="BN50" s="639"/>
      <c r="BO50" s="639" t="n">
        <f aca="false">+BM50-BN50</f>
        <v>0</v>
      </c>
      <c r="BP50" s="660"/>
      <c r="BQ50" s="644"/>
      <c r="BR50" s="645" t="n">
        <f aca="false">+P50+W50+AD50+AR50+AY50+BF50+BM50=I50</f>
        <v>1</v>
      </c>
      <c r="BS50" s="645" t="n">
        <f aca="false">+Q50+X50+AE50+AS50+AZ50+BG50+BN50=K50</f>
        <v>1</v>
      </c>
      <c r="BT50" s="645"/>
      <c r="BU50" s="621"/>
      <c r="BV50" s="621"/>
      <c r="BW50" s="621"/>
      <c r="BX50" s="621"/>
      <c r="BY50" s="621"/>
      <c r="BZ50" s="621"/>
      <c r="CA50" s="621"/>
      <c r="CB50" s="621"/>
      <c r="CC50" s="625"/>
      <c r="CD50" s="625"/>
    </row>
    <row r="51" customFormat="false" ht="12.75" hidden="true" customHeight="false" outlineLevel="0" collapsed="false">
      <c r="A51" s="628"/>
      <c r="B51" s="629"/>
      <c r="C51" s="631"/>
      <c r="D51" s="684"/>
      <c r="E51" s="631"/>
      <c r="F51" s="679" t="s">
        <v>508</v>
      </c>
      <c r="G51" s="661" t="n">
        <f aca="false">+'PAYMENT RATIO_RAW'!F$9*'GM Batch1'!$D$47/1000</f>
        <v>0</v>
      </c>
      <c r="H51" s="680" t="n">
        <f aca="false">+G51*0.1</f>
        <v>0</v>
      </c>
      <c r="I51" s="680" t="n">
        <f aca="false">SUM(G51:H51)</f>
        <v>0</v>
      </c>
      <c r="J51" s="679" t="str">
        <f aca="false">+IFERROR(K51/I51,"-")</f>
        <v>-</v>
      </c>
      <c r="K51" s="681" t="n">
        <f aca="false">+IFERROR(Q51+X51+AE51+AS51+AZ51+BG51+BN51,"-")</f>
        <v>0</v>
      </c>
      <c r="L51" s="681" t="n">
        <f aca="false">+I51-K51</f>
        <v>0</v>
      </c>
      <c r="M51" s="664"/>
      <c r="N51" s="662"/>
      <c r="O51" s="665"/>
      <c r="P51" s="663" t="n">
        <f aca="false">+$I51*'PAYMENT RATIO_RAW'!G$9</f>
        <v>0</v>
      </c>
      <c r="Q51" s="663"/>
      <c r="R51" s="663" t="n">
        <f aca="false">+P51-Q51</f>
        <v>0</v>
      </c>
      <c r="S51" s="662"/>
      <c r="T51" s="664"/>
      <c r="U51" s="662"/>
      <c r="V51" s="665"/>
      <c r="W51" s="640" t="n">
        <f aca="false">+$I51*'PAYMENT RATIO_RAW'!N$9</f>
        <v>0</v>
      </c>
      <c r="X51" s="663"/>
      <c r="Y51" s="663" t="n">
        <f aca="false">+W51-X51</f>
        <v>0</v>
      </c>
      <c r="Z51" s="662"/>
      <c r="AA51" s="664"/>
      <c r="AB51" s="662"/>
      <c r="AC51" s="665"/>
      <c r="AD51" s="640" t="n">
        <f aca="false">+$I51*'PAYMENT RATIO_RAW'!U$9</f>
        <v>0</v>
      </c>
      <c r="AE51" s="663"/>
      <c r="AF51" s="663" t="n">
        <f aca="false">+AD51-AE51</f>
        <v>0</v>
      </c>
      <c r="AG51" s="662"/>
      <c r="AH51" s="664"/>
      <c r="AI51" s="662"/>
      <c r="AJ51" s="665"/>
      <c r="AK51" s="640" t="n">
        <f aca="false">+'PAYMENT RATIO_RAW'!$AB74*I51</f>
        <v>0</v>
      </c>
      <c r="AL51" s="663"/>
      <c r="AM51" s="663"/>
      <c r="AN51" s="662"/>
      <c r="AO51" s="664"/>
      <c r="AP51" s="662"/>
      <c r="AQ51" s="665"/>
      <c r="AR51" s="640" t="n">
        <f aca="false">+$I51*'PAYMENT RATIO_RAW'!AI$9</f>
        <v>0</v>
      </c>
      <c r="AS51" s="663"/>
      <c r="AT51" s="663"/>
      <c r="AU51" s="662"/>
      <c r="AV51" s="664"/>
      <c r="AW51" s="662"/>
      <c r="AX51" s="665"/>
      <c r="AY51" s="640" t="n">
        <f aca="false">+$I51*'PAYMENT RATIO_RAW'!AP$9</f>
        <v>0</v>
      </c>
      <c r="AZ51" s="663"/>
      <c r="BA51" s="663"/>
      <c r="BB51" s="662"/>
      <c r="BC51" s="664"/>
      <c r="BD51" s="662"/>
      <c r="BE51" s="665" t="str">
        <f aca="false">+IFERROR(BF51/$I51,"-")</f>
        <v>-</v>
      </c>
      <c r="BF51" s="640" t="n">
        <f aca="false">+$I51*'PAYMENT RATIO_RAW'!AW$9</f>
        <v>0</v>
      </c>
      <c r="BG51" s="663"/>
      <c r="BH51" s="640" t="n">
        <f aca="false">+BF51-BG51</f>
        <v>0</v>
      </c>
      <c r="BI51" s="662"/>
      <c r="BJ51" s="664"/>
      <c r="BK51" s="662"/>
      <c r="BL51" s="665" t="str">
        <f aca="false">+IFERROR(BM51/$I51,"-")</f>
        <v>-</v>
      </c>
      <c r="BM51" s="663" t="n">
        <f aca="false">+$I51*'PAYMENT RATIO_RAW'!BD$9</f>
        <v>0</v>
      </c>
      <c r="BN51" s="663"/>
      <c r="BO51" s="663" t="n">
        <f aca="false">+BM51-BN51</f>
        <v>0</v>
      </c>
      <c r="BP51" s="662"/>
      <c r="BQ51" s="666"/>
      <c r="BR51" s="667" t="n">
        <f aca="false">+P51+W51+AD51+AR51+AY51+BF51+BM51=I51</f>
        <v>1</v>
      </c>
      <c r="BS51" s="668" t="n">
        <f aca="false">+Q51+X51+AE51+AS51+AZ51+BG51+BN51=K51</f>
        <v>1</v>
      </c>
      <c r="BT51" s="668"/>
      <c r="BU51" s="621"/>
      <c r="BV51" s="621"/>
      <c r="BW51" s="621"/>
      <c r="BX51" s="621"/>
      <c r="BY51" s="621"/>
      <c r="BZ51" s="621"/>
      <c r="CA51" s="621"/>
      <c r="CB51" s="621"/>
      <c r="CC51" s="625"/>
      <c r="CD51" s="625"/>
    </row>
    <row r="52" customFormat="false" ht="12.75" hidden="false" customHeight="false" outlineLevel="0" collapsed="false">
      <c r="A52" s="628"/>
      <c r="B52" s="629"/>
      <c r="C52" s="631"/>
      <c r="D52" s="684"/>
      <c r="E52" s="631"/>
      <c r="F52" s="669" t="s">
        <v>109</v>
      </c>
      <c r="G52" s="670" t="n">
        <f aca="false">SUM(G47:G51)</f>
        <v>1626588600</v>
      </c>
      <c r="H52" s="670" t="n">
        <f aca="false">SUM(H47:H51)</f>
        <v>107689660</v>
      </c>
      <c r="I52" s="670" t="n">
        <f aca="false">SUM(I47:I51)</f>
        <v>1734278260</v>
      </c>
      <c r="J52" s="669" t="n">
        <f aca="false">+IFERROR(K52/I52,"-")</f>
        <v>0.196874750652759</v>
      </c>
      <c r="K52" s="670" t="n">
        <f aca="false">SUM(K47:K51)</f>
        <v>341435600</v>
      </c>
      <c r="L52" s="670" t="n">
        <f aca="false">SUM(L47:L51)</f>
        <v>1392842660</v>
      </c>
      <c r="M52" s="671"/>
      <c r="N52" s="669"/>
      <c r="O52" s="672" t="n">
        <f aca="false">+IFERROR(P52/$I52,"-")</f>
        <v>0.1743264659271</v>
      </c>
      <c r="P52" s="670" t="n">
        <f aca="false">SUM(P47:P51)</f>
        <v>302330600</v>
      </c>
      <c r="Q52" s="670" t="n">
        <f aca="false">SUM(Q47:Q51)</f>
        <v>302330600</v>
      </c>
      <c r="R52" s="673" t="n">
        <f aca="false">+P52-Q52</f>
        <v>0</v>
      </c>
      <c r="S52" s="669"/>
      <c r="T52" s="671"/>
      <c r="U52" s="669"/>
      <c r="V52" s="672" t="n">
        <f aca="false">+IFERROR(W52/$I52,"-")</f>
        <v>0.0225482847256587</v>
      </c>
      <c r="W52" s="670" t="n">
        <f aca="false">SUM(W47:W51)</f>
        <v>39105000</v>
      </c>
      <c r="X52" s="670" t="n">
        <f aca="false">SUM(X47:X51)</f>
        <v>39105000</v>
      </c>
      <c r="Y52" s="673" t="n">
        <f aca="false">+W52-X52</f>
        <v>0</v>
      </c>
      <c r="Z52" s="669"/>
      <c r="AA52" s="671"/>
      <c r="AB52" s="669"/>
      <c r="AC52" s="672" t="n">
        <f aca="false">+IFERROR(AD52/$I52,"-")</f>
        <v>0.158117325416972</v>
      </c>
      <c r="AD52" s="670" t="n">
        <f aca="false">SUM(AD47:AD51)</f>
        <v>274219440</v>
      </c>
      <c r="AE52" s="670" t="n">
        <f aca="false">SUM(AE47:AE51)</f>
        <v>0</v>
      </c>
      <c r="AF52" s="673" t="n">
        <f aca="false">+AD52-AE52</f>
        <v>274219440</v>
      </c>
      <c r="AG52" s="669"/>
      <c r="AH52" s="671"/>
      <c r="AI52" s="669"/>
      <c r="AJ52" s="672" t="n">
        <f aca="false">+IFERROR(AK52/$I52,"-")</f>
        <v>0</v>
      </c>
      <c r="AK52" s="670" t="n">
        <f aca="false">SUM(AK47:AK51)</f>
        <v>0</v>
      </c>
      <c r="AL52" s="670" t="n">
        <f aca="false">SUM(AL47:AL51)</f>
        <v>0</v>
      </c>
      <c r="AM52" s="673" t="n">
        <f aca="false">+AK52-AL52</f>
        <v>0</v>
      </c>
      <c r="AN52" s="669"/>
      <c r="AO52" s="671"/>
      <c r="AP52" s="669"/>
      <c r="AQ52" s="672" t="n">
        <f aca="false">+IFERROR(AR52/$I52,"-")</f>
        <v>0.350237717908082</v>
      </c>
      <c r="AR52" s="670" t="n">
        <f aca="false">SUM(AR47:AR51)</f>
        <v>607409660</v>
      </c>
      <c r="AS52" s="670" t="n">
        <f aca="false">SUM(AS47:AS51)</f>
        <v>0</v>
      </c>
      <c r="AT52" s="673" t="n">
        <f aca="false">+AR52-AS52</f>
        <v>607409660</v>
      </c>
      <c r="AU52" s="669"/>
      <c r="AV52" s="671"/>
      <c r="AW52" s="669"/>
      <c r="AX52" s="672" t="n">
        <f aca="false">+IFERROR(AY52/$I52,"-")</f>
        <v>0</v>
      </c>
      <c r="AY52" s="670" t="n">
        <f aca="false">SUM(AY47:AY51)</f>
        <v>0</v>
      </c>
      <c r="AZ52" s="670" t="n">
        <f aca="false">SUM(AZ47:AZ51)</f>
        <v>0</v>
      </c>
      <c r="BA52" s="673" t="n">
        <f aca="false">+AY52-AZ52</f>
        <v>0</v>
      </c>
      <c r="BB52" s="669"/>
      <c r="BC52" s="671"/>
      <c r="BD52" s="669"/>
      <c r="BE52" s="672" t="n">
        <f aca="false">+IFERROR(BF52/$I52,"-")</f>
        <v>0.166402535657686</v>
      </c>
      <c r="BF52" s="670" t="n">
        <f aca="false">SUM(BF47:BF51)</f>
        <v>288588300</v>
      </c>
      <c r="BG52" s="670" t="n">
        <f aca="false">SUM(BG47:BG51)</f>
        <v>0</v>
      </c>
      <c r="BH52" s="673" t="n">
        <f aca="false">+BF52-BG52</f>
        <v>288588300</v>
      </c>
      <c r="BI52" s="669"/>
      <c r="BJ52" s="671"/>
      <c r="BK52" s="669"/>
      <c r="BL52" s="672" t="n">
        <f aca="false">+IFERROR(BM52/$I52,"-")</f>
        <v>0.128367670364501</v>
      </c>
      <c r="BM52" s="670" t="n">
        <f aca="false">SUM(BM47:BM51)</f>
        <v>222625260</v>
      </c>
      <c r="BN52" s="670" t="n">
        <f aca="false">SUM(BN47:BN51)</f>
        <v>0</v>
      </c>
      <c r="BO52" s="673" t="n">
        <f aca="false">+BM52-BN52</f>
        <v>222625260</v>
      </c>
      <c r="BP52" s="669"/>
      <c r="BQ52" s="666"/>
      <c r="BR52" s="674"/>
      <c r="BS52" s="675"/>
      <c r="BT52" s="675"/>
      <c r="BU52" s="621"/>
      <c r="BV52" s="621"/>
      <c r="BW52" s="621"/>
      <c r="BX52" s="621"/>
      <c r="BY52" s="621"/>
      <c r="BZ52" s="621"/>
      <c r="CA52" s="621"/>
      <c r="CB52" s="621"/>
      <c r="CC52" s="625"/>
      <c r="CD52" s="625"/>
    </row>
    <row r="53" customFormat="false" ht="12.75" hidden="false" customHeight="false" outlineLevel="0" collapsed="false">
      <c r="A53" s="628"/>
      <c r="B53" s="629" t="n">
        <v>8</v>
      </c>
      <c r="C53" s="631" t="s">
        <v>177</v>
      </c>
      <c r="D53" s="684" t="n">
        <v>999.44</v>
      </c>
      <c r="E53" s="631" t="s">
        <v>505</v>
      </c>
      <c r="F53" s="632" t="s">
        <v>112</v>
      </c>
      <c r="G53" s="633" t="n">
        <f aca="false">+'PAYMENT RATIO_RAW'!F$5*$D$53/1000+27500000*D$53/1000</f>
        <v>1076896600</v>
      </c>
      <c r="H53" s="633" t="n">
        <f aca="false">+G53*10%</f>
        <v>107689660</v>
      </c>
      <c r="I53" s="633" t="n">
        <f aca="false">SUM(G53:H53)</f>
        <v>1184586260</v>
      </c>
      <c r="J53" s="634" t="n">
        <f aca="false">+IFERROR(K53/I53,"-")</f>
        <v>0</v>
      </c>
      <c r="K53" s="640" t="n">
        <f aca="false">+IFERROR(Q53+X53+AE53+AS53+AZ53+BG53+BN53,"-")</f>
        <v>0</v>
      </c>
      <c r="L53" s="640" t="n">
        <f aca="false">+I53-K53</f>
        <v>1184586260</v>
      </c>
      <c r="M53" s="636"/>
      <c r="N53" s="637"/>
      <c r="O53" s="638"/>
      <c r="P53" s="639" t="n">
        <f aca="false">+$I53*'PAYMENT RATIO_RAW'!G$5</f>
        <v>0</v>
      </c>
      <c r="Q53" s="640"/>
      <c r="R53" s="640" t="n">
        <f aca="false">+P53-Q53</f>
        <v>0</v>
      </c>
      <c r="S53" s="641"/>
      <c r="T53" s="636"/>
      <c r="U53" s="637"/>
      <c r="V53" s="638"/>
      <c r="W53" s="640" t="n">
        <f aca="false">+$I53*'PAYMENT RATIO_RAW'!N$5</f>
        <v>0</v>
      </c>
      <c r="X53" s="640"/>
      <c r="Y53" s="640" t="n">
        <f aca="false">+W53-X53</f>
        <v>0</v>
      </c>
      <c r="Z53" s="641"/>
      <c r="AA53" s="636" t="n">
        <f aca="false">+EDATE(AH53,-2)</f>
        <v>46052</v>
      </c>
      <c r="AB53" s="642"/>
      <c r="AC53" s="638" t="n">
        <f aca="false">+IFERROR(AD53/$I53,"-")</f>
        <v>0.194895591647332</v>
      </c>
      <c r="AD53" s="640" t="n">
        <f aca="false">+'PAYMENT RATIO_RAW'!$U$60*$D53*1050000000/1000*1.1</f>
        <v>230870640</v>
      </c>
      <c r="AE53" s="640"/>
      <c r="AF53" s="640" t="n">
        <f aca="false">+AD53-AE53</f>
        <v>230870640</v>
      </c>
      <c r="AG53" s="641"/>
      <c r="AH53" s="636" t="n">
        <f aca="false">+EDATE(AO53,-1)</f>
        <v>46111</v>
      </c>
      <c r="AI53" s="642"/>
      <c r="AJ53" s="638" t="n">
        <f aca="false">+IFERROR(AK53/$I53,"-")</f>
        <v>0</v>
      </c>
      <c r="AK53" s="640" t="n">
        <f aca="false">+'PAYMENT RATIO_RAW'!$AB70*I53</f>
        <v>0</v>
      </c>
      <c r="AL53" s="640"/>
      <c r="AM53" s="640" t="n">
        <f aca="false">+AK53-AL53</f>
        <v>0</v>
      </c>
      <c r="AN53" s="641"/>
      <c r="AO53" s="636" t="n">
        <f aca="false">+EDATE(AV53,-1)</f>
        <v>46142</v>
      </c>
      <c r="AP53" s="637"/>
      <c r="AQ53" s="638" t="n">
        <f aca="false">+IFERROR(AR53/$I53,"-")</f>
        <v>0.512761020881671</v>
      </c>
      <c r="AR53" s="640" t="n">
        <f aca="false">+'PAYMENT RATIO_RAW'!AI$60*$D53*1050000000/1000*1.1+27500000*$D53/1000*1.1</f>
        <v>607409660</v>
      </c>
      <c r="AS53" s="640"/>
      <c r="AT53" s="640" t="n">
        <f aca="false">+AR53-AS53</f>
        <v>607409660</v>
      </c>
      <c r="AU53" s="641"/>
      <c r="AV53" s="636" t="n">
        <f aca="false">+EDATE(BC53,-1)</f>
        <v>46172</v>
      </c>
      <c r="AW53" s="636"/>
      <c r="AX53" s="638" t="n">
        <f aca="false">+IFERROR(AY53/$I53,"-")</f>
        <v>0</v>
      </c>
      <c r="AY53" s="640" t="n">
        <f aca="false">+'PAYMENT RATIO_RAW'!AP70*$I53</f>
        <v>0</v>
      </c>
      <c r="AZ53" s="640"/>
      <c r="BA53" s="640" t="n">
        <f aca="false">+AY53-AZ53</f>
        <v>0</v>
      </c>
      <c r="BB53" s="641"/>
      <c r="BC53" s="636" t="n">
        <f aca="false">+EDATE(BJ53,-1)</f>
        <v>46203</v>
      </c>
      <c r="BD53" s="636"/>
      <c r="BE53" s="638" t="n">
        <f aca="false">+IFERROR(BF53/$I53,"-")</f>
        <v>0.243619489559165</v>
      </c>
      <c r="BF53" s="640" t="n">
        <f aca="false">+'PAYMENT RATIO_RAW'!AW$60*$D53*1050000000/1000*1.1</f>
        <v>288588300</v>
      </c>
      <c r="BG53" s="640"/>
      <c r="BH53" s="640" t="n">
        <f aca="false">+BF53-BG53</f>
        <v>288588300</v>
      </c>
      <c r="BI53" s="641"/>
      <c r="BJ53" s="637" t="n">
        <v>46233</v>
      </c>
      <c r="BK53" s="636"/>
      <c r="BL53" s="638" t="n">
        <f aca="false">+IFERROR(BM53/$I53,"-")</f>
        <v>0.048723897911833</v>
      </c>
      <c r="BM53" s="640" t="n">
        <f aca="false">+'PAYMENT RATIO_RAW'!BD$60*$D53*1050000000/1000*1.1</f>
        <v>57717660</v>
      </c>
      <c r="BN53" s="640"/>
      <c r="BO53" s="640" t="n">
        <f aca="false">+BM53-BN53</f>
        <v>57717660</v>
      </c>
      <c r="BP53" s="641"/>
      <c r="BQ53" s="644"/>
      <c r="BR53" s="645" t="n">
        <f aca="false">+P53+W53+AD53+AK53+AR53+AY53+BF53+BM53=I53</f>
        <v>1</v>
      </c>
      <c r="BS53" s="645" t="n">
        <f aca="false">+Q53+X53+AE53+AS53+AZ53+BG53+BN53=K53</f>
        <v>1</v>
      </c>
      <c r="BT53" s="645"/>
      <c r="BU53" s="621"/>
      <c r="BV53" s="621"/>
      <c r="BW53" s="621"/>
      <c r="BX53" s="621"/>
      <c r="BY53" s="621"/>
      <c r="BZ53" s="621"/>
      <c r="CA53" s="621"/>
      <c r="CB53" s="621"/>
      <c r="CC53" s="625"/>
      <c r="CD53" s="625"/>
    </row>
    <row r="54" customFormat="false" ht="12.75" hidden="false" customHeight="false" outlineLevel="0" collapsed="false">
      <c r="A54" s="628"/>
      <c r="B54" s="629"/>
      <c r="C54" s="631"/>
      <c r="D54" s="684"/>
      <c r="E54" s="631"/>
      <c r="F54" s="647" t="s">
        <v>114</v>
      </c>
      <c r="G54" s="648" t="n">
        <f aca="false">+'PAYMENT RATIO_RAW'!F$6*'GM Batch1'!$D$53/1000</f>
        <v>549692000</v>
      </c>
      <c r="H54" s="648"/>
      <c r="I54" s="648" t="n">
        <f aca="false">SUM(G54:H54)</f>
        <v>549692000</v>
      </c>
      <c r="J54" s="647" t="n">
        <f aca="false">+IFERROR(K54/I54,"-")</f>
        <v>0.621139838309453</v>
      </c>
      <c r="K54" s="649" t="n">
        <f aca="false">+IFERROR(Q54+X54+AE54+AS54+AZ54+BG54+BN54,"-")</f>
        <v>341435600</v>
      </c>
      <c r="L54" s="649" t="n">
        <f aca="false">+I54-K54</f>
        <v>208256400</v>
      </c>
      <c r="M54" s="650" t="n">
        <v>45450</v>
      </c>
      <c r="N54" s="650" t="n">
        <v>45450</v>
      </c>
      <c r="O54" s="651" t="n">
        <f aca="false">+IFERROR(P54/$I54,"-")</f>
        <v>0.55</v>
      </c>
      <c r="P54" s="649" t="n">
        <f aca="false">+$I54*'PAYMENT RATIO_RAW'!G$6</f>
        <v>302330600</v>
      </c>
      <c r="Q54" s="649" t="n">
        <v>302330600</v>
      </c>
      <c r="R54" s="649" t="n">
        <f aca="false">+P54-Q54</f>
        <v>0</v>
      </c>
      <c r="S54" s="652"/>
      <c r="T54" s="650" t="n">
        <v>45456</v>
      </c>
      <c r="U54" s="650" t="n">
        <v>45456</v>
      </c>
      <c r="V54" s="651" t="n">
        <f aca="false">+IFERROR(W54/$I54,"-")</f>
        <v>0.0711398383094533</v>
      </c>
      <c r="W54" s="653" t="n">
        <f aca="false">+$I54*'PAYMENT RATIO_RAW'!N$6-43348800</f>
        <v>39105000</v>
      </c>
      <c r="X54" s="649" t="n">
        <v>39105000</v>
      </c>
      <c r="Y54" s="649" t="n">
        <f aca="false">+W54-X54</f>
        <v>0</v>
      </c>
      <c r="Z54" s="654"/>
      <c r="AA54" s="650" t="n">
        <v>46022</v>
      </c>
      <c r="AB54" s="650"/>
      <c r="AC54" s="651" t="n">
        <f aca="false">+IFERROR(AD54/$I54,"-")</f>
        <v>0.0788601616905467</v>
      </c>
      <c r="AD54" s="653" t="n">
        <f aca="false">+$I54*'PAYMENT RATIO_RAW'!U$6+43348800</f>
        <v>43348800</v>
      </c>
      <c r="AE54" s="649"/>
      <c r="AF54" s="649" t="n">
        <f aca="false">+AD54-AE54</f>
        <v>43348800</v>
      </c>
      <c r="AG54" s="652"/>
      <c r="AH54" s="650"/>
      <c r="AI54" s="650"/>
      <c r="AJ54" s="651" t="n">
        <f aca="false">+IFERROR(AK54/$I54,"-")</f>
        <v>0</v>
      </c>
      <c r="AK54" s="653" t="n">
        <f aca="false">+'PAYMENT RATIO_RAW'!$AB71*I54</f>
        <v>0</v>
      </c>
      <c r="AL54" s="649"/>
      <c r="AM54" s="649" t="n">
        <f aca="false">+AK54-AL54</f>
        <v>0</v>
      </c>
      <c r="AN54" s="652"/>
      <c r="AO54" s="650"/>
      <c r="AP54" s="650"/>
      <c r="AQ54" s="651"/>
      <c r="AR54" s="653" t="n">
        <f aca="false">+$I54*'PAYMENT RATIO_RAW'!AI$6</f>
        <v>0</v>
      </c>
      <c r="AS54" s="649"/>
      <c r="AT54" s="649" t="n">
        <f aca="false">+AR54-AS54</f>
        <v>0</v>
      </c>
      <c r="AU54" s="652"/>
      <c r="AV54" s="650"/>
      <c r="AW54" s="650"/>
      <c r="AX54" s="651"/>
      <c r="AY54" s="653" t="n">
        <f aca="false">+$I54*'PAYMENT RATIO_RAW'!AP$6</f>
        <v>0</v>
      </c>
      <c r="AZ54" s="649"/>
      <c r="BA54" s="649" t="n">
        <f aca="false">+AY54-AZ54</f>
        <v>0</v>
      </c>
      <c r="BB54" s="652"/>
      <c r="BC54" s="650"/>
      <c r="BD54" s="650"/>
      <c r="BE54" s="651" t="n">
        <f aca="false">+IFERROR(BF54/$I54,"-")</f>
        <v>0</v>
      </c>
      <c r="BF54" s="653" t="n">
        <f aca="false">+$I54*'PAYMENT RATIO_RAW'!AW$6</f>
        <v>0</v>
      </c>
      <c r="BG54" s="649"/>
      <c r="BH54" s="653" t="n">
        <f aca="false">+BF54-BG54</f>
        <v>0</v>
      </c>
      <c r="BI54" s="652"/>
      <c r="BJ54" s="650" t="n">
        <f aca="false">+BJ53</f>
        <v>46233</v>
      </c>
      <c r="BK54" s="650"/>
      <c r="BL54" s="651" t="n">
        <f aca="false">+IFERROR(BM54/$I54,"-")</f>
        <v>0.3</v>
      </c>
      <c r="BM54" s="649" t="n">
        <f aca="false">+$I54*'PAYMENT RATIO_RAW'!BD$6</f>
        <v>164907600</v>
      </c>
      <c r="BN54" s="649"/>
      <c r="BO54" s="649" t="n">
        <f aca="false">+BM54-BN54</f>
        <v>164907600</v>
      </c>
      <c r="BP54" s="652"/>
      <c r="BQ54" s="644"/>
      <c r="BR54" s="645" t="n">
        <f aca="false">+P54+W54+AD54+AR54+AY54+BF54+BM54=I54</f>
        <v>1</v>
      </c>
      <c r="BS54" s="645" t="n">
        <f aca="false">+Q54+X54+AE54+AS54+AZ54+BG54+BN54=K54</f>
        <v>1</v>
      </c>
      <c r="BT54" s="645" t="n">
        <f aca="false">+BF54+BF56+AY54+AY56+AR54+AR56+AD54+AD56+W54+W56+P54+P56+BM54+BM56=('PAYMENT RATIO_RAW'!$F$6+'PAYMENT RATIO_RAW'!$F$8)*D53/1000</f>
        <v>1</v>
      </c>
      <c r="BU54" s="621"/>
      <c r="BV54" s="621"/>
      <c r="BW54" s="621"/>
      <c r="BX54" s="621"/>
      <c r="BY54" s="621"/>
      <c r="BZ54" s="621"/>
      <c r="CA54" s="621"/>
      <c r="CB54" s="621"/>
      <c r="CC54" s="625"/>
      <c r="CD54" s="625"/>
    </row>
    <row r="55" customFormat="false" ht="12.75" hidden="true" customHeight="false" outlineLevel="0" collapsed="false">
      <c r="A55" s="628"/>
      <c r="B55" s="629"/>
      <c r="C55" s="631"/>
      <c r="D55" s="684"/>
      <c r="E55" s="631"/>
      <c r="F55" s="656" t="s">
        <v>404</v>
      </c>
      <c r="G55" s="657" t="n">
        <f aca="false">+'PAYMENT RATIO_RAW'!F$7*'GM Batch1'!$D$53/1000</f>
        <v>0</v>
      </c>
      <c r="H55" s="657"/>
      <c r="I55" s="657" t="n">
        <f aca="false">SUM(G55:H55)</f>
        <v>0</v>
      </c>
      <c r="J55" s="656" t="str">
        <f aca="false">+IFERROR(K55/I55,"-")</f>
        <v>-</v>
      </c>
      <c r="K55" s="639" t="n">
        <f aca="false">+IFERROR(Q55+X55+AE55+AS55+AZ55+BG55+BN55,"-")</f>
        <v>0</v>
      </c>
      <c r="L55" s="639" t="n">
        <f aca="false">+I55-K55</f>
        <v>0</v>
      </c>
      <c r="M55" s="658"/>
      <c r="N55" s="658"/>
      <c r="O55" s="659" t="str">
        <f aca="false">+IFERROR(P55/$I55,"-")</f>
        <v>-</v>
      </c>
      <c r="P55" s="639" t="n">
        <f aca="false">+$I55*'PAYMENT RATIO_RAW'!G$7</f>
        <v>0</v>
      </c>
      <c r="Q55" s="639"/>
      <c r="R55" s="639" t="n">
        <f aca="false">+P55-Q55</f>
        <v>0</v>
      </c>
      <c r="S55" s="660"/>
      <c r="T55" s="658"/>
      <c r="U55" s="658"/>
      <c r="V55" s="659" t="str">
        <f aca="false">+IFERROR(W55/$I55,"-")</f>
        <v>-</v>
      </c>
      <c r="W55" s="640" t="n">
        <f aca="false">+$I55*'PAYMENT RATIO_RAW'!N$7</f>
        <v>0</v>
      </c>
      <c r="X55" s="639"/>
      <c r="Y55" s="639" t="n">
        <f aca="false">+W55-X55</f>
        <v>0</v>
      </c>
      <c r="Z55" s="660"/>
      <c r="AA55" s="658"/>
      <c r="AB55" s="658"/>
      <c r="AC55" s="659" t="str">
        <f aca="false">+IFERROR(AD55/$I55,"-")</f>
        <v>-</v>
      </c>
      <c r="AD55" s="640" t="n">
        <f aca="false">+$I55*'PAYMENT RATIO_RAW'!U$7</f>
        <v>0</v>
      </c>
      <c r="AE55" s="639"/>
      <c r="AF55" s="639" t="n">
        <f aca="false">+AD55-AE55</f>
        <v>0</v>
      </c>
      <c r="AG55" s="660"/>
      <c r="AH55" s="658"/>
      <c r="AI55" s="658"/>
      <c r="AJ55" s="659" t="str">
        <f aca="false">+IFERROR(AK55/$I55,"-")</f>
        <v>-</v>
      </c>
      <c r="AK55" s="640" t="n">
        <f aca="false">+'PAYMENT RATIO_RAW'!$AB72*I55</f>
        <v>0</v>
      </c>
      <c r="AL55" s="639"/>
      <c r="AM55" s="639" t="n">
        <f aca="false">+AK55-AL55</f>
        <v>0</v>
      </c>
      <c r="AN55" s="660"/>
      <c r="AO55" s="658"/>
      <c r="AP55" s="658"/>
      <c r="AQ55" s="659"/>
      <c r="AR55" s="640" t="n">
        <f aca="false">+$I55*'PAYMENT RATIO_RAW'!AI$7</f>
        <v>0</v>
      </c>
      <c r="AS55" s="639"/>
      <c r="AT55" s="639" t="n">
        <f aca="false">+AR55-AS55</f>
        <v>0</v>
      </c>
      <c r="AU55" s="660"/>
      <c r="AV55" s="658"/>
      <c r="AW55" s="658"/>
      <c r="AX55" s="659"/>
      <c r="AY55" s="640" t="n">
        <f aca="false">+$I55*'PAYMENT RATIO_RAW'!AP$7</f>
        <v>0</v>
      </c>
      <c r="AZ55" s="639"/>
      <c r="BA55" s="639" t="n">
        <f aca="false">+AY55-AZ55</f>
        <v>0</v>
      </c>
      <c r="BB55" s="660"/>
      <c r="BC55" s="658"/>
      <c r="BD55" s="658"/>
      <c r="BE55" s="659" t="str">
        <f aca="false">+IFERROR(BF55/$I55,"-")</f>
        <v>-</v>
      </c>
      <c r="BF55" s="640" t="n">
        <f aca="false">+$I55*'PAYMENT RATIO_RAW'!AW$7</f>
        <v>0</v>
      </c>
      <c r="BG55" s="639"/>
      <c r="BH55" s="640" t="n">
        <f aca="false">+BF55-BG55</f>
        <v>0</v>
      </c>
      <c r="BI55" s="660"/>
      <c r="BJ55" s="658"/>
      <c r="BK55" s="658"/>
      <c r="BL55" s="659" t="str">
        <f aca="false">+IFERROR(BM55/$I55,"-")</f>
        <v>-</v>
      </c>
      <c r="BM55" s="639" t="n">
        <f aca="false">+$I55*'PAYMENT RATIO_RAW'!BD$7</f>
        <v>0</v>
      </c>
      <c r="BN55" s="639"/>
      <c r="BO55" s="639" t="n">
        <f aca="false">+BM55-BN55</f>
        <v>0</v>
      </c>
      <c r="BP55" s="660"/>
      <c r="BQ55" s="644"/>
      <c r="BR55" s="645" t="n">
        <f aca="false">+P55+W55+AD55+AR55+AY55+BF55+BM55=I55</f>
        <v>1</v>
      </c>
      <c r="BS55" s="645" t="n">
        <f aca="false">+Q55+X55+AE55+AS55+AZ55+BG55+BN55=K55</f>
        <v>1</v>
      </c>
      <c r="BT55" s="645"/>
      <c r="BU55" s="621"/>
      <c r="BV55" s="621"/>
      <c r="BW55" s="621"/>
      <c r="BX55" s="621"/>
      <c r="BY55" s="621"/>
      <c r="BZ55" s="621"/>
      <c r="CA55" s="621"/>
      <c r="CB55" s="621"/>
      <c r="CC55" s="625"/>
      <c r="CD55" s="625"/>
    </row>
    <row r="56" customFormat="false" ht="12.75" hidden="true" customHeight="false" outlineLevel="0" collapsed="false">
      <c r="A56" s="628"/>
      <c r="B56" s="629"/>
      <c r="C56" s="631"/>
      <c r="D56" s="684"/>
      <c r="E56" s="631"/>
      <c r="F56" s="656" t="s">
        <v>507</v>
      </c>
      <c r="G56" s="657" t="n">
        <f aca="false">+'PAYMENT RATIO_RAW'!F$8*'GM Batch1'!$D$53/1000</f>
        <v>0</v>
      </c>
      <c r="H56" s="657" t="n">
        <f aca="false">+G56*10%</f>
        <v>0</v>
      </c>
      <c r="I56" s="657" t="n">
        <f aca="false">SUM(G56:H56)</f>
        <v>0</v>
      </c>
      <c r="J56" s="656" t="str">
        <f aca="false">+IFERROR(K56/I56,"-")</f>
        <v>-</v>
      </c>
      <c r="K56" s="639" t="n">
        <f aca="false">+IFERROR(Q56+X56+AE56+AS56+AZ56+BG56+BN56,"-")</f>
        <v>0</v>
      </c>
      <c r="L56" s="639" t="n">
        <f aca="false">+I56-K56</f>
        <v>0</v>
      </c>
      <c r="M56" s="658"/>
      <c r="N56" s="642"/>
      <c r="O56" s="659" t="str">
        <f aca="false">+IFERROR(P56/$I56,"-")</f>
        <v>-</v>
      </c>
      <c r="P56" s="639" t="n">
        <f aca="false">+$I56*'PAYMENT RATIO_RAW'!G$8</f>
        <v>0</v>
      </c>
      <c r="Q56" s="639"/>
      <c r="R56" s="639" t="n">
        <f aca="false">+P56-Q56</f>
        <v>0</v>
      </c>
      <c r="S56" s="660"/>
      <c r="T56" s="658"/>
      <c r="U56" s="642"/>
      <c r="V56" s="659" t="str">
        <f aca="false">+IFERROR(W56/$I56,"-")</f>
        <v>-</v>
      </c>
      <c r="W56" s="640" t="n">
        <f aca="false">+$I56*'PAYMENT RATIO_RAW'!N$8</f>
        <v>0</v>
      </c>
      <c r="X56" s="639"/>
      <c r="Y56" s="639" t="n">
        <f aca="false">+W56-X56</f>
        <v>0</v>
      </c>
      <c r="Z56" s="660"/>
      <c r="AA56" s="658"/>
      <c r="AB56" s="642"/>
      <c r="AC56" s="659" t="str">
        <f aca="false">+IFERROR(AD56/$I56,"-")</f>
        <v>-</v>
      </c>
      <c r="AD56" s="640" t="n">
        <f aca="false">+$I56*'PAYMENT RATIO_RAW'!U$8</f>
        <v>0</v>
      </c>
      <c r="AE56" s="639"/>
      <c r="AF56" s="639" t="n">
        <f aca="false">+AD56-AE56</f>
        <v>0</v>
      </c>
      <c r="AG56" s="660"/>
      <c r="AH56" s="642"/>
      <c r="AI56" s="642"/>
      <c r="AJ56" s="659" t="str">
        <f aca="false">+IFERROR(AK56/$I56,"-")</f>
        <v>-</v>
      </c>
      <c r="AK56" s="640" t="n">
        <f aca="false">+'PAYMENT RATIO_RAW'!$AB73*I56</f>
        <v>0</v>
      </c>
      <c r="AL56" s="639"/>
      <c r="AM56" s="639" t="n">
        <f aca="false">+AK56-AL56</f>
        <v>0</v>
      </c>
      <c r="AN56" s="660"/>
      <c r="AO56" s="642"/>
      <c r="AP56" s="642"/>
      <c r="AQ56" s="659"/>
      <c r="AR56" s="640" t="n">
        <f aca="false">+$I56*'PAYMENT RATIO_RAW'!AI$8</f>
        <v>0</v>
      </c>
      <c r="AS56" s="639"/>
      <c r="AT56" s="639" t="n">
        <f aca="false">+AR56-AS56</f>
        <v>0</v>
      </c>
      <c r="AU56" s="660"/>
      <c r="AV56" s="642"/>
      <c r="AW56" s="642"/>
      <c r="AX56" s="659"/>
      <c r="AY56" s="640" t="n">
        <f aca="false">+$I56*'PAYMENT RATIO_RAW'!AP$8</f>
        <v>0</v>
      </c>
      <c r="AZ56" s="639"/>
      <c r="BA56" s="639" t="n">
        <f aca="false">+AY56-AZ56</f>
        <v>0</v>
      </c>
      <c r="BB56" s="660"/>
      <c r="BC56" s="642"/>
      <c r="BD56" s="642"/>
      <c r="BE56" s="659" t="str">
        <f aca="false">+IFERROR(BF56/$I56,"-")</f>
        <v>-</v>
      </c>
      <c r="BF56" s="640" t="n">
        <f aca="false">+$I56*'PAYMENT RATIO_RAW'!AW$8</f>
        <v>0</v>
      </c>
      <c r="BG56" s="639"/>
      <c r="BH56" s="640" t="n">
        <f aca="false">+BF56-BG56</f>
        <v>0</v>
      </c>
      <c r="BI56" s="660"/>
      <c r="BJ56" s="642"/>
      <c r="BK56" s="642"/>
      <c r="BL56" s="659" t="str">
        <f aca="false">+IFERROR(BM56/$I56,"-")</f>
        <v>-</v>
      </c>
      <c r="BM56" s="639" t="n">
        <f aca="false">+$I56*'PAYMENT RATIO_RAW'!BD$8</f>
        <v>0</v>
      </c>
      <c r="BN56" s="639"/>
      <c r="BO56" s="639" t="n">
        <f aca="false">+BM56-BN56</f>
        <v>0</v>
      </c>
      <c r="BP56" s="660"/>
      <c r="BQ56" s="644"/>
      <c r="BR56" s="645" t="n">
        <f aca="false">+P56+W56+AD56+AR56+AY56+BF56+BM56=I56</f>
        <v>1</v>
      </c>
      <c r="BS56" s="645" t="n">
        <f aca="false">+Q56+X56+AE56+AS56+AZ56+BG56+BN56=K56</f>
        <v>1</v>
      </c>
      <c r="BT56" s="645"/>
      <c r="BU56" s="621"/>
      <c r="BV56" s="621"/>
      <c r="BW56" s="621"/>
      <c r="BX56" s="621"/>
      <c r="BY56" s="621"/>
      <c r="BZ56" s="621"/>
      <c r="CA56" s="621"/>
      <c r="CB56" s="621"/>
      <c r="CC56" s="625"/>
      <c r="CD56" s="625"/>
    </row>
    <row r="57" customFormat="false" ht="12.75" hidden="true" customHeight="false" outlineLevel="0" collapsed="false">
      <c r="A57" s="628"/>
      <c r="B57" s="629"/>
      <c r="C57" s="631"/>
      <c r="D57" s="684"/>
      <c r="E57" s="631"/>
      <c r="F57" s="679" t="s">
        <v>508</v>
      </c>
      <c r="G57" s="661" t="n">
        <f aca="false">+'PAYMENT RATIO_RAW'!F$9*'GM Batch1'!$D$53/1000</f>
        <v>0</v>
      </c>
      <c r="H57" s="680" t="n">
        <f aca="false">+G57*0.1</f>
        <v>0</v>
      </c>
      <c r="I57" s="680" t="n">
        <f aca="false">SUM(G57:H57)</f>
        <v>0</v>
      </c>
      <c r="J57" s="679" t="str">
        <f aca="false">+IFERROR(K57/I57,"-")</f>
        <v>-</v>
      </c>
      <c r="K57" s="681" t="n">
        <f aca="false">+IFERROR(Q57+X57+AE57+AS57+AZ57+BG57+BN57,"-")</f>
        <v>0</v>
      </c>
      <c r="L57" s="681" t="n">
        <f aca="false">+I57-K57</f>
        <v>0</v>
      </c>
      <c r="M57" s="664"/>
      <c r="N57" s="662"/>
      <c r="O57" s="665"/>
      <c r="P57" s="663" t="n">
        <f aca="false">+$I57*'PAYMENT RATIO_RAW'!G$9</f>
        <v>0</v>
      </c>
      <c r="Q57" s="663"/>
      <c r="R57" s="663" t="n">
        <f aca="false">+P57-Q57</f>
        <v>0</v>
      </c>
      <c r="S57" s="662"/>
      <c r="T57" s="664"/>
      <c r="U57" s="662"/>
      <c r="V57" s="665"/>
      <c r="W57" s="640" t="n">
        <f aca="false">+$I57*'PAYMENT RATIO_RAW'!N$9</f>
        <v>0</v>
      </c>
      <c r="X57" s="663"/>
      <c r="Y57" s="663" t="n">
        <f aca="false">+W57-X57</f>
        <v>0</v>
      </c>
      <c r="Z57" s="662"/>
      <c r="AA57" s="664"/>
      <c r="AB57" s="662"/>
      <c r="AC57" s="665"/>
      <c r="AD57" s="640" t="n">
        <f aca="false">+$I57*'PAYMENT RATIO_RAW'!U$9</f>
        <v>0</v>
      </c>
      <c r="AE57" s="663"/>
      <c r="AF57" s="663" t="n">
        <f aca="false">+AD57-AE57</f>
        <v>0</v>
      </c>
      <c r="AG57" s="662"/>
      <c r="AH57" s="664"/>
      <c r="AI57" s="662"/>
      <c r="AJ57" s="665"/>
      <c r="AK57" s="640" t="n">
        <f aca="false">+'PAYMENT RATIO_RAW'!$AB74*I57</f>
        <v>0</v>
      </c>
      <c r="AL57" s="663"/>
      <c r="AM57" s="663"/>
      <c r="AN57" s="662"/>
      <c r="AO57" s="664"/>
      <c r="AP57" s="662"/>
      <c r="AQ57" s="665"/>
      <c r="AR57" s="640" t="n">
        <f aca="false">+$I57*'PAYMENT RATIO_RAW'!AI$9</f>
        <v>0</v>
      </c>
      <c r="AS57" s="663"/>
      <c r="AT57" s="663"/>
      <c r="AU57" s="662"/>
      <c r="AV57" s="664"/>
      <c r="AW57" s="662"/>
      <c r="AX57" s="665"/>
      <c r="AY57" s="640" t="n">
        <f aca="false">+$I57*'PAYMENT RATIO_RAW'!AP$9</f>
        <v>0</v>
      </c>
      <c r="AZ57" s="663"/>
      <c r="BA57" s="663"/>
      <c r="BB57" s="662"/>
      <c r="BC57" s="664"/>
      <c r="BD57" s="662"/>
      <c r="BE57" s="665" t="str">
        <f aca="false">+IFERROR(BF57/$I57,"-")</f>
        <v>-</v>
      </c>
      <c r="BF57" s="640" t="n">
        <f aca="false">+$I57*'PAYMENT RATIO_RAW'!AW$9</f>
        <v>0</v>
      </c>
      <c r="BG57" s="663"/>
      <c r="BH57" s="640" t="n">
        <f aca="false">+BF57-BG57</f>
        <v>0</v>
      </c>
      <c r="BI57" s="662"/>
      <c r="BJ57" s="664"/>
      <c r="BK57" s="662"/>
      <c r="BL57" s="665" t="str">
        <f aca="false">+IFERROR(BM57/$I57,"-")</f>
        <v>-</v>
      </c>
      <c r="BM57" s="663" t="n">
        <f aca="false">+$I57*'PAYMENT RATIO_RAW'!BD$9</f>
        <v>0</v>
      </c>
      <c r="BN57" s="663"/>
      <c r="BO57" s="663" t="n">
        <f aca="false">+BM57-BN57</f>
        <v>0</v>
      </c>
      <c r="BP57" s="662"/>
      <c r="BQ57" s="666"/>
      <c r="BR57" s="667" t="n">
        <f aca="false">+P57+W57+AD57+AR57+AY57+BF57+BM57=I57</f>
        <v>1</v>
      </c>
      <c r="BS57" s="668" t="n">
        <f aca="false">+Q57+X57+AE57+AS57+AZ57+BG57+BN57=K57</f>
        <v>1</v>
      </c>
      <c r="BT57" s="668"/>
      <c r="BU57" s="621"/>
      <c r="BV57" s="621"/>
      <c r="BW57" s="621"/>
      <c r="BX57" s="621"/>
      <c r="BY57" s="621"/>
      <c r="BZ57" s="621"/>
      <c r="CA57" s="621"/>
      <c r="CB57" s="621"/>
      <c r="CC57" s="625"/>
      <c r="CD57" s="625"/>
    </row>
    <row r="58" customFormat="false" ht="12.75" hidden="false" customHeight="false" outlineLevel="0" collapsed="false">
      <c r="A58" s="628"/>
      <c r="B58" s="629"/>
      <c r="C58" s="631"/>
      <c r="D58" s="684"/>
      <c r="E58" s="631"/>
      <c r="F58" s="669" t="s">
        <v>109</v>
      </c>
      <c r="G58" s="670" t="n">
        <f aca="false">SUM(G53:G57)</f>
        <v>1626588600</v>
      </c>
      <c r="H58" s="670" t="n">
        <f aca="false">SUM(H53:H57)</f>
        <v>107689660</v>
      </c>
      <c r="I58" s="670" t="n">
        <f aca="false">SUM(I53:I57)</f>
        <v>1734278260</v>
      </c>
      <c r="J58" s="669" t="n">
        <f aca="false">+IFERROR(K58/I58,"-")</f>
        <v>0.196874750652759</v>
      </c>
      <c r="K58" s="670" t="n">
        <f aca="false">SUM(K53:K57)</f>
        <v>341435600</v>
      </c>
      <c r="L58" s="670" t="n">
        <f aca="false">SUM(L53:L57)</f>
        <v>1392842660</v>
      </c>
      <c r="M58" s="671"/>
      <c r="N58" s="669"/>
      <c r="O58" s="672" t="n">
        <f aca="false">+IFERROR(P58/$I58,"-")</f>
        <v>0.1743264659271</v>
      </c>
      <c r="P58" s="670" t="n">
        <f aca="false">SUM(P53:P57)</f>
        <v>302330600</v>
      </c>
      <c r="Q58" s="670" t="n">
        <f aca="false">SUM(Q53:Q57)</f>
        <v>302330600</v>
      </c>
      <c r="R58" s="673" t="n">
        <f aca="false">+P58-Q58</f>
        <v>0</v>
      </c>
      <c r="S58" s="669"/>
      <c r="T58" s="671"/>
      <c r="U58" s="669"/>
      <c r="V58" s="672" t="n">
        <f aca="false">+IFERROR(W58/$I58,"-")</f>
        <v>0.0225482847256587</v>
      </c>
      <c r="W58" s="670" t="n">
        <f aca="false">SUM(W53:W57)</f>
        <v>39105000</v>
      </c>
      <c r="X58" s="670" t="n">
        <f aca="false">SUM(X53:X57)</f>
        <v>39105000</v>
      </c>
      <c r="Y58" s="673" t="n">
        <f aca="false">+W58-X58</f>
        <v>0</v>
      </c>
      <c r="Z58" s="669"/>
      <c r="AA58" s="671"/>
      <c r="AB58" s="669"/>
      <c r="AC58" s="672" t="n">
        <f aca="false">+IFERROR(AD58/$I58,"-")</f>
        <v>0.158117325416972</v>
      </c>
      <c r="AD58" s="670" t="n">
        <f aca="false">SUM(AD53:AD57)</f>
        <v>274219440</v>
      </c>
      <c r="AE58" s="670" t="n">
        <f aca="false">SUM(AE53:AE57)</f>
        <v>0</v>
      </c>
      <c r="AF58" s="673" t="n">
        <f aca="false">+AD58-AE58</f>
        <v>274219440</v>
      </c>
      <c r="AG58" s="669"/>
      <c r="AH58" s="671"/>
      <c r="AI58" s="669"/>
      <c r="AJ58" s="672" t="n">
        <f aca="false">+IFERROR(AK58/$I58,"-")</f>
        <v>0</v>
      </c>
      <c r="AK58" s="670" t="n">
        <f aca="false">SUM(AK53:AK57)</f>
        <v>0</v>
      </c>
      <c r="AL58" s="670" t="n">
        <f aca="false">SUM(AL53:AL57)</f>
        <v>0</v>
      </c>
      <c r="AM58" s="673" t="n">
        <f aca="false">+AK58-AL58</f>
        <v>0</v>
      </c>
      <c r="AN58" s="669"/>
      <c r="AO58" s="671"/>
      <c r="AP58" s="669"/>
      <c r="AQ58" s="672" t="n">
        <f aca="false">+IFERROR(AR58/$I58,"-")</f>
        <v>0.350237717908082</v>
      </c>
      <c r="AR58" s="670" t="n">
        <f aca="false">SUM(AR53:AR57)</f>
        <v>607409660</v>
      </c>
      <c r="AS58" s="670" t="n">
        <f aca="false">SUM(AS53:AS57)</f>
        <v>0</v>
      </c>
      <c r="AT58" s="673" t="n">
        <f aca="false">+AR58-AS58</f>
        <v>607409660</v>
      </c>
      <c r="AU58" s="669"/>
      <c r="AV58" s="671"/>
      <c r="AW58" s="669"/>
      <c r="AX58" s="672" t="n">
        <f aca="false">+IFERROR(AY58/$I58,"-")</f>
        <v>0</v>
      </c>
      <c r="AY58" s="670" t="n">
        <f aca="false">SUM(AY53:AY57)</f>
        <v>0</v>
      </c>
      <c r="AZ58" s="670" t="n">
        <f aca="false">SUM(AZ53:AZ57)</f>
        <v>0</v>
      </c>
      <c r="BA58" s="673" t="n">
        <f aca="false">+AY58-AZ58</f>
        <v>0</v>
      </c>
      <c r="BB58" s="669"/>
      <c r="BC58" s="671"/>
      <c r="BD58" s="669"/>
      <c r="BE58" s="672" t="n">
        <f aca="false">+IFERROR(BF58/$I58,"-")</f>
        <v>0.166402535657686</v>
      </c>
      <c r="BF58" s="670" t="n">
        <f aca="false">SUM(BF53:BF57)</f>
        <v>288588300</v>
      </c>
      <c r="BG58" s="670" t="n">
        <f aca="false">SUM(BG53:BG57)</f>
        <v>0</v>
      </c>
      <c r="BH58" s="673" t="n">
        <f aca="false">+BF58-BG58</f>
        <v>288588300</v>
      </c>
      <c r="BI58" s="669"/>
      <c r="BJ58" s="671"/>
      <c r="BK58" s="669"/>
      <c r="BL58" s="672" t="n">
        <f aca="false">+IFERROR(BM58/$I58,"-")</f>
        <v>0.128367670364501</v>
      </c>
      <c r="BM58" s="670" t="n">
        <f aca="false">SUM(BM53:BM57)</f>
        <v>222625260</v>
      </c>
      <c r="BN58" s="670" t="n">
        <f aca="false">SUM(BN53:BN57)</f>
        <v>0</v>
      </c>
      <c r="BO58" s="673" t="n">
        <f aca="false">+BM58-BN58</f>
        <v>222625260</v>
      </c>
      <c r="BP58" s="669"/>
      <c r="BQ58" s="666"/>
      <c r="BR58" s="674"/>
      <c r="BS58" s="675"/>
      <c r="BT58" s="675"/>
      <c r="BU58" s="621"/>
      <c r="BV58" s="621"/>
      <c r="BW58" s="621"/>
      <c r="BX58" s="621"/>
      <c r="BY58" s="621"/>
      <c r="BZ58" s="621"/>
      <c r="CA58" s="621"/>
      <c r="CB58" s="621"/>
      <c r="CC58" s="625"/>
      <c r="CD58" s="625"/>
    </row>
    <row r="59" customFormat="false" ht="16.5" hidden="false" customHeight="true" outlineLevel="0" collapsed="false">
      <c r="A59" s="628"/>
      <c r="B59" s="685" t="s">
        <v>109</v>
      </c>
      <c r="C59" s="685"/>
      <c r="D59" s="686" t="n">
        <f aca="false">+SUM(D11:D58)</f>
        <v>7995.72</v>
      </c>
      <c r="E59" s="687"/>
      <c r="F59" s="688" t="s">
        <v>112</v>
      </c>
      <c r="G59" s="689" t="n">
        <f aca="false">+G11+G17+G23+G29+G35+G41+G47+G53</f>
        <v>8615388300</v>
      </c>
      <c r="H59" s="689" t="n">
        <f aca="false">+H11+H17+H23+H29+H35+H41+H47+H53</f>
        <v>861538830</v>
      </c>
      <c r="I59" s="689" t="n">
        <f aca="false">+I11+I17+I23+I29+I35+I41+I47+I53</f>
        <v>9476927130</v>
      </c>
      <c r="J59" s="688" t="n">
        <f aca="false">+IFERROR(K59/I59,"-")</f>
        <v>0.0974999583013571</v>
      </c>
      <c r="K59" s="689" t="n">
        <f aca="false">+K11+K17+K23+K29+K35+K41+K47+K53</f>
        <v>924000000</v>
      </c>
      <c r="L59" s="689" t="n">
        <f aca="false">+L11+L17+L23+L29+L35+L41+L47+L53</f>
        <v>8552927130</v>
      </c>
      <c r="M59" s="690"/>
      <c r="N59" s="690"/>
      <c r="O59" s="691" t="n">
        <f aca="false">+IFERROR(P59/$I59,"-")</f>
        <v>0</v>
      </c>
      <c r="P59" s="689" t="n">
        <f aca="false">+P11+P17+P23+P29+P35+P41+P47+P53</f>
        <v>0</v>
      </c>
      <c r="Q59" s="689" t="n">
        <f aca="false">+Q11+Q17+Q23+Q29+Q35+Q41+Q47+Q53</f>
        <v>0</v>
      </c>
      <c r="R59" s="689" t="n">
        <f aca="false">+P59-Q59</f>
        <v>0</v>
      </c>
      <c r="S59" s="692"/>
      <c r="T59" s="690"/>
      <c r="U59" s="690"/>
      <c r="V59" s="691" t="n">
        <f aca="false">+IFERROR(W59/$I59,"-")</f>
        <v>0</v>
      </c>
      <c r="W59" s="689" t="n">
        <f aca="false">+W11+W17+W23+W29+W35+W41+W47+W53</f>
        <v>0</v>
      </c>
      <c r="X59" s="689" t="n">
        <f aca="false">+X11+X17+X23+X29+X35+X41+X47+X53</f>
        <v>0</v>
      </c>
      <c r="Y59" s="689" t="n">
        <f aca="false">+W59-X59</f>
        <v>0</v>
      </c>
      <c r="Z59" s="692"/>
      <c r="AA59" s="690"/>
      <c r="AB59" s="690"/>
      <c r="AC59" s="691" t="n">
        <f aca="false">+IFERROR(AD59/$I59,"-")</f>
        <v>0.194895591647332</v>
      </c>
      <c r="AD59" s="689" t="n">
        <f aca="false">+AD11+AD17+AD23+AD29+AD35+AD41+AD47+AD53</f>
        <v>1847011320</v>
      </c>
      <c r="AE59" s="689" t="n">
        <f aca="false">+AE11+AE17+AE23+AE29+AE35+AE41+AE47+AE53</f>
        <v>924000000</v>
      </c>
      <c r="AF59" s="689" t="n">
        <f aca="false">+AD59-AE59</f>
        <v>923011320</v>
      </c>
      <c r="AG59" s="692"/>
      <c r="AH59" s="690"/>
      <c r="AI59" s="690"/>
      <c r="AJ59" s="691" t="n">
        <f aca="false">+IFERROR(AK59/$I59,"-")</f>
        <v>0</v>
      </c>
      <c r="AK59" s="689" t="n">
        <f aca="false">+AK11+AK17+AK23+AK29+AK35+AK41+AK47+AK53</f>
        <v>0</v>
      </c>
      <c r="AL59" s="689" t="n">
        <f aca="false">+AL11+AL17+AL23+AL29+AL35+AL41+AL47+AL53</f>
        <v>924000000</v>
      </c>
      <c r="AM59" s="689" t="n">
        <f aca="false">+AK59-AL59</f>
        <v>-924000000</v>
      </c>
      <c r="AN59" s="692"/>
      <c r="AO59" s="690"/>
      <c r="AP59" s="690"/>
      <c r="AQ59" s="691" t="n">
        <f aca="false">+IFERROR(AR59/$I59,"-")</f>
        <v>0.512761020881671</v>
      </c>
      <c r="AR59" s="689" t="n">
        <f aca="false">+AR11+AR17+AR23+AR29+AR35+AR41+AR47+AR53</f>
        <v>4859398830</v>
      </c>
      <c r="AS59" s="689" t="n">
        <f aca="false">+AS11+AS17+AS23+AS29+AS35+AS41+AS47+AS53</f>
        <v>0</v>
      </c>
      <c r="AT59" s="689" t="n">
        <f aca="false">+AR59-AS59</f>
        <v>4859398830</v>
      </c>
      <c r="AU59" s="692"/>
      <c r="AV59" s="690"/>
      <c r="AW59" s="690"/>
      <c r="AX59" s="691" t="n">
        <f aca="false">+IFERROR(AY59/$I59,"-")</f>
        <v>0</v>
      </c>
      <c r="AY59" s="689" t="n">
        <f aca="false">+AY11+AY17+AY23+AY29+AY35+AY41+AY47+AY53</f>
        <v>0</v>
      </c>
      <c r="AZ59" s="689" t="n">
        <f aca="false">+AZ11+AZ17+AZ23+AZ29+AZ35+AZ41+AZ47+AZ53</f>
        <v>0</v>
      </c>
      <c r="BA59" s="689" t="n">
        <f aca="false">+AY59-AZ59</f>
        <v>0</v>
      </c>
      <c r="BB59" s="692"/>
      <c r="BC59" s="690"/>
      <c r="BD59" s="690"/>
      <c r="BE59" s="691" t="n">
        <f aca="false">+IFERROR(BF59/$I59,"-")</f>
        <v>0.243619489559165</v>
      </c>
      <c r="BF59" s="689" t="n">
        <f aca="false">+BF11+BF17+BF23+BF29+BF35+BF41+BF47+BF53</f>
        <v>2308764150</v>
      </c>
      <c r="BG59" s="689" t="n">
        <f aca="false">+BG11+BG17+BG23+BG29+BG35+BG41+BG47+BG53</f>
        <v>0</v>
      </c>
      <c r="BH59" s="689" t="n">
        <f aca="false">+BF59-BG59</f>
        <v>2308764150</v>
      </c>
      <c r="BI59" s="692"/>
      <c r="BJ59" s="690"/>
      <c r="BK59" s="690"/>
      <c r="BL59" s="691" t="n">
        <f aca="false">+IFERROR(BM59/$I59,"-")</f>
        <v>0.048723897911833</v>
      </c>
      <c r="BM59" s="689" t="n">
        <f aca="false">+BM11+BM17+BM23+BM29+BM35+BM41+BM47+BM53</f>
        <v>461752830</v>
      </c>
      <c r="BN59" s="689" t="n">
        <f aca="false">+BN11+BN17+BN23+BN29+BN35+BN41+BN47+BN53</f>
        <v>0</v>
      </c>
      <c r="BO59" s="689" t="n">
        <f aca="false">+BM59-BN59</f>
        <v>461752830</v>
      </c>
      <c r="BP59" s="692"/>
      <c r="BQ59" s="644"/>
      <c r="BR59" s="693" t="n">
        <f aca="false">+P59+W59+AD59+AK59+AR59+AY59+BF59+BM59=I59</f>
        <v>1</v>
      </c>
      <c r="BS59" s="693" t="n">
        <f aca="false">+Q59+X59+AE59+AS59+AZ59+BG59+BN59=K59</f>
        <v>1</v>
      </c>
      <c r="BT59" s="693"/>
      <c r="BU59" s="621"/>
      <c r="BV59" s="621"/>
      <c r="BW59" s="621"/>
      <c r="BX59" s="621"/>
      <c r="BY59" s="621"/>
      <c r="BZ59" s="621"/>
      <c r="CA59" s="621"/>
      <c r="CB59" s="621"/>
      <c r="CC59" s="625"/>
      <c r="CD59" s="625"/>
    </row>
    <row r="60" customFormat="false" ht="12.75" hidden="false" customHeight="false" outlineLevel="0" collapsed="false">
      <c r="A60" s="628"/>
      <c r="B60" s="685"/>
      <c r="C60" s="685"/>
      <c r="D60" s="686"/>
      <c r="E60" s="687"/>
      <c r="F60" s="647" t="s">
        <v>114</v>
      </c>
      <c r="G60" s="648" t="n">
        <f aca="false">+G12+G18+G24+G30+G36+G42+G48+G54</f>
        <v>4397646000</v>
      </c>
      <c r="H60" s="648" t="n">
        <f aca="false">+H12+H18+H24+H30+H36+H42+H48+H54</f>
        <v>0</v>
      </c>
      <c r="I60" s="648" t="n">
        <f aca="false">+I12+I18+I24+I30+I36+I42+I48+I54</f>
        <v>4397646000</v>
      </c>
      <c r="J60" s="647" t="n">
        <f aca="false">+IFERROR(K60/I60,"-")</f>
        <v>0.645313492718605</v>
      </c>
      <c r="K60" s="648" t="n">
        <f aca="false">+K12+K18+K24+K30+K36+K42+K48+K54</f>
        <v>2837860300</v>
      </c>
      <c r="L60" s="648" t="n">
        <f aca="false">+L12+L18+L24+L30+L36+L42+L48+L54</f>
        <v>1559785700</v>
      </c>
      <c r="M60" s="694"/>
      <c r="N60" s="694"/>
      <c r="O60" s="651" t="n">
        <f aca="false">+IFERROR(P60/$I60,"-")</f>
        <v>0.55</v>
      </c>
      <c r="P60" s="648" t="n">
        <f aca="false">+P12+P18+P24+P30+P36+P42+P48+P54</f>
        <v>2418705300</v>
      </c>
      <c r="Q60" s="648" t="n">
        <f aca="false">+Q12+Q18+Q24+Q30+Q36+Q42+Q48+Q54</f>
        <v>2418705300</v>
      </c>
      <c r="R60" s="648" t="n">
        <f aca="false">+P60-Q60</f>
        <v>0</v>
      </c>
      <c r="S60" s="652"/>
      <c r="T60" s="694"/>
      <c r="U60" s="694"/>
      <c r="V60" s="651" t="n">
        <f aca="false">+IFERROR(W60/$I60,"-")</f>
        <v>0.0953134927186045</v>
      </c>
      <c r="W60" s="648" t="n">
        <f aca="false">+W12+W18+W24+W30+W36+W42+W48+W54</f>
        <v>419155000</v>
      </c>
      <c r="X60" s="648" t="n">
        <f aca="false">+X12+X18+X24+X30+X36+X42+X48+X54</f>
        <v>419155000</v>
      </c>
      <c r="Y60" s="648" t="n">
        <f aca="false">+Y12+Y18+Y24+Y30+Y36+Y42+Y48+Y54</f>
        <v>0</v>
      </c>
      <c r="Z60" s="652"/>
      <c r="AA60" s="694"/>
      <c r="AB60" s="694"/>
      <c r="AC60" s="651" t="n">
        <f aca="false">+IFERROR(AD60/$I60,"-")</f>
        <v>0.0546865072813956</v>
      </c>
      <c r="AD60" s="648" t="n">
        <f aca="false">+AD12+AD18+AD24+AD30+AD36+AD42+AD48+AD54</f>
        <v>240491900</v>
      </c>
      <c r="AE60" s="648" t="n">
        <f aca="false">+AE12+AE18+AE24+AE30+AE36+AE42+AE48+AE54</f>
        <v>0</v>
      </c>
      <c r="AF60" s="648" t="n">
        <f aca="false">+AD60-AE60</f>
        <v>240491900</v>
      </c>
      <c r="AG60" s="652"/>
      <c r="AH60" s="694"/>
      <c r="AI60" s="694"/>
      <c r="AJ60" s="651" t="n">
        <f aca="false">+IFERROR(AK60/$I60,"-")</f>
        <v>0</v>
      </c>
      <c r="AK60" s="648" t="n">
        <f aca="false">+AK12+AK18+AK24+AK30+AK36+AK42+AK48+AK54</f>
        <v>0</v>
      </c>
      <c r="AL60" s="648" t="n">
        <f aca="false">+AL12+AL18+AL24+AL30+AL36+AL42+AL48+AL54</f>
        <v>0</v>
      </c>
      <c r="AM60" s="648" t="n">
        <f aca="false">+AK60-AL60</f>
        <v>0</v>
      </c>
      <c r="AN60" s="652"/>
      <c r="AO60" s="694"/>
      <c r="AP60" s="694"/>
      <c r="AQ60" s="651" t="n">
        <f aca="false">+IFERROR(AR60/$I60,"-")</f>
        <v>0</v>
      </c>
      <c r="AR60" s="648" t="n">
        <f aca="false">+AR12+AR18+AR24+AR30+AR36+AR42+AR48+AR54</f>
        <v>0</v>
      </c>
      <c r="AS60" s="648" t="n">
        <f aca="false">+AS12+AS18+AS24+AS30+AS36+AS42+AS48+AS54</f>
        <v>0</v>
      </c>
      <c r="AT60" s="648" t="n">
        <f aca="false">+AR60-AS60</f>
        <v>0</v>
      </c>
      <c r="AU60" s="652"/>
      <c r="AV60" s="694"/>
      <c r="AW60" s="694"/>
      <c r="AX60" s="651" t="n">
        <f aca="false">+IFERROR(AY60/$I60,"-")</f>
        <v>0</v>
      </c>
      <c r="AY60" s="648" t="n">
        <f aca="false">+AY12+AY18+AY24+AY30+AY36+AY42+AY48+AY54</f>
        <v>0</v>
      </c>
      <c r="AZ60" s="648" t="n">
        <f aca="false">+AZ12+AZ18+AZ24+AZ30+AZ36+AZ42+AZ48+AZ54</f>
        <v>0</v>
      </c>
      <c r="BA60" s="648" t="n">
        <f aca="false">+AY60-AZ60</f>
        <v>0</v>
      </c>
      <c r="BB60" s="652"/>
      <c r="BC60" s="694"/>
      <c r="BD60" s="694"/>
      <c r="BE60" s="651" t="n">
        <f aca="false">+IFERROR(BF60/$I60,"-")</f>
        <v>0</v>
      </c>
      <c r="BF60" s="648" t="n">
        <f aca="false">+BF12+BF18+BF24+BF30+BF36+BF42+BF48+BF54</f>
        <v>0</v>
      </c>
      <c r="BG60" s="648" t="n">
        <f aca="false">+BG12+BG18+BG24+BG30+BG36+BG42+BG48+BG54</f>
        <v>0</v>
      </c>
      <c r="BH60" s="648" t="n">
        <f aca="false">+BF60-BG60</f>
        <v>0</v>
      </c>
      <c r="BI60" s="652"/>
      <c r="BJ60" s="694"/>
      <c r="BK60" s="694"/>
      <c r="BL60" s="651" t="n">
        <f aca="false">+IFERROR(BM60/$I60,"-")</f>
        <v>0.3</v>
      </c>
      <c r="BM60" s="648" t="n">
        <f aca="false">+BM12+BM18+BM24+BM30+BM36+BM42+BM48+BM54</f>
        <v>1319293800</v>
      </c>
      <c r="BN60" s="648" t="n">
        <f aca="false">+BN12+BN18+BN24+BN30+BN36+BN42+BN48+BN54</f>
        <v>0</v>
      </c>
      <c r="BO60" s="648" t="n">
        <f aca="false">+BM60-BN60</f>
        <v>1319293800</v>
      </c>
      <c r="BP60" s="652"/>
      <c r="BQ60" s="644"/>
      <c r="BR60" s="693" t="n">
        <f aca="false">+P60+W60+AD60+AR60+AY60+BF60+BM60=I60</f>
        <v>1</v>
      </c>
      <c r="BS60" s="693" t="n">
        <f aca="false">+Q60+X60+AE60+AS60+AZ60+BG60+BN60=K60</f>
        <v>1</v>
      </c>
      <c r="BT60" s="693"/>
      <c r="BU60" s="621"/>
      <c r="BV60" s="621"/>
      <c r="BW60" s="621"/>
      <c r="BX60" s="621"/>
      <c r="BY60" s="621"/>
      <c r="BZ60" s="621"/>
      <c r="CA60" s="621"/>
      <c r="CB60" s="621"/>
      <c r="CC60" s="625"/>
      <c r="CD60" s="625"/>
    </row>
    <row r="61" customFormat="false" ht="12.75" hidden="true" customHeight="false" outlineLevel="0" collapsed="false">
      <c r="A61" s="628"/>
      <c r="B61" s="685"/>
      <c r="C61" s="685"/>
      <c r="D61" s="686"/>
      <c r="E61" s="687"/>
      <c r="F61" s="695" t="s">
        <v>404</v>
      </c>
      <c r="G61" s="696" t="n">
        <f aca="false">+G13+G19+G25+G31+G37+G43+G49+G55</f>
        <v>0</v>
      </c>
      <c r="H61" s="696" t="n">
        <f aca="false">+H13+H19+H25+H31+H37+H43+H49+H55</f>
        <v>0</v>
      </c>
      <c r="I61" s="696" t="n">
        <f aca="false">+I13+I19+I25+I31+I37+I43+I49+I55</f>
        <v>0</v>
      </c>
      <c r="J61" s="695" t="str">
        <f aca="false">+IFERROR(K61/I61,"-")</f>
        <v>-</v>
      </c>
      <c r="K61" s="696" t="n">
        <f aca="false">+K13+K19+K25+K31+K37+K43+K49+K55</f>
        <v>0</v>
      </c>
      <c r="L61" s="696" t="n">
        <f aca="false">+L13+L19+L25+L31+L37+L43+L49+L55</f>
        <v>0</v>
      </c>
      <c r="M61" s="697"/>
      <c r="N61" s="697"/>
      <c r="O61" s="698" t="str">
        <f aca="false">+IFERROR(P61/$I61,"-")</f>
        <v>-</v>
      </c>
      <c r="P61" s="696" t="n">
        <f aca="false">+P13+P19+P25+P31+P37+P43+P49+P55</f>
        <v>0</v>
      </c>
      <c r="Q61" s="696" t="n">
        <f aca="false">+Q13+Q19+Q25+Q31+Q37+Q43+Q49+Q55</f>
        <v>0</v>
      </c>
      <c r="R61" s="696" t="n">
        <f aca="false">+P61-Q61</f>
        <v>0</v>
      </c>
      <c r="S61" s="699"/>
      <c r="T61" s="697"/>
      <c r="U61" s="697"/>
      <c r="V61" s="698" t="str">
        <f aca="false">+IFERROR(W61/$I61,"-")</f>
        <v>-</v>
      </c>
      <c r="W61" s="696" t="n">
        <f aca="false">+W13+W19+W25+W31+W37+W43+W49+W55</f>
        <v>0</v>
      </c>
      <c r="X61" s="696" t="n">
        <f aca="false">+X13+X19+X25+X31+X37+X43+X49+X55</f>
        <v>0</v>
      </c>
      <c r="Y61" s="696" t="n">
        <f aca="false">+W61-X61</f>
        <v>0</v>
      </c>
      <c r="Z61" s="699"/>
      <c r="AA61" s="697"/>
      <c r="AB61" s="697"/>
      <c r="AC61" s="698" t="str">
        <f aca="false">+IFERROR(AD61/$I61,"-")</f>
        <v>-</v>
      </c>
      <c r="AD61" s="696" t="n">
        <f aca="false">+AD13+AD19+AD25+AD31+AD37+AD43+AD49+AD55</f>
        <v>0</v>
      </c>
      <c r="AE61" s="696" t="n">
        <f aca="false">+AE13+AE19+AE25+AE31+AE37+AE43+AE49+AE55</f>
        <v>0</v>
      </c>
      <c r="AF61" s="696" t="n">
        <f aca="false">+AD61-AE61</f>
        <v>0</v>
      </c>
      <c r="AG61" s="699"/>
      <c r="AH61" s="697"/>
      <c r="AI61" s="697"/>
      <c r="AJ61" s="698" t="str">
        <f aca="false">+IFERROR(AK61/$I61,"-")</f>
        <v>-</v>
      </c>
      <c r="AK61" s="696" t="n">
        <f aca="false">+AK13+AK19+AK25+AK31+AK37+AK43+AK49+AK55</f>
        <v>0</v>
      </c>
      <c r="AL61" s="696" t="n">
        <f aca="false">+AL13+AL19+AL25+AL31+AL37+AL43+AL49+AL55</f>
        <v>0</v>
      </c>
      <c r="AM61" s="696" t="n">
        <f aca="false">+AK61-AL61</f>
        <v>0</v>
      </c>
      <c r="AN61" s="699"/>
      <c r="AO61" s="697"/>
      <c r="AP61" s="697"/>
      <c r="AQ61" s="698" t="str">
        <f aca="false">+IFERROR(AR61/$I61,"-")</f>
        <v>-</v>
      </c>
      <c r="AR61" s="696" t="n">
        <f aca="false">+AR13+AR19+AR25+AR31+AR37+AR43+AR49+AR55</f>
        <v>0</v>
      </c>
      <c r="AS61" s="696" t="n">
        <f aca="false">+AS13+AS19+AS25+AS31+AS37+AS43+AS49+AS55</f>
        <v>0</v>
      </c>
      <c r="AT61" s="696" t="n">
        <f aca="false">+AR61-AS61</f>
        <v>0</v>
      </c>
      <c r="AU61" s="699"/>
      <c r="AV61" s="697"/>
      <c r="AW61" s="697"/>
      <c r="AX61" s="698" t="str">
        <f aca="false">+IFERROR(AY61/$I61,"-")</f>
        <v>-</v>
      </c>
      <c r="AY61" s="696" t="n">
        <f aca="false">+AY13+AY19+AY25+AY31+AY37+AY43+AY49+AY55</f>
        <v>0</v>
      </c>
      <c r="AZ61" s="696" t="n">
        <f aca="false">+AZ13+AZ19+AZ25+AZ31+AZ37+AZ43+AZ49+AZ55</f>
        <v>0</v>
      </c>
      <c r="BA61" s="696" t="n">
        <f aca="false">+AY61-AZ61</f>
        <v>0</v>
      </c>
      <c r="BB61" s="699"/>
      <c r="BC61" s="697"/>
      <c r="BD61" s="697"/>
      <c r="BE61" s="698" t="str">
        <f aca="false">+IFERROR(BF61/$I61,"-")</f>
        <v>-</v>
      </c>
      <c r="BF61" s="696" t="n">
        <f aca="false">+BF13+BF19+BF25+BF31+BF37+BF43+BF49+BF55</f>
        <v>0</v>
      </c>
      <c r="BG61" s="696" t="n">
        <f aca="false">+BG13+BG19+BG25+BG31+BG37+BG43+BG49+BG55</f>
        <v>0</v>
      </c>
      <c r="BH61" s="696" t="n">
        <f aca="false">+BF61-BG61</f>
        <v>0</v>
      </c>
      <c r="BI61" s="699"/>
      <c r="BJ61" s="697"/>
      <c r="BK61" s="697"/>
      <c r="BL61" s="698" t="str">
        <f aca="false">+IFERROR(BM61/$I61,"-")</f>
        <v>-</v>
      </c>
      <c r="BM61" s="696" t="n">
        <f aca="false">+BM13+BM19+BM25+BM31+BM37+BM43+BM49+BM55</f>
        <v>0</v>
      </c>
      <c r="BN61" s="696" t="n">
        <f aca="false">+BN13+BN19+BN25+BN31+BN37+BN43+BN49+BN55</f>
        <v>0</v>
      </c>
      <c r="BO61" s="696" t="n">
        <f aca="false">+BM61-BN61</f>
        <v>0</v>
      </c>
      <c r="BP61" s="699"/>
      <c r="BQ61" s="644"/>
      <c r="BR61" s="693" t="n">
        <f aca="false">+P61+W61+AD61+AR61+AY61+BF61+BM61=I61</f>
        <v>1</v>
      </c>
      <c r="BS61" s="693" t="n">
        <f aca="false">+Q61+X61+AE61+AS61+AZ61+BG61+BN61=K61</f>
        <v>1</v>
      </c>
      <c r="BT61" s="693"/>
      <c r="BU61" s="621"/>
      <c r="BV61" s="621"/>
      <c r="BW61" s="621"/>
      <c r="BX61" s="621"/>
      <c r="BY61" s="621"/>
      <c r="BZ61" s="621"/>
      <c r="CA61" s="621"/>
      <c r="CB61" s="621"/>
      <c r="CC61" s="625"/>
      <c r="CD61" s="625"/>
    </row>
    <row r="62" customFormat="false" ht="16.5" hidden="true" customHeight="true" outlineLevel="0" collapsed="false">
      <c r="A62" s="628"/>
      <c r="B62" s="685"/>
      <c r="C62" s="685"/>
      <c r="D62" s="686"/>
      <c r="E62" s="687"/>
      <c r="F62" s="695" t="s">
        <v>507</v>
      </c>
      <c r="G62" s="696" t="n">
        <f aca="false">+G14+G20+G26+G32+G38+G44+G50+G56</f>
        <v>0</v>
      </c>
      <c r="H62" s="696" t="n">
        <f aca="false">+H14+H20+H26+H32+H38+H44+H50+H56</f>
        <v>0</v>
      </c>
      <c r="I62" s="696" t="n">
        <f aca="false">+I14+I20+I26+I32+I38+I44+I50+I56</f>
        <v>0</v>
      </c>
      <c r="J62" s="695" t="str">
        <f aca="false">+IFERROR(K62/I62,"-")</f>
        <v>-</v>
      </c>
      <c r="K62" s="696" t="n">
        <f aca="false">+K14+K20+K26+K32+K38+K44+K50+K56</f>
        <v>0</v>
      </c>
      <c r="L62" s="696" t="n">
        <f aca="false">+L14+L20+L26+L32+L38+L44+L50+L56</f>
        <v>0</v>
      </c>
      <c r="M62" s="697"/>
      <c r="N62" s="697"/>
      <c r="O62" s="698" t="str">
        <f aca="false">+IFERROR(P62/$I62,"-")</f>
        <v>-</v>
      </c>
      <c r="P62" s="696" t="n">
        <f aca="false">+P14+P20+P26+P32+P38+P44+P50+P56</f>
        <v>0</v>
      </c>
      <c r="Q62" s="696" t="n">
        <f aca="false">+Q14+Q20+Q26+Q32+Q38+Q44+Q50+Q56</f>
        <v>0</v>
      </c>
      <c r="R62" s="696" t="n">
        <f aca="false">+P62-Q62</f>
        <v>0</v>
      </c>
      <c r="S62" s="699"/>
      <c r="T62" s="697"/>
      <c r="U62" s="697"/>
      <c r="V62" s="698" t="str">
        <f aca="false">+IFERROR(W62/$I62,"-")</f>
        <v>-</v>
      </c>
      <c r="W62" s="696" t="n">
        <f aca="false">+W14+W20+W26+W32+W38+W44+W50+W56</f>
        <v>0</v>
      </c>
      <c r="X62" s="696" t="n">
        <f aca="false">+X14+X20+X26+X32+X38+X44+X50+X56</f>
        <v>0</v>
      </c>
      <c r="Y62" s="696" t="n">
        <f aca="false">+W62-X62</f>
        <v>0</v>
      </c>
      <c r="Z62" s="699"/>
      <c r="AA62" s="697"/>
      <c r="AB62" s="697"/>
      <c r="AC62" s="698" t="str">
        <f aca="false">+IFERROR(AD62/$I62,"-")</f>
        <v>-</v>
      </c>
      <c r="AD62" s="696" t="n">
        <f aca="false">+AD14+AD20+AD26+AD32+AD38+AD44+AD50+AD56</f>
        <v>0</v>
      </c>
      <c r="AE62" s="696" t="n">
        <f aca="false">+AE14+AE20+AE26+AE32+AE38+AE44+AE50+AE56</f>
        <v>0</v>
      </c>
      <c r="AF62" s="696" t="n">
        <f aca="false">+AD62-AE62</f>
        <v>0</v>
      </c>
      <c r="AG62" s="699"/>
      <c r="AH62" s="697"/>
      <c r="AI62" s="697"/>
      <c r="AJ62" s="698" t="str">
        <f aca="false">+IFERROR(AK62/$I62,"-")</f>
        <v>-</v>
      </c>
      <c r="AK62" s="696" t="n">
        <f aca="false">+AK14+AK20+AK26+AK32+AK38+AK44+AK50+AK56</f>
        <v>0</v>
      </c>
      <c r="AL62" s="696" t="n">
        <f aca="false">+AL14+AL20+AL26+AL32+AL38+AL44+AL50+AL56</f>
        <v>0</v>
      </c>
      <c r="AM62" s="696" t="n">
        <f aca="false">+AK62-AL62</f>
        <v>0</v>
      </c>
      <c r="AN62" s="699"/>
      <c r="AO62" s="697"/>
      <c r="AP62" s="697"/>
      <c r="AQ62" s="698" t="str">
        <f aca="false">+IFERROR(AR62/$I62,"-")</f>
        <v>-</v>
      </c>
      <c r="AR62" s="696" t="n">
        <f aca="false">+AR14+AR20+AR26+AR32+AR38+AR44+AR50+AR56</f>
        <v>0</v>
      </c>
      <c r="AS62" s="696" t="n">
        <f aca="false">+AS14+AS20+AS26+AS32+AS38+AS44+AS50+AS56</f>
        <v>0</v>
      </c>
      <c r="AT62" s="696" t="n">
        <f aca="false">+AR62-AS62</f>
        <v>0</v>
      </c>
      <c r="AU62" s="699"/>
      <c r="AV62" s="697"/>
      <c r="AW62" s="697"/>
      <c r="AX62" s="698" t="str">
        <f aca="false">+IFERROR(AY62/$I62,"-")</f>
        <v>-</v>
      </c>
      <c r="AY62" s="696" t="n">
        <f aca="false">+AY14+AY20+AY26+AY32+AY38+AY44+AY50+AY56</f>
        <v>0</v>
      </c>
      <c r="AZ62" s="696" t="n">
        <f aca="false">+AZ14+AZ20+AZ26+AZ32+AZ38+AZ44+AZ50+AZ56</f>
        <v>0</v>
      </c>
      <c r="BA62" s="696" t="n">
        <f aca="false">+AY62-AZ62</f>
        <v>0</v>
      </c>
      <c r="BB62" s="699"/>
      <c r="BC62" s="697"/>
      <c r="BD62" s="697"/>
      <c r="BE62" s="698" t="str">
        <f aca="false">+IFERROR(BF62/$I62,"-")</f>
        <v>-</v>
      </c>
      <c r="BF62" s="696" t="n">
        <f aca="false">+BF14+BF20+BF26+BF32+BF38+BF44+BF50+BF56</f>
        <v>0</v>
      </c>
      <c r="BG62" s="696" t="n">
        <f aca="false">+BG14+BG20+BG26+BG32+BG38+BG44+BG50+BG56</f>
        <v>0</v>
      </c>
      <c r="BH62" s="696" t="n">
        <f aca="false">+BF62-BG62</f>
        <v>0</v>
      </c>
      <c r="BI62" s="699"/>
      <c r="BJ62" s="697"/>
      <c r="BK62" s="697"/>
      <c r="BL62" s="698" t="str">
        <f aca="false">+IFERROR(BM62/$I62,"-")</f>
        <v>-</v>
      </c>
      <c r="BM62" s="696" t="n">
        <f aca="false">+BM14+BM20+BM26+BM32+BM38+BM44+BM50+BM56</f>
        <v>0</v>
      </c>
      <c r="BN62" s="696" t="n">
        <f aca="false">+BN14+BN20+BN26+BN32+BN38+BN44+BN50+BN56</f>
        <v>0</v>
      </c>
      <c r="BO62" s="696" t="n">
        <f aca="false">+BM62-BN62</f>
        <v>0</v>
      </c>
      <c r="BP62" s="699"/>
      <c r="BQ62" s="644"/>
      <c r="BR62" s="693" t="n">
        <f aca="false">+P62+W62+AD62+AR62+AY62+BF62+BM62=I62</f>
        <v>1</v>
      </c>
      <c r="BS62" s="693" t="n">
        <f aca="false">+Q62+X62+AE62+AS62+AZ62+BG62+BN62=K62</f>
        <v>1</v>
      </c>
      <c r="BT62" s="693"/>
      <c r="BU62" s="621"/>
      <c r="BV62" s="621"/>
      <c r="BW62" s="621"/>
      <c r="BX62" s="621"/>
      <c r="BY62" s="621"/>
      <c r="BZ62" s="621"/>
      <c r="CA62" s="621"/>
      <c r="CB62" s="621"/>
      <c r="CC62" s="625"/>
      <c r="CD62" s="625"/>
    </row>
    <row r="63" customFormat="false" ht="16.5" hidden="true" customHeight="true" outlineLevel="0" collapsed="false">
      <c r="A63" s="628"/>
      <c r="B63" s="685"/>
      <c r="C63" s="685"/>
      <c r="D63" s="686"/>
      <c r="E63" s="687"/>
      <c r="F63" s="700" t="s">
        <v>508</v>
      </c>
      <c r="G63" s="701" t="n">
        <f aca="false">+G15+G21+G27+G33+G39+G45+G51+G57</f>
        <v>0</v>
      </c>
      <c r="H63" s="701" t="n">
        <f aca="false">+H15+H21+H27+H33+H39+H45+H51+H57</f>
        <v>0</v>
      </c>
      <c r="I63" s="701" t="n">
        <f aca="false">+I15+I21+I27+I33+I39+I45+I51+I57</f>
        <v>0</v>
      </c>
      <c r="J63" s="700" t="str">
        <f aca="false">+IFERROR(K63/I63,"-")</f>
        <v>-</v>
      </c>
      <c r="K63" s="701" t="n">
        <f aca="false">+K15+K21+K27+K33+K39+K45+K51+K57</f>
        <v>0</v>
      </c>
      <c r="L63" s="701" t="n">
        <f aca="false">+L15+L21+L27+L33+L39+L45+L51+L57</f>
        <v>0</v>
      </c>
      <c r="M63" s="700"/>
      <c r="N63" s="700"/>
      <c r="O63" s="702" t="str">
        <f aca="false">+IFERROR(P63/$I63,"-")</f>
        <v>-</v>
      </c>
      <c r="P63" s="701" t="n">
        <f aca="false">+P15+P21+P27+P33+P39+P45+P51+P57</f>
        <v>0</v>
      </c>
      <c r="Q63" s="701" t="n">
        <f aca="false">+Q15+Q21+Q27+Q33+Q39+Q45+Q51+Q57</f>
        <v>0</v>
      </c>
      <c r="R63" s="701" t="n">
        <f aca="false">+P63-Q63</f>
        <v>0</v>
      </c>
      <c r="S63" s="700"/>
      <c r="T63" s="700"/>
      <c r="U63" s="700"/>
      <c r="V63" s="702" t="str">
        <f aca="false">+IFERROR(W63/$I63,"-")</f>
        <v>-</v>
      </c>
      <c r="W63" s="701" t="n">
        <f aca="false">+W15+W21+W27+W33+W39+W45+W51+W57</f>
        <v>0</v>
      </c>
      <c r="X63" s="701" t="n">
        <f aca="false">+X15+X21+X27+X33+X39+X45+X51+X57</f>
        <v>0</v>
      </c>
      <c r="Y63" s="701" t="n">
        <f aca="false">+W63-X63</f>
        <v>0</v>
      </c>
      <c r="Z63" s="700"/>
      <c r="AA63" s="700"/>
      <c r="AB63" s="700"/>
      <c r="AC63" s="702" t="str">
        <f aca="false">+IFERROR(AD63/$I63,"-")</f>
        <v>-</v>
      </c>
      <c r="AD63" s="701" t="n">
        <f aca="false">+AD15+AD21+AD27+AD33+AD39+AD45+AD51+AD57</f>
        <v>0</v>
      </c>
      <c r="AE63" s="701" t="n">
        <f aca="false">+AE15+AE21+AE27+AE33+AE39+AE45+AE51+AE57</f>
        <v>0</v>
      </c>
      <c r="AF63" s="701" t="n">
        <f aca="false">+AD63-AE63</f>
        <v>0</v>
      </c>
      <c r="AG63" s="700"/>
      <c r="AH63" s="700"/>
      <c r="AI63" s="700"/>
      <c r="AJ63" s="702" t="str">
        <f aca="false">+IFERROR(AK63/$I63,"-")</f>
        <v>-</v>
      </c>
      <c r="AK63" s="701" t="n">
        <f aca="false">+AK15+AK21+AK27+AK33+AK39+AK45+AK51+AK57</f>
        <v>0</v>
      </c>
      <c r="AL63" s="701" t="n">
        <f aca="false">+AL15+AL21+AL27+AL33+AL39+AL45+AL51+AL57</f>
        <v>0</v>
      </c>
      <c r="AM63" s="701" t="n">
        <f aca="false">+AK63-AL63</f>
        <v>0</v>
      </c>
      <c r="AN63" s="700"/>
      <c r="AO63" s="700"/>
      <c r="AP63" s="700"/>
      <c r="AQ63" s="702" t="str">
        <f aca="false">+IFERROR(AR63/$I63,"-")</f>
        <v>-</v>
      </c>
      <c r="AR63" s="701" t="n">
        <f aca="false">+AR15+AR21+AR27+AR33+AR39+AR45+AR51+AR57</f>
        <v>0</v>
      </c>
      <c r="AS63" s="701" t="n">
        <f aca="false">+AS15+AS21+AS27+AS33+AS39+AS45+AS51+AS57</f>
        <v>0</v>
      </c>
      <c r="AT63" s="701" t="n">
        <f aca="false">+AR63-AS63</f>
        <v>0</v>
      </c>
      <c r="AU63" s="700"/>
      <c r="AV63" s="700"/>
      <c r="AW63" s="700"/>
      <c r="AX63" s="702" t="str">
        <f aca="false">+IFERROR(AY63/$I63,"-")</f>
        <v>-</v>
      </c>
      <c r="AY63" s="701" t="n">
        <f aca="false">+AY15+AY21+AY27+AY33+AY39+AY45+AY51+AY57</f>
        <v>0</v>
      </c>
      <c r="AZ63" s="701" t="n">
        <f aca="false">+AZ15+AZ21+AZ27+AZ33+AZ39+AZ45+AZ51+AZ57</f>
        <v>0</v>
      </c>
      <c r="BA63" s="701" t="n">
        <f aca="false">+AY63-AZ63</f>
        <v>0</v>
      </c>
      <c r="BB63" s="700"/>
      <c r="BC63" s="700"/>
      <c r="BD63" s="700"/>
      <c r="BE63" s="702" t="str">
        <f aca="false">+IFERROR(BF63/$I63,"-")</f>
        <v>-</v>
      </c>
      <c r="BF63" s="701" t="n">
        <f aca="false">+BF15+BF21+BF27+BF33+BF39+BF45+BF51+BF57</f>
        <v>0</v>
      </c>
      <c r="BG63" s="701" t="n">
        <f aca="false">+BG15+BG21+BG27+BG33+BG39+BG45+BG51+BG57</f>
        <v>0</v>
      </c>
      <c r="BH63" s="701" t="n">
        <f aca="false">+BF63-BG63</f>
        <v>0</v>
      </c>
      <c r="BI63" s="700"/>
      <c r="BJ63" s="700"/>
      <c r="BK63" s="700"/>
      <c r="BL63" s="702" t="str">
        <f aca="false">+IFERROR(BM63/$I63,"-")</f>
        <v>-</v>
      </c>
      <c r="BM63" s="701" t="n">
        <f aca="false">+BM15+BM21+BM27+BM33+BM39+BM45+BM51+BM57</f>
        <v>0</v>
      </c>
      <c r="BN63" s="701" t="n">
        <f aca="false">+BN15+BN21+BN27+BN33+BN39+BN45+BN51+BN57</f>
        <v>0</v>
      </c>
      <c r="BO63" s="701" t="n">
        <f aca="false">+BM63-BN63</f>
        <v>0</v>
      </c>
      <c r="BP63" s="700"/>
      <c r="BQ63" s="666"/>
      <c r="BR63" s="703" t="n">
        <f aca="false">+P63+W63+AD63+AR63+AY63+BF63+BM63=I63</f>
        <v>1</v>
      </c>
      <c r="BS63" s="704" t="n">
        <f aca="false">+Q63+X63+AE63+AS63+AZ63+BG63+BN63=K63</f>
        <v>1</v>
      </c>
      <c r="BT63" s="704"/>
      <c r="BU63" s="621"/>
      <c r="BV63" s="621"/>
      <c r="BW63" s="621"/>
      <c r="BX63" s="621"/>
      <c r="BY63" s="621"/>
      <c r="BZ63" s="621"/>
      <c r="CA63" s="621"/>
      <c r="CB63" s="621"/>
      <c r="CC63" s="625"/>
      <c r="CD63" s="625"/>
    </row>
    <row r="64" customFormat="false" ht="12.75" hidden="false" customHeight="false" outlineLevel="0" collapsed="false">
      <c r="A64" s="628"/>
      <c r="B64" s="685"/>
      <c r="C64" s="685"/>
      <c r="D64" s="686"/>
      <c r="E64" s="686"/>
      <c r="F64" s="705" t="s">
        <v>109</v>
      </c>
      <c r="G64" s="706" t="n">
        <f aca="false">SUM(G59:G63)</f>
        <v>13013034300</v>
      </c>
      <c r="H64" s="706" t="n">
        <f aca="false">SUM(H59:H63)</f>
        <v>861538830</v>
      </c>
      <c r="I64" s="706" t="n">
        <f aca="false">SUM(I59:I63)</f>
        <v>13874573130</v>
      </c>
      <c r="J64" s="705" t="n">
        <f aca="false">+IFERROR(K64/I64,"-")</f>
        <v>0.271133408195889</v>
      </c>
      <c r="K64" s="706" t="n">
        <f aca="false">SUM(K59:K63)</f>
        <v>3761860300</v>
      </c>
      <c r="L64" s="706" t="n">
        <f aca="false">SUM(L59:L63)</f>
        <v>10112712830</v>
      </c>
      <c r="M64" s="707"/>
      <c r="N64" s="705"/>
      <c r="O64" s="708" t="n">
        <f aca="false">+IFERROR(P64/$I64,"-")</f>
        <v>0.1743264659271</v>
      </c>
      <c r="P64" s="706" t="n">
        <f aca="false">SUM(P59:P63)</f>
        <v>2418705300</v>
      </c>
      <c r="Q64" s="706" t="n">
        <f aca="false">SUM(Q59:Q63)</f>
        <v>2418705300</v>
      </c>
      <c r="R64" s="709" t="n">
        <f aca="false">+P64-Q64</f>
        <v>0</v>
      </c>
      <c r="S64" s="705"/>
      <c r="T64" s="707"/>
      <c r="U64" s="705"/>
      <c r="V64" s="708" t="n">
        <f aca="false">+IFERROR(W64/$I64,"-")</f>
        <v>0.0302102988014594</v>
      </c>
      <c r="W64" s="706" t="n">
        <f aca="false">SUM(W59:W63)</f>
        <v>419155000</v>
      </c>
      <c r="X64" s="706" t="n">
        <f aca="false">SUM(X59:X63)</f>
        <v>419155000</v>
      </c>
      <c r="Y64" s="709" t="n">
        <f aca="false">+W64-X64</f>
        <v>0</v>
      </c>
      <c r="Z64" s="705"/>
      <c r="AA64" s="707"/>
      <c r="AB64" s="705"/>
      <c r="AC64" s="708" t="n">
        <f aca="false">+IFERROR(AD64/$I64,"-")</f>
        <v>0.150455311341171</v>
      </c>
      <c r="AD64" s="706" t="n">
        <f aca="false">SUM(AD59:AD63)</f>
        <v>2087503220</v>
      </c>
      <c r="AE64" s="706" t="n">
        <f aca="false">SUM(AE59:AE63)</f>
        <v>924000000</v>
      </c>
      <c r="AF64" s="709" t="n">
        <f aca="false">+AD64-AE64</f>
        <v>1163503220</v>
      </c>
      <c r="AG64" s="705"/>
      <c r="AH64" s="707"/>
      <c r="AI64" s="705"/>
      <c r="AJ64" s="708" t="n">
        <f aca="false">+IFERROR(AK64/$I64,"-")</f>
        <v>0</v>
      </c>
      <c r="AK64" s="706" t="n">
        <f aca="false">SUM(AK59:AK63)</f>
        <v>0</v>
      </c>
      <c r="AL64" s="706" t="n">
        <f aca="false">SUM(AL59:AL63)</f>
        <v>924000000</v>
      </c>
      <c r="AM64" s="709" t="n">
        <f aca="false">+AK64-AL64</f>
        <v>-924000000</v>
      </c>
      <c r="AN64" s="705"/>
      <c r="AO64" s="707"/>
      <c r="AP64" s="705"/>
      <c r="AQ64" s="708" t="n">
        <f aca="false">+IFERROR(AR64/$I64,"-")</f>
        <v>0.350237717908082</v>
      </c>
      <c r="AR64" s="706" t="n">
        <f aca="false">SUM(AR59:AR63)</f>
        <v>4859398830</v>
      </c>
      <c r="AS64" s="706" t="n">
        <f aca="false">SUM(AS59:AS63)</f>
        <v>0</v>
      </c>
      <c r="AT64" s="709" t="n">
        <f aca="false">+AR64-AS64</f>
        <v>4859398830</v>
      </c>
      <c r="AU64" s="705"/>
      <c r="AV64" s="707"/>
      <c r="AW64" s="705"/>
      <c r="AX64" s="708" t="n">
        <f aca="false">+IFERROR(AY64/$I64,"-")</f>
        <v>0</v>
      </c>
      <c r="AY64" s="706" t="n">
        <f aca="false">SUM(AY59:AY63)</f>
        <v>0</v>
      </c>
      <c r="AZ64" s="706" t="n">
        <f aca="false">SUM(AZ59:AZ63)</f>
        <v>0</v>
      </c>
      <c r="BA64" s="709" t="n">
        <f aca="false">+AY64-AZ64</f>
        <v>0</v>
      </c>
      <c r="BB64" s="705"/>
      <c r="BC64" s="707"/>
      <c r="BD64" s="705"/>
      <c r="BE64" s="708" t="n">
        <f aca="false">+IFERROR(BF64/$I64,"-")</f>
        <v>0.166402535657686</v>
      </c>
      <c r="BF64" s="706" t="n">
        <f aca="false">SUM(BF59:BF63)</f>
        <v>2308764150</v>
      </c>
      <c r="BG64" s="706" t="n">
        <f aca="false">SUM(BG59:BG63)</f>
        <v>0</v>
      </c>
      <c r="BH64" s="709" t="n">
        <f aca="false">+BF64-BG64</f>
        <v>2308764150</v>
      </c>
      <c r="BI64" s="705"/>
      <c r="BJ64" s="707"/>
      <c r="BK64" s="705"/>
      <c r="BL64" s="708" t="n">
        <f aca="false">+IFERROR(BM64/$I64,"-")</f>
        <v>0.128367670364501</v>
      </c>
      <c r="BM64" s="706" t="n">
        <f aca="false">SUM(BM59:BM63)</f>
        <v>1781046630</v>
      </c>
      <c r="BN64" s="706" t="n">
        <f aca="false">SUM(BN59:BN63)</f>
        <v>0</v>
      </c>
      <c r="BO64" s="709" t="n">
        <f aca="false">+BM64-BN64</f>
        <v>1781046630</v>
      </c>
      <c r="BP64" s="705"/>
      <c r="BQ64" s="666"/>
      <c r="BR64" s="710"/>
      <c r="BS64" s="711"/>
      <c r="BT64" s="711"/>
      <c r="BU64" s="621"/>
      <c r="BV64" s="621"/>
      <c r="BW64" s="621"/>
      <c r="BX64" s="621"/>
      <c r="BY64" s="621"/>
      <c r="BZ64" s="621"/>
      <c r="CA64" s="621"/>
      <c r="CB64" s="621"/>
      <c r="CC64" s="625"/>
      <c r="CD64" s="625"/>
    </row>
    <row r="65" customFormat="false" ht="12.75" hidden="false" customHeight="false" outlineLevel="0" collapsed="false">
      <c r="G65" s="712"/>
    </row>
    <row r="66" customFormat="false" ht="12.75" hidden="false" customHeight="false" outlineLevel="0" collapsed="false">
      <c r="AD66" s="713" t="n">
        <f aca="false">+D11+D17+D23+D29</f>
        <v>3998.36</v>
      </c>
      <c r="AR66" s="714" t="n">
        <f aca="false">+AR11+AR17+AR23+AR29</f>
        <v>2430003290</v>
      </c>
    </row>
    <row r="67" customFormat="false" ht="12.75" hidden="false" customHeight="false" outlineLevel="0" collapsed="false">
      <c r="D67" s="715"/>
      <c r="E67" s="716"/>
      <c r="AD67" s="716" t="n">
        <v>1050000000</v>
      </c>
      <c r="AE67" s="716" t="n">
        <f aca="false">+AD67*AD66/1000*1.1</f>
        <v>4618105800</v>
      </c>
      <c r="AL67" s="712" t="n">
        <f aca="false">+AL59+AE59</f>
        <v>1848000000</v>
      </c>
      <c r="AR67" s="40" t="n">
        <f aca="false">+AR66/1470</f>
        <v>1653063.46258503</v>
      </c>
    </row>
    <row r="68" customFormat="false" ht="12.75" hidden="false" customHeight="false" outlineLevel="0" collapsed="false">
      <c r="D68" s="717"/>
      <c r="E68" s="716"/>
      <c r="AD68" s="716" t="n">
        <f aca="false">+D59*1050000000/1000*20%*1.1</f>
        <v>1847011320</v>
      </c>
      <c r="AE68" s="716" t="n">
        <f aca="false">+AE67*50%</f>
        <v>2309052900</v>
      </c>
      <c r="AL68" s="40" t="n">
        <f aca="false">+AL67/1470</f>
        <v>1257142.85714286</v>
      </c>
    </row>
    <row r="69" customFormat="false" ht="12.75" hidden="false" customHeight="false" outlineLevel="0" collapsed="false">
      <c r="E69" s="716"/>
      <c r="AD69" s="718" t="n">
        <f aca="false">+AD68/1470</f>
        <v>1256470.28571429</v>
      </c>
      <c r="AE69" s="40" t="n">
        <v>942464.87</v>
      </c>
      <c r="AL69" s="40" t="n">
        <f aca="false">+AL68-942464.87</f>
        <v>314677.987142857</v>
      </c>
    </row>
    <row r="70" customFormat="false" ht="12.75" hidden="false" customHeight="false" outlineLevel="0" collapsed="false">
      <c r="E70" s="716"/>
      <c r="AD70" s="40" t="n">
        <f aca="false">+AD69/2</f>
        <v>628235.142857143</v>
      </c>
      <c r="AE70" s="40" t="n">
        <v>1470</v>
      </c>
    </row>
    <row r="71" customFormat="false" ht="12.75" hidden="false" customHeight="false" outlineLevel="0" collapsed="false">
      <c r="E71" s="716"/>
      <c r="W71" s="716"/>
      <c r="Y71" s="716"/>
      <c r="AD71" s="716"/>
      <c r="AE71" s="716" t="n">
        <f aca="false">+AE69*AE70</f>
        <v>1385423358.9</v>
      </c>
      <c r="AF71" s="716"/>
      <c r="AK71" s="716"/>
      <c r="AM71" s="716"/>
      <c r="AR71" s="716"/>
      <c r="AT71" s="716"/>
      <c r="AY71" s="716"/>
      <c r="BA71" s="716"/>
      <c r="BF71" s="716"/>
      <c r="BH71" s="716"/>
      <c r="BM71" s="716"/>
      <c r="BO71" s="716"/>
      <c r="BU71" s="716"/>
      <c r="BV71" s="716"/>
      <c r="BY71" s="716"/>
    </row>
    <row r="72" customFormat="false" ht="12.75" hidden="false" customHeight="false" outlineLevel="0" collapsed="false">
      <c r="E72" s="716"/>
    </row>
  </sheetData>
  <mergeCells count="54">
    <mergeCell ref="B8:C8"/>
    <mergeCell ref="B9:B10"/>
    <mergeCell ref="C9:C10"/>
    <mergeCell ref="D9:D10"/>
    <mergeCell ref="E9:E10"/>
    <mergeCell ref="F9:F10"/>
    <mergeCell ref="G9:G10"/>
    <mergeCell ref="H9:H10"/>
    <mergeCell ref="I9:I10"/>
    <mergeCell ref="J9:L9"/>
    <mergeCell ref="M9:S9"/>
    <mergeCell ref="T9:Z9"/>
    <mergeCell ref="AA9:AG9"/>
    <mergeCell ref="AH9:AN9"/>
    <mergeCell ref="AO9:AU9"/>
    <mergeCell ref="AV9:BB9"/>
    <mergeCell ref="BC9:BI9"/>
    <mergeCell ref="BJ9:BP9"/>
    <mergeCell ref="BR9:BT10"/>
    <mergeCell ref="B11:B16"/>
    <mergeCell ref="C11:C16"/>
    <mergeCell ref="D11:D16"/>
    <mergeCell ref="E11:E16"/>
    <mergeCell ref="B17:B22"/>
    <mergeCell ref="C17:C22"/>
    <mergeCell ref="D17:D22"/>
    <mergeCell ref="E17:E22"/>
    <mergeCell ref="B23:B28"/>
    <mergeCell ref="C23:C28"/>
    <mergeCell ref="D23:D28"/>
    <mergeCell ref="E23:E28"/>
    <mergeCell ref="B29:B34"/>
    <mergeCell ref="C29:C34"/>
    <mergeCell ref="D29:D34"/>
    <mergeCell ref="E29:E34"/>
    <mergeCell ref="B35:B40"/>
    <mergeCell ref="C35:C40"/>
    <mergeCell ref="D35:D40"/>
    <mergeCell ref="E35:E40"/>
    <mergeCell ref="B41:B46"/>
    <mergeCell ref="C41:C46"/>
    <mergeCell ref="D41:D46"/>
    <mergeCell ref="E41:E46"/>
    <mergeCell ref="B47:B52"/>
    <mergeCell ref="C47:C52"/>
    <mergeCell ref="D47:D52"/>
    <mergeCell ref="E47:E52"/>
    <mergeCell ref="B53:B58"/>
    <mergeCell ref="C53:C58"/>
    <mergeCell ref="D53:D58"/>
    <mergeCell ref="E53:E58"/>
    <mergeCell ref="B59:C64"/>
    <mergeCell ref="D59:D64"/>
    <mergeCell ref="E59:E64"/>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CD59"/>
  <sheetViews>
    <sheetView showFormulas="false" showGridLines="false" showRowColHeaders="true" showZeros="true" rightToLeft="false" tabSelected="false" showOutlineSymbols="true" defaultGridColor="true" view="normal" topLeftCell="A1" colorId="64" zoomScale="85" zoomScaleNormal="85" zoomScalePageLayoutView="55" workbookViewId="0">
      <pane xSplit="9" ySplit="10" topLeftCell="BB11" activePane="bottomRight" state="frozen"/>
      <selection pane="topLeft" activeCell="A1" activeCellId="0" sqref="A1"/>
      <selection pane="topRight" activeCell="BB1" activeCellId="0" sqref="BB1"/>
      <selection pane="bottomLeft" activeCell="A11" activeCellId="0" sqref="A11"/>
      <selection pane="bottomRight" activeCell="B4" activeCellId="0" sqref="B4"/>
    </sheetView>
  </sheetViews>
  <sheetFormatPr defaultColWidth="9" defaultRowHeight="12.75" zeroHeight="false" outlineLevelRow="0" outlineLevelCol="1"/>
  <cols>
    <col collapsed="false" customWidth="true" hidden="false" outlineLevel="0" max="1" min="1" style="40" width="1.63"/>
    <col collapsed="false" customWidth="true" hidden="false" outlineLevel="0" max="2" min="2" style="40" width="4.88"/>
    <col collapsed="false" customWidth="true" hidden="false" outlineLevel="0" max="3" min="3" style="40" width="17.63"/>
    <col collapsed="false" customWidth="true" hidden="false" outlineLevel="0" max="4" min="4" style="40" width="12.62"/>
    <col collapsed="false" customWidth="true" hidden="false" outlineLevel="0" max="5" min="5" style="40" width="12.37"/>
    <col collapsed="false" customWidth="true" hidden="false" outlineLevel="0" max="6" min="6" style="40" width="17"/>
    <col collapsed="false" customWidth="true" hidden="false" outlineLevel="0" max="9" min="7" style="40" width="11.62"/>
    <col collapsed="false" customWidth="true" hidden="false" outlineLevel="0" max="10" min="10" style="40" width="6.63"/>
    <col collapsed="false" customWidth="true" hidden="false" outlineLevel="0" max="12" min="11" style="40" width="11.62"/>
    <col collapsed="false" customWidth="true" hidden="false" outlineLevel="0" max="14" min="13" style="40" width="10.12"/>
    <col collapsed="false" customWidth="true" hidden="false" outlineLevel="0" max="15" min="15" style="40" width="6.63"/>
    <col collapsed="false" customWidth="true" hidden="false" outlineLevel="0" max="18" min="16" style="40" width="11.62"/>
    <col collapsed="false" customWidth="true" hidden="false" outlineLevel="0" max="19" min="19" style="40" width="9.75"/>
    <col collapsed="false" customWidth="true" hidden="false" outlineLevel="0" max="21" min="20" style="40" width="10.12"/>
    <col collapsed="false" customWidth="true" hidden="false" outlineLevel="0" max="22" min="22" style="40" width="6.63"/>
    <col collapsed="false" customWidth="true" hidden="false" outlineLevel="0" max="25" min="23" style="40" width="11.62"/>
    <col collapsed="false" customWidth="true" hidden="false" outlineLevel="0" max="26" min="26" style="40" width="12.12"/>
    <col collapsed="false" customWidth="true" hidden="false" outlineLevel="0" max="28" min="27" style="40" width="10.12"/>
    <col collapsed="false" customWidth="true" hidden="false" outlineLevel="0" max="29" min="29" style="40" width="6.63"/>
    <col collapsed="false" customWidth="true" hidden="false" outlineLevel="0" max="32" min="30" style="40" width="11.62"/>
    <col collapsed="false" customWidth="true" hidden="false" outlineLevel="0" max="33" min="33" style="40" width="12.12"/>
    <col collapsed="false" customWidth="true" hidden="false" outlineLevel="1" max="35" min="34" style="40" width="10.12"/>
    <col collapsed="false" customWidth="true" hidden="false" outlineLevel="1" max="36" min="36" style="40" width="6.63"/>
    <col collapsed="false" customWidth="true" hidden="false" outlineLevel="1" max="39" min="37" style="40" width="11.62"/>
    <col collapsed="false" customWidth="true" hidden="false" outlineLevel="1" max="40" min="40" style="40" width="12.12"/>
    <col collapsed="false" customWidth="true" hidden="false" outlineLevel="0" max="42" min="41" style="40" width="10.12"/>
    <col collapsed="false" customWidth="true" hidden="false" outlineLevel="0" max="43" min="43" style="40" width="6.63"/>
    <col collapsed="false" customWidth="true" hidden="false" outlineLevel="0" max="46" min="44" style="40" width="11.62"/>
    <col collapsed="false" customWidth="true" hidden="false" outlineLevel="0" max="47" min="47" style="40" width="12.12"/>
    <col collapsed="false" customWidth="true" hidden="false" outlineLevel="0" max="49" min="48" style="40" width="10.12"/>
    <col collapsed="false" customWidth="true" hidden="false" outlineLevel="0" max="50" min="50" style="40" width="6.63"/>
    <col collapsed="false" customWidth="true" hidden="false" outlineLevel="0" max="53" min="51" style="40" width="11.62"/>
    <col collapsed="false" customWidth="true" hidden="false" outlineLevel="0" max="54" min="54" style="40" width="12.12"/>
    <col collapsed="false" customWidth="true" hidden="false" outlineLevel="0" max="56" min="55" style="40" width="10.12"/>
    <col collapsed="false" customWidth="true" hidden="false" outlineLevel="0" max="57" min="57" style="40" width="6.63"/>
    <col collapsed="false" customWidth="true" hidden="false" outlineLevel="0" max="60" min="58" style="40" width="11.62"/>
    <col collapsed="false" customWidth="true" hidden="false" outlineLevel="0" max="61" min="61" style="40" width="12.12"/>
    <col collapsed="false" customWidth="true" hidden="false" outlineLevel="0" max="63" min="62" style="40" width="10.12"/>
    <col collapsed="false" customWidth="true" hidden="false" outlineLevel="0" max="64" min="64" style="40" width="6.63"/>
    <col collapsed="false" customWidth="true" hidden="false" outlineLevel="0" max="67" min="65" style="40" width="11.62"/>
    <col collapsed="false" customWidth="true" hidden="false" outlineLevel="0" max="68" min="68" style="40" width="12.12"/>
    <col collapsed="false" customWidth="true" hidden="false" outlineLevel="0" max="69" min="69" style="40" width="1.63"/>
    <col collapsed="false" customWidth="true" hidden="false" outlineLevel="0" max="72" min="70" style="40" width="9.62"/>
    <col collapsed="false" customWidth="true" hidden="false" outlineLevel="0" max="73" min="73" style="40" width="12.12"/>
    <col collapsed="false" customWidth="true" hidden="false" outlineLevel="0" max="74" min="74" style="40" width="1.63"/>
    <col collapsed="false" customWidth="true" hidden="false" outlineLevel="0" max="76" min="75" style="40" width="13.63"/>
    <col collapsed="false" customWidth="true" hidden="false" outlineLevel="0" max="77" min="77" style="40" width="12.12"/>
    <col collapsed="false" customWidth="true" hidden="false" outlineLevel="0" max="78" min="78" style="40" width="15"/>
    <col collapsed="false" customWidth="false" hidden="false" outlineLevel="0" max="16384" min="79" style="40" width="9"/>
  </cols>
  <sheetData>
    <row r="1" s="617" customFormat="true" ht="12.75" hidden="false" customHeight="false" outlineLevel="0" collapsed="false">
      <c r="BV1" s="40"/>
      <c r="BY1" s="40"/>
    </row>
    <row r="2" s="617" customFormat="true" ht="12.75" hidden="false" customHeight="false" outlineLevel="0" collapsed="false">
      <c r="B2" s="719" t="s">
        <v>140</v>
      </c>
      <c r="BV2" s="40"/>
      <c r="BY2" s="40"/>
    </row>
    <row r="3" s="617" customFormat="true" ht="41.75" hidden="false" customHeight="false" outlineLevel="0" collapsed="false">
      <c r="B3" s="720" t="s">
        <v>141</v>
      </c>
      <c r="BV3" s="40"/>
      <c r="BY3" s="40"/>
    </row>
    <row r="4" s="617" customFormat="true" ht="14.9" hidden="false" customHeight="false" outlineLevel="0" collapsed="false">
      <c r="B4" s="720" t="s">
        <v>143</v>
      </c>
      <c r="BV4" s="40"/>
      <c r="BY4" s="40"/>
    </row>
    <row r="5" s="617" customFormat="true" ht="12.75" hidden="false" customHeight="false" outlineLevel="0" collapsed="false">
      <c r="B5" s="719" t="s">
        <v>145</v>
      </c>
      <c r="BV5" s="40"/>
      <c r="BY5" s="40"/>
    </row>
    <row r="6" s="617" customFormat="true" ht="28.35" hidden="false" customHeight="false" outlineLevel="0" collapsed="false">
      <c r="B6" s="720" t="s">
        <v>147</v>
      </c>
      <c r="Q6" s="619"/>
      <c r="BV6" s="40"/>
      <c r="BY6" s="40"/>
    </row>
    <row r="7" s="617" customFormat="true" ht="14.9" hidden="false" customHeight="false" outlineLevel="0" collapsed="false">
      <c r="B7" s="720" t="s">
        <v>149</v>
      </c>
      <c r="BV7" s="40"/>
      <c r="BY7" s="40"/>
    </row>
    <row r="8" customFormat="false" ht="12.75" hidden="false" customHeight="false" outlineLevel="0" collapsed="false">
      <c r="A8" s="621"/>
      <c r="B8" s="622"/>
      <c r="C8" s="622"/>
      <c r="D8" s="623"/>
      <c r="E8" s="623"/>
      <c r="F8" s="621"/>
      <c r="G8" s="624"/>
      <c r="H8" s="624"/>
      <c r="I8" s="624"/>
      <c r="J8" s="621"/>
      <c r="K8" s="621"/>
      <c r="L8" s="621"/>
      <c r="M8" s="621"/>
      <c r="N8" s="621"/>
      <c r="O8" s="621"/>
      <c r="P8" s="621"/>
      <c r="Q8" s="621"/>
      <c r="R8" s="621"/>
      <c r="S8" s="621"/>
      <c r="T8" s="621"/>
      <c r="U8" s="621"/>
      <c r="V8" s="621"/>
      <c r="W8" s="621"/>
      <c r="X8" s="621"/>
      <c r="Y8" s="621"/>
      <c r="Z8" s="621"/>
      <c r="AA8" s="621"/>
      <c r="AB8" s="621"/>
      <c r="AC8" s="621"/>
      <c r="AD8" s="621"/>
      <c r="AE8" s="621"/>
      <c r="AF8" s="621"/>
      <c r="AG8" s="621"/>
      <c r="AH8" s="621"/>
      <c r="AI8" s="621"/>
      <c r="AJ8" s="621"/>
      <c r="AK8" s="621"/>
      <c r="AL8" s="621"/>
      <c r="AM8" s="621"/>
      <c r="AN8" s="621"/>
      <c r="AO8" s="621"/>
      <c r="AP8" s="621"/>
      <c r="AQ8" s="621"/>
      <c r="AR8" s="621"/>
      <c r="AS8" s="621"/>
      <c r="AT8" s="621"/>
      <c r="AU8" s="621"/>
      <c r="AV8" s="621"/>
      <c r="AW8" s="621"/>
      <c r="AX8" s="621"/>
      <c r="AY8" s="621"/>
      <c r="AZ8" s="621"/>
      <c r="BA8" s="621"/>
      <c r="BB8" s="621"/>
      <c r="BC8" s="621"/>
      <c r="BD8" s="621"/>
      <c r="BE8" s="621"/>
      <c r="BF8" s="621"/>
      <c r="BG8" s="621"/>
      <c r="BH8" s="621"/>
      <c r="BI8" s="621"/>
      <c r="BJ8" s="621"/>
      <c r="BK8" s="621"/>
      <c r="BL8" s="621"/>
      <c r="BM8" s="621"/>
      <c r="BN8" s="621"/>
      <c r="BO8" s="621"/>
      <c r="BP8" s="621"/>
      <c r="BQ8" s="625"/>
      <c r="BR8" s="621"/>
      <c r="BS8" s="621"/>
      <c r="BT8" s="621"/>
      <c r="BU8" s="621"/>
      <c r="BV8" s="621"/>
      <c r="BW8" s="621"/>
      <c r="BX8" s="621"/>
      <c r="BY8" s="621"/>
      <c r="BZ8" s="621"/>
      <c r="CA8" s="621"/>
      <c r="CB8" s="621"/>
      <c r="CC8" s="621"/>
      <c r="CD8" s="621"/>
    </row>
    <row r="9" customFormat="false" ht="27.75" hidden="false" customHeight="true" outlineLevel="0" collapsed="false">
      <c r="A9" s="621"/>
      <c r="B9" s="110" t="s">
        <v>121</v>
      </c>
      <c r="C9" s="110" t="s">
        <v>122</v>
      </c>
      <c r="D9" s="111" t="s">
        <v>123</v>
      </c>
      <c r="E9" s="111" t="s">
        <v>487</v>
      </c>
      <c r="F9" s="111" t="s">
        <v>488</v>
      </c>
      <c r="G9" s="111" t="s">
        <v>489</v>
      </c>
      <c r="H9" s="111" t="s">
        <v>490</v>
      </c>
      <c r="I9" s="111" t="s">
        <v>509</v>
      </c>
      <c r="J9" s="111" t="s">
        <v>492</v>
      </c>
      <c r="K9" s="111"/>
      <c r="L9" s="111"/>
      <c r="M9" s="111" t="s">
        <v>435</v>
      </c>
      <c r="N9" s="111"/>
      <c r="O9" s="111"/>
      <c r="P9" s="111"/>
      <c r="Q9" s="111"/>
      <c r="R9" s="111"/>
      <c r="S9" s="111"/>
      <c r="T9" s="111" t="s">
        <v>436</v>
      </c>
      <c r="U9" s="111"/>
      <c r="V9" s="111"/>
      <c r="W9" s="111"/>
      <c r="X9" s="111"/>
      <c r="Y9" s="111"/>
      <c r="Z9" s="111"/>
      <c r="AA9" s="111" t="s">
        <v>437</v>
      </c>
      <c r="AB9" s="111"/>
      <c r="AC9" s="111"/>
      <c r="AD9" s="111"/>
      <c r="AE9" s="111"/>
      <c r="AF9" s="111"/>
      <c r="AG9" s="111"/>
      <c r="AH9" s="111" t="s">
        <v>438</v>
      </c>
      <c r="AI9" s="111"/>
      <c r="AJ9" s="111"/>
      <c r="AK9" s="111"/>
      <c r="AL9" s="111"/>
      <c r="AM9" s="111"/>
      <c r="AN9" s="111"/>
      <c r="AO9" s="111" t="s">
        <v>493</v>
      </c>
      <c r="AP9" s="111"/>
      <c r="AQ9" s="111"/>
      <c r="AR9" s="111"/>
      <c r="AS9" s="111"/>
      <c r="AT9" s="111"/>
      <c r="AU9" s="111"/>
      <c r="AV9" s="111" t="s">
        <v>494</v>
      </c>
      <c r="AW9" s="111"/>
      <c r="AX9" s="111"/>
      <c r="AY9" s="111"/>
      <c r="AZ9" s="111"/>
      <c r="BA9" s="111"/>
      <c r="BB9" s="111"/>
      <c r="BC9" s="111" t="s">
        <v>495</v>
      </c>
      <c r="BD9" s="111"/>
      <c r="BE9" s="111"/>
      <c r="BF9" s="111"/>
      <c r="BG9" s="111"/>
      <c r="BH9" s="111"/>
      <c r="BI9" s="111"/>
      <c r="BJ9" s="111" t="s">
        <v>496</v>
      </c>
      <c r="BK9" s="111"/>
      <c r="BL9" s="111"/>
      <c r="BM9" s="111"/>
      <c r="BN9" s="111"/>
      <c r="BO9" s="111"/>
      <c r="BP9" s="111"/>
      <c r="BQ9" s="626"/>
      <c r="BR9" s="111" t="s">
        <v>497</v>
      </c>
      <c r="BS9" s="111"/>
      <c r="BT9" s="111"/>
      <c r="BU9" s="621"/>
      <c r="BV9" s="621"/>
      <c r="BW9" s="621"/>
      <c r="BX9" s="621"/>
      <c r="BY9" s="621"/>
      <c r="BZ9" s="621"/>
      <c r="CA9" s="621"/>
      <c r="CB9" s="621"/>
      <c r="CC9" s="625"/>
      <c r="CD9" s="625"/>
    </row>
    <row r="10" customFormat="false" ht="42" hidden="false" customHeight="true" outlineLevel="0" collapsed="false">
      <c r="A10" s="621"/>
      <c r="B10" s="110"/>
      <c r="C10" s="110"/>
      <c r="D10" s="111"/>
      <c r="E10" s="111"/>
      <c r="F10" s="111"/>
      <c r="G10" s="111"/>
      <c r="H10" s="111"/>
      <c r="I10" s="111"/>
      <c r="J10" s="111" t="s">
        <v>339</v>
      </c>
      <c r="K10" s="111" t="s">
        <v>498</v>
      </c>
      <c r="L10" s="111" t="s">
        <v>499</v>
      </c>
      <c r="M10" s="111" t="s">
        <v>500</v>
      </c>
      <c r="N10" s="111" t="s">
        <v>501</v>
      </c>
      <c r="O10" s="111" t="s">
        <v>339</v>
      </c>
      <c r="P10" s="111" t="s">
        <v>502</v>
      </c>
      <c r="Q10" s="111" t="s">
        <v>430</v>
      </c>
      <c r="R10" s="111" t="s">
        <v>503</v>
      </c>
      <c r="S10" s="111" t="s">
        <v>504</v>
      </c>
      <c r="T10" s="111" t="s">
        <v>510</v>
      </c>
      <c r="U10" s="111" t="s">
        <v>501</v>
      </c>
      <c r="V10" s="111" t="s">
        <v>339</v>
      </c>
      <c r="W10" s="111" t="s">
        <v>502</v>
      </c>
      <c r="X10" s="111" t="s">
        <v>430</v>
      </c>
      <c r="Y10" s="111" t="s">
        <v>503</v>
      </c>
      <c r="Z10" s="111" t="s">
        <v>504</v>
      </c>
      <c r="AA10" s="111" t="s">
        <v>510</v>
      </c>
      <c r="AB10" s="111" t="s">
        <v>501</v>
      </c>
      <c r="AC10" s="111" t="s">
        <v>339</v>
      </c>
      <c r="AD10" s="111" t="s">
        <v>502</v>
      </c>
      <c r="AE10" s="111" t="s">
        <v>430</v>
      </c>
      <c r="AF10" s="111" t="s">
        <v>503</v>
      </c>
      <c r="AG10" s="111" t="s">
        <v>504</v>
      </c>
      <c r="AH10" s="111" t="s">
        <v>500</v>
      </c>
      <c r="AI10" s="111" t="s">
        <v>501</v>
      </c>
      <c r="AJ10" s="111" t="s">
        <v>339</v>
      </c>
      <c r="AK10" s="111" t="s">
        <v>502</v>
      </c>
      <c r="AL10" s="111" t="s">
        <v>430</v>
      </c>
      <c r="AM10" s="111" t="s">
        <v>503</v>
      </c>
      <c r="AN10" s="111" t="s">
        <v>504</v>
      </c>
      <c r="AO10" s="111" t="s">
        <v>500</v>
      </c>
      <c r="AP10" s="111" t="s">
        <v>501</v>
      </c>
      <c r="AQ10" s="111" t="s">
        <v>339</v>
      </c>
      <c r="AR10" s="111" t="s">
        <v>502</v>
      </c>
      <c r="AS10" s="111" t="s">
        <v>430</v>
      </c>
      <c r="AT10" s="111" t="s">
        <v>503</v>
      </c>
      <c r="AU10" s="111" t="s">
        <v>504</v>
      </c>
      <c r="AV10" s="111" t="s">
        <v>500</v>
      </c>
      <c r="AW10" s="111" t="s">
        <v>501</v>
      </c>
      <c r="AX10" s="111" t="s">
        <v>339</v>
      </c>
      <c r="AY10" s="111" t="s">
        <v>502</v>
      </c>
      <c r="AZ10" s="111" t="s">
        <v>430</v>
      </c>
      <c r="BA10" s="111" t="s">
        <v>503</v>
      </c>
      <c r="BB10" s="111" t="s">
        <v>504</v>
      </c>
      <c r="BC10" s="111" t="s">
        <v>500</v>
      </c>
      <c r="BD10" s="111" t="s">
        <v>501</v>
      </c>
      <c r="BE10" s="111" t="s">
        <v>339</v>
      </c>
      <c r="BF10" s="111" t="s">
        <v>502</v>
      </c>
      <c r="BG10" s="111" t="s">
        <v>430</v>
      </c>
      <c r="BH10" s="111" t="s">
        <v>503</v>
      </c>
      <c r="BI10" s="111" t="s">
        <v>504</v>
      </c>
      <c r="BJ10" s="111" t="s">
        <v>500</v>
      </c>
      <c r="BK10" s="111" t="s">
        <v>510</v>
      </c>
      <c r="BL10" s="111" t="s">
        <v>339</v>
      </c>
      <c r="BM10" s="111" t="s">
        <v>502</v>
      </c>
      <c r="BN10" s="111" t="s">
        <v>430</v>
      </c>
      <c r="BO10" s="111" t="s">
        <v>503</v>
      </c>
      <c r="BP10" s="111" t="s">
        <v>504</v>
      </c>
      <c r="BQ10" s="627"/>
      <c r="BR10" s="111"/>
      <c r="BS10" s="111"/>
      <c r="BT10" s="111"/>
      <c r="BU10" s="621"/>
      <c r="BV10" s="621"/>
      <c r="BW10" s="621"/>
      <c r="BX10" s="621"/>
      <c r="BY10" s="621"/>
      <c r="BZ10" s="621"/>
      <c r="CA10" s="621"/>
      <c r="CB10" s="621"/>
      <c r="CC10" s="625"/>
      <c r="CD10" s="625"/>
    </row>
    <row r="11" customFormat="false" ht="16.5" hidden="false" customHeight="true" outlineLevel="0" collapsed="false">
      <c r="A11" s="628"/>
      <c r="B11" s="629" t="n">
        <v>1</v>
      </c>
      <c r="C11" s="630" t="s">
        <v>178</v>
      </c>
      <c r="D11" s="631" t="n">
        <v>551.04</v>
      </c>
      <c r="E11" s="631" t="s">
        <v>505</v>
      </c>
      <c r="F11" s="632" t="s">
        <v>112</v>
      </c>
      <c r="G11" s="633" t="n">
        <f aca="false">+'PAYMENT RATIO_RAW'!F$10*'GM Batch2-APA'!$D$11/1000</f>
        <v>578592000</v>
      </c>
      <c r="H11" s="633" t="n">
        <f aca="false">+G11*10%</f>
        <v>57859200</v>
      </c>
      <c r="I11" s="633" t="n">
        <f aca="false">SUM(G11:H11)</f>
        <v>636451200</v>
      </c>
      <c r="J11" s="634" t="n">
        <f aca="false">+IFERROR(K11/I11,"-")</f>
        <v>0</v>
      </c>
      <c r="K11" s="635" t="n">
        <f aca="false">+IFERROR(Q11+X11+AE11+AS11+AZ11+BG11+BN11,"-")</f>
        <v>0</v>
      </c>
      <c r="L11" s="635" t="n">
        <f aca="false">+I11-K11</f>
        <v>636451200</v>
      </c>
      <c r="M11" s="637"/>
      <c r="N11" s="637"/>
      <c r="O11" s="638"/>
      <c r="P11" s="639" t="n">
        <f aca="false">+$I11*'PAYMENT RATIO_RAW'!G$10</f>
        <v>0</v>
      </c>
      <c r="Q11" s="640"/>
      <c r="R11" s="640" t="n">
        <f aca="false">+P11-Q11</f>
        <v>0</v>
      </c>
      <c r="S11" s="641"/>
      <c r="T11" s="636"/>
      <c r="U11" s="637"/>
      <c r="V11" s="638"/>
      <c r="W11" s="639" t="n">
        <f aca="false">+$I11*'PAYMENT RATIO_RAW'!N$10</f>
        <v>0</v>
      </c>
      <c r="X11" s="640"/>
      <c r="Y11" s="640" t="n">
        <f aca="false">+W11-X11</f>
        <v>0</v>
      </c>
      <c r="Z11" s="641"/>
      <c r="AA11" s="636" t="n">
        <v>46042</v>
      </c>
      <c r="AB11" s="637"/>
      <c r="AC11" s="638" t="n">
        <f aca="false">+IFERROR(AD11/$I11,"-")</f>
        <v>0.3</v>
      </c>
      <c r="AD11" s="639" t="n">
        <f aca="false">+'PAYMENT RATIO_RAW'!$U$10*I11</f>
        <v>190935360</v>
      </c>
      <c r="AE11" s="640"/>
      <c r="AF11" s="640" t="n">
        <f aca="false">+AD11-AE11</f>
        <v>190935360</v>
      </c>
      <c r="AG11" s="641"/>
      <c r="AH11" s="636" t="n">
        <v>46081</v>
      </c>
      <c r="AI11" s="642"/>
      <c r="AJ11" s="638" t="n">
        <f aca="false">+IFERROR(AK11/$I11,"-")</f>
        <v>0.4</v>
      </c>
      <c r="AK11" s="640" t="n">
        <f aca="false">+'PAYMENT RATIO_RAW'!$AB$10*I11</f>
        <v>254580480</v>
      </c>
      <c r="AL11" s="640"/>
      <c r="AM11" s="640" t="n">
        <f aca="false">+AK11-AL11</f>
        <v>254580480</v>
      </c>
      <c r="AN11" s="641"/>
      <c r="AO11" s="636" t="n">
        <f aca="false">+EDATE(AV11,-1)</f>
        <v>46111</v>
      </c>
      <c r="AP11" s="637"/>
      <c r="AQ11" s="638" t="n">
        <f aca="false">+IFERROR(AR11/$I11,"-")</f>
        <v>0</v>
      </c>
      <c r="AR11" s="639" t="n">
        <f aca="false">+$I11*'PAYMENT RATIO_RAW'!AI$10</f>
        <v>0</v>
      </c>
      <c r="AS11" s="640"/>
      <c r="AT11" s="640" t="n">
        <f aca="false">+AR11-AS11</f>
        <v>0</v>
      </c>
      <c r="AU11" s="641"/>
      <c r="AV11" s="636" t="n">
        <f aca="false">+EDATE(BC11,-1)</f>
        <v>46142</v>
      </c>
      <c r="AW11" s="637"/>
      <c r="AX11" s="638" t="n">
        <f aca="false">+IFERROR(AY11/$I11,"-")</f>
        <v>0</v>
      </c>
      <c r="AY11" s="639" t="n">
        <f aca="false">+$I11*'PAYMENT RATIO_RAW'!AP$10</f>
        <v>0</v>
      </c>
      <c r="AZ11" s="640"/>
      <c r="BA11" s="640" t="n">
        <f aca="false">+AY11-AZ11</f>
        <v>0</v>
      </c>
      <c r="BB11" s="641"/>
      <c r="BC11" s="636" t="n">
        <f aca="false">+EDATE(BJ11,-1)</f>
        <v>46172</v>
      </c>
      <c r="BD11" s="637"/>
      <c r="BE11" s="638" t="n">
        <f aca="false">+IFERROR(BF11/$I11,"-")</f>
        <v>0</v>
      </c>
      <c r="BF11" s="639" t="n">
        <f aca="false">+$I11*'PAYMENT RATIO_RAW'!AW$10</f>
        <v>0</v>
      </c>
      <c r="BG11" s="640"/>
      <c r="BH11" s="640" t="n">
        <f aca="false">+BF11-BG11</f>
        <v>0</v>
      </c>
      <c r="BI11" s="641"/>
      <c r="BJ11" s="658" t="n">
        <v>46203</v>
      </c>
      <c r="BK11" s="658"/>
      <c r="BL11" s="638" t="n">
        <f aca="false">+IFERROR(BM11/$I11,"-")</f>
        <v>0.3</v>
      </c>
      <c r="BM11" s="639" t="n">
        <f aca="false">+$I11*'PAYMENT RATIO_RAW'!BD$10</f>
        <v>190935360</v>
      </c>
      <c r="BN11" s="640"/>
      <c r="BO11" s="640" t="n">
        <f aca="false">+BM11-BN11</f>
        <v>190935360</v>
      </c>
      <c r="BP11" s="641"/>
      <c r="BQ11" s="644"/>
      <c r="BR11" s="645" t="n">
        <f aca="false">+P11+W11+AD11+AK11+AR11+AY11+BF11+BM11=I11</f>
        <v>1</v>
      </c>
      <c r="BS11" s="645" t="n">
        <f aca="false">+Q11+X11+AE11+AS11+AZ11+BG11+BN11=K11</f>
        <v>1</v>
      </c>
      <c r="BT11" s="645"/>
      <c r="BU11" s="621"/>
      <c r="BV11" s="621"/>
      <c r="BW11" s="621"/>
      <c r="BX11" s="621"/>
      <c r="BY11" s="621"/>
      <c r="BZ11" s="621"/>
      <c r="CA11" s="621"/>
      <c r="CB11" s="621"/>
      <c r="CC11" s="625"/>
      <c r="CD11" s="625"/>
    </row>
    <row r="12" customFormat="false" ht="12.75" hidden="false" customHeight="false" outlineLevel="0" collapsed="false">
      <c r="A12" s="628"/>
      <c r="B12" s="629"/>
      <c r="C12" s="630"/>
      <c r="D12" s="631"/>
      <c r="E12" s="631"/>
      <c r="F12" s="656" t="s">
        <v>114</v>
      </c>
      <c r="G12" s="657" t="n">
        <f aca="false">+'PAYMENT RATIO_RAW'!F$11*'GM Batch2-APA'!$D$11/1000</f>
        <v>192864000</v>
      </c>
      <c r="H12" s="657"/>
      <c r="I12" s="657" t="n">
        <f aca="false">SUM(G12:H12)</f>
        <v>192864000</v>
      </c>
      <c r="J12" s="656" t="n">
        <f aca="false">+IFERROR(K12/I12,"-")</f>
        <v>0.725348432055749</v>
      </c>
      <c r="K12" s="639" t="n">
        <f aca="false">+IFERROR(Q12+X12+AE12+AS12+AZ12+BG12+BN12,"-")</f>
        <v>139893600</v>
      </c>
      <c r="L12" s="639" t="n">
        <f aca="false">+I12-K12</f>
        <v>52970400</v>
      </c>
      <c r="M12" s="658" t="n">
        <v>45807</v>
      </c>
      <c r="N12" s="658" t="n">
        <v>45807</v>
      </c>
      <c r="O12" s="659" t="n">
        <f aca="false">+IFERROR(P12/$I12,"-")</f>
        <v>0.4</v>
      </c>
      <c r="P12" s="639" t="n">
        <f aca="false">+$I12*'PAYMENT RATIO_RAW'!G$11</f>
        <v>77145600</v>
      </c>
      <c r="Q12" s="639" t="n">
        <v>139893600</v>
      </c>
      <c r="R12" s="639" t="n">
        <f aca="false">+P12-Q12</f>
        <v>-62748000</v>
      </c>
      <c r="S12" s="660"/>
      <c r="T12" s="658" t="n">
        <v>46022</v>
      </c>
      <c r="U12" s="658"/>
      <c r="V12" s="659" t="n">
        <f aca="false">+IFERROR(W12/$I12,"-")</f>
        <v>0.2</v>
      </c>
      <c r="W12" s="639" t="n">
        <f aca="false">+$I12*'PAYMENT RATIO_RAW'!N$11</f>
        <v>38572800</v>
      </c>
      <c r="X12" s="639"/>
      <c r="Y12" s="639" t="n">
        <f aca="false">+W12-X12</f>
        <v>38572800</v>
      </c>
      <c r="Z12" s="721"/>
      <c r="AA12" s="658" t="n">
        <v>46142</v>
      </c>
      <c r="AB12" s="658"/>
      <c r="AC12" s="659" t="n">
        <f aca="false">+IFERROR(AD12/$I12,"-")</f>
        <v>0.3</v>
      </c>
      <c r="AD12" s="639" t="n">
        <f aca="false">+'PAYMENT RATIO_RAW'!$U$11*I12</f>
        <v>57859200</v>
      </c>
      <c r="AE12" s="639"/>
      <c r="AF12" s="639" t="n">
        <f aca="false">+AD12-AE12</f>
        <v>57859200</v>
      </c>
      <c r="AG12" s="660"/>
      <c r="AH12" s="658"/>
      <c r="AI12" s="658"/>
      <c r="AJ12" s="659" t="n">
        <f aca="false">+IFERROR(AK12/$I12,"-")</f>
        <v>0</v>
      </c>
      <c r="AK12" s="639" t="n">
        <f aca="false">+'PAYMENT RATIO_RAW'!$AB$11*I12</f>
        <v>0</v>
      </c>
      <c r="AL12" s="639"/>
      <c r="AM12" s="639" t="n">
        <f aca="false">+AK12-AL12</f>
        <v>0</v>
      </c>
      <c r="AN12" s="660"/>
      <c r="AO12" s="658"/>
      <c r="AP12" s="658"/>
      <c r="AQ12" s="659"/>
      <c r="AR12" s="639" t="n">
        <f aca="false">+$I12*'PAYMENT RATIO_RAW'!AI$11</f>
        <v>0</v>
      </c>
      <c r="AS12" s="639"/>
      <c r="AT12" s="639" t="n">
        <f aca="false">+AR12-AS12</f>
        <v>0</v>
      </c>
      <c r="AU12" s="660"/>
      <c r="AV12" s="658"/>
      <c r="AW12" s="658"/>
      <c r="AX12" s="659"/>
      <c r="AY12" s="639" t="n">
        <f aca="false">+$I12*'PAYMENT RATIO_RAW'!AP$11</f>
        <v>0</v>
      </c>
      <c r="AZ12" s="639"/>
      <c r="BA12" s="639" t="n">
        <f aca="false">+AY12-AZ12</f>
        <v>0</v>
      </c>
      <c r="BB12" s="660"/>
      <c r="BC12" s="658"/>
      <c r="BD12" s="658"/>
      <c r="BE12" s="659" t="n">
        <f aca="false">+IFERROR(BF12/$I12,"-")</f>
        <v>0</v>
      </c>
      <c r="BF12" s="639" t="n">
        <f aca="false">+$I12*'PAYMENT RATIO_RAW'!AW$11</f>
        <v>0</v>
      </c>
      <c r="BG12" s="639"/>
      <c r="BH12" s="640" t="n">
        <f aca="false">+BF12-BG12</f>
        <v>0</v>
      </c>
      <c r="BI12" s="660"/>
      <c r="BJ12" s="658" t="n">
        <v>46203</v>
      </c>
      <c r="BK12" s="658"/>
      <c r="BL12" s="659" t="n">
        <f aca="false">+IFERROR(BM12/$I12,"-")</f>
        <v>0.1</v>
      </c>
      <c r="BM12" s="639" t="n">
        <f aca="false">+$I12*'PAYMENT RATIO_RAW'!BD$11</f>
        <v>19286400</v>
      </c>
      <c r="BN12" s="639"/>
      <c r="BO12" s="639" t="n">
        <f aca="false">+BM12-BN12</f>
        <v>19286400</v>
      </c>
      <c r="BP12" s="660"/>
      <c r="BQ12" s="644"/>
      <c r="BR12" s="645" t="n">
        <f aca="false">+BM12+BF12+AY12+AR12+AD12+W12+P12=I12</f>
        <v>1</v>
      </c>
      <c r="BS12" s="645" t="n">
        <f aca="false">+Q12+X12+AE12+AS12+AZ12+BG12+BN12=K12</f>
        <v>1</v>
      </c>
      <c r="BT12" s="645" t="n">
        <f aca="false">+BF12+BF14+AY12+AY14+AR12+AR14+AD12+AD14+W12+W14+P12+P14+BM12+BM14=('PAYMENT RATIO_RAW'!$F$11+'PAYMENT RATIO_RAW'!$F$13)*D11*1.1/1000</f>
        <v>0</v>
      </c>
      <c r="BU12" s="722"/>
      <c r="BV12" s="621"/>
      <c r="BW12" s="646"/>
      <c r="BX12" s="621"/>
      <c r="BY12" s="621"/>
      <c r="BZ12" s="621"/>
      <c r="CA12" s="621"/>
      <c r="CB12" s="621"/>
      <c r="CC12" s="625"/>
      <c r="CD12" s="625"/>
    </row>
    <row r="13" customFormat="false" ht="12.75" hidden="false" customHeight="false" outlineLevel="0" collapsed="false">
      <c r="A13" s="628"/>
      <c r="B13" s="629"/>
      <c r="C13" s="630"/>
      <c r="D13" s="631"/>
      <c r="E13" s="631"/>
      <c r="F13" s="656" t="s">
        <v>404</v>
      </c>
      <c r="G13" s="657" t="n">
        <f aca="false">+'PAYMENT RATIO_RAW'!F$12*'GM Batch2-APA'!$D$11/1000</f>
        <v>165312000</v>
      </c>
      <c r="H13" s="657"/>
      <c r="I13" s="657" t="n">
        <f aca="false">SUM(G13:H13)</f>
        <v>165312000</v>
      </c>
      <c r="J13" s="656" t="n">
        <f aca="false">+IFERROR(K13/I13,"-")</f>
        <v>0.725348432055749</v>
      </c>
      <c r="K13" s="639" t="n">
        <f aca="false">+IFERROR(Q13+X13+AE13+AS13+AZ13+BG13+BN13,"-")</f>
        <v>119908800</v>
      </c>
      <c r="L13" s="639" t="n">
        <f aca="false">+I13-K13</f>
        <v>45403200</v>
      </c>
      <c r="M13" s="658" t="n">
        <v>45807</v>
      </c>
      <c r="N13" s="658" t="n">
        <v>45807</v>
      </c>
      <c r="O13" s="659" t="n">
        <f aca="false">+IFERROR(P13/$I13,"-")</f>
        <v>0.4</v>
      </c>
      <c r="P13" s="639" t="n">
        <f aca="false">+$I13*'PAYMENT RATIO_RAW'!G$12</f>
        <v>66124800</v>
      </c>
      <c r="Q13" s="639" t="n">
        <v>119908800</v>
      </c>
      <c r="R13" s="639" t="n">
        <f aca="false">+P13-Q13</f>
        <v>-53784000</v>
      </c>
      <c r="S13" s="660"/>
      <c r="T13" s="658" t="n">
        <v>46022</v>
      </c>
      <c r="U13" s="658"/>
      <c r="V13" s="659" t="n">
        <f aca="false">+IFERROR(W13/$I13,"-")</f>
        <v>0.2</v>
      </c>
      <c r="W13" s="639" t="n">
        <f aca="false">+$I13*'PAYMENT RATIO_RAW'!N$12</f>
        <v>33062400</v>
      </c>
      <c r="X13" s="639"/>
      <c r="Y13" s="639" t="n">
        <f aca="false">+W13-X13</f>
        <v>33062400</v>
      </c>
      <c r="Z13" s="660"/>
      <c r="AA13" s="658" t="n">
        <v>46142</v>
      </c>
      <c r="AB13" s="658"/>
      <c r="AC13" s="659" t="n">
        <f aca="false">+IFERROR(AD13/$I13,"-")</f>
        <v>0.3</v>
      </c>
      <c r="AD13" s="639" t="n">
        <f aca="false">+'PAYMENT RATIO_RAW'!$U$12*I13</f>
        <v>49593600</v>
      </c>
      <c r="AE13" s="639"/>
      <c r="AF13" s="639" t="n">
        <f aca="false">+AD13-AE13</f>
        <v>49593600</v>
      </c>
      <c r="AG13" s="660"/>
      <c r="AH13" s="658"/>
      <c r="AI13" s="658"/>
      <c r="AJ13" s="659" t="n">
        <f aca="false">+IFERROR(AK13/$I13,"-")</f>
        <v>0</v>
      </c>
      <c r="AK13" s="639" t="n">
        <f aca="false">+'PAYMENT RATIO_RAW'!$AB$12*I13</f>
        <v>0</v>
      </c>
      <c r="AL13" s="639"/>
      <c r="AM13" s="639" t="n">
        <f aca="false">+AK13-AL13</f>
        <v>0</v>
      </c>
      <c r="AN13" s="660"/>
      <c r="AO13" s="658"/>
      <c r="AP13" s="658"/>
      <c r="AQ13" s="659"/>
      <c r="AR13" s="639" t="n">
        <f aca="false">+$I13*'PAYMENT RATIO_RAW'!AI$12</f>
        <v>0</v>
      </c>
      <c r="AS13" s="639"/>
      <c r="AT13" s="639" t="n">
        <f aca="false">+AR13-AS13</f>
        <v>0</v>
      </c>
      <c r="AU13" s="660"/>
      <c r="AV13" s="658"/>
      <c r="AW13" s="658"/>
      <c r="AX13" s="659"/>
      <c r="AY13" s="639" t="n">
        <f aca="false">+$I13*'PAYMENT RATIO_RAW'!AP$12</f>
        <v>0</v>
      </c>
      <c r="AZ13" s="639"/>
      <c r="BA13" s="639" t="n">
        <f aca="false">+AY13-AZ13</f>
        <v>0</v>
      </c>
      <c r="BB13" s="660"/>
      <c r="BC13" s="658"/>
      <c r="BD13" s="658"/>
      <c r="BE13" s="659" t="n">
        <f aca="false">+IFERROR(BF13/$I13,"-")</f>
        <v>0</v>
      </c>
      <c r="BF13" s="639" t="n">
        <f aca="false">+$I13*'PAYMENT RATIO_RAW'!AW$12</f>
        <v>0</v>
      </c>
      <c r="BG13" s="639"/>
      <c r="BH13" s="640" t="n">
        <f aca="false">+BF13-BG13</f>
        <v>0</v>
      </c>
      <c r="BI13" s="660"/>
      <c r="BJ13" s="658" t="n">
        <v>46203</v>
      </c>
      <c r="BK13" s="658"/>
      <c r="BL13" s="659" t="n">
        <f aca="false">+IFERROR(BM13/$I13,"-")</f>
        <v>0.1</v>
      </c>
      <c r="BM13" s="639" t="n">
        <f aca="false">+$I13*'PAYMENT RATIO_RAW'!BD$12</f>
        <v>16531200</v>
      </c>
      <c r="BN13" s="639"/>
      <c r="BO13" s="639" t="n">
        <f aca="false">+BM13-BN13</f>
        <v>16531200</v>
      </c>
      <c r="BP13" s="660"/>
      <c r="BQ13" s="644"/>
      <c r="BR13" s="645" t="n">
        <f aca="false">+P13+W13+AD13+AR13+AY13+BF13+BM13=I13</f>
        <v>1</v>
      </c>
      <c r="BS13" s="645" t="n">
        <f aca="false">+Q13+X13+AE13+AS13+AZ13+BG13+BN13=K13</f>
        <v>1</v>
      </c>
      <c r="BT13" s="645"/>
      <c r="BU13" s="621"/>
      <c r="BV13" s="621"/>
      <c r="BW13" s="723"/>
      <c r="BX13" s="621"/>
      <c r="BY13" s="621"/>
      <c r="BZ13" s="621"/>
      <c r="CA13" s="621"/>
      <c r="CB13" s="621"/>
      <c r="CC13" s="625"/>
      <c r="CD13" s="625"/>
    </row>
    <row r="14" customFormat="false" ht="12.75" hidden="false" customHeight="false" outlineLevel="0" collapsed="false">
      <c r="A14" s="628"/>
      <c r="B14" s="629"/>
      <c r="C14" s="630"/>
      <c r="D14" s="631"/>
      <c r="E14" s="631"/>
      <c r="F14" s="656" t="s">
        <v>507</v>
      </c>
      <c r="G14" s="657" t="n">
        <f aca="false">+'PAYMENT RATIO_RAW'!F$13*'GM Batch2-APA'!$D$11/1000</f>
        <v>110208000</v>
      </c>
      <c r="H14" s="661"/>
      <c r="I14" s="661" t="n">
        <f aca="false">SUM(G14:H14)</f>
        <v>110208000</v>
      </c>
      <c r="J14" s="656" t="n">
        <f aca="false">+IFERROR(K14/I14,"-")</f>
        <v>0</v>
      </c>
      <c r="K14" s="639" t="n">
        <f aca="false">+IFERROR(Q14+X14+AE14+AS14+AZ14+BG14+BN14,"-")</f>
        <v>0</v>
      </c>
      <c r="L14" s="639" t="n">
        <f aca="false">+I14-K14</f>
        <v>110208000</v>
      </c>
      <c r="M14" s="658"/>
      <c r="N14" s="658"/>
      <c r="O14" s="659" t="n">
        <f aca="false">+IFERROR(P14/$I14,"-")</f>
        <v>0</v>
      </c>
      <c r="P14" s="639" t="n">
        <f aca="false">+$I14*'PAYMENT RATIO_RAW'!G$13</f>
        <v>0</v>
      </c>
      <c r="Q14" s="639"/>
      <c r="R14" s="639" t="n">
        <f aca="false">+P14-Q14</f>
        <v>0</v>
      </c>
      <c r="S14" s="660"/>
      <c r="T14" s="658" t="n">
        <v>46022</v>
      </c>
      <c r="U14" s="642"/>
      <c r="V14" s="659" t="n">
        <f aca="false">+IFERROR(W14/$I14,"-")</f>
        <v>0</v>
      </c>
      <c r="W14" s="639" t="n">
        <f aca="false">+$I14*'PAYMENT RATIO_RAW'!N$13</f>
        <v>0</v>
      </c>
      <c r="X14" s="639"/>
      <c r="Y14" s="639" t="n">
        <f aca="false">+W14-X14</f>
        <v>0</v>
      </c>
      <c r="Z14" s="660"/>
      <c r="AA14" s="658" t="n">
        <v>46142</v>
      </c>
      <c r="AB14" s="642"/>
      <c r="AC14" s="659" t="n">
        <f aca="false">+IFERROR(AD14/$I14,"-")</f>
        <v>0</v>
      </c>
      <c r="AD14" s="639" t="n">
        <f aca="false">+'PAYMENT RATIO_RAW'!$U$13*I14</f>
        <v>0</v>
      </c>
      <c r="AE14" s="639"/>
      <c r="AF14" s="639" t="n">
        <f aca="false">+AD14-AE14</f>
        <v>0</v>
      </c>
      <c r="AG14" s="660"/>
      <c r="AH14" s="642"/>
      <c r="AI14" s="642"/>
      <c r="AJ14" s="659" t="n">
        <f aca="false">+IFERROR(AK14/$I14,"-")</f>
        <v>0</v>
      </c>
      <c r="AK14" s="639" t="n">
        <f aca="false">+'PAYMENT RATIO_RAW'!$AB$13*I14</f>
        <v>0</v>
      </c>
      <c r="AL14" s="639"/>
      <c r="AM14" s="639" t="n">
        <f aca="false">+AK14-AL14</f>
        <v>0</v>
      </c>
      <c r="AN14" s="660"/>
      <c r="AO14" s="658"/>
      <c r="AP14" s="642"/>
      <c r="AQ14" s="659"/>
      <c r="AR14" s="639" t="n">
        <f aca="false">+$I14*'PAYMENT RATIO_RAW'!AI$13</f>
        <v>0</v>
      </c>
      <c r="AS14" s="639"/>
      <c r="AT14" s="639" t="n">
        <f aca="false">+AR14-AS14</f>
        <v>0</v>
      </c>
      <c r="AU14" s="660"/>
      <c r="AV14" s="658"/>
      <c r="AW14" s="642"/>
      <c r="AX14" s="659"/>
      <c r="AY14" s="639" t="n">
        <f aca="false">+$I14*'PAYMENT RATIO_RAW'!AP$13</f>
        <v>0</v>
      </c>
      <c r="AZ14" s="639"/>
      <c r="BA14" s="639" t="n">
        <f aca="false">+AY14-AZ14</f>
        <v>0</v>
      </c>
      <c r="BB14" s="660"/>
      <c r="BC14" s="658"/>
      <c r="BD14" s="642"/>
      <c r="BE14" s="659" t="n">
        <f aca="false">+IFERROR(BF14/$I14,"-")</f>
        <v>0</v>
      </c>
      <c r="BF14" s="639" t="n">
        <f aca="false">+$I14*'PAYMENT RATIO_RAW'!AW$13</f>
        <v>0</v>
      </c>
      <c r="BG14" s="639"/>
      <c r="BH14" s="640" t="n">
        <f aca="false">+BF14-BG14</f>
        <v>0</v>
      </c>
      <c r="BI14" s="660"/>
      <c r="BJ14" s="658" t="n">
        <v>46203</v>
      </c>
      <c r="BK14" s="658"/>
      <c r="BL14" s="659" t="n">
        <f aca="false">+IFERROR(BM14/$I14,"-")</f>
        <v>1</v>
      </c>
      <c r="BM14" s="639" t="n">
        <f aca="false">+$I14*'PAYMENT RATIO_RAW'!BD$13</f>
        <v>110208000</v>
      </c>
      <c r="BN14" s="639"/>
      <c r="BO14" s="639" t="n">
        <f aca="false">+BM14-BN14</f>
        <v>110208000</v>
      </c>
      <c r="BP14" s="660"/>
      <c r="BQ14" s="644"/>
      <c r="BR14" s="645" t="n">
        <f aca="false">+P14+W14+AD14+AR14+AY14+BF14+BM14=I14</f>
        <v>1</v>
      </c>
      <c r="BS14" s="645" t="n">
        <f aca="false">+Q14+X14+AE14+AS14+AZ14+BG14+BN14=K14</f>
        <v>1</v>
      </c>
      <c r="BT14" s="645"/>
      <c r="BU14" s="621"/>
      <c r="BV14" s="621"/>
      <c r="BW14" s="621"/>
      <c r="BX14" s="621"/>
      <c r="BY14" s="621"/>
      <c r="BZ14" s="621"/>
      <c r="CA14" s="621"/>
      <c r="CB14" s="621"/>
      <c r="CC14" s="625"/>
      <c r="CD14" s="625"/>
    </row>
    <row r="15" customFormat="false" ht="13.5" hidden="false" customHeight="true" outlineLevel="0" collapsed="false">
      <c r="A15" s="628"/>
      <c r="B15" s="629"/>
      <c r="C15" s="630"/>
      <c r="D15" s="631"/>
      <c r="E15" s="631"/>
      <c r="F15" s="662" t="s">
        <v>508</v>
      </c>
      <c r="G15" s="661" t="n">
        <f aca="false">+'PAYMENT RATIO_RAW'!F$14*'GM Batch2-APA'!$D$11/1000</f>
        <v>0</v>
      </c>
      <c r="H15" s="661"/>
      <c r="I15" s="661" t="n">
        <f aca="false">SUM(G15:H15)</f>
        <v>0</v>
      </c>
      <c r="J15" s="662" t="str">
        <f aca="false">+IFERROR(K15/I15,"-")</f>
        <v>-</v>
      </c>
      <c r="K15" s="663" t="n">
        <f aca="false">+IFERROR(Q15+X15+AE15+AS15+AZ15+BG15+BN15,"-")</f>
        <v>0</v>
      </c>
      <c r="L15" s="663" t="n">
        <f aca="false">+I15-K15</f>
        <v>0</v>
      </c>
      <c r="M15" s="662"/>
      <c r="N15" s="662"/>
      <c r="O15" s="665"/>
      <c r="P15" s="663" t="n">
        <f aca="false">+$I15*'PAYMENT RATIO_RAW'!G$14</f>
        <v>0</v>
      </c>
      <c r="Q15" s="663" t="n">
        <v>0</v>
      </c>
      <c r="R15" s="663" t="n">
        <f aca="false">+P15-Q15</f>
        <v>0</v>
      </c>
      <c r="S15" s="662"/>
      <c r="T15" s="664"/>
      <c r="U15" s="662"/>
      <c r="V15" s="665"/>
      <c r="W15" s="663" t="n">
        <f aca="false">+$I15*'PAYMENT RATIO_RAW'!N$14</f>
        <v>0</v>
      </c>
      <c r="X15" s="663"/>
      <c r="Y15" s="663" t="n">
        <f aca="false">+W15-X15</f>
        <v>0</v>
      </c>
      <c r="Z15" s="662"/>
      <c r="AA15" s="664"/>
      <c r="AB15" s="662"/>
      <c r="AC15" s="665"/>
      <c r="AD15" s="663" t="n">
        <f aca="false">+'PAYMENT RATIO_RAW'!$U$14*I15</f>
        <v>0</v>
      </c>
      <c r="AE15" s="663"/>
      <c r="AF15" s="663" t="n">
        <f aca="false">+AD15-AE15</f>
        <v>0</v>
      </c>
      <c r="AG15" s="662"/>
      <c r="AH15" s="664"/>
      <c r="AI15" s="662"/>
      <c r="AJ15" s="665"/>
      <c r="AK15" s="663" t="n">
        <f aca="false">+'PAYMENT RATIO_RAW'!$AB$14*I15</f>
        <v>0</v>
      </c>
      <c r="AL15" s="663"/>
      <c r="AM15" s="663"/>
      <c r="AN15" s="662"/>
      <c r="AO15" s="664"/>
      <c r="AP15" s="662"/>
      <c r="AQ15" s="665"/>
      <c r="AR15" s="663" t="n">
        <f aca="false">+$I15*'PAYMENT RATIO_RAW'!AI$14</f>
        <v>0</v>
      </c>
      <c r="AS15" s="663"/>
      <c r="AT15" s="663"/>
      <c r="AU15" s="662"/>
      <c r="AV15" s="664"/>
      <c r="AW15" s="662"/>
      <c r="AX15" s="665"/>
      <c r="AY15" s="663" t="n">
        <f aca="false">+$I15*'PAYMENT RATIO_RAW'!AP$14</f>
        <v>0</v>
      </c>
      <c r="AZ15" s="663"/>
      <c r="BA15" s="663"/>
      <c r="BB15" s="662"/>
      <c r="BC15" s="664"/>
      <c r="BD15" s="662"/>
      <c r="BE15" s="665" t="str">
        <f aca="false">+IFERROR(BF15/$I15,"-")</f>
        <v>-</v>
      </c>
      <c r="BF15" s="663" t="n">
        <f aca="false">+$I15*'PAYMENT RATIO_RAW'!AW$14</f>
        <v>0</v>
      </c>
      <c r="BG15" s="663"/>
      <c r="BH15" s="640" t="n">
        <f aca="false">+BF15-BG15</f>
        <v>0</v>
      </c>
      <c r="BI15" s="662"/>
      <c r="BJ15" s="662"/>
      <c r="BK15" s="662"/>
      <c r="BL15" s="665" t="str">
        <f aca="false">+IFERROR(BM15/$I15,"-")</f>
        <v>-</v>
      </c>
      <c r="BM15" s="663" t="n">
        <f aca="false">+$I15*'PAYMENT RATIO_RAW'!BD$14</f>
        <v>0</v>
      </c>
      <c r="BN15" s="663"/>
      <c r="BO15" s="663" t="n">
        <f aca="false">+BM15-BN15</f>
        <v>0</v>
      </c>
      <c r="BP15" s="662"/>
      <c r="BQ15" s="666"/>
      <c r="BR15" s="667" t="n">
        <f aca="false">+P15+W15+AD15+AR15+AY15+BF15+BM15=I15</f>
        <v>1</v>
      </c>
      <c r="BS15" s="668" t="n">
        <f aca="false">+Q15+X15+AE15+AS15+AZ15+BG15+BN15=K15</f>
        <v>1</v>
      </c>
      <c r="BT15" s="668"/>
      <c r="BU15" s="621"/>
      <c r="BV15" s="621"/>
      <c r="BW15" s="621"/>
      <c r="BX15" s="621"/>
      <c r="BY15" s="621"/>
      <c r="BZ15" s="621"/>
      <c r="CA15" s="621"/>
      <c r="CB15" s="621"/>
      <c r="CC15" s="625"/>
      <c r="CD15" s="625"/>
    </row>
    <row r="16" customFormat="false" ht="13.5" hidden="false" customHeight="true" outlineLevel="0" collapsed="false">
      <c r="A16" s="628"/>
      <c r="B16" s="629"/>
      <c r="C16" s="630"/>
      <c r="D16" s="631"/>
      <c r="E16" s="631"/>
      <c r="F16" s="669" t="s">
        <v>109</v>
      </c>
      <c r="G16" s="670" t="n">
        <f aca="false">SUM(G11:G15)</f>
        <v>1046976000</v>
      </c>
      <c r="H16" s="670" t="n">
        <f aca="false">SUM(H11:H15)</f>
        <v>57859200</v>
      </c>
      <c r="I16" s="670" t="n">
        <f aca="false">SUM(I11:I15)</f>
        <v>1104835200</v>
      </c>
      <c r="J16" s="669" t="n">
        <f aca="false">+IFERROR(K16/I16,"-")</f>
        <v>0.235150364506851</v>
      </c>
      <c r="K16" s="670" t="n">
        <f aca="false">SUM(K11:K15)</f>
        <v>259802400</v>
      </c>
      <c r="L16" s="670" t="n">
        <f aca="false">SUM(L11:L15)</f>
        <v>845032800</v>
      </c>
      <c r="M16" s="669"/>
      <c r="N16" s="669"/>
      <c r="O16" s="672" t="n">
        <f aca="false">+IFERROR(P16/$I16,"-")</f>
        <v>0.129675810473815</v>
      </c>
      <c r="P16" s="670" t="n">
        <f aca="false">SUM(P11:P15)</f>
        <v>143270400</v>
      </c>
      <c r="Q16" s="670" t="n">
        <f aca="false">SUM(Q11:Q15)</f>
        <v>259802400</v>
      </c>
      <c r="R16" s="673" t="n">
        <f aca="false">+P16-Q16</f>
        <v>-116532000</v>
      </c>
      <c r="S16" s="669"/>
      <c r="T16" s="671"/>
      <c r="U16" s="669"/>
      <c r="V16" s="672" t="n">
        <f aca="false">+IFERROR(W16/$I16,"-")</f>
        <v>0.0648379052369077</v>
      </c>
      <c r="W16" s="670" t="n">
        <f aca="false">SUM(W11:W15)</f>
        <v>71635200</v>
      </c>
      <c r="X16" s="670" t="n">
        <f aca="false">SUM(X11:X15)</f>
        <v>0</v>
      </c>
      <c r="Y16" s="673" t="n">
        <f aca="false">+W16-X16</f>
        <v>71635200</v>
      </c>
      <c r="Z16" s="669"/>
      <c r="AA16" s="671"/>
      <c r="AB16" s="669"/>
      <c r="AC16" s="672" t="n">
        <f aca="false">+IFERROR(AD16/$I16,"-")</f>
        <v>0.270074812967581</v>
      </c>
      <c r="AD16" s="670" t="n">
        <f aca="false">SUM(AD11:AD15)</f>
        <v>298388160</v>
      </c>
      <c r="AE16" s="670" t="n">
        <f aca="false">SUM(AE11:AE15)</f>
        <v>0</v>
      </c>
      <c r="AF16" s="673" t="n">
        <f aca="false">+AD16-AE16</f>
        <v>298388160</v>
      </c>
      <c r="AG16" s="669"/>
      <c r="AH16" s="671"/>
      <c r="AI16" s="669"/>
      <c r="AJ16" s="672" t="n">
        <f aca="false">+IFERROR(AK16/$I16,"-")</f>
        <v>0.230423940149626</v>
      </c>
      <c r="AK16" s="670" t="n">
        <f aca="false">SUM(AK11:AK15)</f>
        <v>254580480</v>
      </c>
      <c r="AL16" s="670" t="n">
        <f aca="false">SUM(AL11:AL15)</f>
        <v>0</v>
      </c>
      <c r="AM16" s="673" t="n">
        <f aca="false">+AK16-AL16</f>
        <v>254580480</v>
      </c>
      <c r="AN16" s="669"/>
      <c r="AO16" s="671"/>
      <c r="AP16" s="669"/>
      <c r="AQ16" s="672" t="n">
        <f aca="false">+IFERROR(AR16/$I16,"-")</f>
        <v>0</v>
      </c>
      <c r="AR16" s="670" t="n">
        <f aca="false">SUM(AR11:AR15)</f>
        <v>0</v>
      </c>
      <c r="AS16" s="670" t="n">
        <f aca="false">SUM(AS11:AS15)</f>
        <v>0</v>
      </c>
      <c r="AT16" s="673" t="n">
        <f aca="false">+AR16-AS16</f>
        <v>0</v>
      </c>
      <c r="AU16" s="669"/>
      <c r="AV16" s="671"/>
      <c r="AW16" s="669"/>
      <c r="AX16" s="672" t="n">
        <f aca="false">+IFERROR(AY16/$I16,"-")</f>
        <v>0</v>
      </c>
      <c r="AY16" s="670" t="n">
        <f aca="false">SUM(AY11:AY15)</f>
        <v>0</v>
      </c>
      <c r="AZ16" s="670" t="n">
        <f aca="false">SUM(AZ11:AZ15)</f>
        <v>0</v>
      </c>
      <c r="BA16" s="673" t="n">
        <f aca="false">+AY16-AZ16</f>
        <v>0</v>
      </c>
      <c r="BB16" s="669"/>
      <c r="BC16" s="671"/>
      <c r="BD16" s="669"/>
      <c r="BE16" s="672" t="n">
        <f aca="false">+IFERROR(BF16/$I16,"-")</f>
        <v>0</v>
      </c>
      <c r="BF16" s="670" t="n">
        <f aca="false">SUM(BF11:BF15)</f>
        <v>0</v>
      </c>
      <c r="BG16" s="670" t="n">
        <f aca="false">SUM(BG11:BG15)</f>
        <v>0</v>
      </c>
      <c r="BH16" s="673" t="n">
        <f aca="false">+BF16-BG16</f>
        <v>0</v>
      </c>
      <c r="BI16" s="669"/>
      <c r="BJ16" s="669"/>
      <c r="BK16" s="669"/>
      <c r="BL16" s="672" t="n">
        <f aca="false">+IFERROR(BM16/$I16,"-")</f>
        <v>0.30498753117207</v>
      </c>
      <c r="BM16" s="670" t="n">
        <f aca="false">SUM(BM11:BM15)</f>
        <v>336960960</v>
      </c>
      <c r="BN16" s="670" t="n">
        <f aca="false">SUM(BN11:BN15)</f>
        <v>0</v>
      </c>
      <c r="BO16" s="673" t="n">
        <f aca="false">+BM16-BN16</f>
        <v>336960960</v>
      </c>
      <c r="BP16" s="669"/>
      <c r="BQ16" s="666"/>
      <c r="BR16" s="674"/>
      <c r="BS16" s="675"/>
      <c r="BT16" s="675"/>
      <c r="BU16" s="621"/>
      <c r="BV16" s="621"/>
      <c r="BW16" s="621"/>
      <c r="BX16" s="621"/>
      <c r="BY16" s="621"/>
      <c r="BZ16" s="621"/>
      <c r="CA16" s="621"/>
      <c r="CB16" s="621"/>
      <c r="CC16" s="625"/>
      <c r="CD16" s="625"/>
    </row>
    <row r="17" customFormat="false" ht="13.5" hidden="false" customHeight="true" outlineLevel="0" collapsed="false">
      <c r="A17" s="628"/>
      <c r="B17" s="629" t="n">
        <v>2</v>
      </c>
      <c r="C17" s="631" t="s">
        <v>179</v>
      </c>
      <c r="D17" s="631" t="n">
        <v>399.04</v>
      </c>
      <c r="E17" s="631" t="s">
        <v>505</v>
      </c>
      <c r="F17" s="634" t="s">
        <v>112</v>
      </c>
      <c r="G17" s="633" t="n">
        <f aca="false">+'PAYMENT RATIO_RAW'!F$10*'GM Batch2-APA'!$D$17/1000</f>
        <v>418992000</v>
      </c>
      <c r="H17" s="633" t="n">
        <f aca="false">+G17*10%</f>
        <v>41899200</v>
      </c>
      <c r="I17" s="633" t="n">
        <f aca="false">SUM(G17:H17)</f>
        <v>460891200</v>
      </c>
      <c r="J17" s="662" t="n">
        <f aca="false">+IFERROR(K17/I17,"-")</f>
        <v>0</v>
      </c>
      <c r="K17" s="663" t="n">
        <f aca="false">+IFERROR(Q17+X17+AE17+AS17+AZ17+BG17+BN17,"-")</f>
        <v>0</v>
      </c>
      <c r="L17" s="640" t="n">
        <f aca="false">+I17-K17</f>
        <v>460891200</v>
      </c>
      <c r="M17" s="637"/>
      <c r="N17" s="637"/>
      <c r="O17" s="638"/>
      <c r="P17" s="639" t="n">
        <f aca="false">+$I17*'PAYMENT RATIO_RAW'!G$10</f>
        <v>0</v>
      </c>
      <c r="Q17" s="640" t="n">
        <v>0</v>
      </c>
      <c r="R17" s="640" t="n">
        <f aca="false">+P17-Q17</f>
        <v>0</v>
      </c>
      <c r="S17" s="641"/>
      <c r="T17" s="636"/>
      <c r="U17" s="637"/>
      <c r="V17" s="638"/>
      <c r="W17" s="639" t="n">
        <f aca="false">+$I17*'PAYMENT RATIO_RAW'!N$10</f>
        <v>0</v>
      </c>
      <c r="X17" s="640"/>
      <c r="Y17" s="640" t="n">
        <f aca="false">+W17-X17</f>
        <v>0</v>
      </c>
      <c r="Z17" s="641"/>
      <c r="AA17" s="636" t="n">
        <v>46042</v>
      </c>
      <c r="AB17" s="637"/>
      <c r="AC17" s="638" t="n">
        <f aca="false">+IFERROR(AD17/$I17,"-")</f>
        <v>0.3</v>
      </c>
      <c r="AD17" s="639" t="n">
        <f aca="false">+'PAYMENT RATIO_RAW'!$U$10*I17</f>
        <v>138267360</v>
      </c>
      <c r="AE17" s="640"/>
      <c r="AF17" s="640" t="n">
        <f aca="false">+AD17-AE17</f>
        <v>138267360</v>
      </c>
      <c r="AG17" s="641"/>
      <c r="AH17" s="636" t="n">
        <v>46081</v>
      </c>
      <c r="AI17" s="642"/>
      <c r="AJ17" s="638" t="n">
        <f aca="false">+IFERROR(AK17/$I17,"-")</f>
        <v>0.4</v>
      </c>
      <c r="AK17" s="640" t="n">
        <f aca="false">+'PAYMENT RATIO_RAW'!$AB$10*I17</f>
        <v>184356480</v>
      </c>
      <c r="AL17" s="640"/>
      <c r="AM17" s="640" t="n">
        <f aca="false">+AK17-AL17</f>
        <v>184356480</v>
      </c>
      <c r="AN17" s="641"/>
      <c r="AO17" s="636" t="n">
        <f aca="false">+EDATE(AV17,-1)</f>
        <v>46111</v>
      </c>
      <c r="AP17" s="637"/>
      <c r="AQ17" s="638" t="n">
        <f aca="false">+IFERROR(AR17/$I17,"-")</f>
        <v>0</v>
      </c>
      <c r="AR17" s="639" t="n">
        <f aca="false">+$I17*'PAYMENT RATIO_RAW'!AI$10</f>
        <v>0</v>
      </c>
      <c r="AS17" s="640"/>
      <c r="AT17" s="640" t="n">
        <f aca="false">+AR17-AS17</f>
        <v>0</v>
      </c>
      <c r="AU17" s="641"/>
      <c r="AV17" s="636" t="n">
        <f aca="false">+EDATE(BC17,-1)</f>
        <v>46142</v>
      </c>
      <c r="AW17" s="637"/>
      <c r="AX17" s="638" t="n">
        <f aca="false">+IFERROR(AY17/$I17,"-")</f>
        <v>0</v>
      </c>
      <c r="AY17" s="639" t="n">
        <f aca="false">+$I17*'PAYMENT RATIO_RAW'!AP$10</f>
        <v>0</v>
      </c>
      <c r="AZ17" s="640"/>
      <c r="BA17" s="640" t="n">
        <f aca="false">+AY17-AZ17</f>
        <v>0</v>
      </c>
      <c r="BB17" s="641"/>
      <c r="BC17" s="636" t="n">
        <f aca="false">+EDATE(BJ17,-1)</f>
        <v>46172</v>
      </c>
      <c r="BD17" s="637"/>
      <c r="BE17" s="638" t="n">
        <f aca="false">+IFERROR(BF17/$I17,"-")</f>
        <v>0</v>
      </c>
      <c r="BF17" s="639" t="n">
        <f aca="false">+$I17*'PAYMENT RATIO_RAW'!AW$10</f>
        <v>0</v>
      </c>
      <c r="BG17" s="640"/>
      <c r="BH17" s="640" t="n">
        <f aca="false">+BF17-BG17</f>
        <v>0</v>
      </c>
      <c r="BI17" s="641"/>
      <c r="BJ17" s="658" t="n">
        <v>46203</v>
      </c>
      <c r="BK17" s="658"/>
      <c r="BL17" s="638" t="n">
        <f aca="false">+IFERROR(BM17/$I17,"-")</f>
        <v>0.3</v>
      </c>
      <c r="BM17" s="639" t="n">
        <f aca="false">+$I17*'PAYMENT RATIO_RAW'!BD$10</f>
        <v>138267360</v>
      </c>
      <c r="BN17" s="640"/>
      <c r="BO17" s="640" t="n">
        <f aca="false">+BM17-BN17</f>
        <v>138267360</v>
      </c>
      <c r="BP17" s="641"/>
      <c r="BQ17" s="644"/>
      <c r="BR17" s="645" t="n">
        <f aca="false">+P17+W17+AD17+AK17+AR17+AY17+BF17+BM17=I17</f>
        <v>1</v>
      </c>
      <c r="BS17" s="645" t="n">
        <f aca="false">+Q17+X17+AE17+AS17+AZ17+BG17+BN17=K17</f>
        <v>1</v>
      </c>
      <c r="BT17" s="645"/>
      <c r="BU17" s="621"/>
      <c r="BV17" s="621"/>
      <c r="BW17" s="621"/>
      <c r="BX17" s="621"/>
      <c r="BY17" s="621"/>
      <c r="BZ17" s="621"/>
      <c r="CA17" s="621"/>
      <c r="CB17" s="621"/>
      <c r="CC17" s="625"/>
      <c r="CD17" s="625"/>
    </row>
    <row r="18" customFormat="false" ht="15" hidden="false" customHeight="true" outlineLevel="0" collapsed="false">
      <c r="A18" s="628"/>
      <c r="B18" s="629"/>
      <c r="C18" s="631"/>
      <c r="D18" s="631"/>
      <c r="E18" s="631"/>
      <c r="F18" s="656" t="s">
        <v>114</v>
      </c>
      <c r="G18" s="657" t="n">
        <f aca="false">+'PAYMENT RATIO_RAW'!F$11*'GM Batch2-APA'!$D$17/1000</f>
        <v>139664000</v>
      </c>
      <c r="H18" s="657"/>
      <c r="I18" s="657" t="n">
        <f aca="false">SUM(G18:H18)</f>
        <v>139664000</v>
      </c>
      <c r="J18" s="656" t="n">
        <f aca="false">+IFERROR(K18/I18,"-")</f>
        <v>0.4</v>
      </c>
      <c r="K18" s="639" t="n">
        <f aca="false">+IFERROR(Q18+X18+AE18+AS18+AZ18+BG18+BN18,"-")</f>
        <v>55865600</v>
      </c>
      <c r="L18" s="639" t="n">
        <f aca="false">+I18-K18</f>
        <v>83798400</v>
      </c>
      <c r="M18" s="658" t="n">
        <v>45807</v>
      </c>
      <c r="N18" s="658" t="n">
        <v>45807</v>
      </c>
      <c r="O18" s="659" t="n">
        <f aca="false">+IFERROR(P18/$I18,"-")</f>
        <v>0.4</v>
      </c>
      <c r="P18" s="639" t="n">
        <f aca="false">+$I18*'PAYMENT RATIO_RAW'!G$11</f>
        <v>55865600</v>
      </c>
      <c r="Q18" s="639" t="n">
        <v>55865600</v>
      </c>
      <c r="R18" s="639" t="n">
        <f aca="false">+P18-Q18</f>
        <v>0</v>
      </c>
      <c r="S18" s="724" t="n">
        <f aca="false">+Q18/I18</f>
        <v>0.4</v>
      </c>
      <c r="T18" s="658" t="n">
        <v>46022</v>
      </c>
      <c r="U18" s="658"/>
      <c r="V18" s="659" t="n">
        <f aca="false">+IFERROR(W18/$I18,"-")</f>
        <v>0.2</v>
      </c>
      <c r="W18" s="639" t="n">
        <f aca="false">+$I18*'PAYMENT RATIO_RAW'!N$11</f>
        <v>27932800</v>
      </c>
      <c r="X18" s="639"/>
      <c r="Y18" s="639" t="n">
        <f aca="false">+W18-X18</f>
        <v>27932800</v>
      </c>
      <c r="Z18" s="721"/>
      <c r="AA18" s="658" t="n">
        <v>46142</v>
      </c>
      <c r="AB18" s="658"/>
      <c r="AC18" s="659" t="n">
        <f aca="false">+IFERROR(AD18/$I18,"-")</f>
        <v>0.3</v>
      </c>
      <c r="AD18" s="639" t="n">
        <f aca="false">+'PAYMENT RATIO_RAW'!$U$11*I18</f>
        <v>41899200</v>
      </c>
      <c r="AE18" s="639"/>
      <c r="AF18" s="639" t="n">
        <f aca="false">+AD18-AE18</f>
        <v>41899200</v>
      </c>
      <c r="AG18" s="660"/>
      <c r="AH18" s="658"/>
      <c r="AI18" s="658"/>
      <c r="AJ18" s="659" t="n">
        <f aca="false">+IFERROR(AK18/$I18,"-")</f>
        <v>0</v>
      </c>
      <c r="AK18" s="639" t="n">
        <f aca="false">+'PAYMENT RATIO_RAW'!$AB$11*I18</f>
        <v>0</v>
      </c>
      <c r="AL18" s="639"/>
      <c r="AM18" s="639" t="n">
        <f aca="false">+AK18-AL18</f>
        <v>0</v>
      </c>
      <c r="AN18" s="660"/>
      <c r="AO18" s="658"/>
      <c r="AP18" s="658"/>
      <c r="AQ18" s="659"/>
      <c r="AR18" s="639" t="n">
        <f aca="false">+$I18*'PAYMENT RATIO_RAW'!AI$11</f>
        <v>0</v>
      </c>
      <c r="AS18" s="639"/>
      <c r="AT18" s="639" t="n">
        <f aca="false">+AR18-AS18</f>
        <v>0</v>
      </c>
      <c r="AU18" s="660"/>
      <c r="AV18" s="658"/>
      <c r="AW18" s="658"/>
      <c r="AX18" s="659"/>
      <c r="AY18" s="639" t="n">
        <f aca="false">+$I18*'PAYMENT RATIO_RAW'!AP$11</f>
        <v>0</v>
      </c>
      <c r="AZ18" s="639"/>
      <c r="BA18" s="639" t="n">
        <f aca="false">+AY18-AZ18</f>
        <v>0</v>
      </c>
      <c r="BB18" s="660"/>
      <c r="BC18" s="658"/>
      <c r="BD18" s="658"/>
      <c r="BE18" s="659" t="n">
        <f aca="false">+IFERROR(BF18/$I18,"-")</f>
        <v>0</v>
      </c>
      <c r="BF18" s="639" t="n">
        <f aca="false">+$I18*'PAYMENT RATIO_RAW'!AW$11</f>
        <v>0</v>
      </c>
      <c r="BG18" s="639"/>
      <c r="BH18" s="640" t="n">
        <f aca="false">+BF18-BG18</f>
        <v>0</v>
      </c>
      <c r="BI18" s="660"/>
      <c r="BJ18" s="658" t="n">
        <v>46203</v>
      </c>
      <c r="BK18" s="658"/>
      <c r="BL18" s="659" t="n">
        <f aca="false">+IFERROR(BM18/$I18,"-")</f>
        <v>0.1</v>
      </c>
      <c r="BM18" s="639" t="n">
        <f aca="false">+$I18*'PAYMENT RATIO_RAW'!BD$11</f>
        <v>13966400</v>
      </c>
      <c r="BN18" s="639"/>
      <c r="BO18" s="639" t="n">
        <f aca="false">+BM18-BN18</f>
        <v>13966400</v>
      </c>
      <c r="BP18" s="660"/>
      <c r="BQ18" s="644"/>
      <c r="BR18" s="645" t="n">
        <f aca="false">+P18+W18+AD18+AR18+AY18+BF18+BM18=I18</f>
        <v>1</v>
      </c>
      <c r="BS18" s="645" t="n">
        <f aca="false">+Q18+X18+AE18+AS18+AZ18+BG18+BN18=K18</f>
        <v>1</v>
      </c>
      <c r="BT18" s="645" t="n">
        <f aca="false">+BF18+BF20+AY18+AY20+AR18+AR20+AD18+AD20+W18+W20+P18+P20+BM18+BM20=('PAYMENT RATIO_RAW'!$F$11+'PAYMENT RATIO_RAW'!$F$13)*D17*1.1/1000</f>
        <v>0</v>
      </c>
      <c r="BU18" s="621"/>
      <c r="BV18" s="621"/>
      <c r="BW18" s="621"/>
      <c r="BX18" s="621"/>
      <c r="BY18" s="621"/>
      <c r="BZ18" s="621"/>
      <c r="CA18" s="621"/>
      <c r="CB18" s="621"/>
      <c r="CC18" s="625"/>
      <c r="CD18" s="625"/>
    </row>
    <row r="19" customFormat="false" ht="13.5" hidden="false" customHeight="true" outlineLevel="0" collapsed="false">
      <c r="A19" s="628"/>
      <c r="B19" s="629"/>
      <c r="C19" s="631"/>
      <c r="D19" s="631"/>
      <c r="E19" s="631"/>
      <c r="F19" s="656" t="s">
        <v>404</v>
      </c>
      <c r="G19" s="657" t="n">
        <f aca="false">+'PAYMENT RATIO_RAW'!F$12*'GM Batch2-APA'!$D$17/1000</f>
        <v>119712000</v>
      </c>
      <c r="H19" s="657"/>
      <c r="I19" s="657" t="n">
        <f aca="false">SUM(G19:H19)</f>
        <v>119712000</v>
      </c>
      <c r="J19" s="656" t="n">
        <f aca="false">+IFERROR(K19/I19,"-")</f>
        <v>0.4</v>
      </c>
      <c r="K19" s="639" t="n">
        <f aca="false">+IFERROR(Q19+X19+AE19+AS19+AZ19+BG19+BN19,"-")</f>
        <v>47884800</v>
      </c>
      <c r="L19" s="639" t="n">
        <f aca="false">+I19-K19</f>
        <v>71827200</v>
      </c>
      <c r="M19" s="658" t="n">
        <v>45807</v>
      </c>
      <c r="N19" s="658" t="n">
        <v>45807</v>
      </c>
      <c r="O19" s="659" t="n">
        <f aca="false">+IFERROR(P19/$I19,"-")</f>
        <v>0.4</v>
      </c>
      <c r="P19" s="639" t="n">
        <f aca="false">+$I19*'PAYMENT RATIO_RAW'!G$12</f>
        <v>47884800</v>
      </c>
      <c r="Q19" s="639" t="n">
        <v>47884800</v>
      </c>
      <c r="R19" s="639" t="n">
        <f aca="false">+P19-Q19</f>
        <v>0</v>
      </c>
      <c r="S19" s="724" t="n">
        <f aca="false">+Q19/I19</f>
        <v>0.4</v>
      </c>
      <c r="T19" s="658" t="n">
        <v>46022</v>
      </c>
      <c r="U19" s="658"/>
      <c r="V19" s="659" t="n">
        <f aca="false">+IFERROR(W19/$I19,"-")</f>
        <v>0.2</v>
      </c>
      <c r="W19" s="639" t="n">
        <f aca="false">+$I19*'PAYMENT RATIO_RAW'!N$12</f>
        <v>23942400</v>
      </c>
      <c r="X19" s="639"/>
      <c r="Y19" s="639" t="n">
        <f aca="false">+W19-X19</f>
        <v>23942400</v>
      </c>
      <c r="Z19" s="660"/>
      <c r="AA19" s="658" t="n">
        <v>46142</v>
      </c>
      <c r="AB19" s="658"/>
      <c r="AC19" s="659" t="n">
        <f aca="false">+IFERROR(AD19/$I19,"-")</f>
        <v>0.3</v>
      </c>
      <c r="AD19" s="639" t="n">
        <f aca="false">+'PAYMENT RATIO_RAW'!$U$12*I19</f>
        <v>35913600</v>
      </c>
      <c r="AE19" s="639"/>
      <c r="AF19" s="639" t="n">
        <f aca="false">+AD19-AE19</f>
        <v>35913600</v>
      </c>
      <c r="AG19" s="660"/>
      <c r="AH19" s="658"/>
      <c r="AI19" s="658"/>
      <c r="AJ19" s="659" t="n">
        <f aca="false">+IFERROR(AK19/$I19,"-")</f>
        <v>0</v>
      </c>
      <c r="AK19" s="639" t="n">
        <f aca="false">+'PAYMENT RATIO_RAW'!$AB$12*I19</f>
        <v>0</v>
      </c>
      <c r="AL19" s="639"/>
      <c r="AM19" s="639" t="n">
        <f aca="false">+AK19-AL19</f>
        <v>0</v>
      </c>
      <c r="AN19" s="660"/>
      <c r="AO19" s="658"/>
      <c r="AP19" s="658"/>
      <c r="AQ19" s="659"/>
      <c r="AR19" s="639" t="n">
        <f aca="false">+$I19*'PAYMENT RATIO_RAW'!AI$12</f>
        <v>0</v>
      </c>
      <c r="AS19" s="639"/>
      <c r="AT19" s="639" t="n">
        <f aca="false">+AR19-AS19</f>
        <v>0</v>
      </c>
      <c r="AU19" s="660"/>
      <c r="AV19" s="658"/>
      <c r="AW19" s="658"/>
      <c r="AX19" s="659"/>
      <c r="AY19" s="639" t="n">
        <f aca="false">+$I19*'PAYMENT RATIO_RAW'!AP$12</f>
        <v>0</v>
      </c>
      <c r="AZ19" s="639"/>
      <c r="BA19" s="639" t="n">
        <f aca="false">+AY19-AZ19</f>
        <v>0</v>
      </c>
      <c r="BB19" s="660"/>
      <c r="BC19" s="658"/>
      <c r="BD19" s="658"/>
      <c r="BE19" s="659" t="n">
        <f aca="false">+IFERROR(BF19/$I19,"-")</f>
        <v>0</v>
      </c>
      <c r="BF19" s="639" t="n">
        <f aca="false">+$I19*'PAYMENT RATIO_RAW'!AW$12</f>
        <v>0</v>
      </c>
      <c r="BG19" s="639"/>
      <c r="BH19" s="640" t="n">
        <f aca="false">+BF19-BG19</f>
        <v>0</v>
      </c>
      <c r="BI19" s="660"/>
      <c r="BJ19" s="658" t="n">
        <v>46203</v>
      </c>
      <c r="BK19" s="658"/>
      <c r="BL19" s="659" t="n">
        <f aca="false">+IFERROR(BM19/$I19,"-")</f>
        <v>0.1</v>
      </c>
      <c r="BM19" s="639" t="n">
        <f aca="false">+$I19*'PAYMENT RATIO_RAW'!BD$12</f>
        <v>11971200</v>
      </c>
      <c r="BN19" s="639"/>
      <c r="BO19" s="639" t="n">
        <f aca="false">+BM19-BN19</f>
        <v>11971200</v>
      </c>
      <c r="BP19" s="660"/>
      <c r="BQ19" s="644"/>
      <c r="BR19" s="645" t="n">
        <f aca="false">+P19+W19+AD19+AR19+AY19+BF19+BM19=I19</f>
        <v>1</v>
      </c>
      <c r="BS19" s="645" t="n">
        <f aca="false">+Q19+X19+AE19+AS19+AZ19+BG19+BN19=K19</f>
        <v>1</v>
      </c>
      <c r="BT19" s="645"/>
      <c r="BU19" s="621"/>
      <c r="BV19" s="621"/>
      <c r="BW19" s="621"/>
      <c r="BX19" s="621"/>
      <c r="BY19" s="621"/>
      <c r="BZ19" s="621"/>
      <c r="CA19" s="621"/>
      <c r="CB19" s="621"/>
      <c r="CC19" s="625"/>
      <c r="CD19" s="625"/>
    </row>
    <row r="20" customFormat="false" ht="12.75" hidden="false" customHeight="false" outlineLevel="0" collapsed="false">
      <c r="A20" s="628"/>
      <c r="B20" s="629"/>
      <c r="C20" s="631"/>
      <c r="D20" s="631"/>
      <c r="E20" s="631"/>
      <c r="F20" s="656" t="s">
        <v>507</v>
      </c>
      <c r="G20" s="657" t="n">
        <f aca="false">+'PAYMENT RATIO_RAW'!F$13*'GM Batch2-APA'!$D$17/1000</f>
        <v>79808000</v>
      </c>
      <c r="H20" s="657"/>
      <c r="I20" s="661" t="n">
        <f aca="false">SUM(G20:H20)</f>
        <v>79808000</v>
      </c>
      <c r="J20" s="656" t="n">
        <f aca="false">+IFERROR(K20/I20,"-")</f>
        <v>0</v>
      </c>
      <c r="K20" s="639" t="n">
        <f aca="false">+IFERROR(Q20+X20+AE20+AS20+AZ20+BG20+BN20,"-")</f>
        <v>0</v>
      </c>
      <c r="L20" s="639" t="n">
        <f aca="false">+I20-K20</f>
        <v>79808000</v>
      </c>
      <c r="M20" s="658"/>
      <c r="N20" s="658"/>
      <c r="O20" s="659" t="n">
        <f aca="false">+IFERROR(P20/$I20,"-")</f>
        <v>0</v>
      </c>
      <c r="P20" s="639" t="n">
        <f aca="false">+$I20*'PAYMENT RATIO_RAW'!G$13</f>
        <v>0</v>
      </c>
      <c r="Q20" s="639"/>
      <c r="R20" s="639" t="n">
        <f aca="false">+P20-Q20</f>
        <v>0</v>
      </c>
      <c r="S20" s="724" t="n">
        <f aca="false">+Q20/I20</f>
        <v>0</v>
      </c>
      <c r="T20" s="658" t="n">
        <v>46022</v>
      </c>
      <c r="U20" s="642"/>
      <c r="V20" s="659" t="n">
        <f aca="false">+IFERROR(W20/$I20,"-")</f>
        <v>0</v>
      </c>
      <c r="W20" s="639" t="n">
        <f aca="false">+$I20*'PAYMENT RATIO_RAW'!N$13</f>
        <v>0</v>
      </c>
      <c r="X20" s="639"/>
      <c r="Y20" s="639" t="n">
        <f aca="false">+W20-X20</f>
        <v>0</v>
      </c>
      <c r="Z20" s="660"/>
      <c r="AA20" s="658" t="n">
        <v>46142</v>
      </c>
      <c r="AB20" s="642"/>
      <c r="AC20" s="659" t="n">
        <f aca="false">+IFERROR(AD20/$I20,"-")</f>
        <v>0</v>
      </c>
      <c r="AD20" s="639" t="n">
        <f aca="false">+'PAYMENT RATIO_RAW'!$U$13*I20</f>
        <v>0</v>
      </c>
      <c r="AE20" s="639"/>
      <c r="AF20" s="639" t="n">
        <f aca="false">+AD20-AE20</f>
        <v>0</v>
      </c>
      <c r="AG20" s="660"/>
      <c r="AH20" s="642"/>
      <c r="AI20" s="642"/>
      <c r="AJ20" s="659" t="n">
        <f aca="false">+IFERROR(AK20/$I20,"-")</f>
        <v>0</v>
      </c>
      <c r="AK20" s="639" t="n">
        <f aca="false">+'PAYMENT RATIO_RAW'!$AB$13*I20</f>
        <v>0</v>
      </c>
      <c r="AL20" s="639"/>
      <c r="AM20" s="639" t="n">
        <f aca="false">+AK20-AL20</f>
        <v>0</v>
      </c>
      <c r="AN20" s="660"/>
      <c r="AO20" s="658"/>
      <c r="AP20" s="642"/>
      <c r="AQ20" s="659"/>
      <c r="AR20" s="639" t="n">
        <f aca="false">+$I20*'PAYMENT RATIO_RAW'!AI$13</f>
        <v>0</v>
      </c>
      <c r="AS20" s="639"/>
      <c r="AT20" s="639" t="n">
        <f aca="false">+AR20-AS20</f>
        <v>0</v>
      </c>
      <c r="AU20" s="660"/>
      <c r="AV20" s="658"/>
      <c r="AW20" s="642"/>
      <c r="AX20" s="659"/>
      <c r="AY20" s="639" t="n">
        <f aca="false">+$I20*'PAYMENT RATIO_RAW'!AP$13</f>
        <v>0</v>
      </c>
      <c r="AZ20" s="639"/>
      <c r="BA20" s="639" t="n">
        <f aca="false">+AY20-AZ20</f>
        <v>0</v>
      </c>
      <c r="BB20" s="660"/>
      <c r="BC20" s="658"/>
      <c r="BD20" s="642"/>
      <c r="BE20" s="659" t="n">
        <f aca="false">+IFERROR(BF20/$I20,"-")</f>
        <v>0</v>
      </c>
      <c r="BF20" s="639" t="n">
        <f aca="false">+$I20*'PAYMENT RATIO_RAW'!AW$13</f>
        <v>0</v>
      </c>
      <c r="BG20" s="639"/>
      <c r="BH20" s="640" t="n">
        <f aca="false">+BF20-BG20</f>
        <v>0</v>
      </c>
      <c r="BI20" s="660"/>
      <c r="BJ20" s="658" t="n">
        <v>46203</v>
      </c>
      <c r="BK20" s="658"/>
      <c r="BL20" s="659" t="n">
        <f aca="false">+IFERROR(BM20/$I20,"-")</f>
        <v>1</v>
      </c>
      <c r="BM20" s="639" t="n">
        <f aca="false">+$I20*'PAYMENT RATIO_RAW'!BD$13</f>
        <v>79808000</v>
      </c>
      <c r="BN20" s="639"/>
      <c r="BO20" s="639" t="n">
        <f aca="false">+BM20-BN20</f>
        <v>79808000</v>
      </c>
      <c r="BP20" s="660"/>
      <c r="BQ20" s="644"/>
      <c r="BR20" s="645" t="n">
        <f aca="false">+P20+W20+AD20+AR20+AY20+BF20+BM20=I20</f>
        <v>1</v>
      </c>
      <c r="BS20" s="645" t="n">
        <f aca="false">+Q20+X20+AE20+AS20+AZ20+BG20+BN20=K20</f>
        <v>1</v>
      </c>
      <c r="BT20" s="645"/>
      <c r="BU20" s="621"/>
      <c r="BV20" s="621"/>
      <c r="BW20" s="621"/>
      <c r="BX20" s="621"/>
      <c r="BY20" s="621"/>
      <c r="BZ20" s="621"/>
      <c r="CA20" s="621"/>
      <c r="CB20" s="621"/>
      <c r="CC20" s="625"/>
      <c r="CD20" s="625"/>
    </row>
    <row r="21" customFormat="false" ht="12.75" hidden="false" customHeight="false" outlineLevel="0" collapsed="false">
      <c r="A21" s="628"/>
      <c r="B21" s="629"/>
      <c r="C21" s="631"/>
      <c r="D21" s="631"/>
      <c r="E21" s="631"/>
      <c r="F21" s="679" t="s">
        <v>508</v>
      </c>
      <c r="G21" s="661" t="n">
        <f aca="false">+'PAYMENT RATIO_RAW'!F$14*'GM Batch2-APA'!$D$17/1000</f>
        <v>0</v>
      </c>
      <c r="H21" s="661"/>
      <c r="I21" s="661" t="n">
        <f aca="false">SUM(G21:H21)</f>
        <v>0</v>
      </c>
      <c r="J21" s="679" t="str">
        <f aca="false">+IFERROR(K21/I21,"-")</f>
        <v>-</v>
      </c>
      <c r="K21" s="681" t="n">
        <f aca="false">+IFERROR(Q21+X21+AE21+AS21+AZ21+BG21+BN21,"-")</f>
        <v>0</v>
      </c>
      <c r="L21" s="681" t="n">
        <f aca="false">+I21-K21</f>
        <v>0</v>
      </c>
      <c r="M21" s="662"/>
      <c r="N21" s="662"/>
      <c r="O21" s="665"/>
      <c r="P21" s="663" t="n">
        <f aca="false">+$I21*'PAYMENT RATIO_RAW'!G$14</f>
        <v>0</v>
      </c>
      <c r="Q21" s="663" t="n">
        <v>0</v>
      </c>
      <c r="R21" s="663" t="n">
        <f aca="false">+P21-Q21</f>
        <v>0</v>
      </c>
      <c r="S21" s="662"/>
      <c r="T21" s="664"/>
      <c r="U21" s="662"/>
      <c r="V21" s="665"/>
      <c r="W21" s="663" t="n">
        <f aca="false">+$I21*'PAYMENT RATIO_RAW'!N$14</f>
        <v>0</v>
      </c>
      <c r="X21" s="663"/>
      <c r="Y21" s="663" t="n">
        <f aca="false">+W21-X21</f>
        <v>0</v>
      </c>
      <c r="Z21" s="662"/>
      <c r="AA21" s="664"/>
      <c r="AB21" s="662"/>
      <c r="AC21" s="665"/>
      <c r="AD21" s="663" t="n">
        <f aca="false">+'PAYMENT RATIO_RAW'!$U$14*I21</f>
        <v>0</v>
      </c>
      <c r="AE21" s="663"/>
      <c r="AF21" s="663" t="n">
        <f aca="false">+AD21-AE21</f>
        <v>0</v>
      </c>
      <c r="AG21" s="662"/>
      <c r="AH21" s="664"/>
      <c r="AI21" s="662"/>
      <c r="AJ21" s="665"/>
      <c r="AK21" s="663" t="n">
        <f aca="false">+'PAYMENT RATIO_RAW'!$AB$14*I21</f>
        <v>0</v>
      </c>
      <c r="AL21" s="663"/>
      <c r="AM21" s="663"/>
      <c r="AN21" s="662"/>
      <c r="AO21" s="664"/>
      <c r="AP21" s="662"/>
      <c r="AQ21" s="665"/>
      <c r="AR21" s="663" t="n">
        <f aca="false">+$I21*'PAYMENT RATIO_RAW'!AI$14</f>
        <v>0</v>
      </c>
      <c r="AS21" s="663"/>
      <c r="AT21" s="663"/>
      <c r="AU21" s="662"/>
      <c r="AV21" s="664"/>
      <c r="AW21" s="662"/>
      <c r="AX21" s="665"/>
      <c r="AY21" s="663" t="n">
        <f aca="false">+$I21*'PAYMENT RATIO_RAW'!AP$14</f>
        <v>0</v>
      </c>
      <c r="AZ21" s="663"/>
      <c r="BA21" s="663"/>
      <c r="BB21" s="662"/>
      <c r="BC21" s="664"/>
      <c r="BD21" s="662"/>
      <c r="BE21" s="665" t="str">
        <f aca="false">+IFERROR(BF21/$I21,"-")</f>
        <v>-</v>
      </c>
      <c r="BF21" s="663" t="n">
        <f aca="false">+$I21*'PAYMENT RATIO_RAW'!AW$14</f>
        <v>0</v>
      </c>
      <c r="BG21" s="663"/>
      <c r="BH21" s="640" t="n">
        <f aca="false">+BF21-BG21</f>
        <v>0</v>
      </c>
      <c r="BI21" s="662"/>
      <c r="BJ21" s="662"/>
      <c r="BK21" s="662"/>
      <c r="BL21" s="665" t="str">
        <f aca="false">+IFERROR(BM21/$I21,"-")</f>
        <v>-</v>
      </c>
      <c r="BM21" s="663" t="n">
        <f aca="false">+$I21*'PAYMENT RATIO_RAW'!BD$14</f>
        <v>0</v>
      </c>
      <c r="BN21" s="663"/>
      <c r="BO21" s="663" t="n">
        <f aca="false">+BM21-BN21</f>
        <v>0</v>
      </c>
      <c r="BP21" s="662"/>
      <c r="BQ21" s="666"/>
      <c r="BR21" s="667" t="n">
        <f aca="false">+P21+W21+AD21+AR21+AY21+BF21+BM21=I21</f>
        <v>1</v>
      </c>
      <c r="BS21" s="668" t="n">
        <f aca="false">+Q21+X21+AE21+AS21+AZ21+BG21+BN21=K21</f>
        <v>1</v>
      </c>
      <c r="BT21" s="668"/>
      <c r="BU21" s="621"/>
      <c r="BV21" s="621"/>
      <c r="BW21" s="621"/>
      <c r="BX21" s="621"/>
      <c r="BY21" s="621"/>
      <c r="BZ21" s="621"/>
      <c r="CA21" s="621"/>
      <c r="CB21" s="621"/>
      <c r="CC21" s="625"/>
      <c r="CD21" s="625"/>
    </row>
    <row r="22" customFormat="false" ht="12.75" hidden="false" customHeight="false" outlineLevel="0" collapsed="false">
      <c r="A22" s="628"/>
      <c r="B22" s="629"/>
      <c r="C22" s="631"/>
      <c r="D22" s="631"/>
      <c r="E22" s="631"/>
      <c r="F22" s="669" t="s">
        <v>109</v>
      </c>
      <c r="G22" s="670" t="n">
        <f aca="false">SUM(G17:G21)</f>
        <v>758176000</v>
      </c>
      <c r="H22" s="670" t="n">
        <f aca="false">SUM(H17:H21)</f>
        <v>41899200</v>
      </c>
      <c r="I22" s="670" t="n">
        <f aca="false">SUM(I17:I21)</f>
        <v>800075200</v>
      </c>
      <c r="J22" s="669" t="n">
        <f aca="false">+IFERROR(K22/I22,"-")</f>
        <v>0.129675810473815</v>
      </c>
      <c r="K22" s="670" t="n">
        <f aca="false">SUM(K17:K21)</f>
        <v>103750400</v>
      </c>
      <c r="L22" s="670" t="n">
        <f aca="false">SUM(L17:L21)</f>
        <v>696324800</v>
      </c>
      <c r="M22" s="669"/>
      <c r="N22" s="669"/>
      <c r="O22" s="672" t="n">
        <f aca="false">+IFERROR(P22/$I22,"-")</f>
        <v>0.129675810473815</v>
      </c>
      <c r="P22" s="670" t="n">
        <f aca="false">SUM(P17:P21)</f>
        <v>103750400</v>
      </c>
      <c r="Q22" s="670" t="n">
        <f aca="false">SUM(Q17:Q21)</f>
        <v>103750400</v>
      </c>
      <c r="R22" s="673" t="n">
        <f aca="false">+P22-Q22</f>
        <v>0</v>
      </c>
      <c r="S22" s="669"/>
      <c r="T22" s="671"/>
      <c r="U22" s="669"/>
      <c r="V22" s="672" t="n">
        <f aca="false">+IFERROR(W22/$I22,"-")</f>
        <v>0.0648379052369077</v>
      </c>
      <c r="W22" s="670" t="n">
        <f aca="false">SUM(W17:W21)</f>
        <v>51875200</v>
      </c>
      <c r="X22" s="670" t="n">
        <f aca="false">SUM(X17:X21)</f>
        <v>0</v>
      </c>
      <c r="Y22" s="673" t="n">
        <f aca="false">+W22-X22</f>
        <v>51875200</v>
      </c>
      <c r="Z22" s="669"/>
      <c r="AA22" s="671"/>
      <c r="AB22" s="669"/>
      <c r="AC22" s="672" t="n">
        <f aca="false">+IFERROR(AD22/$I22,"-")</f>
        <v>0.270074812967581</v>
      </c>
      <c r="AD22" s="670" t="n">
        <f aca="false">SUM(AD17:AD21)</f>
        <v>216080160</v>
      </c>
      <c r="AE22" s="670" t="n">
        <f aca="false">SUM(AE17:AE21)</f>
        <v>0</v>
      </c>
      <c r="AF22" s="673" t="n">
        <f aca="false">+AD22-AE22</f>
        <v>216080160</v>
      </c>
      <c r="AG22" s="669"/>
      <c r="AH22" s="671"/>
      <c r="AI22" s="669"/>
      <c r="AJ22" s="672" t="n">
        <f aca="false">+IFERROR(AK22/$I22,"-")</f>
        <v>0.230423940149626</v>
      </c>
      <c r="AK22" s="670" t="n">
        <f aca="false">SUM(AK17:AK21)</f>
        <v>184356480</v>
      </c>
      <c r="AL22" s="670" t="n">
        <f aca="false">SUM(AL17:AL21)</f>
        <v>0</v>
      </c>
      <c r="AM22" s="673" t="n">
        <f aca="false">+AK22-AL22</f>
        <v>184356480</v>
      </c>
      <c r="AN22" s="669"/>
      <c r="AO22" s="671"/>
      <c r="AP22" s="669"/>
      <c r="AQ22" s="672" t="n">
        <f aca="false">+IFERROR(AR22/$I22,"-")</f>
        <v>0</v>
      </c>
      <c r="AR22" s="670" t="n">
        <f aca="false">SUM(AR17:AR21)</f>
        <v>0</v>
      </c>
      <c r="AS22" s="670" t="n">
        <f aca="false">SUM(AS17:AS21)</f>
        <v>0</v>
      </c>
      <c r="AT22" s="673" t="n">
        <f aca="false">+AR22-AS22</f>
        <v>0</v>
      </c>
      <c r="AU22" s="669"/>
      <c r="AV22" s="671"/>
      <c r="AW22" s="669"/>
      <c r="AX22" s="672" t="n">
        <f aca="false">+IFERROR(AY22/$I22,"-")</f>
        <v>0</v>
      </c>
      <c r="AY22" s="670" t="n">
        <f aca="false">SUM(AY17:AY21)</f>
        <v>0</v>
      </c>
      <c r="AZ22" s="670" t="n">
        <f aca="false">SUM(AZ17:AZ21)</f>
        <v>0</v>
      </c>
      <c r="BA22" s="673" t="n">
        <f aca="false">+AY22-AZ22</f>
        <v>0</v>
      </c>
      <c r="BB22" s="669"/>
      <c r="BC22" s="671"/>
      <c r="BD22" s="669"/>
      <c r="BE22" s="672" t="n">
        <f aca="false">+IFERROR(BF22/$I22,"-")</f>
        <v>0</v>
      </c>
      <c r="BF22" s="670" t="n">
        <f aca="false">SUM(BF17:BF21)</f>
        <v>0</v>
      </c>
      <c r="BG22" s="670" t="n">
        <f aca="false">SUM(BG17:BG21)</f>
        <v>0</v>
      </c>
      <c r="BH22" s="673" t="n">
        <f aca="false">+BF22-BG22</f>
        <v>0</v>
      </c>
      <c r="BI22" s="669"/>
      <c r="BJ22" s="669"/>
      <c r="BK22" s="669"/>
      <c r="BL22" s="672" t="n">
        <f aca="false">+IFERROR(BM22/$I22,"-")</f>
        <v>0.30498753117207</v>
      </c>
      <c r="BM22" s="670" t="n">
        <f aca="false">SUM(BM17:BM21)</f>
        <v>244012960</v>
      </c>
      <c r="BN22" s="670" t="n">
        <f aca="false">SUM(BN17:BN21)</f>
        <v>0</v>
      </c>
      <c r="BO22" s="673" t="n">
        <f aca="false">+BM22-BN22</f>
        <v>244012960</v>
      </c>
      <c r="BP22" s="669"/>
      <c r="BQ22" s="666"/>
      <c r="BR22" s="674"/>
      <c r="BS22" s="675"/>
      <c r="BT22" s="675"/>
      <c r="BU22" s="621"/>
      <c r="BV22" s="621"/>
      <c r="BW22" s="621"/>
      <c r="BX22" s="621"/>
      <c r="BY22" s="621"/>
      <c r="BZ22" s="621"/>
      <c r="CA22" s="621"/>
      <c r="CB22" s="621"/>
      <c r="CC22" s="625"/>
      <c r="CD22" s="625"/>
    </row>
    <row r="23" customFormat="false" ht="12.75" hidden="false" customHeight="false" outlineLevel="0" collapsed="false">
      <c r="A23" s="683"/>
      <c r="B23" s="629" t="n">
        <v>3</v>
      </c>
      <c r="C23" s="631" t="s">
        <v>180</v>
      </c>
      <c r="D23" s="684" t="n">
        <v>499.96</v>
      </c>
      <c r="E23" s="631" t="s">
        <v>505</v>
      </c>
      <c r="F23" s="632" t="s">
        <v>112</v>
      </c>
      <c r="G23" s="633" t="n">
        <f aca="false">+'PAYMENT RATIO_RAW'!F$10*'GM Batch2-APA'!$D$23/1000</f>
        <v>524958000</v>
      </c>
      <c r="H23" s="633" t="n">
        <f aca="false">+G23*10%</f>
        <v>52495800</v>
      </c>
      <c r="I23" s="633" t="n">
        <f aca="false">SUM(G23:H23)</f>
        <v>577453800</v>
      </c>
      <c r="J23" s="634" t="n">
        <f aca="false">+IFERROR(K23/I23,"-")</f>
        <v>0</v>
      </c>
      <c r="K23" s="640" t="n">
        <f aca="false">+IFERROR(Q23+X23+AE23+AS23+AZ23+BG23+BN23,"-")</f>
        <v>0</v>
      </c>
      <c r="L23" s="640" t="n">
        <f aca="false">+I23-K23</f>
        <v>577453800</v>
      </c>
      <c r="M23" s="637"/>
      <c r="N23" s="637"/>
      <c r="O23" s="638"/>
      <c r="P23" s="639" t="n">
        <f aca="false">+$I23*'PAYMENT RATIO_RAW'!G$10</f>
        <v>0</v>
      </c>
      <c r="Q23" s="640" t="n">
        <v>0</v>
      </c>
      <c r="R23" s="640" t="n">
        <f aca="false">+P23-Q23</f>
        <v>0</v>
      </c>
      <c r="S23" s="641"/>
      <c r="T23" s="636"/>
      <c r="U23" s="637"/>
      <c r="V23" s="638"/>
      <c r="W23" s="639" t="n">
        <f aca="false">+$I23*'PAYMENT RATIO_RAW'!N$10</f>
        <v>0</v>
      </c>
      <c r="X23" s="640"/>
      <c r="Y23" s="640" t="n">
        <f aca="false">+W23-X23</f>
        <v>0</v>
      </c>
      <c r="Z23" s="641"/>
      <c r="AA23" s="636" t="n">
        <v>46042</v>
      </c>
      <c r="AB23" s="637"/>
      <c r="AC23" s="638" t="n">
        <f aca="false">+IFERROR(AD23/$I23,"-")</f>
        <v>0.3</v>
      </c>
      <c r="AD23" s="639" t="n">
        <f aca="false">+'PAYMENT RATIO_RAW'!$U$10*I23</f>
        <v>173236140</v>
      </c>
      <c r="AE23" s="640"/>
      <c r="AF23" s="640" t="n">
        <f aca="false">+AD23-AE23</f>
        <v>173236140</v>
      </c>
      <c r="AG23" s="641"/>
      <c r="AH23" s="636" t="n">
        <v>46081</v>
      </c>
      <c r="AI23" s="642"/>
      <c r="AJ23" s="638" t="n">
        <f aca="false">+IFERROR(AK23/$I23,"-")</f>
        <v>0.4</v>
      </c>
      <c r="AK23" s="640" t="n">
        <f aca="false">+'PAYMENT RATIO_RAW'!$AB$10*I23</f>
        <v>230981520</v>
      </c>
      <c r="AL23" s="640"/>
      <c r="AM23" s="640" t="n">
        <f aca="false">+AK23-AL23</f>
        <v>230981520</v>
      </c>
      <c r="AN23" s="641"/>
      <c r="AO23" s="636" t="n">
        <f aca="false">+EDATE(AV23,-1)</f>
        <v>46111</v>
      </c>
      <c r="AP23" s="637"/>
      <c r="AQ23" s="638" t="n">
        <f aca="false">+IFERROR(AR23/$I23,"-")</f>
        <v>0</v>
      </c>
      <c r="AR23" s="639" t="n">
        <f aca="false">+$I23*'PAYMENT RATIO_RAW'!AI$10</f>
        <v>0</v>
      </c>
      <c r="AS23" s="640"/>
      <c r="AT23" s="640" t="n">
        <f aca="false">+AR23-AS23</f>
        <v>0</v>
      </c>
      <c r="AU23" s="641"/>
      <c r="AV23" s="636" t="n">
        <f aca="false">+EDATE(BC23,-1)</f>
        <v>46142</v>
      </c>
      <c r="AW23" s="637"/>
      <c r="AX23" s="638" t="n">
        <f aca="false">+IFERROR(AY23/$I23,"-")</f>
        <v>0</v>
      </c>
      <c r="AY23" s="639" t="n">
        <f aca="false">+$I23*'PAYMENT RATIO_RAW'!AP$10</f>
        <v>0</v>
      </c>
      <c r="AZ23" s="640"/>
      <c r="BA23" s="640" t="n">
        <f aca="false">+AY23-AZ23</f>
        <v>0</v>
      </c>
      <c r="BB23" s="641"/>
      <c r="BC23" s="636" t="n">
        <f aca="false">+EDATE(BJ23,-1)</f>
        <v>46172</v>
      </c>
      <c r="BD23" s="637"/>
      <c r="BE23" s="638" t="n">
        <f aca="false">+IFERROR(BF23/$I23,"-")</f>
        <v>0</v>
      </c>
      <c r="BF23" s="639" t="n">
        <f aca="false">+$I23*'PAYMENT RATIO_RAW'!AW$10</f>
        <v>0</v>
      </c>
      <c r="BG23" s="640"/>
      <c r="BH23" s="640" t="n">
        <f aca="false">+BF23-BG23</f>
        <v>0</v>
      </c>
      <c r="BI23" s="641"/>
      <c r="BJ23" s="658" t="n">
        <v>46203</v>
      </c>
      <c r="BK23" s="658"/>
      <c r="BL23" s="638" t="n">
        <f aca="false">+IFERROR(BM23/$I23,"-")</f>
        <v>0.3</v>
      </c>
      <c r="BM23" s="639" t="n">
        <f aca="false">+$I23*'PAYMENT RATIO_RAW'!BD$10</f>
        <v>173236140</v>
      </c>
      <c r="BN23" s="640"/>
      <c r="BO23" s="640" t="n">
        <f aca="false">+BM23-BN23</f>
        <v>173236140</v>
      </c>
      <c r="BP23" s="641"/>
      <c r="BQ23" s="644"/>
      <c r="BR23" s="645" t="n">
        <f aca="false">+P23+W23+AD23+AK23+AR23+AY23+BF23+BM23=I23</f>
        <v>1</v>
      </c>
      <c r="BS23" s="645" t="n">
        <f aca="false">+Q23+X23+AE23+AS23+AZ23+BG23+BN23=K23</f>
        <v>1</v>
      </c>
      <c r="BT23" s="645"/>
      <c r="BU23" s="625"/>
      <c r="BV23" s="625"/>
      <c r="BW23" s="625"/>
      <c r="BX23" s="625"/>
      <c r="BY23" s="625"/>
      <c r="BZ23" s="625"/>
      <c r="CA23" s="625"/>
      <c r="CB23" s="625"/>
      <c r="CC23" s="625"/>
      <c r="CD23" s="625"/>
    </row>
    <row r="24" customFormat="false" ht="12.75" hidden="false" customHeight="false" outlineLevel="0" collapsed="false">
      <c r="A24" s="683"/>
      <c r="B24" s="629"/>
      <c r="C24" s="631"/>
      <c r="D24" s="684"/>
      <c r="E24" s="631"/>
      <c r="F24" s="656" t="s">
        <v>114</v>
      </c>
      <c r="G24" s="657" t="n">
        <f aca="false">+'PAYMENT RATIO_RAW'!F$11*'GM Batch2-APA'!$D$23/1000</f>
        <v>174986000</v>
      </c>
      <c r="H24" s="657"/>
      <c r="I24" s="657" t="n">
        <f aca="false">SUM(G24:H24)</f>
        <v>174986000</v>
      </c>
      <c r="J24" s="656" t="n">
        <f aca="false">+IFERROR(K24/I24,"-")</f>
        <v>0.4</v>
      </c>
      <c r="K24" s="639" t="n">
        <f aca="false">+IFERROR(Q24+X24+AE24+AS24+AZ24+BG24+BN24,"-")</f>
        <v>69994400</v>
      </c>
      <c r="L24" s="639" t="n">
        <f aca="false">+I24-K24</f>
        <v>104991600</v>
      </c>
      <c r="M24" s="658" t="n">
        <v>45807</v>
      </c>
      <c r="N24" s="658" t="n">
        <v>45807</v>
      </c>
      <c r="O24" s="659" t="n">
        <f aca="false">+IFERROR(P24/$I24,"-")</f>
        <v>0.4</v>
      </c>
      <c r="P24" s="639" t="n">
        <f aca="false">+$I24*'PAYMENT RATIO_RAW'!G$11</f>
        <v>69994400</v>
      </c>
      <c r="Q24" s="639" t="n">
        <v>69994400</v>
      </c>
      <c r="R24" s="639" t="n">
        <f aca="false">+P24-Q24</f>
        <v>0</v>
      </c>
      <c r="S24" s="660"/>
      <c r="T24" s="658" t="n">
        <v>46022</v>
      </c>
      <c r="U24" s="658"/>
      <c r="V24" s="659" t="n">
        <f aca="false">+IFERROR(W24/$I24,"-")</f>
        <v>0.2</v>
      </c>
      <c r="W24" s="639" t="n">
        <f aca="false">+$I24*'PAYMENT RATIO_RAW'!N$11</f>
        <v>34997200</v>
      </c>
      <c r="X24" s="639"/>
      <c r="Y24" s="639" t="n">
        <f aca="false">+W24-X24</f>
        <v>34997200</v>
      </c>
      <c r="Z24" s="721"/>
      <c r="AA24" s="658" t="n">
        <v>46142</v>
      </c>
      <c r="AB24" s="658"/>
      <c r="AC24" s="659" t="n">
        <f aca="false">+IFERROR(AD24/$I24,"-")</f>
        <v>0.3</v>
      </c>
      <c r="AD24" s="639" t="n">
        <f aca="false">+'PAYMENT RATIO_RAW'!$U$11*I24</f>
        <v>52495800</v>
      </c>
      <c r="AE24" s="639"/>
      <c r="AF24" s="639" t="n">
        <f aca="false">+AD24-AE24</f>
        <v>52495800</v>
      </c>
      <c r="AG24" s="660"/>
      <c r="AH24" s="658"/>
      <c r="AI24" s="658"/>
      <c r="AJ24" s="659" t="n">
        <f aca="false">+IFERROR(AK24/$I24,"-")</f>
        <v>0</v>
      </c>
      <c r="AK24" s="639" t="n">
        <f aca="false">+'PAYMENT RATIO_RAW'!$AB$11*I24</f>
        <v>0</v>
      </c>
      <c r="AL24" s="639"/>
      <c r="AM24" s="639" t="n">
        <f aca="false">+AK24-AL24</f>
        <v>0</v>
      </c>
      <c r="AN24" s="660"/>
      <c r="AO24" s="658"/>
      <c r="AP24" s="658"/>
      <c r="AQ24" s="659"/>
      <c r="AR24" s="639" t="n">
        <f aca="false">+$I24*'PAYMENT RATIO_RAW'!AI$11</f>
        <v>0</v>
      </c>
      <c r="AS24" s="639"/>
      <c r="AT24" s="639" t="n">
        <f aca="false">+AR24-AS24</f>
        <v>0</v>
      </c>
      <c r="AU24" s="660"/>
      <c r="AV24" s="658"/>
      <c r="AW24" s="658"/>
      <c r="AX24" s="659"/>
      <c r="AY24" s="639" t="n">
        <f aca="false">+$I24*'PAYMENT RATIO_RAW'!AP$11</f>
        <v>0</v>
      </c>
      <c r="AZ24" s="639"/>
      <c r="BA24" s="639" t="n">
        <f aca="false">+AY24-AZ24</f>
        <v>0</v>
      </c>
      <c r="BB24" s="660"/>
      <c r="BC24" s="658"/>
      <c r="BD24" s="658"/>
      <c r="BE24" s="659" t="n">
        <f aca="false">+IFERROR(BF24/$I24,"-")</f>
        <v>0</v>
      </c>
      <c r="BF24" s="639" t="n">
        <f aca="false">+$I24*'PAYMENT RATIO_RAW'!AW$11</f>
        <v>0</v>
      </c>
      <c r="BG24" s="639"/>
      <c r="BH24" s="640" t="n">
        <f aca="false">+BF24-BG24</f>
        <v>0</v>
      </c>
      <c r="BI24" s="660"/>
      <c r="BJ24" s="658" t="n">
        <v>46203</v>
      </c>
      <c r="BK24" s="658"/>
      <c r="BL24" s="659" t="n">
        <f aca="false">+IFERROR(BM24/$I24,"-")</f>
        <v>0.1</v>
      </c>
      <c r="BM24" s="639" t="n">
        <f aca="false">+$I24*'PAYMENT RATIO_RAW'!BD$11</f>
        <v>17498600</v>
      </c>
      <c r="BN24" s="639"/>
      <c r="BO24" s="639" t="n">
        <f aca="false">+BM24-BN24</f>
        <v>17498600</v>
      </c>
      <c r="BP24" s="660"/>
      <c r="BQ24" s="644"/>
      <c r="BR24" s="645" t="n">
        <f aca="false">+P24+W24+AD24+AR24+AY24+BF24+BM24=I24</f>
        <v>1</v>
      </c>
      <c r="BS24" s="645" t="n">
        <f aca="false">+Q24+X24+AE24+AS24+AZ24+BG24+BN24=K24</f>
        <v>1</v>
      </c>
      <c r="BT24" s="645" t="n">
        <f aca="false">+BF24+BF26+AY24+AY26+AR24+AR26+AD24+AD26+W24+W26+P24+P26+BM24+BM26=('PAYMENT RATIO_RAW'!$F$11+'PAYMENT RATIO_RAW'!$F$13)*D23*1.1/1000</f>
        <v>0</v>
      </c>
      <c r="BU24" s="625"/>
      <c r="BV24" s="625"/>
      <c r="BW24" s="625"/>
      <c r="BX24" s="625"/>
      <c r="BY24" s="625"/>
      <c r="BZ24" s="625"/>
      <c r="CA24" s="625"/>
      <c r="CB24" s="625"/>
      <c r="CC24" s="625"/>
      <c r="CD24" s="625"/>
    </row>
    <row r="25" customFormat="false" ht="12.75" hidden="false" customHeight="false" outlineLevel="0" collapsed="false">
      <c r="A25" s="683"/>
      <c r="B25" s="629"/>
      <c r="C25" s="631"/>
      <c r="D25" s="684"/>
      <c r="E25" s="631"/>
      <c r="F25" s="656" t="s">
        <v>404</v>
      </c>
      <c r="G25" s="657" t="n">
        <f aca="false">+'PAYMENT RATIO_RAW'!F$12*'GM Batch2-APA'!$D$23/1000</f>
        <v>149988000</v>
      </c>
      <c r="H25" s="657"/>
      <c r="I25" s="657" t="n">
        <f aca="false">SUM(G25:H25)</f>
        <v>149988000</v>
      </c>
      <c r="J25" s="656" t="n">
        <f aca="false">+IFERROR(K25/I25,"-")</f>
        <v>0.4</v>
      </c>
      <c r="K25" s="639" t="n">
        <f aca="false">+IFERROR(Q25+X25+AE25+AS25+AZ25+BG25+BN25,"-")</f>
        <v>59995200</v>
      </c>
      <c r="L25" s="639" t="n">
        <f aca="false">+I25-K25</f>
        <v>89992800</v>
      </c>
      <c r="M25" s="658" t="n">
        <v>45807</v>
      </c>
      <c r="N25" s="658" t="n">
        <v>45807</v>
      </c>
      <c r="O25" s="659" t="n">
        <f aca="false">+IFERROR(P25/$I25,"-")</f>
        <v>0.4</v>
      </c>
      <c r="P25" s="639" t="n">
        <f aca="false">+$I25*'PAYMENT RATIO_RAW'!G$12</f>
        <v>59995200</v>
      </c>
      <c r="Q25" s="639" t="n">
        <v>59995200</v>
      </c>
      <c r="R25" s="639" t="n">
        <f aca="false">+P25-Q25</f>
        <v>0</v>
      </c>
      <c r="S25" s="660"/>
      <c r="T25" s="658" t="n">
        <v>46022</v>
      </c>
      <c r="U25" s="658"/>
      <c r="V25" s="659" t="n">
        <f aca="false">+IFERROR(W25/$I25,"-")</f>
        <v>0.2</v>
      </c>
      <c r="W25" s="639" t="n">
        <f aca="false">+$I25*'PAYMENT RATIO_RAW'!N$12</f>
        <v>29997600</v>
      </c>
      <c r="X25" s="639"/>
      <c r="Y25" s="639" t="n">
        <f aca="false">+W25-X25</f>
        <v>29997600</v>
      </c>
      <c r="Z25" s="660"/>
      <c r="AA25" s="658" t="n">
        <v>46142</v>
      </c>
      <c r="AB25" s="658"/>
      <c r="AC25" s="659" t="n">
        <f aca="false">+IFERROR(AD25/$I25,"-")</f>
        <v>0.3</v>
      </c>
      <c r="AD25" s="639" t="n">
        <f aca="false">+'PAYMENT RATIO_RAW'!$U$12*I25</f>
        <v>44996400</v>
      </c>
      <c r="AE25" s="639"/>
      <c r="AF25" s="639" t="n">
        <f aca="false">+AD25-AE25</f>
        <v>44996400</v>
      </c>
      <c r="AG25" s="660"/>
      <c r="AH25" s="658"/>
      <c r="AI25" s="658"/>
      <c r="AJ25" s="659" t="n">
        <f aca="false">+IFERROR(AK25/$I25,"-")</f>
        <v>0</v>
      </c>
      <c r="AK25" s="639" t="n">
        <f aca="false">+'PAYMENT RATIO_RAW'!$AB$12*I25</f>
        <v>0</v>
      </c>
      <c r="AL25" s="639"/>
      <c r="AM25" s="639" t="n">
        <f aca="false">+AK25-AL25</f>
        <v>0</v>
      </c>
      <c r="AN25" s="660"/>
      <c r="AO25" s="658"/>
      <c r="AP25" s="658"/>
      <c r="AQ25" s="659"/>
      <c r="AR25" s="639" t="n">
        <f aca="false">+$I25*'PAYMENT RATIO_RAW'!AI$12</f>
        <v>0</v>
      </c>
      <c r="AS25" s="639"/>
      <c r="AT25" s="639" t="n">
        <f aca="false">+AR25-AS25</f>
        <v>0</v>
      </c>
      <c r="AU25" s="660"/>
      <c r="AV25" s="658"/>
      <c r="AW25" s="658"/>
      <c r="AX25" s="659"/>
      <c r="AY25" s="639" t="n">
        <f aca="false">+$I25*'PAYMENT RATIO_RAW'!AP$12</f>
        <v>0</v>
      </c>
      <c r="AZ25" s="639"/>
      <c r="BA25" s="639" t="n">
        <f aca="false">+AY25-AZ25</f>
        <v>0</v>
      </c>
      <c r="BB25" s="660"/>
      <c r="BC25" s="658"/>
      <c r="BD25" s="658"/>
      <c r="BE25" s="659" t="n">
        <f aca="false">+IFERROR(BF25/$I25,"-")</f>
        <v>0</v>
      </c>
      <c r="BF25" s="639" t="n">
        <f aca="false">+$I25*'PAYMENT RATIO_RAW'!AW$12</f>
        <v>0</v>
      </c>
      <c r="BG25" s="639"/>
      <c r="BH25" s="640" t="n">
        <f aca="false">+BF25-BG25</f>
        <v>0</v>
      </c>
      <c r="BI25" s="660"/>
      <c r="BJ25" s="658" t="n">
        <v>46203</v>
      </c>
      <c r="BK25" s="658"/>
      <c r="BL25" s="659" t="n">
        <f aca="false">+IFERROR(BM25/$I25,"-")</f>
        <v>0.1</v>
      </c>
      <c r="BM25" s="639" t="n">
        <f aca="false">+$I25*'PAYMENT RATIO_RAW'!BD$12</f>
        <v>14998800</v>
      </c>
      <c r="BN25" s="639"/>
      <c r="BO25" s="639" t="n">
        <f aca="false">+BM25-BN25</f>
        <v>14998800</v>
      </c>
      <c r="BP25" s="660"/>
      <c r="BQ25" s="644"/>
      <c r="BR25" s="645" t="n">
        <f aca="false">+P25+W25+AD25+AR25+AY25+BF25+BM25=I25</f>
        <v>1</v>
      </c>
      <c r="BS25" s="645" t="n">
        <f aca="false">+Q25+X25+AE25+AS25+AZ25+BG25+BN25=K25</f>
        <v>1</v>
      </c>
      <c r="BT25" s="645"/>
      <c r="BU25" s="625"/>
      <c r="BV25" s="625"/>
      <c r="BW25" s="625"/>
      <c r="BX25" s="625"/>
      <c r="BY25" s="625"/>
      <c r="BZ25" s="625"/>
      <c r="CA25" s="625"/>
      <c r="CB25" s="625"/>
      <c r="CC25" s="625"/>
      <c r="CD25" s="625"/>
    </row>
    <row r="26" customFormat="false" ht="12.75" hidden="false" customHeight="false" outlineLevel="0" collapsed="false">
      <c r="A26" s="683"/>
      <c r="B26" s="629"/>
      <c r="C26" s="631"/>
      <c r="D26" s="684"/>
      <c r="E26" s="631"/>
      <c r="F26" s="656" t="s">
        <v>507</v>
      </c>
      <c r="G26" s="657" t="n">
        <f aca="false">+'PAYMENT RATIO_RAW'!F$13*'GM Batch2-APA'!$D$23/1000</f>
        <v>99992000</v>
      </c>
      <c r="H26" s="657"/>
      <c r="I26" s="661" t="n">
        <f aca="false">SUM(G26:H26)</f>
        <v>99992000</v>
      </c>
      <c r="J26" s="656" t="n">
        <f aca="false">+IFERROR(K26/I26,"-")</f>
        <v>0</v>
      </c>
      <c r="K26" s="639" t="n">
        <f aca="false">+IFERROR(Q26+X26+AE26+AS26+AZ26+BG26+BN26,"-")</f>
        <v>0</v>
      </c>
      <c r="L26" s="639" t="n">
        <f aca="false">+I26-K26</f>
        <v>99992000</v>
      </c>
      <c r="M26" s="658"/>
      <c r="N26" s="658"/>
      <c r="O26" s="659" t="n">
        <f aca="false">+IFERROR(P26/$I26,"-")</f>
        <v>0</v>
      </c>
      <c r="P26" s="639" t="n">
        <f aca="false">+$I26*'PAYMENT RATIO_RAW'!G$13</f>
        <v>0</v>
      </c>
      <c r="Q26" s="639"/>
      <c r="R26" s="639" t="n">
        <f aca="false">+P26-Q26</f>
        <v>0</v>
      </c>
      <c r="S26" s="724" t="n">
        <f aca="false">+Q26/I26</f>
        <v>0</v>
      </c>
      <c r="T26" s="658" t="n">
        <v>46022</v>
      </c>
      <c r="U26" s="642"/>
      <c r="V26" s="659" t="n">
        <f aca="false">+IFERROR(W26/$I26,"-")</f>
        <v>0</v>
      </c>
      <c r="W26" s="639" t="n">
        <f aca="false">+$I26*'PAYMENT RATIO_RAW'!N$13</f>
        <v>0</v>
      </c>
      <c r="X26" s="639"/>
      <c r="Y26" s="639" t="n">
        <f aca="false">+W26-X26</f>
        <v>0</v>
      </c>
      <c r="Z26" s="660"/>
      <c r="AA26" s="658" t="n">
        <v>46142</v>
      </c>
      <c r="AB26" s="642"/>
      <c r="AC26" s="659" t="n">
        <f aca="false">+IFERROR(AD26/$I26,"-")</f>
        <v>0</v>
      </c>
      <c r="AD26" s="639" t="n">
        <f aca="false">+'PAYMENT RATIO_RAW'!$U$13*I26</f>
        <v>0</v>
      </c>
      <c r="AE26" s="639"/>
      <c r="AF26" s="639" t="n">
        <f aca="false">+AD26-AE26</f>
        <v>0</v>
      </c>
      <c r="AG26" s="660"/>
      <c r="AH26" s="642"/>
      <c r="AI26" s="642"/>
      <c r="AJ26" s="659" t="n">
        <f aca="false">+IFERROR(AK26/$I26,"-")</f>
        <v>0</v>
      </c>
      <c r="AK26" s="639" t="n">
        <f aca="false">+'PAYMENT RATIO_RAW'!$AB$13*I26</f>
        <v>0</v>
      </c>
      <c r="AL26" s="639"/>
      <c r="AM26" s="639" t="n">
        <f aca="false">+AK26-AL26</f>
        <v>0</v>
      </c>
      <c r="AN26" s="660"/>
      <c r="AO26" s="658"/>
      <c r="AP26" s="642"/>
      <c r="AQ26" s="659"/>
      <c r="AR26" s="639" t="n">
        <f aca="false">+$I26*'PAYMENT RATIO_RAW'!AI$13</f>
        <v>0</v>
      </c>
      <c r="AS26" s="639"/>
      <c r="AT26" s="639" t="n">
        <f aca="false">+AR26-AS26</f>
        <v>0</v>
      </c>
      <c r="AU26" s="660"/>
      <c r="AV26" s="658"/>
      <c r="AW26" s="642"/>
      <c r="AX26" s="659"/>
      <c r="AY26" s="639" t="n">
        <f aca="false">+$I26*'PAYMENT RATIO_RAW'!AP$13</f>
        <v>0</v>
      </c>
      <c r="AZ26" s="639"/>
      <c r="BA26" s="639" t="n">
        <f aca="false">+AY26-AZ26</f>
        <v>0</v>
      </c>
      <c r="BB26" s="660"/>
      <c r="BC26" s="658"/>
      <c r="BD26" s="642"/>
      <c r="BE26" s="659" t="n">
        <f aca="false">+IFERROR(BF26/$I26,"-")</f>
        <v>0</v>
      </c>
      <c r="BF26" s="639" t="n">
        <f aca="false">+$I26*'PAYMENT RATIO_RAW'!AW$13</f>
        <v>0</v>
      </c>
      <c r="BG26" s="639"/>
      <c r="BH26" s="640" t="n">
        <f aca="false">+BF26-BG26</f>
        <v>0</v>
      </c>
      <c r="BI26" s="660"/>
      <c r="BJ26" s="658" t="n">
        <v>46203</v>
      </c>
      <c r="BK26" s="658"/>
      <c r="BL26" s="659" t="n">
        <f aca="false">+IFERROR(BM26/$I26,"-")</f>
        <v>1</v>
      </c>
      <c r="BM26" s="639" t="n">
        <f aca="false">+$I26*'PAYMENT RATIO_RAW'!BD$13</f>
        <v>99992000</v>
      </c>
      <c r="BN26" s="639"/>
      <c r="BO26" s="639" t="n">
        <f aca="false">+BM26-BN26</f>
        <v>99992000</v>
      </c>
      <c r="BP26" s="660"/>
      <c r="BQ26" s="644"/>
      <c r="BR26" s="645" t="n">
        <f aca="false">+P26+W26+AD26+AR26+AY26+BF26+BM26=I26</f>
        <v>1</v>
      </c>
      <c r="BS26" s="645" t="n">
        <f aca="false">+Q26+X26+AE26+AS26+AZ26+BG26+BN26=K26</f>
        <v>1</v>
      </c>
      <c r="BT26" s="645"/>
      <c r="BU26" s="625"/>
      <c r="BV26" s="625"/>
      <c r="BW26" s="625"/>
      <c r="BX26" s="625"/>
      <c r="BY26" s="625"/>
      <c r="BZ26" s="625"/>
      <c r="CA26" s="625"/>
      <c r="CB26" s="625"/>
      <c r="CC26" s="625"/>
      <c r="CD26" s="625"/>
    </row>
    <row r="27" customFormat="false" ht="12.75" hidden="false" customHeight="false" outlineLevel="0" collapsed="false">
      <c r="A27" s="683"/>
      <c r="B27" s="629"/>
      <c r="C27" s="631"/>
      <c r="D27" s="684"/>
      <c r="E27" s="631"/>
      <c r="F27" s="679" t="s">
        <v>508</v>
      </c>
      <c r="G27" s="661" t="n">
        <f aca="false">+'PAYMENT RATIO_RAW'!F$14*'GM Batch2-APA'!$D$23/1000</f>
        <v>0</v>
      </c>
      <c r="H27" s="661"/>
      <c r="I27" s="661" t="n">
        <f aca="false">SUM(G27:H27)</f>
        <v>0</v>
      </c>
      <c r="J27" s="679" t="str">
        <f aca="false">+IFERROR(K27/I27,"-")</f>
        <v>-</v>
      </c>
      <c r="K27" s="681" t="n">
        <f aca="false">+IFERROR(Q27+X27+AE27+AS27+AZ27+BG27+BN27,"-")</f>
        <v>0</v>
      </c>
      <c r="L27" s="681" t="n">
        <f aca="false">+I27-K27</f>
        <v>0</v>
      </c>
      <c r="M27" s="662"/>
      <c r="N27" s="662"/>
      <c r="O27" s="665"/>
      <c r="P27" s="663" t="n">
        <f aca="false">+$I27*'PAYMENT RATIO_RAW'!G$14</f>
        <v>0</v>
      </c>
      <c r="Q27" s="663" t="n">
        <v>0</v>
      </c>
      <c r="R27" s="663" t="n">
        <f aca="false">+P27-Q27</f>
        <v>0</v>
      </c>
      <c r="S27" s="662"/>
      <c r="T27" s="664"/>
      <c r="U27" s="662"/>
      <c r="V27" s="665"/>
      <c r="W27" s="663" t="n">
        <f aca="false">+$I27*'PAYMENT RATIO_RAW'!N$14</f>
        <v>0</v>
      </c>
      <c r="X27" s="663"/>
      <c r="Y27" s="663" t="n">
        <f aca="false">+W27-X27</f>
        <v>0</v>
      </c>
      <c r="Z27" s="662"/>
      <c r="AA27" s="664"/>
      <c r="AB27" s="662"/>
      <c r="AC27" s="665"/>
      <c r="AD27" s="663" t="n">
        <f aca="false">+'PAYMENT RATIO_RAW'!$U$14*I27</f>
        <v>0</v>
      </c>
      <c r="AE27" s="663"/>
      <c r="AF27" s="663" t="n">
        <f aca="false">+AD27-AE27</f>
        <v>0</v>
      </c>
      <c r="AG27" s="662"/>
      <c r="AH27" s="664"/>
      <c r="AI27" s="662"/>
      <c r="AJ27" s="665"/>
      <c r="AK27" s="663" t="n">
        <f aca="false">+'PAYMENT RATIO_RAW'!$AB$14*I27</f>
        <v>0</v>
      </c>
      <c r="AL27" s="663"/>
      <c r="AM27" s="663"/>
      <c r="AN27" s="662"/>
      <c r="AO27" s="664"/>
      <c r="AP27" s="662"/>
      <c r="AQ27" s="665"/>
      <c r="AR27" s="663" t="n">
        <f aca="false">+$I27*'PAYMENT RATIO_RAW'!AI$14</f>
        <v>0</v>
      </c>
      <c r="AS27" s="663"/>
      <c r="AT27" s="663"/>
      <c r="AU27" s="662"/>
      <c r="AV27" s="664"/>
      <c r="AW27" s="662"/>
      <c r="AX27" s="665"/>
      <c r="AY27" s="663" t="n">
        <f aca="false">+$I27*'PAYMENT RATIO_RAW'!AP$14</f>
        <v>0</v>
      </c>
      <c r="AZ27" s="663"/>
      <c r="BA27" s="663"/>
      <c r="BB27" s="662"/>
      <c r="BC27" s="664"/>
      <c r="BD27" s="662"/>
      <c r="BE27" s="665" t="str">
        <f aca="false">+IFERROR(BF27/$I27,"-")</f>
        <v>-</v>
      </c>
      <c r="BF27" s="663" t="n">
        <f aca="false">+$I27*'PAYMENT RATIO_RAW'!AW$14</f>
        <v>0</v>
      </c>
      <c r="BG27" s="663"/>
      <c r="BH27" s="640" t="n">
        <f aca="false">+BF27-BG27</f>
        <v>0</v>
      </c>
      <c r="BI27" s="662"/>
      <c r="BJ27" s="662"/>
      <c r="BK27" s="662"/>
      <c r="BL27" s="665" t="str">
        <f aca="false">+IFERROR(BM27/$I27,"-")</f>
        <v>-</v>
      </c>
      <c r="BM27" s="663" t="n">
        <f aca="false">+$I27*'PAYMENT RATIO_RAW'!BD$14</f>
        <v>0</v>
      </c>
      <c r="BN27" s="663"/>
      <c r="BO27" s="663" t="n">
        <f aca="false">+BM27-BN27</f>
        <v>0</v>
      </c>
      <c r="BP27" s="662"/>
      <c r="BQ27" s="666"/>
      <c r="BR27" s="667" t="n">
        <f aca="false">+P27+W27+AD27+AR27+AY27+BF27+BM27=I27</f>
        <v>1</v>
      </c>
      <c r="BS27" s="668" t="n">
        <f aca="false">+Q27+X27+AE27+AS27+AZ27+BG27+BN27=K27</f>
        <v>1</v>
      </c>
      <c r="BT27" s="668"/>
      <c r="BU27" s="625"/>
      <c r="BV27" s="625"/>
      <c r="BW27" s="625"/>
      <c r="BX27" s="625"/>
      <c r="BY27" s="625"/>
      <c r="BZ27" s="625"/>
      <c r="CA27" s="625"/>
      <c r="CB27" s="625"/>
      <c r="CC27" s="625"/>
      <c r="CD27" s="625"/>
    </row>
    <row r="28" customFormat="false" ht="12.75" hidden="false" customHeight="false" outlineLevel="0" collapsed="false">
      <c r="A28" s="628"/>
      <c r="B28" s="629"/>
      <c r="C28" s="631"/>
      <c r="D28" s="684"/>
      <c r="E28" s="631"/>
      <c r="F28" s="669" t="s">
        <v>109</v>
      </c>
      <c r="G28" s="670" t="n">
        <f aca="false">SUM(G23:G27)</f>
        <v>949924000</v>
      </c>
      <c r="H28" s="670" t="n">
        <f aca="false">SUM(H23:H27)</f>
        <v>52495800</v>
      </c>
      <c r="I28" s="670" t="n">
        <f aca="false">SUM(I23:I27)</f>
        <v>1002419800</v>
      </c>
      <c r="J28" s="669" t="n">
        <f aca="false">+IFERROR(K28/I28,"-")</f>
        <v>0.129675810473815</v>
      </c>
      <c r="K28" s="670" t="n">
        <f aca="false">SUM(K23:K27)</f>
        <v>129989600</v>
      </c>
      <c r="L28" s="670" t="n">
        <f aca="false">SUM(L23:L27)</f>
        <v>872430200</v>
      </c>
      <c r="M28" s="669"/>
      <c r="N28" s="669"/>
      <c r="O28" s="672" t="n">
        <f aca="false">+IFERROR(P28/$I28,"-")</f>
        <v>0.129675810473815</v>
      </c>
      <c r="P28" s="670" t="n">
        <f aca="false">SUM(P23:P27)</f>
        <v>129989600</v>
      </c>
      <c r="Q28" s="670" t="n">
        <f aca="false">SUM(Q23:Q27)</f>
        <v>129989600</v>
      </c>
      <c r="R28" s="673" t="n">
        <f aca="false">+P28-Q28</f>
        <v>0</v>
      </c>
      <c r="S28" s="669"/>
      <c r="T28" s="671"/>
      <c r="U28" s="669"/>
      <c r="V28" s="672" t="n">
        <f aca="false">+IFERROR(W28/$I28,"-")</f>
        <v>0.0648379052369077</v>
      </c>
      <c r="W28" s="670" t="n">
        <f aca="false">SUM(W23:W27)</f>
        <v>64994800</v>
      </c>
      <c r="X28" s="670" t="n">
        <f aca="false">SUM(X23:X27)</f>
        <v>0</v>
      </c>
      <c r="Y28" s="673" t="n">
        <f aca="false">+W28-X28</f>
        <v>64994800</v>
      </c>
      <c r="Z28" s="669"/>
      <c r="AA28" s="671"/>
      <c r="AB28" s="669"/>
      <c r="AC28" s="672" t="n">
        <f aca="false">+IFERROR(AD28/$I28,"-")</f>
        <v>0.270074812967581</v>
      </c>
      <c r="AD28" s="670" t="n">
        <f aca="false">SUM(AD23:AD27)</f>
        <v>270728340</v>
      </c>
      <c r="AE28" s="670" t="n">
        <f aca="false">SUM(AE23:AE27)</f>
        <v>0</v>
      </c>
      <c r="AF28" s="673" t="n">
        <f aca="false">+AD28-AE28</f>
        <v>270728340</v>
      </c>
      <c r="AG28" s="669"/>
      <c r="AH28" s="671"/>
      <c r="AI28" s="669"/>
      <c r="AJ28" s="672" t="n">
        <f aca="false">+IFERROR(AK28/$I28,"-")</f>
        <v>0.230423940149626</v>
      </c>
      <c r="AK28" s="670" t="n">
        <f aca="false">SUM(AK23:AK27)</f>
        <v>230981520</v>
      </c>
      <c r="AL28" s="670" t="n">
        <f aca="false">SUM(AL23:AL27)</f>
        <v>0</v>
      </c>
      <c r="AM28" s="673" t="n">
        <f aca="false">+AK28-AL28</f>
        <v>230981520</v>
      </c>
      <c r="AN28" s="669"/>
      <c r="AO28" s="671"/>
      <c r="AP28" s="669"/>
      <c r="AQ28" s="672" t="n">
        <f aca="false">+IFERROR(AR28/$I28,"-")</f>
        <v>0</v>
      </c>
      <c r="AR28" s="670" t="n">
        <f aca="false">SUM(AR23:AR27)</f>
        <v>0</v>
      </c>
      <c r="AS28" s="670" t="n">
        <f aca="false">SUM(AS23:AS27)</f>
        <v>0</v>
      </c>
      <c r="AT28" s="673" t="n">
        <f aca="false">+AR28-AS28</f>
        <v>0</v>
      </c>
      <c r="AU28" s="669"/>
      <c r="AV28" s="671"/>
      <c r="AW28" s="669"/>
      <c r="AX28" s="672" t="n">
        <f aca="false">+IFERROR(AY28/$I28,"-")</f>
        <v>0</v>
      </c>
      <c r="AY28" s="670" t="n">
        <f aca="false">SUM(AY23:AY27)</f>
        <v>0</v>
      </c>
      <c r="AZ28" s="670" t="n">
        <f aca="false">SUM(AZ23:AZ27)</f>
        <v>0</v>
      </c>
      <c r="BA28" s="673" t="n">
        <f aca="false">+AY28-AZ28</f>
        <v>0</v>
      </c>
      <c r="BB28" s="669"/>
      <c r="BC28" s="671"/>
      <c r="BD28" s="669"/>
      <c r="BE28" s="672" t="n">
        <f aca="false">+IFERROR(BF28/$I28,"-")</f>
        <v>0</v>
      </c>
      <c r="BF28" s="670" t="n">
        <f aca="false">SUM(BF23:BF27)</f>
        <v>0</v>
      </c>
      <c r="BG28" s="670" t="n">
        <f aca="false">SUM(BG23:BG27)</f>
        <v>0</v>
      </c>
      <c r="BH28" s="673" t="n">
        <f aca="false">+BF28-BG28</f>
        <v>0</v>
      </c>
      <c r="BI28" s="669"/>
      <c r="BJ28" s="669"/>
      <c r="BK28" s="669"/>
      <c r="BL28" s="672" t="n">
        <f aca="false">+IFERROR(BM28/$I28,"-")</f>
        <v>0.30498753117207</v>
      </c>
      <c r="BM28" s="670" t="n">
        <f aca="false">SUM(BM23:BM27)</f>
        <v>305725540</v>
      </c>
      <c r="BN28" s="670" t="n">
        <f aca="false">SUM(BN23:BN27)</f>
        <v>0</v>
      </c>
      <c r="BO28" s="673" t="n">
        <f aca="false">+BM28-BN28</f>
        <v>305725540</v>
      </c>
      <c r="BP28" s="669"/>
      <c r="BQ28" s="666"/>
      <c r="BR28" s="674"/>
      <c r="BS28" s="675"/>
      <c r="BT28" s="675"/>
      <c r="BU28" s="621"/>
      <c r="BV28" s="621"/>
      <c r="BW28" s="621"/>
      <c r="BX28" s="621"/>
      <c r="BY28" s="621"/>
      <c r="BZ28" s="621"/>
      <c r="CA28" s="621"/>
      <c r="CB28" s="621"/>
      <c r="CC28" s="625"/>
      <c r="CD28" s="625"/>
    </row>
    <row r="29" customFormat="false" ht="12.75" hidden="false" customHeight="true" outlineLevel="0" collapsed="false">
      <c r="A29" s="628"/>
      <c r="B29" s="629" t="n">
        <v>4</v>
      </c>
      <c r="C29" s="630" t="s">
        <v>181</v>
      </c>
      <c r="D29" s="684" t="n">
        <v>499.96</v>
      </c>
      <c r="E29" s="631" t="s">
        <v>505</v>
      </c>
      <c r="F29" s="632" t="s">
        <v>112</v>
      </c>
      <c r="G29" s="633" t="n">
        <f aca="false">+'PAYMENT RATIO_RAW'!F$10*'GM Batch2-APA'!$D$29/1000</f>
        <v>524958000</v>
      </c>
      <c r="H29" s="633" t="n">
        <f aca="false">+G29*10%</f>
        <v>52495800</v>
      </c>
      <c r="I29" s="633" t="n">
        <f aca="false">SUM(G29:H29)</f>
        <v>577453800</v>
      </c>
      <c r="J29" s="634" t="n">
        <f aca="false">+IFERROR(K29/I29,"-")</f>
        <v>0</v>
      </c>
      <c r="K29" s="640" t="n">
        <f aca="false">+IFERROR(Q29+X29+AE29+AS29+AZ29+BG29+BN29,"-")</f>
        <v>0</v>
      </c>
      <c r="L29" s="640" t="n">
        <f aca="false">+I29-K29</f>
        <v>577453800</v>
      </c>
      <c r="M29" s="637"/>
      <c r="N29" s="637"/>
      <c r="O29" s="638"/>
      <c r="P29" s="639" t="n">
        <f aca="false">+$I29*'PAYMENT RATIO_RAW'!G$10</f>
        <v>0</v>
      </c>
      <c r="Q29" s="640" t="n">
        <v>0</v>
      </c>
      <c r="R29" s="640" t="n">
        <f aca="false">+P29-Q29</f>
        <v>0</v>
      </c>
      <c r="S29" s="641"/>
      <c r="T29" s="636"/>
      <c r="U29" s="637"/>
      <c r="V29" s="638"/>
      <c r="W29" s="639" t="n">
        <f aca="false">+$I29*'PAYMENT RATIO_RAW'!N$10</f>
        <v>0</v>
      </c>
      <c r="X29" s="640"/>
      <c r="Y29" s="640" t="n">
        <f aca="false">+W29-X29</f>
        <v>0</v>
      </c>
      <c r="Z29" s="641"/>
      <c r="AA29" s="636" t="n">
        <v>46042</v>
      </c>
      <c r="AB29" s="637"/>
      <c r="AC29" s="638" t="n">
        <f aca="false">+IFERROR(AD29/$I29,"-")</f>
        <v>0.3</v>
      </c>
      <c r="AD29" s="639" t="n">
        <f aca="false">+'PAYMENT RATIO_RAW'!$U$10*I29</f>
        <v>173236140</v>
      </c>
      <c r="AE29" s="640"/>
      <c r="AF29" s="640" t="n">
        <f aca="false">+AD29-AE29</f>
        <v>173236140</v>
      </c>
      <c r="AG29" s="641"/>
      <c r="AH29" s="636" t="n">
        <v>46081</v>
      </c>
      <c r="AI29" s="642"/>
      <c r="AJ29" s="638" t="n">
        <f aca="false">+IFERROR(AK29/$I29,"-")</f>
        <v>0.4</v>
      </c>
      <c r="AK29" s="640" t="n">
        <f aca="false">+'PAYMENT RATIO_RAW'!$AB$10*I29</f>
        <v>230981520</v>
      </c>
      <c r="AL29" s="640"/>
      <c r="AM29" s="640" t="n">
        <f aca="false">+AK29-AL29</f>
        <v>230981520</v>
      </c>
      <c r="AN29" s="641"/>
      <c r="AO29" s="636" t="n">
        <f aca="false">+EDATE(AV29,-1)</f>
        <v>46111</v>
      </c>
      <c r="AP29" s="637"/>
      <c r="AQ29" s="638" t="n">
        <f aca="false">+IFERROR(AR29/$I29,"-")</f>
        <v>0</v>
      </c>
      <c r="AR29" s="639" t="n">
        <f aca="false">+$I29*'PAYMENT RATIO_RAW'!AI$10</f>
        <v>0</v>
      </c>
      <c r="AS29" s="640"/>
      <c r="AT29" s="640" t="n">
        <f aca="false">+AR29-AS29</f>
        <v>0</v>
      </c>
      <c r="AU29" s="641"/>
      <c r="AV29" s="636" t="n">
        <f aca="false">+EDATE(BC29,-1)</f>
        <v>46142</v>
      </c>
      <c r="AW29" s="637"/>
      <c r="AX29" s="638" t="n">
        <f aca="false">+IFERROR(AY29/$I29,"-")</f>
        <v>0</v>
      </c>
      <c r="AY29" s="639" t="n">
        <f aca="false">+$I29*'PAYMENT RATIO_RAW'!AP$10</f>
        <v>0</v>
      </c>
      <c r="AZ29" s="640"/>
      <c r="BA29" s="640" t="n">
        <f aca="false">+AY29-AZ29</f>
        <v>0</v>
      </c>
      <c r="BB29" s="641"/>
      <c r="BC29" s="636" t="n">
        <f aca="false">+EDATE(BJ29,-1)</f>
        <v>46172</v>
      </c>
      <c r="BD29" s="637"/>
      <c r="BE29" s="638" t="n">
        <f aca="false">+IFERROR(BF29/$I29,"-")</f>
        <v>0</v>
      </c>
      <c r="BF29" s="639" t="n">
        <f aca="false">+$I29*'PAYMENT RATIO_RAW'!AW$10</f>
        <v>0</v>
      </c>
      <c r="BG29" s="640"/>
      <c r="BH29" s="640" t="n">
        <f aca="false">+BF29-BG29</f>
        <v>0</v>
      </c>
      <c r="BI29" s="641"/>
      <c r="BJ29" s="658" t="n">
        <v>46203</v>
      </c>
      <c r="BK29" s="658"/>
      <c r="BL29" s="638" t="n">
        <f aca="false">+IFERROR(BM29/$I29,"-")</f>
        <v>0.3</v>
      </c>
      <c r="BM29" s="639" t="n">
        <f aca="false">+$I29*'PAYMENT RATIO_RAW'!BD$10</f>
        <v>173236140</v>
      </c>
      <c r="BN29" s="640"/>
      <c r="BO29" s="640" t="n">
        <f aca="false">+BM29-BN29</f>
        <v>173236140</v>
      </c>
      <c r="BP29" s="641"/>
      <c r="BQ29" s="644"/>
      <c r="BR29" s="645" t="n">
        <f aca="false">+P29+W29+AD29+AK29+AR29+AY29+BF29+BM29=I29</f>
        <v>1</v>
      </c>
      <c r="BS29" s="645" t="n">
        <f aca="false">+Q29+X29+AE29+AS29+AZ29+BG29+BN29=K29</f>
        <v>1</v>
      </c>
      <c r="BT29" s="645"/>
      <c r="BU29" s="621"/>
      <c r="BV29" s="621"/>
      <c r="BW29" s="621"/>
      <c r="BX29" s="621"/>
      <c r="BY29" s="621"/>
      <c r="BZ29" s="621"/>
      <c r="CA29" s="621"/>
      <c r="CB29" s="621"/>
      <c r="CC29" s="625"/>
      <c r="CD29" s="625"/>
    </row>
    <row r="30" customFormat="false" ht="12.75" hidden="false" customHeight="false" outlineLevel="0" collapsed="false">
      <c r="A30" s="628"/>
      <c r="B30" s="629"/>
      <c r="C30" s="630"/>
      <c r="D30" s="684"/>
      <c r="E30" s="631"/>
      <c r="F30" s="656" t="s">
        <v>114</v>
      </c>
      <c r="G30" s="657" t="n">
        <f aca="false">+'PAYMENT RATIO_RAW'!F$11*'GM Batch2-APA'!$D$29/1000</f>
        <v>174986000</v>
      </c>
      <c r="H30" s="657"/>
      <c r="I30" s="657" t="n">
        <f aca="false">SUM(G30:H30)</f>
        <v>174986000</v>
      </c>
      <c r="J30" s="656" t="n">
        <f aca="false">+IFERROR(K30/I30,"-")</f>
        <v>0.4</v>
      </c>
      <c r="K30" s="639" t="n">
        <f aca="false">+IFERROR(Q30+X30+AE30+AS30+AZ30+BG30+BN30,"-")</f>
        <v>69994400</v>
      </c>
      <c r="L30" s="639" t="n">
        <f aca="false">+I30-K30</f>
        <v>104991600</v>
      </c>
      <c r="M30" s="658" t="n">
        <v>45807</v>
      </c>
      <c r="N30" s="658" t="n">
        <v>45807</v>
      </c>
      <c r="O30" s="659" t="n">
        <f aca="false">+IFERROR(P30/$I30,"-")</f>
        <v>0.4</v>
      </c>
      <c r="P30" s="639" t="n">
        <f aca="false">+$I30*'PAYMENT RATIO_RAW'!G$11</f>
        <v>69994400</v>
      </c>
      <c r="Q30" s="639" t="n">
        <v>69994400</v>
      </c>
      <c r="R30" s="639" t="n">
        <f aca="false">+P30-Q30</f>
        <v>0</v>
      </c>
      <c r="S30" s="660"/>
      <c r="T30" s="658" t="n">
        <v>46022</v>
      </c>
      <c r="U30" s="658"/>
      <c r="V30" s="659" t="n">
        <f aca="false">+IFERROR(W30/$I30,"-")</f>
        <v>0.2</v>
      </c>
      <c r="W30" s="639" t="n">
        <f aca="false">+$I30*'PAYMENT RATIO_RAW'!N$11</f>
        <v>34997200</v>
      </c>
      <c r="X30" s="639"/>
      <c r="Y30" s="639" t="n">
        <f aca="false">+W30-X30</f>
        <v>34997200</v>
      </c>
      <c r="Z30" s="721"/>
      <c r="AA30" s="658" t="n">
        <v>46142</v>
      </c>
      <c r="AB30" s="658"/>
      <c r="AC30" s="659" t="n">
        <f aca="false">+IFERROR(AD30/$I30,"-")</f>
        <v>0.3</v>
      </c>
      <c r="AD30" s="639" t="n">
        <f aca="false">+'PAYMENT RATIO_RAW'!$U$11*I30</f>
        <v>52495800</v>
      </c>
      <c r="AE30" s="639"/>
      <c r="AF30" s="639" t="n">
        <f aca="false">+AD30-AE30</f>
        <v>52495800</v>
      </c>
      <c r="AG30" s="660"/>
      <c r="AH30" s="658"/>
      <c r="AI30" s="658"/>
      <c r="AJ30" s="659" t="n">
        <f aca="false">+IFERROR(AK30/$I30,"-")</f>
        <v>0</v>
      </c>
      <c r="AK30" s="639" t="n">
        <f aca="false">+'PAYMENT RATIO_RAW'!$AB$11*I30</f>
        <v>0</v>
      </c>
      <c r="AL30" s="639"/>
      <c r="AM30" s="639" t="n">
        <f aca="false">+AK30-AL30</f>
        <v>0</v>
      </c>
      <c r="AN30" s="660"/>
      <c r="AO30" s="658"/>
      <c r="AP30" s="658"/>
      <c r="AQ30" s="659"/>
      <c r="AR30" s="639" t="n">
        <f aca="false">+$I30*'PAYMENT RATIO_RAW'!AI$11</f>
        <v>0</v>
      </c>
      <c r="AS30" s="639"/>
      <c r="AT30" s="639" t="n">
        <f aca="false">+AR30-AS30</f>
        <v>0</v>
      </c>
      <c r="AU30" s="660"/>
      <c r="AV30" s="658"/>
      <c r="AW30" s="658"/>
      <c r="AX30" s="659"/>
      <c r="AY30" s="639" t="n">
        <f aca="false">+$I30*'PAYMENT RATIO_RAW'!AP$11</f>
        <v>0</v>
      </c>
      <c r="AZ30" s="639"/>
      <c r="BA30" s="639" t="n">
        <f aca="false">+AY30-AZ30</f>
        <v>0</v>
      </c>
      <c r="BB30" s="660"/>
      <c r="BC30" s="658"/>
      <c r="BD30" s="658"/>
      <c r="BE30" s="659" t="n">
        <f aca="false">+IFERROR(BF30/$I30,"-")</f>
        <v>0</v>
      </c>
      <c r="BF30" s="639" t="n">
        <f aca="false">+$I30*'PAYMENT RATIO_RAW'!AW$11</f>
        <v>0</v>
      </c>
      <c r="BG30" s="639"/>
      <c r="BH30" s="640" t="n">
        <f aca="false">+BF30-BG30</f>
        <v>0</v>
      </c>
      <c r="BI30" s="660"/>
      <c r="BJ30" s="658" t="n">
        <v>46203</v>
      </c>
      <c r="BK30" s="658"/>
      <c r="BL30" s="659" t="n">
        <f aca="false">+IFERROR(BM30/$I30,"-")</f>
        <v>0.1</v>
      </c>
      <c r="BM30" s="639" t="n">
        <f aca="false">+$I30*'PAYMENT RATIO_RAW'!BD$11</f>
        <v>17498600</v>
      </c>
      <c r="BN30" s="639"/>
      <c r="BO30" s="639" t="n">
        <f aca="false">+BM30-BN30</f>
        <v>17498600</v>
      </c>
      <c r="BP30" s="660"/>
      <c r="BQ30" s="644"/>
      <c r="BR30" s="645" t="n">
        <f aca="false">+P30+W30+AD30+AR30+AY30+BF30+BM30=I30</f>
        <v>1</v>
      </c>
      <c r="BS30" s="645" t="n">
        <f aca="false">+Q30+X30+AE30+AS30+AZ30+BG30+BN30=K30</f>
        <v>1</v>
      </c>
      <c r="BT30" s="645" t="n">
        <f aca="false">+BF30+BF32+AY30+AY32+AR30+AR32+AD30+AD32+W30+W32+P30+P32+BM30+BM32=('PAYMENT RATIO_RAW'!$F$11+'PAYMENT RATIO_RAW'!$F$13)*D29*1.1/1000</f>
        <v>0</v>
      </c>
      <c r="BU30" s="621"/>
      <c r="BV30" s="621"/>
      <c r="BW30" s="621"/>
      <c r="BX30" s="621"/>
      <c r="BY30" s="621"/>
      <c r="BZ30" s="621"/>
      <c r="CA30" s="621"/>
      <c r="CB30" s="621"/>
      <c r="CC30" s="625"/>
      <c r="CD30" s="625"/>
    </row>
    <row r="31" customFormat="false" ht="12.75" hidden="false" customHeight="false" outlineLevel="0" collapsed="false">
      <c r="A31" s="628"/>
      <c r="B31" s="629"/>
      <c r="C31" s="630"/>
      <c r="D31" s="684"/>
      <c r="E31" s="631"/>
      <c r="F31" s="656" t="s">
        <v>404</v>
      </c>
      <c r="G31" s="657" t="n">
        <f aca="false">+'PAYMENT RATIO_RAW'!F$12*'GM Batch2-APA'!$D$29/1000</f>
        <v>149988000</v>
      </c>
      <c r="H31" s="657"/>
      <c r="I31" s="657" t="n">
        <f aca="false">SUM(G31:H31)</f>
        <v>149988000</v>
      </c>
      <c r="J31" s="656" t="n">
        <f aca="false">+IFERROR(K31/I31,"-")</f>
        <v>0.4</v>
      </c>
      <c r="K31" s="639" t="n">
        <f aca="false">+IFERROR(Q31+X31+AE31+AS31+AZ31+BG31+BN31,"-")</f>
        <v>59995200</v>
      </c>
      <c r="L31" s="639" t="n">
        <f aca="false">+I31-K31</f>
        <v>89992800</v>
      </c>
      <c r="M31" s="658" t="n">
        <v>45807</v>
      </c>
      <c r="N31" s="658" t="n">
        <v>45807</v>
      </c>
      <c r="O31" s="659" t="n">
        <f aca="false">+IFERROR(P31/$I31,"-")</f>
        <v>0.4</v>
      </c>
      <c r="P31" s="639" t="n">
        <f aca="false">+$I31*'PAYMENT RATIO_RAW'!G$12</f>
        <v>59995200</v>
      </c>
      <c r="Q31" s="639" t="n">
        <v>59995200</v>
      </c>
      <c r="R31" s="639" t="n">
        <f aca="false">+P31-Q31</f>
        <v>0</v>
      </c>
      <c r="S31" s="660"/>
      <c r="T31" s="658" t="n">
        <v>46022</v>
      </c>
      <c r="U31" s="658"/>
      <c r="V31" s="659" t="n">
        <f aca="false">+IFERROR(W31/$I31,"-")</f>
        <v>0.2</v>
      </c>
      <c r="W31" s="639" t="n">
        <f aca="false">+$I31*'PAYMENT RATIO_RAW'!N$12</f>
        <v>29997600</v>
      </c>
      <c r="X31" s="639"/>
      <c r="Y31" s="639" t="n">
        <f aca="false">+W31-X31</f>
        <v>29997600</v>
      </c>
      <c r="Z31" s="660"/>
      <c r="AA31" s="658" t="n">
        <v>46142</v>
      </c>
      <c r="AB31" s="658"/>
      <c r="AC31" s="659" t="n">
        <f aca="false">+IFERROR(AD31/$I31,"-")</f>
        <v>0.3</v>
      </c>
      <c r="AD31" s="639" t="n">
        <f aca="false">+'PAYMENT RATIO_RAW'!$U$12*I31</f>
        <v>44996400</v>
      </c>
      <c r="AE31" s="639"/>
      <c r="AF31" s="639" t="n">
        <f aca="false">+AD31-AE31</f>
        <v>44996400</v>
      </c>
      <c r="AG31" s="660"/>
      <c r="AH31" s="658"/>
      <c r="AI31" s="658"/>
      <c r="AJ31" s="659" t="n">
        <f aca="false">+IFERROR(AK31/$I31,"-")</f>
        <v>0</v>
      </c>
      <c r="AK31" s="639" t="n">
        <f aca="false">+'PAYMENT RATIO_RAW'!$AB$12*I31</f>
        <v>0</v>
      </c>
      <c r="AL31" s="639"/>
      <c r="AM31" s="639" t="n">
        <f aca="false">+AK31-AL31</f>
        <v>0</v>
      </c>
      <c r="AN31" s="660"/>
      <c r="AO31" s="658"/>
      <c r="AP31" s="658"/>
      <c r="AQ31" s="659"/>
      <c r="AR31" s="639" t="n">
        <f aca="false">+$I31*'PAYMENT RATIO_RAW'!AI$12</f>
        <v>0</v>
      </c>
      <c r="AS31" s="639"/>
      <c r="AT31" s="639" t="n">
        <f aca="false">+AR31-AS31</f>
        <v>0</v>
      </c>
      <c r="AU31" s="660"/>
      <c r="AV31" s="658"/>
      <c r="AW31" s="658"/>
      <c r="AX31" s="659"/>
      <c r="AY31" s="639" t="n">
        <f aca="false">+$I31*'PAYMENT RATIO_RAW'!AP$12</f>
        <v>0</v>
      </c>
      <c r="AZ31" s="639"/>
      <c r="BA31" s="639" t="n">
        <f aca="false">+AY31-AZ31</f>
        <v>0</v>
      </c>
      <c r="BB31" s="660"/>
      <c r="BC31" s="658"/>
      <c r="BD31" s="658"/>
      <c r="BE31" s="659" t="n">
        <f aca="false">+IFERROR(BF31/$I31,"-")</f>
        <v>0</v>
      </c>
      <c r="BF31" s="639" t="n">
        <f aca="false">+$I31*'PAYMENT RATIO_RAW'!AW$12</f>
        <v>0</v>
      </c>
      <c r="BG31" s="639"/>
      <c r="BH31" s="640" t="n">
        <f aca="false">+BF31-BG31</f>
        <v>0</v>
      </c>
      <c r="BI31" s="660"/>
      <c r="BJ31" s="658" t="n">
        <v>46203</v>
      </c>
      <c r="BK31" s="658"/>
      <c r="BL31" s="659" t="n">
        <f aca="false">+IFERROR(BM31/$I31,"-")</f>
        <v>0.1</v>
      </c>
      <c r="BM31" s="639" t="n">
        <f aca="false">+$I31*'PAYMENT RATIO_RAW'!BD$12</f>
        <v>14998800</v>
      </c>
      <c r="BN31" s="639"/>
      <c r="BO31" s="639" t="n">
        <f aca="false">+BM31-BN31</f>
        <v>14998800</v>
      </c>
      <c r="BP31" s="660"/>
      <c r="BQ31" s="644"/>
      <c r="BR31" s="645" t="n">
        <f aca="false">+P31+W31+AD31+AR31+AY31+BF31+BM31=I31</f>
        <v>1</v>
      </c>
      <c r="BS31" s="645" t="n">
        <f aca="false">+Q31+X31+AE31+AS31+AZ31+BG31+BN31=K31</f>
        <v>1</v>
      </c>
      <c r="BT31" s="645"/>
      <c r="BU31" s="621"/>
      <c r="BV31" s="621"/>
      <c r="BW31" s="621"/>
      <c r="BX31" s="621"/>
      <c r="BY31" s="621"/>
      <c r="BZ31" s="621"/>
      <c r="CA31" s="621"/>
      <c r="CB31" s="621"/>
      <c r="CC31" s="625"/>
      <c r="CD31" s="625"/>
    </row>
    <row r="32" customFormat="false" ht="12.75" hidden="false" customHeight="false" outlineLevel="0" collapsed="false">
      <c r="A32" s="628"/>
      <c r="B32" s="629"/>
      <c r="C32" s="630"/>
      <c r="D32" s="684"/>
      <c r="E32" s="631"/>
      <c r="F32" s="656" t="s">
        <v>507</v>
      </c>
      <c r="G32" s="657" t="n">
        <f aca="false">+'PAYMENT RATIO_RAW'!F$13*'GM Batch2-APA'!$D$29/1000</f>
        <v>99992000</v>
      </c>
      <c r="H32" s="657"/>
      <c r="I32" s="661" t="n">
        <f aca="false">SUM(G32:H32)</f>
        <v>99992000</v>
      </c>
      <c r="J32" s="656" t="n">
        <f aca="false">+IFERROR(K32/I32,"-")</f>
        <v>0</v>
      </c>
      <c r="K32" s="639" t="n">
        <f aca="false">+IFERROR(Q32+X32+AE32+AS32+AZ32+BG32+BN32,"-")</f>
        <v>0</v>
      </c>
      <c r="L32" s="639" t="n">
        <f aca="false">+I32-K32</f>
        <v>99992000</v>
      </c>
      <c r="M32" s="658"/>
      <c r="N32" s="658"/>
      <c r="O32" s="659" t="n">
        <f aca="false">+IFERROR(P32/$I32,"-")</f>
        <v>0</v>
      </c>
      <c r="P32" s="639" t="n">
        <f aca="false">+$I32*'PAYMENT RATIO_RAW'!G$13</f>
        <v>0</v>
      </c>
      <c r="Q32" s="639"/>
      <c r="R32" s="639" t="n">
        <f aca="false">+P32-Q32</f>
        <v>0</v>
      </c>
      <c r="S32" s="724" t="n">
        <f aca="false">+Q32/I32</f>
        <v>0</v>
      </c>
      <c r="T32" s="658" t="n">
        <v>46022</v>
      </c>
      <c r="U32" s="642"/>
      <c r="V32" s="659" t="n">
        <f aca="false">+IFERROR(W32/$I32,"-")</f>
        <v>0</v>
      </c>
      <c r="W32" s="639" t="n">
        <f aca="false">+$I32*'PAYMENT RATIO_RAW'!N$13</f>
        <v>0</v>
      </c>
      <c r="X32" s="639"/>
      <c r="Y32" s="639" t="n">
        <f aca="false">+W32-X32</f>
        <v>0</v>
      </c>
      <c r="Z32" s="660"/>
      <c r="AA32" s="658" t="n">
        <v>46142</v>
      </c>
      <c r="AB32" s="642"/>
      <c r="AC32" s="659" t="n">
        <f aca="false">+IFERROR(AD32/$I32,"-")</f>
        <v>0</v>
      </c>
      <c r="AD32" s="639" t="n">
        <f aca="false">+'PAYMENT RATIO_RAW'!$U$13*I32</f>
        <v>0</v>
      </c>
      <c r="AE32" s="639"/>
      <c r="AF32" s="639" t="n">
        <f aca="false">+AD32-AE32</f>
        <v>0</v>
      </c>
      <c r="AG32" s="660"/>
      <c r="AH32" s="642"/>
      <c r="AI32" s="642"/>
      <c r="AJ32" s="659" t="n">
        <f aca="false">+IFERROR(AK32/$I32,"-")</f>
        <v>0</v>
      </c>
      <c r="AK32" s="639" t="n">
        <f aca="false">+'PAYMENT RATIO_RAW'!$AB$13*I32</f>
        <v>0</v>
      </c>
      <c r="AL32" s="639"/>
      <c r="AM32" s="639" t="n">
        <f aca="false">+AK32-AL32</f>
        <v>0</v>
      </c>
      <c r="AN32" s="660"/>
      <c r="AO32" s="658"/>
      <c r="AP32" s="642"/>
      <c r="AQ32" s="659"/>
      <c r="AR32" s="639" t="n">
        <f aca="false">+$I32*'PAYMENT RATIO_RAW'!AI$13</f>
        <v>0</v>
      </c>
      <c r="AS32" s="639"/>
      <c r="AT32" s="639" t="n">
        <f aca="false">+AR32-AS32</f>
        <v>0</v>
      </c>
      <c r="AU32" s="660"/>
      <c r="AV32" s="658"/>
      <c r="AW32" s="642"/>
      <c r="AX32" s="659"/>
      <c r="AY32" s="639" t="n">
        <f aca="false">+$I32*'PAYMENT RATIO_RAW'!AP$13</f>
        <v>0</v>
      </c>
      <c r="AZ32" s="639"/>
      <c r="BA32" s="639" t="n">
        <f aca="false">+AY32-AZ32</f>
        <v>0</v>
      </c>
      <c r="BB32" s="660"/>
      <c r="BC32" s="658"/>
      <c r="BD32" s="642"/>
      <c r="BE32" s="659" t="n">
        <f aca="false">+IFERROR(BF32/$I32,"-")</f>
        <v>0</v>
      </c>
      <c r="BF32" s="639" t="n">
        <f aca="false">+$I32*'PAYMENT RATIO_RAW'!AW$13</f>
        <v>0</v>
      </c>
      <c r="BG32" s="639"/>
      <c r="BH32" s="640" t="n">
        <f aca="false">+BF32-BG32</f>
        <v>0</v>
      </c>
      <c r="BI32" s="660"/>
      <c r="BJ32" s="658" t="n">
        <v>46203</v>
      </c>
      <c r="BK32" s="658"/>
      <c r="BL32" s="659" t="n">
        <f aca="false">+IFERROR(BM32/$I32,"-")</f>
        <v>1</v>
      </c>
      <c r="BM32" s="639" t="n">
        <f aca="false">+$I32*'PAYMENT RATIO_RAW'!BD$13</f>
        <v>99992000</v>
      </c>
      <c r="BN32" s="639"/>
      <c r="BO32" s="639" t="n">
        <f aca="false">+BM32-BN32</f>
        <v>99992000</v>
      </c>
      <c r="BP32" s="660"/>
      <c r="BQ32" s="644"/>
      <c r="BR32" s="645" t="n">
        <f aca="false">+P32+W32+AD32+AR32+AY32+BF32+BM32=I32</f>
        <v>1</v>
      </c>
      <c r="BS32" s="645" t="n">
        <f aca="false">+Q32+X32+AE32+AS32+AZ32+BG32+BN32=K32</f>
        <v>1</v>
      </c>
      <c r="BT32" s="645"/>
      <c r="BU32" s="621"/>
      <c r="BV32" s="621"/>
      <c r="BW32" s="621"/>
      <c r="BX32" s="621"/>
      <c r="BY32" s="621"/>
      <c r="BZ32" s="621"/>
      <c r="CA32" s="621"/>
      <c r="CB32" s="621"/>
      <c r="CC32" s="625"/>
      <c r="CD32" s="625"/>
    </row>
    <row r="33" customFormat="false" ht="12.75" hidden="false" customHeight="false" outlineLevel="0" collapsed="false">
      <c r="A33" s="628"/>
      <c r="B33" s="629"/>
      <c r="C33" s="630"/>
      <c r="D33" s="684"/>
      <c r="E33" s="631"/>
      <c r="F33" s="679" t="s">
        <v>508</v>
      </c>
      <c r="G33" s="661" t="n">
        <f aca="false">+'PAYMENT RATIO_RAW'!F$14*'GM Batch2-APA'!$D$29/1000</f>
        <v>0</v>
      </c>
      <c r="H33" s="661"/>
      <c r="I33" s="661" t="n">
        <f aca="false">SUM(G33:H33)</f>
        <v>0</v>
      </c>
      <c r="J33" s="679" t="str">
        <f aca="false">+IFERROR(K33/I33,"-")</f>
        <v>-</v>
      </c>
      <c r="K33" s="681" t="n">
        <f aca="false">+IFERROR(Q33+X33+AE33+AS33+AZ33+BG33+BN33,"-")</f>
        <v>0</v>
      </c>
      <c r="L33" s="681" t="n">
        <f aca="false">+I33-K33</f>
        <v>0</v>
      </c>
      <c r="M33" s="662"/>
      <c r="N33" s="662"/>
      <c r="O33" s="665"/>
      <c r="P33" s="663" t="n">
        <f aca="false">+$I33*'PAYMENT RATIO_RAW'!G$14</f>
        <v>0</v>
      </c>
      <c r="Q33" s="663" t="n">
        <v>0</v>
      </c>
      <c r="R33" s="663" t="n">
        <f aca="false">+P33-Q33</f>
        <v>0</v>
      </c>
      <c r="S33" s="662"/>
      <c r="T33" s="664"/>
      <c r="U33" s="662"/>
      <c r="V33" s="665"/>
      <c r="W33" s="663" t="n">
        <f aca="false">+$I33*'PAYMENT RATIO_RAW'!N$14</f>
        <v>0</v>
      </c>
      <c r="X33" s="663"/>
      <c r="Y33" s="663" t="n">
        <f aca="false">+W33-X33</f>
        <v>0</v>
      </c>
      <c r="Z33" s="662"/>
      <c r="AA33" s="664"/>
      <c r="AB33" s="662"/>
      <c r="AC33" s="665"/>
      <c r="AD33" s="663" t="n">
        <f aca="false">+'PAYMENT RATIO_RAW'!$U$14*I33</f>
        <v>0</v>
      </c>
      <c r="AE33" s="663"/>
      <c r="AF33" s="663" t="n">
        <f aca="false">+AD33-AE33</f>
        <v>0</v>
      </c>
      <c r="AG33" s="662"/>
      <c r="AH33" s="664"/>
      <c r="AI33" s="662"/>
      <c r="AJ33" s="665"/>
      <c r="AK33" s="663" t="n">
        <f aca="false">+'PAYMENT RATIO_RAW'!$AB$14*I33</f>
        <v>0</v>
      </c>
      <c r="AL33" s="663"/>
      <c r="AM33" s="663"/>
      <c r="AN33" s="662"/>
      <c r="AO33" s="664"/>
      <c r="AP33" s="662"/>
      <c r="AQ33" s="665"/>
      <c r="AR33" s="663" t="n">
        <f aca="false">+$I33*'PAYMENT RATIO_RAW'!AI$14</f>
        <v>0</v>
      </c>
      <c r="AS33" s="663"/>
      <c r="AT33" s="663"/>
      <c r="AU33" s="662"/>
      <c r="AV33" s="664"/>
      <c r="AW33" s="662"/>
      <c r="AX33" s="665"/>
      <c r="AY33" s="663" t="n">
        <f aca="false">+$I33*'PAYMENT RATIO_RAW'!AP$14</f>
        <v>0</v>
      </c>
      <c r="AZ33" s="663"/>
      <c r="BA33" s="663"/>
      <c r="BB33" s="662"/>
      <c r="BC33" s="664"/>
      <c r="BD33" s="662"/>
      <c r="BE33" s="665" t="str">
        <f aca="false">+IFERROR(BF33/$I33,"-")</f>
        <v>-</v>
      </c>
      <c r="BF33" s="663" t="n">
        <f aca="false">+$I33*'PAYMENT RATIO_RAW'!AW$14</f>
        <v>0</v>
      </c>
      <c r="BG33" s="663"/>
      <c r="BH33" s="640" t="n">
        <f aca="false">+BF33-BG33</f>
        <v>0</v>
      </c>
      <c r="BI33" s="662"/>
      <c r="BJ33" s="662"/>
      <c r="BK33" s="662"/>
      <c r="BL33" s="665" t="str">
        <f aca="false">+IFERROR(BM33/$I33,"-")</f>
        <v>-</v>
      </c>
      <c r="BM33" s="663" t="n">
        <f aca="false">+$I33*'PAYMENT RATIO_RAW'!BD$14</f>
        <v>0</v>
      </c>
      <c r="BN33" s="663"/>
      <c r="BO33" s="663" t="n">
        <f aca="false">+BM33-BN33</f>
        <v>0</v>
      </c>
      <c r="BP33" s="662"/>
      <c r="BQ33" s="666"/>
      <c r="BR33" s="667" t="n">
        <f aca="false">+P33+W33+AD33+AR33+AY33+BF33+BM33=I33</f>
        <v>1</v>
      </c>
      <c r="BS33" s="668" t="n">
        <f aca="false">+Q33+X33+AE33+AS33+AZ33+BG33+BN33=K33</f>
        <v>1</v>
      </c>
      <c r="BT33" s="668"/>
      <c r="BU33" s="621"/>
      <c r="BV33" s="621"/>
      <c r="BW33" s="621"/>
      <c r="BX33" s="621"/>
      <c r="BY33" s="621"/>
      <c r="BZ33" s="621"/>
      <c r="CA33" s="621"/>
      <c r="CB33" s="621"/>
      <c r="CC33" s="625"/>
      <c r="CD33" s="625"/>
    </row>
    <row r="34" customFormat="false" ht="12.75" hidden="false" customHeight="false" outlineLevel="0" collapsed="false">
      <c r="A34" s="628"/>
      <c r="B34" s="629"/>
      <c r="C34" s="630"/>
      <c r="D34" s="684"/>
      <c r="E34" s="631"/>
      <c r="F34" s="669" t="s">
        <v>109</v>
      </c>
      <c r="G34" s="670" t="n">
        <f aca="false">SUM(G29:G33)</f>
        <v>949924000</v>
      </c>
      <c r="H34" s="670" t="n">
        <f aca="false">SUM(H29:H33)</f>
        <v>52495800</v>
      </c>
      <c r="I34" s="670" t="n">
        <f aca="false">SUM(I29:I33)</f>
        <v>1002419800</v>
      </c>
      <c r="J34" s="669" t="n">
        <f aca="false">+IFERROR(K34/I34,"-")</f>
        <v>0.129675810473815</v>
      </c>
      <c r="K34" s="670" t="n">
        <f aca="false">SUM(K29:K33)</f>
        <v>129989600</v>
      </c>
      <c r="L34" s="670" t="n">
        <f aca="false">SUM(L29:L33)</f>
        <v>872430200</v>
      </c>
      <c r="M34" s="669"/>
      <c r="N34" s="669"/>
      <c r="O34" s="672" t="n">
        <f aca="false">+IFERROR(P34/$I34,"-")</f>
        <v>0.129675810473815</v>
      </c>
      <c r="P34" s="670" t="n">
        <f aca="false">SUM(P29:P33)</f>
        <v>129989600</v>
      </c>
      <c r="Q34" s="670" t="n">
        <f aca="false">SUM(Q29:Q33)</f>
        <v>129989600</v>
      </c>
      <c r="R34" s="673" t="n">
        <f aca="false">+P34-Q34</f>
        <v>0</v>
      </c>
      <c r="S34" s="669"/>
      <c r="T34" s="671"/>
      <c r="U34" s="669"/>
      <c r="V34" s="672" t="n">
        <f aca="false">+IFERROR(W34/$I34,"-")</f>
        <v>0.0648379052369077</v>
      </c>
      <c r="W34" s="670" t="n">
        <f aca="false">SUM(W29:W33)</f>
        <v>64994800</v>
      </c>
      <c r="X34" s="670" t="n">
        <f aca="false">SUM(X29:X33)</f>
        <v>0</v>
      </c>
      <c r="Y34" s="673" t="n">
        <f aca="false">+W34-X34</f>
        <v>64994800</v>
      </c>
      <c r="Z34" s="669"/>
      <c r="AA34" s="671"/>
      <c r="AB34" s="669"/>
      <c r="AC34" s="672" t="n">
        <f aca="false">+IFERROR(AD34/$I34,"-")</f>
        <v>0.270074812967581</v>
      </c>
      <c r="AD34" s="670" t="n">
        <f aca="false">SUM(AD29:AD33)</f>
        <v>270728340</v>
      </c>
      <c r="AE34" s="670" t="n">
        <f aca="false">SUM(AE29:AE33)</f>
        <v>0</v>
      </c>
      <c r="AF34" s="673" t="n">
        <f aca="false">+AD34-AE34</f>
        <v>270728340</v>
      </c>
      <c r="AG34" s="669"/>
      <c r="AH34" s="671"/>
      <c r="AI34" s="669"/>
      <c r="AJ34" s="672" t="n">
        <f aca="false">+IFERROR(AK34/$I34,"-")</f>
        <v>0.230423940149626</v>
      </c>
      <c r="AK34" s="670" t="n">
        <f aca="false">SUM(AK29:AK33)</f>
        <v>230981520</v>
      </c>
      <c r="AL34" s="670" t="n">
        <f aca="false">SUM(AL29:AL33)</f>
        <v>0</v>
      </c>
      <c r="AM34" s="673" t="n">
        <f aca="false">+AK34-AL34</f>
        <v>230981520</v>
      </c>
      <c r="AN34" s="669"/>
      <c r="AO34" s="671"/>
      <c r="AP34" s="669"/>
      <c r="AQ34" s="672" t="n">
        <f aca="false">+IFERROR(AR34/$I34,"-")</f>
        <v>0</v>
      </c>
      <c r="AR34" s="670" t="n">
        <f aca="false">SUM(AR29:AR33)</f>
        <v>0</v>
      </c>
      <c r="AS34" s="670" t="n">
        <f aca="false">SUM(AS29:AS33)</f>
        <v>0</v>
      </c>
      <c r="AT34" s="673" t="n">
        <f aca="false">+AR34-AS34</f>
        <v>0</v>
      </c>
      <c r="AU34" s="669"/>
      <c r="AV34" s="671"/>
      <c r="AW34" s="669"/>
      <c r="AX34" s="672" t="n">
        <f aca="false">+IFERROR(AY34/$I34,"-")</f>
        <v>0</v>
      </c>
      <c r="AY34" s="670" t="n">
        <f aca="false">SUM(AY29:AY33)</f>
        <v>0</v>
      </c>
      <c r="AZ34" s="670" t="n">
        <f aca="false">SUM(AZ29:AZ33)</f>
        <v>0</v>
      </c>
      <c r="BA34" s="673" t="n">
        <f aca="false">+AY34-AZ34</f>
        <v>0</v>
      </c>
      <c r="BB34" s="669"/>
      <c r="BC34" s="671"/>
      <c r="BD34" s="669"/>
      <c r="BE34" s="672" t="n">
        <f aca="false">+IFERROR(BF34/$I34,"-")</f>
        <v>0</v>
      </c>
      <c r="BF34" s="670" t="n">
        <f aca="false">SUM(BF29:BF33)</f>
        <v>0</v>
      </c>
      <c r="BG34" s="670" t="n">
        <f aca="false">SUM(BG29:BG33)</f>
        <v>0</v>
      </c>
      <c r="BH34" s="673" t="n">
        <f aca="false">+BF34-BG34</f>
        <v>0</v>
      </c>
      <c r="BI34" s="669"/>
      <c r="BJ34" s="669"/>
      <c r="BK34" s="669"/>
      <c r="BL34" s="672" t="n">
        <f aca="false">+IFERROR(BM34/$I34,"-")</f>
        <v>0.30498753117207</v>
      </c>
      <c r="BM34" s="670" t="n">
        <f aca="false">SUM(BM29:BM33)</f>
        <v>305725540</v>
      </c>
      <c r="BN34" s="670" t="n">
        <f aca="false">SUM(BN29:BN33)</f>
        <v>0</v>
      </c>
      <c r="BO34" s="673" t="n">
        <f aca="false">+BM34-BN34</f>
        <v>305725540</v>
      </c>
      <c r="BP34" s="669"/>
      <c r="BQ34" s="666"/>
      <c r="BR34" s="674"/>
      <c r="BS34" s="675"/>
      <c r="BT34" s="675"/>
      <c r="BU34" s="621"/>
      <c r="BV34" s="621"/>
      <c r="BW34" s="621"/>
      <c r="BX34" s="621"/>
      <c r="BY34" s="621"/>
      <c r="BZ34" s="621"/>
      <c r="CA34" s="621"/>
      <c r="CB34" s="621"/>
      <c r="CC34" s="625"/>
      <c r="CD34" s="625"/>
    </row>
    <row r="35" customFormat="false" ht="12.75" hidden="false" customHeight="false" outlineLevel="0" collapsed="false">
      <c r="A35" s="628"/>
      <c r="B35" s="629" t="n">
        <v>5</v>
      </c>
      <c r="C35" s="631" t="s">
        <v>182</v>
      </c>
      <c r="D35" s="684" t="n">
        <v>149.64</v>
      </c>
      <c r="E35" s="631" t="s">
        <v>505</v>
      </c>
      <c r="F35" s="632" t="s">
        <v>112</v>
      </c>
      <c r="G35" s="633" t="n">
        <f aca="false">+'PAYMENT RATIO_RAW'!F$10*'GM Batch2-APA'!$D$35/1000</f>
        <v>157122000</v>
      </c>
      <c r="H35" s="633" t="n">
        <f aca="false">+G35*10%</f>
        <v>15712200</v>
      </c>
      <c r="I35" s="633" t="n">
        <f aca="false">SUM(G35:H35)</f>
        <v>172834200</v>
      </c>
      <c r="J35" s="634" t="n">
        <f aca="false">+IFERROR(K35/I35,"-")</f>
        <v>0</v>
      </c>
      <c r="K35" s="640" t="n">
        <f aca="false">+IFERROR(Q35+X35+AE35+AS35+AZ35+BG35+BN35,"-")</f>
        <v>0</v>
      </c>
      <c r="L35" s="640" t="n">
        <f aca="false">+I35-K35</f>
        <v>172834200</v>
      </c>
      <c r="M35" s="637"/>
      <c r="N35" s="637"/>
      <c r="O35" s="638"/>
      <c r="P35" s="639" t="n">
        <f aca="false">+$I35*'PAYMENT RATIO_RAW'!G$10</f>
        <v>0</v>
      </c>
      <c r="Q35" s="640" t="n">
        <v>0</v>
      </c>
      <c r="R35" s="640" t="n">
        <f aca="false">+P35-Q35</f>
        <v>0</v>
      </c>
      <c r="S35" s="641"/>
      <c r="T35" s="636"/>
      <c r="U35" s="637"/>
      <c r="V35" s="638"/>
      <c r="W35" s="639" t="n">
        <f aca="false">+$I35*'PAYMENT RATIO_RAW'!N$10</f>
        <v>0</v>
      </c>
      <c r="X35" s="640"/>
      <c r="Y35" s="640" t="n">
        <f aca="false">+W35-X35</f>
        <v>0</v>
      </c>
      <c r="Z35" s="641"/>
      <c r="AA35" s="636" t="n">
        <v>46042</v>
      </c>
      <c r="AB35" s="637"/>
      <c r="AC35" s="638" t="n">
        <f aca="false">+IFERROR(AD35/$I35,"-")</f>
        <v>0.3</v>
      </c>
      <c r="AD35" s="639" t="n">
        <f aca="false">+'PAYMENT RATIO_RAW'!$U$10*I35</f>
        <v>51850260</v>
      </c>
      <c r="AE35" s="640"/>
      <c r="AF35" s="640" t="n">
        <f aca="false">+AD35-AE35</f>
        <v>51850260</v>
      </c>
      <c r="AG35" s="641"/>
      <c r="AH35" s="636" t="n">
        <v>46081</v>
      </c>
      <c r="AI35" s="642"/>
      <c r="AJ35" s="638" t="n">
        <f aca="false">+IFERROR(AK35/$I35,"-")</f>
        <v>0.4</v>
      </c>
      <c r="AK35" s="640" t="n">
        <f aca="false">+'PAYMENT RATIO_RAW'!$AB$10*I35</f>
        <v>69133680</v>
      </c>
      <c r="AL35" s="640"/>
      <c r="AM35" s="640" t="n">
        <f aca="false">+AK35-AL35</f>
        <v>69133680</v>
      </c>
      <c r="AN35" s="641"/>
      <c r="AO35" s="636" t="n">
        <f aca="false">+EDATE(AV35,-1)</f>
        <v>46111</v>
      </c>
      <c r="AP35" s="637"/>
      <c r="AQ35" s="638" t="n">
        <f aca="false">+IFERROR(AR35/$I35,"-")</f>
        <v>0</v>
      </c>
      <c r="AR35" s="639" t="n">
        <f aca="false">+$I35*'PAYMENT RATIO_RAW'!AI$10</f>
        <v>0</v>
      </c>
      <c r="AS35" s="640"/>
      <c r="AT35" s="640" t="n">
        <f aca="false">+AR35-AS35</f>
        <v>0</v>
      </c>
      <c r="AU35" s="641"/>
      <c r="AV35" s="636" t="n">
        <f aca="false">+EDATE(BC35,-1)</f>
        <v>46142</v>
      </c>
      <c r="AW35" s="637"/>
      <c r="AX35" s="638" t="n">
        <f aca="false">+IFERROR(AY35/$I35,"-")</f>
        <v>0</v>
      </c>
      <c r="AY35" s="639" t="n">
        <f aca="false">+$I35*'PAYMENT RATIO_RAW'!AP$10</f>
        <v>0</v>
      </c>
      <c r="AZ35" s="640"/>
      <c r="BA35" s="640" t="n">
        <f aca="false">+AY35-AZ35</f>
        <v>0</v>
      </c>
      <c r="BB35" s="641"/>
      <c r="BC35" s="636" t="n">
        <f aca="false">+EDATE(BJ35,-1)</f>
        <v>46172</v>
      </c>
      <c r="BD35" s="637"/>
      <c r="BE35" s="638" t="n">
        <f aca="false">+IFERROR(BF35/$I35,"-")</f>
        <v>0</v>
      </c>
      <c r="BF35" s="639" t="n">
        <f aca="false">+$I35*'PAYMENT RATIO_RAW'!AW$10</f>
        <v>0</v>
      </c>
      <c r="BG35" s="640"/>
      <c r="BH35" s="640" t="n">
        <f aca="false">+BF35-BG35</f>
        <v>0</v>
      </c>
      <c r="BI35" s="641"/>
      <c r="BJ35" s="658" t="n">
        <v>46203</v>
      </c>
      <c r="BK35" s="658"/>
      <c r="BL35" s="638" t="n">
        <f aca="false">+IFERROR(BM35/$I35,"-")</f>
        <v>0.3</v>
      </c>
      <c r="BM35" s="639" t="n">
        <f aca="false">+$I35*'PAYMENT RATIO_RAW'!BD$10</f>
        <v>51850260</v>
      </c>
      <c r="BN35" s="640"/>
      <c r="BO35" s="640" t="n">
        <f aca="false">+BM35-BN35</f>
        <v>51850260</v>
      </c>
      <c r="BP35" s="641"/>
      <c r="BQ35" s="644"/>
      <c r="BR35" s="645" t="n">
        <f aca="false">+P35+W35+AD35+AK35+AR35+AY35+BF35+BM35=I35</f>
        <v>1</v>
      </c>
      <c r="BS35" s="645" t="n">
        <f aca="false">+Q35+X35+AE35+AS35+AZ35+BG35+BN35=K35</f>
        <v>1</v>
      </c>
      <c r="BT35" s="645"/>
      <c r="BU35" s="621"/>
      <c r="BV35" s="621"/>
      <c r="BW35" s="621"/>
      <c r="BX35" s="621"/>
      <c r="BY35" s="621"/>
      <c r="BZ35" s="621"/>
      <c r="CA35" s="621"/>
      <c r="CB35" s="621"/>
      <c r="CC35" s="625"/>
      <c r="CD35" s="625"/>
    </row>
    <row r="36" customFormat="false" ht="12.75" hidden="false" customHeight="false" outlineLevel="0" collapsed="false">
      <c r="A36" s="628"/>
      <c r="B36" s="629"/>
      <c r="C36" s="631"/>
      <c r="D36" s="684"/>
      <c r="E36" s="631"/>
      <c r="F36" s="656" t="s">
        <v>114</v>
      </c>
      <c r="G36" s="657" t="n">
        <f aca="false">+'PAYMENT RATIO_RAW'!F$11*'GM Batch2-APA'!$D$35/1000</f>
        <v>52374000</v>
      </c>
      <c r="H36" s="657"/>
      <c r="I36" s="657" t="n">
        <f aca="false">SUM(G36:G36)</f>
        <v>52374000</v>
      </c>
      <c r="J36" s="656" t="n">
        <f aca="false">+IFERROR(K36/I36,"-")</f>
        <v>0.4</v>
      </c>
      <c r="K36" s="639" t="n">
        <f aca="false">+IFERROR(Q36+X36+AE36+AS36+AZ36+BG36+BN36,"-")</f>
        <v>20949600</v>
      </c>
      <c r="L36" s="639" t="n">
        <f aca="false">+I36-K36</f>
        <v>31424400</v>
      </c>
      <c r="M36" s="658" t="n">
        <v>45807</v>
      </c>
      <c r="N36" s="658" t="n">
        <v>45807</v>
      </c>
      <c r="O36" s="659" t="n">
        <f aca="false">+IFERROR(P36/$I36,"-")</f>
        <v>0.4</v>
      </c>
      <c r="P36" s="639" t="n">
        <f aca="false">+$I36*'PAYMENT RATIO_RAW'!G$11</f>
        <v>20949600</v>
      </c>
      <c r="Q36" s="639" t="n">
        <v>20949600</v>
      </c>
      <c r="R36" s="639" t="n">
        <f aca="false">+P36-Q36</f>
        <v>0</v>
      </c>
      <c r="S36" s="660"/>
      <c r="T36" s="658" t="n">
        <v>46022</v>
      </c>
      <c r="U36" s="658"/>
      <c r="V36" s="659" t="n">
        <f aca="false">+IFERROR(W36/$I36,"-")</f>
        <v>0.2</v>
      </c>
      <c r="W36" s="639" t="n">
        <f aca="false">+$I36*'PAYMENT RATIO_RAW'!N$11</f>
        <v>10474800</v>
      </c>
      <c r="X36" s="639"/>
      <c r="Y36" s="639" t="n">
        <f aca="false">+W36-X36</f>
        <v>10474800</v>
      </c>
      <c r="Z36" s="721"/>
      <c r="AA36" s="658" t="n">
        <v>46142</v>
      </c>
      <c r="AB36" s="658"/>
      <c r="AC36" s="659" t="n">
        <f aca="false">+IFERROR(AD36/$I36,"-")</f>
        <v>0.3</v>
      </c>
      <c r="AD36" s="639" t="n">
        <f aca="false">+'PAYMENT RATIO_RAW'!$U$11*I36</f>
        <v>15712200</v>
      </c>
      <c r="AE36" s="639"/>
      <c r="AF36" s="639" t="n">
        <f aca="false">+AD36-AE36</f>
        <v>15712200</v>
      </c>
      <c r="AG36" s="660"/>
      <c r="AH36" s="658"/>
      <c r="AI36" s="658"/>
      <c r="AJ36" s="659" t="n">
        <f aca="false">+IFERROR(AK36/$I36,"-")</f>
        <v>0</v>
      </c>
      <c r="AK36" s="639" t="n">
        <f aca="false">+'PAYMENT RATIO_RAW'!$AB$11*I36</f>
        <v>0</v>
      </c>
      <c r="AL36" s="639"/>
      <c r="AM36" s="639" t="n">
        <f aca="false">+AK36-AL36</f>
        <v>0</v>
      </c>
      <c r="AN36" s="660"/>
      <c r="AO36" s="658"/>
      <c r="AP36" s="658"/>
      <c r="AQ36" s="659"/>
      <c r="AR36" s="639" t="n">
        <f aca="false">+$I36*'PAYMENT RATIO_RAW'!AI$11</f>
        <v>0</v>
      </c>
      <c r="AS36" s="639"/>
      <c r="AT36" s="639" t="n">
        <f aca="false">+AR36-AS36</f>
        <v>0</v>
      </c>
      <c r="AU36" s="660"/>
      <c r="AV36" s="658"/>
      <c r="AW36" s="658"/>
      <c r="AX36" s="659"/>
      <c r="AY36" s="639" t="n">
        <f aca="false">+$I36*'PAYMENT RATIO_RAW'!AP$11</f>
        <v>0</v>
      </c>
      <c r="AZ36" s="639"/>
      <c r="BA36" s="639" t="n">
        <f aca="false">+AY36-AZ36</f>
        <v>0</v>
      </c>
      <c r="BB36" s="660"/>
      <c r="BC36" s="658"/>
      <c r="BD36" s="658"/>
      <c r="BE36" s="659" t="n">
        <f aca="false">+IFERROR(BF36/$I36,"-")</f>
        <v>0</v>
      </c>
      <c r="BF36" s="639" t="n">
        <f aca="false">+$I36*'PAYMENT RATIO_RAW'!AW$11</f>
        <v>0</v>
      </c>
      <c r="BG36" s="639"/>
      <c r="BH36" s="640" t="n">
        <f aca="false">+BF36-BG36</f>
        <v>0</v>
      </c>
      <c r="BI36" s="660"/>
      <c r="BJ36" s="658" t="n">
        <v>46203</v>
      </c>
      <c r="BK36" s="658"/>
      <c r="BL36" s="659" t="n">
        <f aca="false">+IFERROR(BM36/$I36,"-")</f>
        <v>0.1</v>
      </c>
      <c r="BM36" s="639" t="n">
        <f aca="false">+$I36*'PAYMENT RATIO_RAW'!BD$11</f>
        <v>5237400</v>
      </c>
      <c r="BN36" s="639"/>
      <c r="BO36" s="639" t="n">
        <f aca="false">+BM36-BN36</f>
        <v>5237400</v>
      </c>
      <c r="BP36" s="660"/>
      <c r="BQ36" s="644"/>
      <c r="BR36" s="645" t="n">
        <f aca="false">+P36+W36+AD36+AR36+AY36+BF36+BM36=I36</f>
        <v>1</v>
      </c>
      <c r="BS36" s="645" t="n">
        <f aca="false">+Q36+X36+AE36+AS36+AZ36+BG36+BN36=K36</f>
        <v>1</v>
      </c>
      <c r="BT36" s="645" t="n">
        <f aca="false">+BF36+BF38+AY36+AY38+AR36+AR38+AD36+AD38+W36+W38+P36+P38+BM36+BM38=('PAYMENT RATIO_RAW'!$F$11+'PAYMENT RATIO_RAW'!$F$13)*D35*1.1/1000</f>
        <v>0</v>
      </c>
      <c r="BU36" s="621"/>
      <c r="BV36" s="621"/>
      <c r="BW36" s="621"/>
      <c r="BX36" s="621"/>
      <c r="BY36" s="621"/>
      <c r="BZ36" s="621"/>
      <c r="CA36" s="621"/>
      <c r="CB36" s="621"/>
      <c r="CC36" s="625"/>
      <c r="CD36" s="625"/>
    </row>
    <row r="37" customFormat="false" ht="12.75" hidden="false" customHeight="false" outlineLevel="0" collapsed="false">
      <c r="A37" s="628"/>
      <c r="B37" s="629"/>
      <c r="C37" s="631"/>
      <c r="D37" s="684"/>
      <c r="E37" s="631"/>
      <c r="F37" s="656" t="s">
        <v>404</v>
      </c>
      <c r="G37" s="657" t="n">
        <f aca="false">+'PAYMENT RATIO_RAW'!F$12*'GM Batch2-APA'!$D$35/1000</f>
        <v>44892000</v>
      </c>
      <c r="H37" s="657"/>
      <c r="I37" s="657" t="n">
        <f aca="false">SUM(G37:G37)</f>
        <v>44892000</v>
      </c>
      <c r="J37" s="656" t="n">
        <f aca="false">+IFERROR(K37/I37,"-")</f>
        <v>0.4</v>
      </c>
      <c r="K37" s="639" t="n">
        <f aca="false">+IFERROR(Q37+X37+AE37+AS37+AZ37+BG37+BN37,"-")</f>
        <v>17956800</v>
      </c>
      <c r="L37" s="639" t="n">
        <f aca="false">+I37-K37</f>
        <v>26935200</v>
      </c>
      <c r="M37" s="658" t="n">
        <v>45807</v>
      </c>
      <c r="N37" s="658" t="n">
        <v>45807</v>
      </c>
      <c r="O37" s="659" t="n">
        <f aca="false">+IFERROR(P37/$I37,"-")</f>
        <v>0.4</v>
      </c>
      <c r="P37" s="639" t="n">
        <f aca="false">+$I37*'PAYMENT RATIO_RAW'!G$12</f>
        <v>17956800</v>
      </c>
      <c r="Q37" s="639" t="n">
        <v>17956800</v>
      </c>
      <c r="R37" s="639" t="n">
        <f aca="false">+P37-Q37</f>
        <v>0</v>
      </c>
      <c r="S37" s="660"/>
      <c r="T37" s="658" t="n">
        <v>46022</v>
      </c>
      <c r="U37" s="658"/>
      <c r="V37" s="659" t="n">
        <f aca="false">+IFERROR(W37/$I37,"-")</f>
        <v>0.2</v>
      </c>
      <c r="W37" s="639" t="n">
        <f aca="false">+$I37*'PAYMENT RATIO_RAW'!N$12</f>
        <v>8978400</v>
      </c>
      <c r="X37" s="639"/>
      <c r="Y37" s="639" t="n">
        <f aca="false">+W37-X37</f>
        <v>8978400</v>
      </c>
      <c r="Z37" s="660"/>
      <c r="AA37" s="658" t="n">
        <v>46142</v>
      </c>
      <c r="AB37" s="658"/>
      <c r="AC37" s="659" t="n">
        <f aca="false">+IFERROR(AD37/$I37,"-")</f>
        <v>0.3</v>
      </c>
      <c r="AD37" s="639" t="n">
        <f aca="false">+'PAYMENT RATIO_RAW'!$U$12*I37</f>
        <v>13467600</v>
      </c>
      <c r="AE37" s="639"/>
      <c r="AF37" s="639" t="n">
        <f aca="false">+AD37-AE37</f>
        <v>13467600</v>
      </c>
      <c r="AG37" s="660"/>
      <c r="AH37" s="658"/>
      <c r="AI37" s="658"/>
      <c r="AJ37" s="659" t="n">
        <f aca="false">+IFERROR(AK37/$I37,"-")</f>
        <v>0</v>
      </c>
      <c r="AK37" s="639" t="n">
        <f aca="false">+'PAYMENT RATIO_RAW'!$AB$12*I37</f>
        <v>0</v>
      </c>
      <c r="AL37" s="639"/>
      <c r="AM37" s="639" t="n">
        <f aca="false">+AK37-AL37</f>
        <v>0</v>
      </c>
      <c r="AN37" s="660"/>
      <c r="AO37" s="658"/>
      <c r="AP37" s="658"/>
      <c r="AQ37" s="659"/>
      <c r="AR37" s="639" t="n">
        <f aca="false">+$I37*'PAYMENT RATIO_RAW'!AI$12</f>
        <v>0</v>
      </c>
      <c r="AS37" s="639"/>
      <c r="AT37" s="639" t="n">
        <f aca="false">+AR37-AS37</f>
        <v>0</v>
      </c>
      <c r="AU37" s="660"/>
      <c r="AV37" s="658"/>
      <c r="AW37" s="658"/>
      <c r="AX37" s="659"/>
      <c r="AY37" s="639" t="n">
        <f aca="false">+$I37*'PAYMENT RATIO_RAW'!AP$12</f>
        <v>0</v>
      </c>
      <c r="AZ37" s="639"/>
      <c r="BA37" s="639" t="n">
        <f aca="false">+AY37-AZ37</f>
        <v>0</v>
      </c>
      <c r="BB37" s="660"/>
      <c r="BC37" s="658"/>
      <c r="BD37" s="658"/>
      <c r="BE37" s="659" t="n">
        <f aca="false">+IFERROR(BF37/$I37,"-")</f>
        <v>0</v>
      </c>
      <c r="BF37" s="639" t="n">
        <f aca="false">+$I37*'PAYMENT RATIO_RAW'!AW$12</f>
        <v>0</v>
      </c>
      <c r="BG37" s="639"/>
      <c r="BH37" s="640" t="n">
        <f aca="false">+BF37-BG37</f>
        <v>0</v>
      </c>
      <c r="BI37" s="660"/>
      <c r="BJ37" s="658" t="n">
        <v>46203</v>
      </c>
      <c r="BK37" s="658"/>
      <c r="BL37" s="659" t="n">
        <f aca="false">+IFERROR(BM37/$I37,"-")</f>
        <v>0.1</v>
      </c>
      <c r="BM37" s="639" t="n">
        <f aca="false">+$I37*'PAYMENT RATIO_RAW'!BD$12</f>
        <v>4489200</v>
      </c>
      <c r="BN37" s="639"/>
      <c r="BO37" s="639" t="n">
        <f aca="false">+BM37-BN37</f>
        <v>4489200</v>
      </c>
      <c r="BP37" s="660"/>
      <c r="BQ37" s="644"/>
      <c r="BR37" s="645" t="n">
        <f aca="false">+P37+W37+AD37+AR37+AY37+BF37+BM37=I37</f>
        <v>1</v>
      </c>
      <c r="BS37" s="645" t="n">
        <f aca="false">+Q37+X37+AE37+AS37+AZ37+BG37+BN37=K37</f>
        <v>1</v>
      </c>
      <c r="BT37" s="645"/>
      <c r="BU37" s="621"/>
      <c r="BV37" s="621"/>
      <c r="BW37" s="621"/>
      <c r="BX37" s="621"/>
      <c r="BY37" s="621"/>
      <c r="BZ37" s="621"/>
      <c r="CA37" s="621"/>
      <c r="CB37" s="621"/>
      <c r="CC37" s="625"/>
      <c r="CD37" s="625"/>
    </row>
    <row r="38" customFormat="false" ht="12.75" hidden="false" customHeight="false" outlineLevel="0" collapsed="false">
      <c r="A38" s="628"/>
      <c r="B38" s="629"/>
      <c r="C38" s="631"/>
      <c r="D38" s="684"/>
      <c r="E38" s="631"/>
      <c r="F38" s="656" t="s">
        <v>507</v>
      </c>
      <c r="G38" s="657" t="n">
        <f aca="false">+'PAYMENT RATIO_RAW'!F$13*'GM Batch2-APA'!$D$35/1000</f>
        <v>29928000</v>
      </c>
      <c r="H38" s="657"/>
      <c r="I38" s="657" t="n">
        <f aca="false">SUM(G38:G38)</f>
        <v>29928000</v>
      </c>
      <c r="J38" s="656" t="n">
        <f aca="false">+IFERROR(K38/I38,"-")</f>
        <v>0</v>
      </c>
      <c r="K38" s="639" t="n">
        <f aca="false">+IFERROR(Q38+X38+AE38+AS38+AZ38+BG38+BN38,"-")</f>
        <v>0</v>
      </c>
      <c r="L38" s="639" t="n">
        <f aca="false">+I38-K38</f>
        <v>29928000</v>
      </c>
      <c r="M38" s="658"/>
      <c r="N38" s="658"/>
      <c r="O38" s="659" t="n">
        <f aca="false">+IFERROR(P38/$I38,"-")</f>
        <v>0</v>
      </c>
      <c r="P38" s="639" t="n">
        <f aca="false">+$I38*'PAYMENT RATIO_RAW'!G$13</f>
        <v>0</v>
      </c>
      <c r="Q38" s="639"/>
      <c r="R38" s="639" t="n">
        <f aca="false">+P38-Q38</f>
        <v>0</v>
      </c>
      <c r="S38" s="724" t="n">
        <f aca="false">+Q38/I38</f>
        <v>0</v>
      </c>
      <c r="T38" s="658" t="n">
        <v>46022</v>
      </c>
      <c r="U38" s="642"/>
      <c r="V38" s="659" t="n">
        <f aca="false">+IFERROR(W38/$I38,"-")</f>
        <v>0</v>
      </c>
      <c r="W38" s="639" t="n">
        <f aca="false">+$I38*'PAYMENT RATIO_RAW'!N$13</f>
        <v>0</v>
      </c>
      <c r="X38" s="639"/>
      <c r="Y38" s="639" t="n">
        <f aca="false">+W38-X38</f>
        <v>0</v>
      </c>
      <c r="Z38" s="660"/>
      <c r="AA38" s="658" t="n">
        <v>46142</v>
      </c>
      <c r="AB38" s="642"/>
      <c r="AC38" s="659" t="n">
        <f aca="false">+IFERROR(AD38/$I38,"-")</f>
        <v>0</v>
      </c>
      <c r="AD38" s="639" t="n">
        <f aca="false">+'PAYMENT RATIO_RAW'!$U$13*I38</f>
        <v>0</v>
      </c>
      <c r="AE38" s="639"/>
      <c r="AF38" s="639" t="n">
        <f aca="false">+AD38-AE38</f>
        <v>0</v>
      </c>
      <c r="AG38" s="660"/>
      <c r="AH38" s="642"/>
      <c r="AI38" s="642"/>
      <c r="AJ38" s="659" t="n">
        <f aca="false">+IFERROR(AK38/$I38,"-")</f>
        <v>0</v>
      </c>
      <c r="AK38" s="639" t="n">
        <f aca="false">+'PAYMENT RATIO_RAW'!$AB$13*I38</f>
        <v>0</v>
      </c>
      <c r="AL38" s="639"/>
      <c r="AM38" s="639" t="n">
        <f aca="false">+AK38-AL38</f>
        <v>0</v>
      </c>
      <c r="AN38" s="660"/>
      <c r="AO38" s="658"/>
      <c r="AP38" s="642"/>
      <c r="AQ38" s="659"/>
      <c r="AR38" s="639" t="n">
        <f aca="false">+$I38*'PAYMENT RATIO_RAW'!AI$13</f>
        <v>0</v>
      </c>
      <c r="AS38" s="639"/>
      <c r="AT38" s="639" t="n">
        <f aca="false">+AR38-AS38</f>
        <v>0</v>
      </c>
      <c r="AU38" s="660"/>
      <c r="AV38" s="658"/>
      <c r="AW38" s="642"/>
      <c r="AX38" s="659"/>
      <c r="AY38" s="639" t="n">
        <f aca="false">+$I38*'PAYMENT RATIO_RAW'!AP$13</f>
        <v>0</v>
      </c>
      <c r="AZ38" s="639"/>
      <c r="BA38" s="639" t="n">
        <f aca="false">+AY38-AZ38</f>
        <v>0</v>
      </c>
      <c r="BB38" s="660"/>
      <c r="BC38" s="658"/>
      <c r="BD38" s="642"/>
      <c r="BE38" s="659" t="n">
        <f aca="false">+IFERROR(BF38/$I38,"-")</f>
        <v>0</v>
      </c>
      <c r="BF38" s="639" t="n">
        <f aca="false">+$I38*'PAYMENT RATIO_RAW'!AW$13</f>
        <v>0</v>
      </c>
      <c r="BG38" s="639"/>
      <c r="BH38" s="640" t="n">
        <f aca="false">+BF38-BG38</f>
        <v>0</v>
      </c>
      <c r="BI38" s="660"/>
      <c r="BJ38" s="658" t="n">
        <v>46203</v>
      </c>
      <c r="BK38" s="658"/>
      <c r="BL38" s="659" t="n">
        <f aca="false">+IFERROR(BM38/$I38,"-")</f>
        <v>1</v>
      </c>
      <c r="BM38" s="639" t="n">
        <f aca="false">+$I38*'PAYMENT RATIO_RAW'!BD$13</f>
        <v>29928000</v>
      </c>
      <c r="BN38" s="639"/>
      <c r="BO38" s="639" t="n">
        <f aca="false">+BM38-BN38</f>
        <v>29928000</v>
      </c>
      <c r="BP38" s="660"/>
      <c r="BQ38" s="644"/>
      <c r="BR38" s="645" t="n">
        <f aca="false">+P38+W38+AD38+AR38+AY38+BF38+BM38=I38</f>
        <v>1</v>
      </c>
      <c r="BS38" s="645" t="n">
        <f aca="false">+Q38+X38+AE38+AS38+AZ38+BG38+BN38=K38</f>
        <v>1</v>
      </c>
      <c r="BT38" s="645"/>
      <c r="BU38" s="621"/>
      <c r="BV38" s="621"/>
      <c r="BW38" s="621"/>
      <c r="BX38" s="621"/>
      <c r="BY38" s="621"/>
      <c r="BZ38" s="621"/>
      <c r="CA38" s="621"/>
      <c r="CB38" s="621"/>
      <c r="CC38" s="625"/>
      <c r="CD38" s="625"/>
    </row>
    <row r="39" customFormat="false" ht="12.75" hidden="false" customHeight="false" outlineLevel="0" collapsed="false">
      <c r="A39" s="628"/>
      <c r="B39" s="629"/>
      <c r="C39" s="631"/>
      <c r="D39" s="684"/>
      <c r="E39" s="631"/>
      <c r="F39" s="679" t="s">
        <v>508</v>
      </c>
      <c r="G39" s="661" t="n">
        <f aca="false">+'PAYMENT RATIO_RAW'!F$14*'GM Batch2-APA'!$D$35/1000</f>
        <v>0</v>
      </c>
      <c r="H39" s="661"/>
      <c r="I39" s="680" t="n">
        <f aca="false">SUM(G39:G39)</f>
        <v>0</v>
      </c>
      <c r="J39" s="679" t="str">
        <f aca="false">+IFERROR(K39/I39,"-")</f>
        <v>-</v>
      </c>
      <c r="K39" s="681" t="n">
        <f aca="false">+IFERROR(Q39+X39+AE39+AS39+AZ39+BG39+BN39,"-")</f>
        <v>0</v>
      </c>
      <c r="L39" s="681" t="n">
        <f aca="false">+I39-K39</f>
        <v>0</v>
      </c>
      <c r="M39" s="662"/>
      <c r="N39" s="662"/>
      <c r="O39" s="665"/>
      <c r="P39" s="663" t="n">
        <f aca="false">+$I39*'PAYMENT RATIO_RAW'!G$14</f>
        <v>0</v>
      </c>
      <c r="Q39" s="663" t="n">
        <v>0</v>
      </c>
      <c r="R39" s="663" t="n">
        <f aca="false">+P39-Q39</f>
        <v>0</v>
      </c>
      <c r="S39" s="662"/>
      <c r="T39" s="664"/>
      <c r="U39" s="662"/>
      <c r="V39" s="665"/>
      <c r="W39" s="663" t="n">
        <f aca="false">+$I39*'PAYMENT RATIO_RAW'!N$14</f>
        <v>0</v>
      </c>
      <c r="X39" s="663"/>
      <c r="Y39" s="663" t="n">
        <f aca="false">+W39-X39</f>
        <v>0</v>
      </c>
      <c r="Z39" s="662"/>
      <c r="AA39" s="664"/>
      <c r="AB39" s="662"/>
      <c r="AC39" s="665"/>
      <c r="AD39" s="663" t="n">
        <f aca="false">+'PAYMENT RATIO_RAW'!$U$14*I39</f>
        <v>0</v>
      </c>
      <c r="AE39" s="663"/>
      <c r="AF39" s="663" t="n">
        <f aca="false">+AD39-AE39</f>
        <v>0</v>
      </c>
      <c r="AG39" s="662"/>
      <c r="AH39" s="664"/>
      <c r="AI39" s="662"/>
      <c r="AJ39" s="665"/>
      <c r="AK39" s="663" t="n">
        <f aca="false">+'PAYMENT RATIO_RAW'!$AB$14*I39</f>
        <v>0</v>
      </c>
      <c r="AL39" s="663"/>
      <c r="AM39" s="663"/>
      <c r="AN39" s="662"/>
      <c r="AO39" s="664"/>
      <c r="AP39" s="662"/>
      <c r="AQ39" s="665"/>
      <c r="AR39" s="663" t="n">
        <f aca="false">+$I39*'PAYMENT RATIO_RAW'!AI$14</f>
        <v>0</v>
      </c>
      <c r="AS39" s="663"/>
      <c r="AT39" s="663"/>
      <c r="AU39" s="662"/>
      <c r="AV39" s="664"/>
      <c r="AW39" s="662"/>
      <c r="AX39" s="665"/>
      <c r="AY39" s="663" t="n">
        <f aca="false">+$I39*'PAYMENT RATIO_RAW'!AP$14</f>
        <v>0</v>
      </c>
      <c r="AZ39" s="663"/>
      <c r="BA39" s="663"/>
      <c r="BB39" s="662"/>
      <c r="BC39" s="664"/>
      <c r="BD39" s="662"/>
      <c r="BE39" s="665" t="str">
        <f aca="false">+IFERROR(BF39/$I39,"-")</f>
        <v>-</v>
      </c>
      <c r="BF39" s="663" t="n">
        <f aca="false">+$I39*'PAYMENT RATIO_RAW'!AW$14</f>
        <v>0</v>
      </c>
      <c r="BG39" s="663"/>
      <c r="BH39" s="640" t="n">
        <f aca="false">+BF39-BG39</f>
        <v>0</v>
      </c>
      <c r="BI39" s="662"/>
      <c r="BJ39" s="662"/>
      <c r="BK39" s="662"/>
      <c r="BL39" s="665" t="str">
        <f aca="false">+IFERROR(BM39/$I39,"-")</f>
        <v>-</v>
      </c>
      <c r="BM39" s="663" t="n">
        <f aca="false">+$I39*'PAYMENT RATIO_RAW'!BD$14</f>
        <v>0</v>
      </c>
      <c r="BN39" s="663"/>
      <c r="BO39" s="663" t="n">
        <f aca="false">+BM39-BN39</f>
        <v>0</v>
      </c>
      <c r="BP39" s="662"/>
      <c r="BQ39" s="666"/>
      <c r="BR39" s="667" t="n">
        <f aca="false">+P39+W39+AD39+AR39+AY39+BF39+BM39=I39</f>
        <v>1</v>
      </c>
      <c r="BS39" s="668" t="n">
        <f aca="false">+Q39+X39+AE39+AS39+AZ39+BG39+BN39=K39</f>
        <v>1</v>
      </c>
      <c r="BT39" s="668"/>
      <c r="BU39" s="621"/>
      <c r="BV39" s="621"/>
      <c r="BW39" s="621"/>
      <c r="BX39" s="621"/>
      <c r="BY39" s="621"/>
      <c r="BZ39" s="621"/>
      <c r="CA39" s="621"/>
      <c r="CB39" s="621"/>
      <c r="CC39" s="625"/>
      <c r="CD39" s="625"/>
    </row>
    <row r="40" customFormat="false" ht="12.75" hidden="false" customHeight="false" outlineLevel="0" collapsed="false">
      <c r="A40" s="628"/>
      <c r="B40" s="629"/>
      <c r="C40" s="631"/>
      <c r="D40" s="684"/>
      <c r="E40" s="631"/>
      <c r="F40" s="669" t="s">
        <v>109</v>
      </c>
      <c r="G40" s="670" t="n">
        <f aca="false">SUM(G35:G39)</f>
        <v>284316000</v>
      </c>
      <c r="H40" s="670" t="n">
        <f aca="false">SUM(H35:H39)</f>
        <v>15712200</v>
      </c>
      <c r="I40" s="670" t="n">
        <f aca="false">SUM(I35:I39)</f>
        <v>300028200</v>
      </c>
      <c r="J40" s="669" t="n">
        <f aca="false">+IFERROR(K40/I40,"-")</f>
        <v>0.129675810473815</v>
      </c>
      <c r="K40" s="670" t="n">
        <f aca="false">SUM(K35:K39)</f>
        <v>38906400</v>
      </c>
      <c r="L40" s="670" t="n">
        <f aca="false">SUM(L35:L39)</f>
        <v>261121800</v>
      </c>
      <c r="M40" s="669"/>
      <c r="N40" s="669"/>
      <c r="O40" s="672" t="n">
        <f aca="false">+IFERROR(P40/$I40,"-")</f>
        <v>0.129675810473815</v>
      </c>
      <c r="P40" s="670" t="n">
        <f aca="false">SUM(P35:P39)</f>
        <v>38906400</v>
      </c>
      <c r="Q40" s="670" t="n">
        <f aca="false">SUM(Q35:Q39)</f>
        <v>38906400</v>
      </c>
      <c r="R40" s="673" t="n">
        <f aca="false">+P40-Q40</f>
        <v>0</v>
      </c>
      <c r="S40" s="669"/>
      <c r="T40" s="671"/>
      <c r="U40" s="669"/>
      <c r="V40" s="672" t="n">
        <f aca="false">+IFERROR(W40/$I40,"-")</f>
        <v>0.0648379052369077</v>
      </c>
      <c r="W40" s="670" t="n">
        <f aca="false">SUM(W35:W39)</f>
        <v>19453200</v>
      </c>
      <c r="X40" s="670" t="n">
        <f aca="false">SUM(X35:X39)</f>
        <v>0</v>
      </c>
      <c r="Y40" s="673" t="n">
        <f aca="false">+W40-X40</f>
        <v>19453200</v>
      </c>
      <c r="Z40" s="669"/>
      <c r="AA40" s="671"/>
      <c r="AB40" s="669"/>
      <c r="AC40" s="672" t="n">
        <f aca="false">+IFERROR(AD40/$I40,"-")</f>
        <v>0.270074812967581</v>
      </c>
      <c r="AD40" s="670" t="n">
        <f aca="false">SUM(AD35:AD39)</f>
        <v>81030060</v>
      </c>
      <c r="AE40" s="670" t="n">
        <f aca="false">SUM(AE35:AE39)</f>
        <v>0</v>
      </c>
      <c r="AF40" s="673" t="n">
        <f aca="false">+AD40-AE40</f>
        <v>81030060</v>
      </c>
      <c r="AG40" s="669"/>
      <c r="AH40" s="671"/>
      <c r="AI40" s="669"/>
      <c r="AJ40" s="672" t="n">
        <f aca="false">+IFERROR(AK40/$I40,"-")</f>
        <v>0.230423940149626</v>
      </c>
      <c r="AK40" s="670" t="n">
        <f aca="false">SUM(AK35:AK39)</f>
        <v>69133680</v>
      </c>
      <c r="AL40" s="670" t="n">
        <f aca="false">SUM(AL35:AL39)</f>
        <v>0</v>
      </c>
      <c r="AM40" s="673" t="n">
        <f aca="false">+AK40-AL40</f>
        <v>69133680</v>
      </c>
      <c r="AN40" s="669"/>
      <c r="AO40" s="671"/>
      <c r="AP40" s="669"/>
      <c r="AQ40" s="672" t="n">
        <f aca="false">+IFERROR(AR40/$I40,"-")</f>
        <v>0</v>
      </c>
      <c r="AR40" s="670" t="n">
        <f aca="false">SUM(AR35:AR39)</f>
        <v>0</v>
      </c>
      <c r="AS40" s="670" t="n">
        <f aca="false">SUM(AS35:AS39)</f>
        <v>0</v>
      </c>
      <c r="AT40" s="673" t="n">
        <f aca="false">+AR40-AS40</f>
        <v>0</v>
      </c>
      <c r="AU40" s="669"/>
      <c r="AV40" s="671"/>
      <c r="AW40" s="669"/>
      <c r="AX40" s="672" t="n">
        <f aca="false">+IFERROR(AY40/$I40,"-")</f>
        <v>0</v>
      </c>
      <c r="AY40" s="670" t="n">
        <f aca="false">SUM(AY35:AY39)</f>
        <v>0</v>
      </c>
      <c r="AZ40" s="670" t="n">
        <f aca="false">SUM(AZ35:AZ39)</f>
        <v>0</v>
      </c>
      <c r="BA40" s="673" t="n">
        <f aca="false">+AY40-AZ40</f>
        <v>0</v>
      </c>
      <c r="BB40" s="669"/>
      <c r="BC40" s="671"/>
      <c r="BD40" s="669"/>
      <c r="BE40" s="672" t="n">
        <f aca="false">+IFERROR(BF40/$I40,"-")</f>
        <v>0</v>
      </c>
      <c r="BF40" s="670" t="n">
        <f aca="false">SUM(BF35:BF39)</f>
        <v>0</v>
      </c>
      <c r="BG40" s="670" t="n">
        <f aca="false">SUM(BG35:BG39)</f>
        <v>0</v>
      </c>
      <c r="BH40" s="673" t="n">
        <f aca="false">+BF40-BG40</f>
        <v>0</v>
      </c>
      <c r="BI40" s="669"/>
      <c r="BJ40" s="669"/>
      <c r="BK40" s="669"/>
      <c r="BL40" s="672" t="n">
        <f aca="false">+IFERROR(BM40/$I40,"-")</f>
        <v>0.30498753117207</v>
      </c>
      <c r="BM40" s="670" t="n">
        <f aca="false">SUM(BM35:BM39)</f>
        <v>91504860</v>
      </c>
      <c r="BN40" s="670" t="n">
        <f aca="false">SUM(BN35:BN39)</f>
        <v>0</v>
      </c>
      <c r="BO40" s="673" t="n">
        <f aca="false">+BM40-BN40</f>
        <v>91504860</v>
      </c>
      <c r="BP40" s="669"/>
      <c r="BQ40" s="666"/>
      <c r="BR40" s="674"/>
      <c r="BS40" s="675"/>
      <c r="BT40" s="675"/>
      <c r="BU40" s="621"/>
      <c r="BV40" s="621"/>
      <c r="BW40" s="621"/>
      <c r="BX40" s="621"/>
      <c r="BY40" s="621"/>
      <c r="BZ40" s="621"/>
      <c r="CA40" s="621"/>
      <c r="CB40" s="621"/>
      <c r="CC40" s="625"/>
      <c r="CD40" s="625"/>
    </row>
    <row r="41" customFormat="false" ht="13.5" hidden="false" customHeight="true" outlineLevel="0" collapsed="false">
      <c r="A41" s="628"/>
      <c r="B41" s="725" t="n">
        <v>6</v>
      </c>
      <c r="C41" s="631" t="s">
        <v>183</v>
      </c>
      <c r="D41" s="684" t="n">
        <v>299.28</v>
      </c>
      <c r="E41" s="631" t="s">
        <v>505</v>
      </c>
      <c r="F41" s="632" t="s">
        <v>112</v>
      </c>
      <c r="G41" s="633" t="n">
        <f aca="false">+'PAYMENT RATIO_RAW'!F$10*'GM Batch2-APA'!$D$41/1000</f>
        <v>314244000</v>
      </c>
      <c r="H41" s="633" t="n">
        <f aca="false">+G41*10%</f>
        <v>31424400</v>
      </c>
      <c r="I41" s="633" t="n">
        <f aca="false">SUM(G41:H41)</f>
        <v>345668400</v>
      </c>
      <c r="J41" s="634" t="n">
        <f aca="false">+IFERROR(K41/I41,"-")</f>
        <v>0</v>
      </c>
      <c r="K41" s="640" t="n">
        <f aca="false">+IFERROR(Q41+X41+AE41+AS41+AZ41+BG41+BN41,"-")</f>
        <v>0</v>
      </c>
      <c r="L41" s="640" t="n">
        <f aca="false">+I41-K41</f>
        <v>345668400</v>
      </c>
      <c r="M41" s="637"/>
      <c r="N41" s="637"/>
      <c r="O41" s="638"/>
      <c r="P41" s="639" t="n">
        <f aca="false">+$I41*'PAYMENT RATIO_RAW'!G$10</f>
        <v>0</v>
      </c>
      <c r="Q41" s="640" t="n">
        <v>0</v>
      </c>
      <c r="R41" s="640" t="n">
        <f aca="false">+P41-Q41</f>
        <v>0</v>
      </c>
      <c r="S41" s="641"/>
      <c r="T41" s="636"/>
      <c r="U41" s="637"/>
      <c r="V41" s="638"/>
      <c r="W41" s="639" t="n">
        <f aca="false">+$I41*'PAYMENT RATIO_RAW'!N$10</f>
        <v>0</v>
      </c>
      <c r="X41" s="640"/>
      <c r="Y41" s="640" t="n">
        <f aca="false">+W41-X41</f>
        <v>0</v>
      </c>
      <c r="Z41" s="641"/>
      <c r="AA41" s="636" t="n">
        <v>46042</v>
      </c>
      <c r="AB41" s="637"/>
      <c r="AC41" s="638" t="n">
        <f aca="false">+IFERROR(AD41/$I41,"-")</f>
        <v>0.3</v>
      </c>
      <c r="AD41" s="639" t="n">
        <f aca="false">+'PAYMENT RATIO_RAW'!$U$10*I41</f>
        <v>103700520</v>
      </c>
      <c r="AE41" s="640"/>
      <c r="AF41" s="640" t="n">
        <f aca="false">+AD41-AE41</f>
        <v>103700520</v>
      </c>
      <c r="AG41" s="641"/>
      <c r="AH41" s="636" t="n">
        <v>46081</v>
      </c>
      <c r="AI41" s="642"/>
      <c r="AJ41" s="638" t="n">
        <f aca="false">+IFERROR(AK41/$I41,"-")</f>
        <v>0.4</v>
      </c>
      <c r="AK41" s="640" t="n">
        <f aca="false">+'PAYMENT RATIO_RAW'!$AB$10*I41</f>
        <v>138267360</v>
      </c>
      <c r="AL41" s="640"/>
      <c r="AM41" s="640" t="n">
        <f aca="false">+AK41-AL41</f>
        <v>138267360</v>
      </c>
      <c r="AN41" s="641"/>
      <c r="AO41" s="636" t="n">
        <f aca="false">+EDATE(AV41,-1)</f>
        <v>46111</v>
      </c>
      <c r="AP41" s="637"/>
      <c r="AQ41" s="638" t="n">
        <f aca="false">+IFERROR(AR41/$I41,"-")</f>
        <v>0</v>
      </c>
      <c r="AR41" s="639" t="n">
        <f aca="false">+$I41*'PAYMENT RATIO_RAW'!AI$10</f>
        <v>0</v>
      </c>
      <c r="AS41" s="640"/>
      <c r="AT41" s="640" t="n">
        <f aca="false">+AR41-AS41</f>
        <v>0</v>
      </c>
      <c r="AU41" s="641"/>
      <c r="AV41" s="636" t="n">
        <f aca="false">+EDATE(BC41,-1)</f>
        <v>46142</v>
      </c>
      <c r="AW41" s="637"/>
      <c r="AX41" s="638" t="n">
        <f aca="false">+IFERROR(AY41/$I41,"-")</f>
        <v>0</v>
      </c>
      <c r="AY41" s="639" t="n">
        <f aca="false">+$I41*'PAYMENT RATIO_RAW'!AP$10</f>
        <v>0</v>
      </c>
      <c r="AZ41" s="640"/>
      <c r="BA41" s="640" t="n">
        <f aca="false">+AY41-AZ41</f>
        <v>0</v>
      </c>
      <c r="BB41" s="641"/>
      <c r="BC41" s="636" t="n">
        <f aca="false">+EDATE(BJ41,-1)</f>
        <v>46172</v>
      </c>
      <c r="BD41" s="637"/>
      <c r="BE41" s="638" t="n">
        <f aca="false">+IFERROR(BF41/$I41,"-")</f>
        <v>0</v>
      </c>
      <c r="BF41" s="639" t="n">
        <f aca="false">+$I41*'PAYMENT RATIO_RAW'!AW$10</f>
        <v>0</v>
      </c>
      <c r="BG41" s="640"/>
      <c r="BH41" s="640" t="n">
        <f aca="false">+BF41-BG41</f>
        <v>0</v>
      </c>
      <c r="BI41" s="641"/>
      <c r="BJ41" s="658" t="n">
        <v>46203</v>
      </c>
      <c r="BK41" s="658"/>
      <c r="BL41" s="638" t="n">
        <f aca="false">+IFERROR(BM41/$I41,"-")</f>
        <v>0.3</v>
      </c>
      <c r="BM41" s="639" t="n">
        <f aca="false">+$I41*'PAYMENT RATIO_RAW'!BD$10</f>
        <v>103700520</v>
      </c>
      <c r="BN41" s="640"/>
      <c r="BO41" s="640" t="n">
        <f aca="false">+BM41-BN41</f>
        <v>103700520</v>
      </c>
      <c r="BP41" s="641"/>
      <c r="BQ41" s="644"/>
      <c r="BR41" s="645" t="n">
        <f aca="false">+P41+W41+AD41+AK41+AR41+AY41+BF41+BM41=I41</f>
        <v>1</v>
      </c>
      <c r="BS41" s="645" t="n">
        <f aca="false">+Q41+X41+AE41+AS41+AZ41+BG41+BN41=K41</f>
        <v>1</v>
      </c>
      <c r="BT41" s="645"/>
      <c r="BU41" s="621"/>
      <c r="BV41" s="621"/>
      <c r="BW41" s="621"/>
      <c r="BX41" s="621"/>
      <c r="BY41" s="621"/>
      <c r="BZ41" s="621"/>
      <c r="CA41" s="621"/>
      <c r="CB41" s="621"/>
      <c r="CC41" s="625"/>
      <c r="CD41" s="625"/>
    </row>
    <row r="42" customFormat="false" ht="15" hidden="false" customHeight="true" outlineLevel="0" collapsed="false">
      <c r="A42" s="628"/>
      <c r="B42" s="725"/>
      <c r="C42" s="631"/>
      <c r="D42" s="684"/>
      <c r="E42" s="631"/>
      <c r="F42" s="656" t="s">
        <v>114</v>
      </c>
      <c r="G42" s="657" t="n">
        <f aca="false">+'PAYMENT RATIO_RAW'!F$11*'GM Batch2-APA'!$D$41/1000</f>
        <v>104748000</v>
      </c>
      <c r="H42" s="657"/>
      <c r="I42" s="657" t="n">
        <f aca="false">SUM(G42:G42)</f>
        <v>104748000</v>
      </c>
      <c r="J42" s="656" t="n">
        <f aca="false">+IFERROR(K42/I42,"-")</f>
        <v>0.4</v>
      </c>
      <c r="K42" s="639" t="n">
        <f aca="false">+IFERROR(Q42+X42+AE42+AS42+AZ42+BG42+BN42,"-")</f>
        <v>41899200</v>
      </c>
      <c r="L42" s="639" t="n">
        <f aca="false">+I42-K42</f>
        <v>62848800</v>
      </c>
      <c r="M42" s="658" t="n">
        <v>45807</v>
      </c>
      <c r="N42" s="658" t="n">
        <v>45807</v>
      </c>
      <c r="O42" s="659" t="n">
        <f aca="false">+IFERROR(P42/$I42,"-")</f>
        <v>0.4</v>
      </c>
      <c r="P42" s="639" t="n">
        <f aca="false">+$I42*'PAYMENT RATIO_RAW'!G$11</f>
        <v>41899200</v>
      </c>
      <c r="Q42" s="639" t="n">
        <v>41899200</v>
      </c>
      <c r="R42" s="639" t="n">
        <f aca="false">+P42-Q42</f>
        <v>0</v>
      </c>
      <c r="S42" s="660"/>
      <c r="T42" s="658" t="n">
        <v>46022</v>
      </c>
      <c r="U42" s="658"/>
      <c r="V42" s="659" t="n">
        <f aca="false">+IFERROR(W42/$I42,"-")</f>
        <v>0.2</v>
      </c>
      <c r="W42" s="639" t="n">
        <f aca="false">+$I42*'PAYMENT RATIO_RAW'!N$11</f>
        <v>20949600</v>
      </c>
      <c r="X42" s="639"/>
      <c r="Y42" s="639" t="n">
        <f aca="false">+W42-X42</f>
        <v>20949600</v>
      </c>
      <c r="Z42" s="721"/>
      <c r="AA42" s="658" t="n">
        <v>46142</v>
      </c>
      <c r="AB42" s="658"/>
      <c r="AC42" s="659" t="n">
        <f aca="false">+IFERROR(AD42/$I42,"-")</f>
        <v>0.3</v>
      </c>
      <c r="AD42" s="639" t="n">
        <f aca="false">+'PAYMENT RATIO_RAW'!$U$11*I42</f>
        <v>31424400</v>
      </c>
      <c r="AE42" s="639"/>
      <c r="AF42" s="639" t="n">
        <f aca="false">+AD42-AE42</f>
        <v>31424400</v>
      </c>
      <c r="AG42" s="660"/>
      <c r="AH42" s="658"/>
      <c r="AI42" s="658"/>
      <c r="AJ42" s="659" t="n">
        <f aca="false">+IFERROR(AK42/$I42,"-")</f>
        <v>0</v>
      </c>
      <c r="AK42" s="639" t="n">
        <f aca="false">+'PAYMENT RATIO_RAW'!$AB$11*I42</f>
        <v>0</v>
      </c>
      <c r="AL42" s="639"/>
      <c r="AM42" s="639" t="n">
        <f aca="false">+AK42-AL42</f>
        <v>0</v>
      </c>
      <c r="AN42" s="660"/>
      <c r="AO42" s="658"/>
      <c r="AP42" s="658"/>
      <c r="AQ42" s="659"/>
      <c r="AR42" s="639" t="n">
        <f aca="false">+$I42*'PAYMENT RATIO_RAW'!AI$11</f>
        <v>0</v>
      </c>
      <c r="AS42" s="639"/>
      <c r="AT42" s="639" t="n">
        <f aca="false">+AR42-AS42</f>
        <v>0</v>
      </c>
      <c r="AU42" s="660"/>
      <c r="AV42" s="658"/>
      <c r="AW42" s="658"/>
      <c r="AX42" s="659"/>
      <c r="AY42" s="639" t="n">
        <f aca="false">+$I42*'PAYMENT RATIO_RAW'!AP$11</f>
        <v>0</v>
      </c>
      <c r="AZ42" s="639"/>
      <c r="BA42" s="639" t="n">
        <f aca="false">+AY42-AZ42</f>
        <v>0</v>
      </c>
      <c r="BB42" s="660"/>
      <c r="BC42" s="658"/>
      <c r="BD42" s="658"/>
      <c r="BE42" s="659" t="n">
        <f aca="false">+IFERROR(BF42/$I42,"-")</f>
        <v>0</v>
      </c>
      <c r="BF42" s="639" t="n">
        <f aca="false">+$I42*'PAYMENT RATIO_RAW'!AW$11</f>
        <v>0</v>
      </c>
      <c r="BG42" s="639"/>
      <c r="BH42" s="640" t="n">
        <f aca="false">+BF42-BG42</f>
        <v>0</v>
      </c>
      <c r="BI42" s="660"/>
      <c r="BJ42" s="658" t="n">
        <v>46203</v>
      </c>
      <c r="BK42" s="658"/>
      <c r="BL42" s="659" t="n">
        <f aca="false">+IFERROR(BM42/$I42,"-")</f>
        <v>0.1</v>
      </c>
      <c r="BM42" s="639" t="n">
        <f aca="false">+$I42*'PAYMENT RATIO_RAW'!BD$11</f>
        <v>10474800</v>
      </c>
      <c r="BN42" s="639"/>
      <c r="BO42" s="639" t="n">
        <f aca="false">+BM42-BN42</f>
        <v>10474800</v>
      </c>
      <c r="BP42" s="660"/>
      <c r="BQ42" s="644"/>
      <c r="BR42" s="645" t="n">
        <f aca="false">+P42+W42+AD42+AR42+AY42+BF42+BM42=I42</f>
        <v>1</v>
      </c>
      <c r="BS42" s="645" t="n">
        <f aca="false">+Q42+X42+AE42+AS42+AZ42+BG42+BN42=K42</f>
        <v>1</v>
      </c>
      <c r="BT42" s="645" t="n">
        <f aca="false">+BF42+BF44+AY42+AY44+AR42+AR44+AD42+AD44+W42+W44+P42+P44+BM42+BM44=('PAYMENT RATIO_RAW'!$F$11+'PAYMENT RATIO_RAW'!$F$13)*D41*1.1/1000</f>
        <v>0</v>
      </c>
      <c r="BU42" s="621"/>
      <c r="BV42" s="621"/>
      <c r="BW42" s="621"/>
      <c r="BX42" s="621"/>
      <c r="BY42" s="621"/>
      <c r="BZ42" s="621"/>
      <c r="CA42" s="621"/>
      <c r="CB42" s="621"/>
      <c r="CC42" s="625"/>
      <c r="CD42" s="625"/>
    </row>
    <row r="43" customFormat="false" ht="13.5" hidden="false" customHeight="true" outlineLevel="0" collapsed="false">
      <c r="A43" s="628"/>
      <c r="B43" s="725"/>
      <c r="C43" s="631"/>
      <c r="D43" s="684"/>
      <c r="E43" s="631"/>
      <c r="F43" s="656" t="s">
        <v>404</v>
      </c>
      <c r="G43" s="657" t="n">
        <f aca="false">+'PAYMENT RATIO_RAW'!F$12*'GM Batch2-APA'!$D$41/1000</f>
        <v>89784000</v>
      </c>
      <c r="H43" s="657"/>
      <c r="I43" s="657" t="n">
        <f aca="false">SUM(G43:G43)</f>
        <v>89784000</v>
      </c>
      <c r="J43" s="656" t="n">
        <f aca="false">+IFERROR(K43/I43,"-")</f>
        <v>0.4</v>
      </c>
      <c r="K43" s="639" t="n">
        <f aca="false">+IFERROR(Q43+X43+AE43+AS43+AZ43+BG43+BN43,"-")</f>
        <v>35913600</v>
      </c>
      <c r="L43" s="639" t="n">
        <f aca="false">+I43-K43</f>
        <v>53870400</v>
      </c>
      <c r="M43" s="658" t="n">
        <v>45807</v>
      </c>
      <c r="N43" s="658" t="n">
        <v>45807</v>
      </c>
      <c r="O43" s="659" t="n">
        <f aca="false">+IFERROR(P43/$I43,"-")</f>
        <v>0.4</v>
      </c>
      <c r="P43" s="639" t="n">
        <f aca="false">+$I43*'PAYMENT RATIO_RAW'!G$12</f>
        <v>35913600</v>
      </c>
      <c r="Q43" s="639" t="n">
        <v>35913600</v>
      </c>
      <c r="R43" s="639" t="n">
        <f aca="false">+P43-Q43</f>
        <v>0</v>
      </c>
      <c r="S43" s="660"/>
      <c r="T43" s="658" t="n">
        <v>46022</v>
      </c>
      <c r="U43" s="658"/>
      <c r="V43" s="659" t="n">
        <f aca="false">+IFERROR(W43/$I43,"-")</f>
        <v>0.2</v>
      </c>
      <c r="W43" s="639" t="n">
        <f aca="false">+$I43*'PAYMENT RATIO_RAW'!N$12</f>
        <v>17956800</v>
      </c>
      <c r="X43" s="639"/>
      <c r="Y43" s="639" t="n">
        <f aca="false">+W43-X43</f>
        <v>17956800</v>
      </c>
      <c r="Z43" s="660"/>
      <c r="AA43" s="658" t="n">
        <v>46142</v>
      </c>
      <c r="AB43" s="658"/>
      <c r="AC43" s="659" t="n">
        <f aca="false">+IFERROR(AD43/$I43,"-")</f>
        <v>0.3</v>
      </c>
      <c r="AD43" s="639" t="n">
        <f aca="false">+'PAYMENT RATIO_RAW'!$U$12*I43</f>
        <v>26935200</v>
      </c>
      <c r="AE43" s="639"/>
      <c r="AF43" s="639" t="n">
        <f aca="false">+AD43-AE43</f>
        <v>26935200</v>
      </c>
      <c r="AG43" s="660"/>
      <c r="AH43" s="658"/>
      <c r="AI43" s="658"/>
      <c r="AJ43" s="659" t="n">
        <f aca="false">+IFERROR(AK43/$I43,"-")</f>
        <v>0</v>
      </c>
      <c r="AK43" s="639" t="n">
        <f aca="false">+'PAYMENT RATIO_RAW'!$AB$12*I43</f>
        <v>0</v>
      </c>
      <c r="AL43" s="639"/>
      <c r="AM43" s="639" t="n">
        <f aca="false">+AK43-AL43</f>
        <v>0</v>
      </c>
      <c r="AN43" s="660"/>
      <c r="AO43" s="658"/>
      <c r="AP43" s="658"/>
      <c r="AQ43" s="659"/>
      <c r="AR43" s="639" t="n">
        <f aca="false">+$I43*'PAYMENT RATIO_RAW'!AI$12</f>
        <v>0</v>
      </c>
      <c r="AS43" s="639"/>
      <c r="AT43" s="639" t="n">
        <f aca="false">+AR43-AS43</f>
        <v>0</v>
      </c>
      <c r="AU43" s="660"/>
      <c r="AV43" s="658"/>
      <c r="AW43" s="658"/>
      <c r="AX43" s="659"/>
      <c r="AY43" s="639" t="n">
        <f aca="false">+$I43*'PAYMENT RATIO_RAW'!AP$12</f>
        <v>0</v>
      </c>
      <c r="AZ43" s="639"/>
      <c r="BA43" s="639" t="n">
        <f aca="false">+AY43-AZ43</f>
        <v>0</v>
      </c>
      <c r="BB43" s="660"/>
      <c r="BC43" s="658"/>
      <c r="BD43" s="658"/>
      <c r="BE43" s="659" t="n">
        <f aca="false">+IFERROR(BF43/$I43,"-")</f>
        <v>0</v>
      </c>
      <c r="BF43" s="639" t="n">
        <f aca="false">+$I43*'PAYMENT RATIO_RAW'!AW$12</f>
        <v>0</v>
      </c>
      <c r="BG43" s="639"/>
      <c r="BH43" s="640" t="n">
        <f aca="false">+BF43-BG43</f>
        <v>0</v>
      </c>
      <c r="BI43" s="660"/>
      <c r="BJ43" s="658" t="n">
        <v>46203</v>
      </c>
      <c r="BK43" s="658"/>
      <c r="BL43" s="659" t="n">
        <f aca="false">+IFERROR(BM43/$I43,"-")</f>
        <v>0.1</v>
      </c>
      <c r="BM43" s="639" t="n">
        <f aca="false">+$I43*'PAYMENT RATIO_RAW'!BD$12</f>
        <v>8978400</v>
      </c>
      <c r="BN43" s="639"/>
      <c r="BO43" s="639" t="n">
        <f aca="false">+BM43-BN43</f>
        <v>8978400</v>
      </c>
      <c r="BP43" s="660"/>
      <c r="BQ43" s="644"/>
      <c r="BR43" s="645" t="n">
        <f aca="false">+P43+W43+AD43+AR43+AY43+BF43+BM43=I43</f>
        <v>1</v>
      </c>
      <c r="BS43" s="645" t="n">
        <f aca="false">+Q43+X43+AE43+AS43+AZ43+BG43+BN43=K43</f>
        <v>1</v>
      </c>
      <c r="BT43" s="645"/>
      <c r="BU43" s="621"/>
      <c r="BV43" s="621"/>
      <c r="BW43" s="621"/>
      <c r="BX43" s="621"/>
      <c r="BY43" s="621"/>
      <c r="BZ43" s="621"/>
      <c r="CA43" s="621"/>
      <c r="CB43" s="621"/>
      <c r="CC43" s="625"/>
      <c r="CD43" s="625"/>
    </row>
    <row r="44" customFormat="false" ht="12.75" hidden="false" customHeight="false" outlineLevel="0" collapsed="false">
      <c r="A44" s="628"/>
      <c r="B44" s="725"/>
      <c r="C44" s="631"/>
      <c r="D44" s="684"/>
      <c r="E44" s="631"/>
      <c r="F44" s="656" t="s">
        <v>507</v>
      </c>
      <c r="G44" s="657" t="n">
        <f aca="false">+'PAYMENT RATIO_RAW'!F$13*'GM Batch2-APA'!$D$41/1000</f>
        <v>59856000</v>
      </c>
      <c r="H44" s="657"/>
      <c r="I44" s="657" t="n">
        <f aca="false">SUM(G44:G44)</f>
        <v>59856000</v>
      </c>
      <c r="J44" s="656" t="n">
        <f aca="false">+IFERROR(K44/I44,"-")</f>
        <v>0</v>
      </c>
      <c r="K44" s="639" t="n">
        <f aca="false">+IFERROR(Q44+X44+AE44+AS44+AZ44+BG44+BN44,"-")</f>
        <v>0</v>
      </c>
      <c r="L44" s="639" t="n">
        <f aca="false">+I44-K44</f>
        <v>59856000</v>
      </c>
      <c r="M44" s="658"/>
      <c r="N44" s="658"/>
      <c r="O44" s="659" t="n">
        <f aca="false">+IFERROR(P44/$I44,"-")</f>
        <v>0</v>
      </c>
      <c r="P44" s="639" t="n">
        <f aca="false">+$I44*'PAYMENT RATIO_RAW'!G$13</f>
        <v>0</v>
      </c>
      <c r="Q44" s="639"/>
      <c r="R44" s="639" t="n">
        <f aca="false">+P44-Q44</f>
        <v>0</v>
      </c>
      <c r="S44" s="724" t="n">
        <f aca="false">+Q44/I44</f>
        <v>0</v>
      </c>
      <c r="T44" s="658" t="n">
        <v>46022</v>
      </c>
      <c r="U44" s="642"/>
      <c r="V44" s="659" t="n">
        <f aca="false">+IFERROR(W44/$I44,"-")</f>
        <v>0</v>
      </c>
      <c r="W44" s="639" t="n">
        <f aca="false">+$I44*'PAYMENT RATIO_RAW'!N$13</f>
        <v>0</v>
      </c>
      <c r="X44" s="639"/>
      <c r="Y44" s="639" t="n">
        <f aca="false">+W44-X44</f>
        <v>0</v>
      </c>
      <c r="Z44" s="660"/>
      <c r="AA44" s="658" t="n">
        <v>46142</v>
      </c>
      <c r="AB44" s="642"/>
      <c r="AC44" s="659" t="n">
        <f aca="false">+IFERROR(AD44/$I44,"-")</f>
        <v>0</v>
      </c>
      <c r="AD44" s="639" t="n">
        <f aca="false">+'PAYMENT RATIO_RAW'!$U$13*I44</f>
        <v>0</v>
      </c>
      <c r="AE44" s="639"/>
      <c r="AF44" s="639" t="n">
        <f aca="false">+AD44-AE44</f>
        <v>0</v>
      </c>
      <c r="AG44" s="660"/>
      <c r="AH44" s="642"/>
      <c r="AI44" s="642"/>
      <c r="AJ44" s="659" t="n">
        <f aca="false">+IFERROR(AK44/$I44,"-")</f>
        <v>0</v>
      </c>
      <c r="AK44" s="639" t="n">
        <f aca="false">+'PAYMENT RATIO_RAW'!$AB$13*I44</f>
        <v>0</v>
      </c>
      <c r="AL44" s="639"/>
      <c r="AM44" s="639" t="n">
        <f aca="false">+AK44-AL44</f>
        <v>0</v>
      </c>
      <c r="AN44" s="660"/>
      <c r="AO44" s="658"/>
      <c r="AP44" s="642"/>
      <c r="AQ44" s="659"/>
      <c r="AR44" s="639" t="n">
        <f aca="false">+$I44*'PAYMENT RATIO_RAW'!AI$13</f>
        <v>0</v>
      </c>
      <c r="AS44" s="639"/>
      <c r="AT44" s="639" t="n">
        <f aca="false">+AR44-AS44</f>
        <v>0</v>
      </c>
      <c r="AU44" s="660"/>
      <c r="AV44" s="658"/>
      <c r="AW44" s="642"/>
      <c r="AX44" s="659"/>
      <c r="AY44" s="639" t="n">
        <f aca="false">+$I44*'PAYMENT RATIO_RAW'!AP$13</f>
        <v>0</v>
      </c>
      <c r="AZ44" s="639"/>
      <c r="BA44" s="639" t="n">
        <f aca="false">+AY44-AZ44</f>
        <v>0</v>
      </c>
      <c r="BB44" s="660"/>
      <c r="BC44" s="658"/>
      <c r="BD44" s="642"/>
      <c r="BE44" s="659" t="n">
        <f aca="false">+IFERROR(BF44/$I44,"-")</f>
        <v>0</v>
      </c>
      <c r="BF44" s="639" t="n">
        <f aca="false">+$I44*'PAYMENT RATIO_RAW'!AW$13</f>
        <v>0</v>
      </c>
      <c r="BG44" s="639"/>
      <c r="BH44" s="640" t="n">
        <f aca="false">+BF44-BG44</f>
        <v>0</v>
      </c>
      <c r="BI44" s="660"/>
      <c r="BJ44" s="658" t="n">
        <v>46203</v>
      </c>
      <c r="BK44" s="658"/>
      <c r="BL44" s="659" t="n">
        <f aca="false">+IFERROR(BM44/$I44,"-")</f>
        <v>1</v>
      </c>
      <c r="BM44" s="639" t="n">
        <f aca="false">+$I44*'PAYMENT RATIO_RAW'!BD$13</f>
        <v>59856000</v>
      </c>
      <c r="BN44" s="639"/>
      <c r="BO44" s="639" t="n">
        <f aca="false">+BM44-BN44</f>
        <v>59856000</v>
      </c>
      <c r="BP44" s="660"/>
      <c r="BQ44" s="644"/>
      <c r="BR44" s="645" t="n">
        <f aca="false">+P44+W44+AD44+AR44+AY44+BF44+BM44=I44</f>
        <v>1</v>
      </c>
      <c r="BS44" s="645" t="n">
        <f aca="false">+Q44+X44+AE44+AS44+AZ44+BG44+BN44=K44</f>
        <v>1</v>
      </c>
      <c r="BT44" s="645"/>
      <c r="BU44" s="621"/>
      <c r="BV44" s="621"/>
      <c r="BW44" s="621"/>
      <c r="BX44" s="621"/>
      <c r="BY44" s="621"/>
      <c r="BZ44" s="621"/>
      <c r="CA44" s="621"/>
      <c r="CB44" s="621"/>
      <c r="CC44" s="625"/>
      <c r="CD44" s="625"/>
    </row>
    <row r="45" customFormat="false" ht="13.5" hidden="false" customHeight="true" outlineLevel="0" collapsed="false">
      <c r="A45" s="628"/>
      <c r="B45" s="725"/>
      <c r="C45" s="631"/>
      <c r="D45" s="684"/>
      <c r="E45" s="631"/>
      <c r="F45" s="679" t="s">
        <v>508</v>
      </c>
      <c r="G45" s="661" t="n">
        <f aca="false">+'PAYMENT RATIO_RAW'!F$14*'GM Batch2-APA'!$D$41/1000</f>
        <v>0</v>
      </c>
      <c r="H45" s="661"/>
      <c r="I45" s="680" t="n">
        <f aca="false">SUM(G45:G45)</f>
        <v>0</v>
      </c>
      <c r="J45" s="679" t="str">
        <f aca="false">+IFERROR(K45/I45,"-")</f>
        <v>-</v>
      </c>
      <c r="K45" s="681" t="n">
        <f aca="false">+IFERROR(Q45+X45+AE45+AS45+AZ45+BG45+BN45,"-")</f>
        <v>0</v>
      </c>
      <c r="L45" s="681" t="n">
        <f aca="false">+I45-K45</f>
        <v>0</v>
      </c>
      <c r="M45" s="662"/>
      <c r="N45" s="662"/>
      <c r="O45" s="665"/>
      <c r="P45" s="663" t="n">
        <f aca="false">+$I45*'PAYMENT RATIO_RAW'!G$14</f>
        <v>0</v>
      </c>
      <c r="Q45" s="663"/>
      <c r="R45" s="663" t="n">
        <f aca="false">+P45-Q45</f>
        <v>0</v>
      </c>
      <c r="S45" s="662"/>
      <c r="T45" s="664"/>
      <c r="U45" s="662"/>
      <c r="V45" s="665"/>
      <c r="W45" s="663" t="n">
        <f aca="false">+$I45*'PAYMENT RATIO_RAW'!N$14</f>
        <v>0</v>
      </c>
      <c r="X45" s="663"/>
      <c r="Y45" s="663" t="n">
        <f aca="false">+W45-X45</f>
        <v>0</v>
      </c>
      <c r="Z45" s="662"/>
      <c r="AA45" s="664"/>
      <c r="AB45" s="662"/>
      <c r="AC45" s="665"/>
      <c r="AD45" s="663" t="n">
        <f aca="false">+'PAYMENT RATIO_RAW'!$U$14*I45</f>
        <v>0</v>
      </c>
      <c r="AE45" s="663"/>
      <c r="AF45" s="663" t="n">
        <f aca="false">+AD45-AE45</f>
        <v>0</v>
      </c>
      <c r="AG45" s="662"/>
      <c r="AH45" s="664"/>
      <c r="AI45" s="662"/>
      <c r="AJ45" s="665"/>
      <c r="AK45" s="663" t="n">
        <f aca="false">+'PAYMENT RATIO_RAW'!$AB$14*I45</f>
        <v>0</v>
      </c>
      <c r="AL45" s="663"/>
      <c r="AM45" s="663"/>
      <c r="AN45" s="662"/>
      <c r="AO45" s="664"/>
      <c r="AP45" s="662"/>
      <c r="AQ45" s="665"/>
      <c r="AR45" s="663" t="n">
        <f aca="false">+$I45*'PAYMENT RATIO_RAW'!AI$14</f>
        <v>0</v>
      </c>
      <c r="AS45" s="663"/>
      <c r="AT45" s="663"/>
      <c r="AU45" s="662"/>
      <c r="AV45" s="664"/>
      <c r="AW45" s="662"/>
      <c r="AX45" s="665"/>
      <c r="AY45" s="663" t="n">
        <f aca="false">+$I45*'PAYMENT RATIO_RAW'!AP$14</f>
        <v>0</v>
      </c>
      <c r="AZ45" s="663"/>
      <c r="BA45" s="663"/>
      <c r="BB45" s="662"/>
      <c r="BC45" s="664"/>
      <c r="BD45" s="662"/>
      <c r="BE45" s="665" t="str">
        <f aca="false">+IFERROR(BF45/$I45,"-")</f>
        <v>-</v>
      </c>
      <c r="BF45" s="663" t="n">
        <f aca="false">+$I45*'PAYMENT RATIO_RAW'!AW$14</f>
        <v>0</v>
      </c>
      <c r="BG45" s="663"/>
      <c r="BH45" s="640" t="n">
        <f aca="false">+BF45-BG45</f>
        <v>0</v>
      </c>
      <c r="BI45" s="662"/>
      <c r="BJ45" s="662"/>
      <c r="BK45" s="662"/>
      <c r="BL45" s="665" t="str">
        <f aca="false">+IFERROR(BM45/$I45,"-")</f>
        <v>-</v>
      </c>
      <c r="BM45" s="663" t="n">
        <f aca="false">+$I45*'PAYMENT RATIO_RAW'!BD$14</f>
        <v>0</v>
      </c>
      <c r="BN45" s="663"/>
      <c r="BO45" s="663" t="n">
        <f aca="false">+BM45-BN45</f>
        <v>0</v>
      </c>
      <c r="BP45" s="662"/>
      <c r="BQ45" s="666"/>
      <c r="BR45" s="667" t="n">
        <f aca="false">+P45+W45+AD45+AR45+AY45+BF45+BM45=I45</f>
        <v>1</v>
      </c>
      <c r="BS45" s="668" t="n">
        <f aca="false">+Q45+X45+AE45+AS45+AZ45+BG45+BN45=K45</f>
        <v>1</v>
      </c>
      <c r="BT45" s="668"/>
      <c r="BU45" s="621"/>
      <c r="BV45" s="621"/>
      <c r="BW45" s="621"/>
      <c r="BX45" s="621"/>
      <c r="BY45" s="621"/>
      <c r="BZ45" s="621"/>
      <c r="CA45" s="621"/>
      <c r="CB45" s="621"/>
      <c r="CC45" s="625"/>
      <c r="CD45" s="625"/>
    </row>
    <row r="46" customFormat="false" ht="13.5" hidden="false" customHeight="true" outlineLevel="0" collapsed="false">
      <c r="A46" s="628"/>
      <c r="B46" s="725"/>
      <c r="C46" s="631"/>
      <c r="D46" s="684"/>
      <c r="E46" s="631"/>
      <c r="F46" s="669" t="s">
        <v>109</v>
      </c>
      <c r="G46" s="670" t="n">
        <f aca="false">SUM(G41:G45)</f>
        <v>568632000</v>
      </c>
      <c r="H46" s="670" t="n">
        <f aca="false">SUM(H41:H45)</f>
        <v>31424400</v>
      </c>
      <c r="I46" s="670" t="n">
        <f aca="false">SUM(I41:I45)</f>
        <v>600056400</v>
      </c>
      <c r="J46" s="669" t="n">
        <f aca="false">+IFERROR(K46/I46,"-")</f>
        <v>0.129675810473815</v>
      </c>
      <c r="K46" s="670" t="n">
        <f aca="false">SUM(K41:K45)</f>
        <v>77812800</v>
      </c>
      <c r="L46" s="670" t="n">
        <f aca="false">SUM(L41:L45)</f>
        <v>522243600</v>
      </c>
      <c r="M46" s="669"/>
      <c r="N46" s="669"/>
      <c r="O46" s="672" t="n">
        <f aca="false">+IFERROR(P46/$I46,"-")</f>
        <v>0.129675810473815</v>
      </c>
      <c r="P46" s="670" t="n">
        <f aca="false">SUM(P41:P45)</f>
        <v>77812800</v>
      </c>
      <c r="Q46" s="670" t="n">
        <f aca="false">SUM(Q41:Q45)</f>
        <v>77812800</v>
      </c>
      <c r="R46" s="673" t="n">
        <f aca="false">+P46-Q46</f>
        <v>0</v>
      </c>
      <c r="S46" s="669"/>
      <c r="T46" s="671"/>
      <c r="U46" s="669"/>
      <c r="V46" s="672" t="n">
        <f aca="false">+IFERROR(W46/$I46,"-")</f>
        <v>0.0648379052369077</v>
      </c>
      <c r="W46" s="670" t="n">
        <f aca="false">SUM(W41:W45)</f>
        <v>38906400</v>
      </c>
      <c r="X46" s="670" t="n">
        <f aca="false">SUM(X41:X45)</f>
        <v>0</v>
      </c>
      <c r="Y46" s="673" t="n">
        <f aca="false">+W46-X46</f>
        <v>38906400</v>
      </c>
      <c r="Z46" s="669"/>
      <c r="AA46" s="671"/>
      <c r="AB46" s="669"/>
      <c r="AC46" s="672" t="n">
        <f aca="false">+IFERROR(AD46/$I46,"-")</f>
        <v>0.270074812967581</v>
      </c>
      <c r="AD46" s="670" t="n">
        <f aca="false">SUM(AD41:AD45)</f>
        <v>162060120</v>
      </c>
      <c r="AE46" s="670" t="n">
        <f aca="false">SUM(AE41:AE45)</f>
        <v>0</v>
      </c>
      <c r="AF46" s="673" t="n">
        <f aca="false">+AD46-AE46</f>
        <v>162060120</v>
      </c>
      <c r="AG46" s="669"/>
      <c r="AH46" s="671"/>
      <c r="AI46" s="669"/>
      <c r="AJ46" s="672" t="n">
        <f aca="false">+IFERROR(AK46/$I46,"-")</f>
        <v>0.230423940149626</v>
      </c>
      <c r="AK46" s="670" t="n">
        <f aca="false">SUM(AK41:AK45)</f>
        <v>138267360</v>
      </c>
      <c r="AL46" s="670" t="n">
        <f aca="false">SUM(AL41:AL45)</f>
        <v>0</v>
      </c>
      <c r="AM46" s="673" t="n">
        <f aca="false">+AK46-AL46</f>
        <v>138267360</v>
      </c>
      <c r="AN46" s="669"/>
      <c r="AO46" s="671"/>
      <c r="AP46" s="669"/>
      <c r="AQ46" s="672" t="n">
        <f aca="false">+IFERROR(AR46/$I46,"-")</f>
        <v>0</v>
      </c>
      <c r="AR46" s="670" t="n">
        <f aca="false">SUM(AR41:AR45)</f>
        <v>0</v>
      </c>
      <c r="AS46" s="670" t="n">
        <f aca="false">SUM(AS41:AS45)</f>
        <v>0</v>
      </c>
      <c r="AT46" s="673" t="n">
        <f aca="false">+AR46-AS46</f>
        <v>0</v>
      </c>
      <c r="AU46" s="669"/>
      <c r="AV46" s="671"/>
      <c r="AW46" s="669"/>
      <c r="AX46" s="672" t="n">
        <f aca="false">+IFERROR(AY46/$I46,"-")</f>
        <v>0</v>
      </c>
      <c r="AY46" s="670" t="n">
        <f aca="false">SUM(AY41:AY45)</f>
        <v>0</v>
      </c>
      <c r="AZ46" s="670" t="n">
        <f aca="false">SUM(AZ41:AZ45)</f>
        <v>0</v>
      </c>
      <c r="BA46" s="673" t="n">
        <f aca="false">+AY46-AZ46</f>
        <v>0</v>
      </c>
      <c r="BB46" s="669"/>
      <c r="BC46" s="671"/>
      <c r="BD46" s="669"/>
      <c r="BE46" s="672" t="n">
        <f aca="false">+IFERROR(BF46/$I46,"-")</f>
        <v>0</v>
      </c>
      <c r="BF46" s="670" t="n">
        <f aca="false">SUM(BF41:BF45)</f>
        <v>0</v>
      </c>
      <c r="BG46" s="670" t="n">
        <f aca="false">SUM(BG41:BG45)</f>
        <v>0</v>
      </c>
      <c r="BH46" s="673" t="n">
        <f aca="false">+BF46-BG46</f>
        <v>0</v>
      </c>
      <c r="BI46" s="669"/>
      <c r="BJ46" s="669"/>
      <c r="BK46" s="669"/>
      <c r="BL46" s="672" t="n">
        <f aca="false">+IFERROR(BM46/$I46,"-")</f>
        <v>0.30498753117207</v>
      </c>
      <c r="BM46" s="670" t="n">
        <f aca="false">SUM(BM41:BM45)</f>
        <v>183009720</v>
      </c>
      <c r="BN46" s="670" t="n">
        <f aca="false">SUM(BN41:BN45)</f>
        <v>0</v>
      </c>
      <c r="BO46" s="673" t="n">
        <f aca="false">+BM46-BN46</f>
        <v>183009720</v>
      </c>
      <c r="BP46" s="669"/>
      <c r="BQ46" s="666"/>
      <c r="BR46" s="674"/>
      <c r="BS46" s="675"/>
      <c r="BT46" s="675"/>
      <c r="BU46" s="621"/>
      <c r="BV46" s="621"/>
      <c r="BW46" s="621"/>
      <c r="BX46" s="621"/>
      <c r="BY46" s="621"/>
      <c r="BZ46" s="621"/>
      <c r="CA46" s="621"/>
      <c r="CB46" s="621"/>
      <c r="CC46" s="625"/>
      <c r="CD46" s="625"/>
    </row>
    <row r="47" customFormat="false" ht="16.5" hidden="false" customHeight="true" outlineLevel="0" collapsed="false">
      <c r="A47" s="628"/>
      <c r="B47" s="726" t="s">
        <v>109</v>
      </c>
      <c r="C47" s="726"/>
      <c r="D47" s="727" t="n">
        <f aca="false">+SUM(D11:D46)</f>
        <v>2398.92</v>
      </c>
      <c r="E47" s="728"/>
      <c r="F47" s="688" t="s">
        <v>112</v>
      </c>
      <c r="G47" s="689" t="n">
        <f aca="false">+G11+G17+G23+G29+G35+G41</f>
        <v>2518866000</v>
      </c>
      <c r="H47" s="689" t="n">
        <f aca="false">+G47*10%</f>
        <v>251886600</v>
      </c>
      <c r="I47" s="689" t="n">
        <f aca="false">SUM(G47:H47)</f>
        <v>2770752600</v>
      </c>
      <c r="J47" s="688" t="n">
        <f aca="false">+IFERROR(K47/I47,"-")</f>
        <v>0</v>
      </c>
      <c r="K47" s="689" t="n">
        <f aca="false">+K11+K17+K23+K29+K35+K41</f>
        <v>0</v>
      </c>
      <c r="L47" s="689" t="n">
        <f aca="false">+L11+L17+L23+L29+L35+L41</f>
        <v>2770752600</v>
      </c>
      <c r="M47" s="690"/>
      <c r="N47" s="690"/>
      <c r="O47" s="691" t="n">
        <f aca="false">+IFERROR(P47/$I47,"-")</f>
        <v>0</v>
      </c>
      <c r="P47" s="689" t="n">
        <f aca="false">+P11+P17+P23+P29+P35+P41</f>
        <v>0</v>
      </c>
      <c r="Q47" s="689" t="n">
        <f aca="false">+Q11+Q17+Q23+Q29+Q35+Q41</f>
        <v>0</v>
      </c>
      <c r="R47" s="689" t="n">
        <f aca="false">+R11+R17+R23+R29+R35+R41</f>
        <v>0</v>
      </c>
      <c r="S47" s="692"/>
      <c r="T47" s="690"/>
      <c r="U47" s="690"/>
      <c r="V47" s="691" t="n">
        <f aca="false">+IFERROR(W47/$I47,"-")</f>
        <v>0</v>
      </c>
      <c r="W47" s="689" t="n">
        <f aca="false">+W11+W17+W23+W29+W35+W41</f>
        <v>0</v>
      </c>
      <c r="X47" s="689" t="n">
        <f aca="false">+X11+X17+X23+X29+X35+X41</f>
        <v>0</v>
      </c>
      <c r="Y47" s="689" t="n">
        <f aca="false">+Y11+Y17+Y23+Y29+Y35+Y41</f>
        <v>0</v>
      </c>
      <c r="Z47" s="692"/>
      <c r="AA47" s="690"/>
      <c r="AB47" s="690"/>
      <c r="AC47" s="691" t="n">
        <f aca="false">+IFERROR(AD47/$I47,"-")</f>
        <v>0.3</v>
      </c>
      <c r="AD47" s="689" t="n">
        <f aca="false">+AD11+AD17+AD23+AD29+AD35+AD41</f>
        <v>831225780</v>
      </c>
      <c r="AE47" s="689" t="n">
        <f aca="false">+AE11+AE17+AE23+AE29+AE35+AE41</f>
        <v>0</v>
      </c>
      <c r="AF47" s="689" t="n">
        <f aca="false">+AF11+AF17+AF23+AF29+AF35+AF41</f>
        <v>831225780</v>
      </c>
      <c r="AG47" s="692"/>
      <c r="AH47" s="690"/>
      <c r="AI47" s="690"/>
      <c r="AJ47" s="691" t="n">
        <f aca="false">+IFERROR(AK47/$I47,"-")</f>
        <v>0.4</v>
      </c>
      <c r="AK47" s="689" t="n">
        <f aca="false">+AK11+AK17+AK23+AK29+AK35+AK41</f>
        <v>1108301040</v>
      </c>
      <c r="AL47" s="689" t="n">
        <f aca="false">+AL11+AL17+AL23+AL29+AL35+AL41</f>
        <v>0</v>
      </c>
      <c r="AM47" s="689" t="n">
        <f aca="false">+AK47-AL47</f>
        <v>1108301040</v>
      </c>
      <c r="AN47" s="692"/>
      <c r="AO47" s="690"/>
      <c r="AP47" s="690"/>
      <c r="AQ47" s="691" t="n">
        <f aca="false">+IFERROR(AR47/$I47,"-")</f>
        <v>0</v>
      </c>
      <c r="AR47" s="689" t="n">
        <f aca="false">+AR11+AR17+AR23+AR29+AR35+AR41</f>
        <v>0</v>
      </c>
      <c r="AS47" s="689" t="n">
        <f aca="false">+AS11+AS17+AS23+AS29+AS35+AS41</f>
        <v>0</v>
      </c>
      <c r="AT47" s="689" t="n">
        <f aca="false">+AT11+AT17+AT23+AT29+AT35+AT41</f>
        <v>0</v>
      </c>
      <c r="AU47" s="692"/>
      <c r="AV47" s="690"/>
      <c r="AW47" s="690"/>
      <c r="AX47" s="691" t="n">
        <f aca="false">+IFERROR(AY47/$I47,"-")</f>
        <v>0</v>
      </c>
      <c r="AY47" s="689" t="n">
        <f aca="false">+AY11+AY17+AY23+AY29+AY35+AY41</f>
        <v>0</v>
      </c>
      <c r="AZ47" s="689" t="n">
        <f aca="false">+AZ11+AZ17+AZ23+AZ29+AZ35+AZ41</f>
        <v>0</v>
      </c>
      <c r="BA47" s="689" t="n">
        <f aca="false">+BA11+BA17+BA23+BA29+BA35+BA41</f>
        <v>0</v>
      </c>
      <c r="BB47" s="692"/>
      <c r="BC47" s="690"/>
      <c r="BD47" s="690"/>
      <c r="BE47" s="691" t="n">
        <f aca="false">+IFERROR(BF47/$I47,"-")</f>
        <v>0</v>
      </c>
      <c r="BF47" s="689" t="n">
        <f aca="false">+BF11+BF17+BF23+BF29+BF35+BF41</f>
        <v>0</v>
      </c>
      <c r="BG47" s="689" t="n">
        <f aca="false">+BG11+BG17+BG23+BG29+BG35+BG41</f>
        <v>0</v>
      </c>
      <c r="BH47" s="689" t="n">
        <f aca="false">+BH11+BH17+BH23+BH29+BH35+BH41</f>
        <v>0</v>
      </c>
      <c r="BI47" s="692"/>
      <c r="BJ47" s="690"/>
      <c r="BK47" s="690"/>
      <c r="BL47" s="691" t="n">
        <f aca="false">+IFERROR(BM47/$I47,"-")</f>
        <v>0.3</v>
      </c>
      <c r="BM47" s="689" t="n">
        <f aca="false">+BM11+BM17+BM23+BM29+BM35+BM41</f>
        <v>831225780</v>
      </c>
      <c r="BN47" s="689" t="n">
        <f aca="false">+BN11+BN17+BN23+BN29+BN35+BN41</f>
        <v>0</v>
      </c>
      <c r="BO47" s="689" t="n">
        <f aca="false">+BO11+BO17+BO23+BO29+BO35+BO41</f>
        <v>831225780</v>
      </c>
      <c r="BP47" s="692"/>
      <c r="BQ47" s="644"/>
      <c r="BR47" s="693" t="n">
        <f aca="false">+P47+W47+AD47+AK47+AR47+AY47+BF47+BM47=I47</f>
        <v>1</v>
      </c>
      <c r="BS47" s="693" t="n">
        <f aca="false">+Q47+X47+AE47+AS47+AZ47+BG47+BN47=K47</f>
        <v>1</v>
      </c>
      <c r="BT47" s="693"/>
      <c r="BU47" s="621"/>
      <c r="BV47" s="621"/>
      <c r="BW47" s="621"/>
      <c r="BX47" s="621"/>
      <c r="BY47" s="621"/>
      <c r="BZ47" s="621"/>
      <c r="CA47" s="621"/>
      <c r="CB47" s="621"/>
      <c r="CC47" s="625"/>
      <c r="CD47" s="625"/>
    </row>
    <row r="48" customFormat="false" ht="12.75" hidden="false" customHeight="false" outlineLevel="0" collapsed="false">
      <c r="A48" s="628"/>
      <c r="B48" s="726"/>
      <c r="C48" s="726"/>
      <c r="D48" s="727"/>
      <c r="E48" s="728"/>
      <c r="F48" s="695" t="s">
        <v>114</v>
      </c>
      <c r="G48" s="689" t="n">
        <f aca="false">+G12+G18+G24+G30+G36+G42</f>
        <v>839622000</v>
      </c>
      <c r="H48" s="689"/>
      <c r="I48" s="689" t="n">
        <f aca="false">+I12+I18+I24+I30+I36+I42</f>
        <v>839622000</v>
      </c>
      <c r="J48" s="695" t="n">
        <f aca="false">+IFERROR(K48/I48,"-")</f>
        <v>0.47473363013356</v>
      </c>
      <c r="K48" s="689" t="n">
        <f aca="false">+K12+K18+K24+K30+K36+K42</f>
        <v>398596800</v>
      </c>
      <c r="L48" s="689" t="n">
        <f aca="false">+L12+L18+L24+L30+L36+L42</f>
        <v>441025200</v>
      </c>
      <c r="M48" s="697"/>
      <c r="N48" s="697"/>
      <c r="O48" s="698" t="n">
        <f aca="false">+IFERROR(P48/$I48,"-")</f>
        <v>0.4</v>
      </c>
      <c r="P48" s="689" t="n">
        <f aca="false">+P12+P18+P24+P30+P36+P42</f>
        <v>335848800</v>
      </c>
      <c r="Q48" s="689" t="n">
        <f aca="false">+Q12+Q18+Q24+Q30+Q36+Q42</f>
        <v>398596800</v>
      </c>
      <c r="R48" s="689" t="n">
        <f aca="false">+R12+R18+R24+R30+R36+R42</f>
        <v>-62748000</v>
      </c>
      <c r="S48" s="699"/>
      <c r="T48" s="697"/>
      <c r="U48" s="697"/>
      <c r="V48" s="698" t="n">
        <f aca="false">+IFERROR(W48/$I48,"-")</f>
        <v>0.2</v>
      </c>
      <c r="W48" s="689" t="n">
        <f aca="false">+W12+W18+W24+W30+W36+W42</f>
        <v>167924400</v>
      </c>
      <c r="X48" s="689" t="n">
        <f aca="false">+X12+X18+X24+X30+X36+X42</f>
        <v>0</v>
      </c>
      <c r="Y48" s="689" t="n">
        <f aca="false">+Y12+Y18+Y24+Y30+Y36+Y42</f>
        <v>167924400</v>
      </c>
      <c r="Z48" s="699"/>
      <c r="AA48" s="697"/>
      <c r="AB48" s="697"/>
      <c r="AC48" s="698" t="n">
        <f aca="false">+IFERROR(AD48/$I48,"-")</f>
        <v>0.3</v>
      </c>
      <c r="AD48" s="689" t="n">
        <f aca="false">+AD12+AD18+AD24+AD30+AD36+AD42</f>
        <v>251886600</v>
      </c>
      <c r="AE48" s="689" t="n">
        <f aca="false">+AE12+AE18+AE24+AE30+AE36+AE42</f>
        <v>0</v>
      </c>
      <c r="AF48" s="689" t="n">
        <f aca="false">+AF12+AF18+AF24+AF30+AF36+AF42</f>
        <v>251886600</v>
      </c>
      <c r="AG48" s="699"/>
      <c r="AH48" s="697"/>
      <c r="AI48" s="697"/>
      <c r="AJ48" s="698" t="n">
        <f aca="false">+IFERROR(AK48/$I48,"-")</f>
        <v>0</v>
      </c>
      <c r="AK48" s="689" t="n">
        <f aca="false">+AK12+AK18+AK24+AK30+AK36+AK42</f>
        <v>0</v>
      </c>
      <c r="AL48" s="689" t="n">
        <f aca="false">+AL12+AL18+AL24+AL30+AL36+AL42</f>
        <v>0</v>
      </c>
      <c r="AM48" s="696" t="n">
        <f aca="false">+AK48-AL48</f>
        <v>0</v>
      </c>
      <c r="AN48" s="699"/>
      <c r="AO48" s="697"/>
      <c r="AP48" s="697"/>
      <c r="AQ48" s="698" t="n">
        <f aca="false">+IFERROR(AR48/$I48,"-")</f>
        <v>0</v>
      </c>
      <c r="AR48" s="689" t="n">
        <f aca="false">+AR12+AR18+AR24+AR30+AR36+AR42</f>
        <v>0</v>
      </c>
      <c r="AS48" s="689" t="n">
        <f aca="false">+AS12+AS18+AS24+AS30+AS36+AS42</f>
        <v>0</v>
      </c>
      <c r="AT48" s="689" t="n">
        <f aca="false">+AT12+AT18+AT24+AT30+AT36+AT42</f>
        <v>0</v>
      </c>
      <c r="AU48" s="699"/>
      <c r="AV48" s="697"/>
      <c r="AW48" s="697"/>
      <c r="AX48" s="698" t="n">
        <f aca="false">+IFERROR(AY48/$I48,"-")</f>
        <v>0</v>
      </c>
      <c r="AY48" s="689" t="n">
        <f aca="false">+AY12+AY18+AY24+AY30+AY36+AY42</f>
        <v>0</v>
      </c>
      <c r="AZ48" s="689" t="n">
        <f aca="false">+AZ12+AZ18+AZ24+AZ30+AZ36+AZ42</f>
        <v>0</v>
      </c>
      <c r="BA48" s="689" t="n">
        <f aca="false">+BA12+BA18+BA24+BA30+BA36+BA42</f>
        <v>0</v>
      </c>
      <c r="BB48" s="699"/>
      <c r="BC48" s="697"/>
      <c r="BD48" s="697"/>
      <c r="BE48" s="698" t="n">
        <f aca="false">+IFERROR(BF48/$I48,"-")</f>
        <v>0</v>
      </c>
      <c r="BF48" s="689" t="n">
        <f aca="false">+BF12+BF18+BF24+BF30+BF36+BF42</f>
        <v>0</v>
      </c>
      <c r="BG48" s="689" t="n">
        <f aca="false">+BG12+BG18+BG24+BG30+BG36+BG42</f>
        <v>0</v>
      </c>
      <c r="BH48" s="689" t="n">
        <f aca="false">+BH12+BH18+BH24+BH30+BH36+BH42</f>
        <v>0</v>
      </c>
      <c r="BI48" s="699"/>
      <c r="BJ48" s="697"/>
      <c r="BK48" s="697"/>
      <c r="BL48" s="698" t="n">
        <f aca="false">+IFERROR(BM48/$I48,"-")</f>
        <v>0.1</v>
      </c>
      <c r="BM48" s="689" t="n">
        <f aca="false">+BM12+BM18+BM24+BM30+BM36+BM42</f>
        <v>83962200</v>
      </c>
      <c r="BN48" s="689" t="n">
        <f aca="false">+BN12+BN18+BN24+BN30+BN36+BN42</f>
        <v>0</v>
      </c>
      <c r="BO48" s="689" t="n">
        <f aca="false">+BO12+BO18+BO24+BO30+BO36+BO42</f>
        <v>83962200</v>
      </c>
      <c r="BP48" s="699"/>
      <c r="BQ48" s="644"/>
      <c r="BR48" s="693" t="n">
        <f aca="false">+P48+W48+AD48+AR48+AY48+BF48+BM48=I48</f>
        <v>1</v>
      </c>
      <c r="BS48" s="693" t="n">
        <f aca="false">+Q48+X48+AE48+AS48+AZ48+BG48+BN48=K48</f>
        <v>1</v>
      </c>
      <c r="BT48" s="693"/>
      <c r="BU48" s="621"/>
      <c r="BV48" s="621"/>
      <c r="BW48" s="621"/>
      <c r="BX48" s="621"/>
      <c r="BY48" s="621"/>
      <c r="BZ48" s="621"/>
      <c r="CA48" s="621"/>
      <c r="CB48" s="621"/>
      <c r="CC48" s="625"/>
      <c r="CD48" s="625"/>
    </row>
    <row r="49" customFormat="false" ht="12.75" hidden="false" customHeight="false" outlineLevel="0" collapsed="false">
      <c r="A49" s="628"/>
      <c r="B49" s="726"/>
      <c r="C49" s="726"/>
      <c r="D49" s="727"/>
      <c r="E49" s="728"/>
      <c r="F49" s="695" t="s">
        <v>404</v>
      </c>
      <c r="G49" s="689" t="n">
        <f aca="false">+G13+G19+G25+G31+G37+G43</f>
        <v>719676000</v>
      </c>
      <c r="H49" s="689"/>
      <c r="I49" s="689" t="n">
        <f aca="false">+I13+I19+I25+I31+I37+I43</f>
        <v>719676000</v>
      </c>
      <c r="J49" s="695" t="n">
        <f aca="false">+IFERROR(K49/I49,"-")</f>
        <v>0.47473363013356</v>
      </c>
      <c r="K49" s="689" t="n">
        <f aca="false">+K13+K19+K25+K31+K37+K43</f>
        <v>341654400</v>
      </c>
      <c r="L49" s="689" t="n">
        <f aca="false">+L13+L19+L25+L31+L37+L43</f>
        <v>378021600</v>
      </c>
      <c r="M49" s="697"/>
      <c r="N49" s="697"/>
      <c r="O49" s="698" t="n">
        <f aca="false">+IFERROR(P49/$I49,"-")</f>
        <v>0.4</v>
      </c>
      <c r="P49" s="689" t="n">
        <f aca="false">+P13+P19+P25+P31+P37+P43</f>
        <v>287870400</v>
      </c>
      <c r="Q49" s="689" t="n">
        <f aca="false">+Q13+Q19+Q25+Q31+Q37+Q43</f>
        <v>341654400</v>
      </c>
      <c r="R49" s="689" t="n">
        <f aca="false">+R13+R19+R25+R31+R37+R43</f>
        <v>-53784000</v>
      </c>
      <c r="S49" s="699"/>
      <c r="T49" s="697"/>
      <c r="U49" s="697"/>
      <c r="V49" s="698" t="n">
        <f aca="false">+IFERROR(W49/$I49,"-")</f>
        <v>0.2</v>
      </c>
      <c r="W49" s="689" t="n">
        <f aca="false">+W13+W19+W25+W31+W37+W43</f>
        <v>143935200</v>
      </c>
      <c r="X49" s="689" t="n">
        <f aca="false">+X13+X19+X25+X31+X37+X43</f>
        <v>0</v>
      </c>
      <c r="Y49" s="689" t="n">
        <f aca="false">+Y13+Y19+Y25+Y31+Y37+Y43</f>
        <v>143935200</v>
      </c>
      <c r="Z49" s="699"/>
      <c r="AA49" s="697"/>
      <c r="AB49" s="697"/>
      <c r="AC49" s="698" t="n">
        <f aca="false">+IFERROR(AD49/$I49,"-")</f>
        <v>0.3</v>
      </c>
      <c r="AD49" s="689" t="n">
        <f aca="false">+AD13+AD19+AD25+AD31+AD37+AD43</f>
        <v>215902800</v>
      </c>
      <c r="AE49" s="689" t="n">
        <f aca="false">+AE13+AE19+AE25+AE31+AE37+AE43</f>
        <v>0</v>
      </c>
      <c r="AF49" s="689" t="n">
        <f aca="false">+AF13+AF19+AF25+AF31+AF37+AF43</f>
        <v>215902800</v>
      </c>
      <c r="AG49" s="699"/>
      <c r="AH49" s="697"/>
      <c r="AI49" s="697"/>
      <c r="AJ49" s="698" t="n">
        <f aca="false">+IFERROR(AK49/$I49,"-")</f>
        <v>0</v>
      </c>
      <c r="AK49" s="689" t="n">
        <f aca="false">+AK13+AK19+AK25+AK31+AK37+AK43</f>
        <v>0</v>
      </c>
      <c r="AL49" s="689" t="n">
        <f aca="false">+AL13+AL19+AL25+AL31+AL37+AL43</f>
        <v>0</v>
      </c>
      <c r="AM49" s="696" t="n">
        <f aca="false">+AK49-AL49</f>
        <v>0</v>
      </c>
      <c r="AN49" s="699"/>
      <c r="AO49" s="697"/>
      <c r="AP49" s="697"/>
      <c r="AQ49" s="698" t="n">
        <f aca="false">+IFERROR(AR49/$I49,"-")</f>
        <v>0</v>
      </c>
      <c r="AR49" s="689" t="n">
        <f aca="false">+AR13+AR19+AR25+AR31+AR37+AR43</f>
        <v>0</v>
      </c>
      <c r="AS49" s="689" t="n">
        <f aca="false">+AS13+AS19+AS25+AS31+AS37+AS43</f>
        <v>0</v>
      </c>
      <c r="AT49" s="689" t="n">
        <f aca="false">+AT13+AT19+AT25+AT31+AT37+AT43</f>
        <v>0</v>
      </c>
      <c r="AU49" s="699"/>
      <c r="AV49" s="697"/>
      <c r="AW49" s="697"/>
      <c r="AX49" s="698" t="n">
        <f aca="false">+IFERROR(AY49/$I49,"-")</f>
        <v>0</v>
      </c>
      <c r="AY49" s="689" t="n">
        <f aca="false">+AY13+AY19+AY25+AY31+AY37+AY43</f>
        <v>0</v>
      </c>
      <c r="AZ49" s="689" t="n">
        <f aca="false">+AZ13+AZ19+AZ25+AZ31+AZ37+AZ43</f>
        <v>0</v>
      </c>
      <c r="BA49" s="689" t="n">
        <f aca="false">+BA13+BA19+BA25+BA31+BA37+BA43</f>
        <v>0</v>
      </c>
      <c r="BB49" s="699"/>
      <c r="BC49" s="697"/>
      <c r="BD49" s="697"/>
      <c r="BE49" s="698" t="n">
        <f aca="false">+IFERROR(BF49/$I49,"-")</f>
        <v>0</v>
      </c>
      <c r="BF49" s="689" t="n">
        <f aca="false">+BF13+BF19+BF25+BF31+BF37+BF43</f>
        <v>0</v>
      </c>
      <c r="BG49" s="689" t="n">
        <f aca="false">+BG13+BG19+BG25+BG31+BG37+BG43</f>
        <v>0</v>
      </c>
      <c r="BH49" s="689" t="n">
        <f aca="false">+BH13+BH19+BH25+BH31+BH37+BH43</f>
        <v>0</v>
      </c>
      <c r="BI49" s="699"/>
      <c r="BJ49" s="697"/>
      <c r="BK49" s="697"/>
      <c r="BL49" s="698" t="n">
        <f aca="false">+IFERROR(BM49/$I49,"-")</f>
        <v>0.1</v>
      </c>
      <c r="BM49" s="689" t="n">
        <f aca="false">+BM13+BM19+BM25+BM31+BM37+BM43</f>
        <v>71967600</v>
      </c>
      <c r="BN49" s="689" t="n">
        <f aca="false">+BN13+BN19+BN25+BN31+BN37+BN43</f>
        <v>0</v>
      </c>
      <c r="BO49" s="689" t="n">
        <f aca="false">+BO13+BO19+BO25+BO31+BO37+BO43</f>
        <v>71967600</v>
      </c>
      <c r="BP49" s="699"/>
      <c r="BQ49" s="644"/>
      <c r="BR49" s="693" t="n">
        <f aca="false">+P49+W49+AD49+AR49+AY49+BF49+BM49=I49</f>
        <v>1</v>
      </c>
      <c r="BS49" s="693" t="n">
        <f aca="false">+Q49+X49+AE49+AS49+AZ49+BG49+BN49=K49</f>
        <v>1</v>
      </c>
      <c r="BT49" s="693"/>
      <c r="BU49" s="621"/>
      <c r="BV49" s="621"/>
      <c r="BW49" s="621"/>
      <c r="BX49" s="621"/>
      <c r="BY49" s="621"/>
      <c r="BZ49" s="621"/>
      <c r="CA49" s="621"/>
      <c r="CB49" s="621"/>
      <c r="CC49" s="625"/>
      <c r="CD49" s="625"/>
    </row>
    <row r="50" customFormat="false" ht="16.5" hidden="false" customHeight="true" outlineLevel="0" collapsed="false">
      <c r="A50" s="628"/>
      <c r="B50" s="726"/>
      <c r="C50" s="726"/>
      <c r="D50" s="727"/>
      <c r="E50" s="728"/>
      <c r="F50" s="695" t="s">
        <v>507</v>
      </c>
      <c r="G50" s="689" t="n">
        <f aca="false">+G14+G20+G26+G32+G38+G44</f>
        <v>479784000</v>
      </c>
      <c r="H50" s="689"/>
      <c r="I50" s="689" t="n">
        <f aca="false">+I14+I20+I26+I32+I38+I44</f>
        <v>479784000</v>
      </c>
      <c r="J50" s="695" t="n">
        <f aca="false">+IFERROR(K50/I50,"-")</f>
        <v>0</v>
      </c>
      <c r="K50" s="689" t="n">
        <f aca="false">+K14+K20+K26+K32+K38+K44</f>
        <v>0</v>
      </c>
      <c r="L50" s="689" t="n">
        <f aca="false">+L14+L20+L26+L32+L38+L44</f>
        <v>479784000</v>
      </c>
      <c r="M50" s="697"/>
      <c r="N50" s="697"/>
      <c r="O50" s="698" t="n">
        <f aca="false">+IFERROR(P50/$I50,"-")</f>
        <v>0</v>
      </c>
      <c r="P50" s="689" t="n">
        <f aca="false">+P14+P20+P26+P32+P38+P44</f>
        <v>0</v>
      </c>
      <c r="Q50" s="689" t="n">
        <f aca="false">+Q14+Q20+Q26+Q32+Q38+Q44</f>
        <v>0</v>
      </c>
      <c r="R50" s="689" t="n">
        <f aca="false">+R14+R20+R26+R32+R38+R44</f>
        <v>0</v>
      </c>
      <c r="S50" s="699"/>
      <c r="T50" s="697"/>
      <c r="U50" s="697"/>
      <c r="V50" s="698" t="n">
        <f aca="false">+IFERROR(W50/$I50,"-")</f>
        <v>0</v>
      </c>
      <c r="W50" s="689" t="n">
        <f aca="false">+W14+W20+W26+W32+W38+W44</f>
        <v>0</v>
      </c>
      <c r="X50" s="689" t="n">
        <f aca="false">+X14+X20+X26+X32+X38+X44</f>
        <v>0</v>
      </c>
      <c r="Y50" s="689" t="n">
        <f aca="false">+Y14+Y20+Y26+Y32+Y38+Y44</f>
        <v>0</v>
      </c>
      <c r="Z50" s="699"/>
      <c r="AA50" s="697"/>
      <c r="AB50" s="697"/>
      <c r="AC50" s="698" t="n">
        <f aca="false">+IFERROR(AD50/$I50,"-")</f>
        <v>0</v>
      </c>
      <c r="AD50" s="689" t="n">
        <f aca="false">+AD14+AD20+AD26+AD32+AD38+AD44</f>
        <v>0</v>
      </c>
      <c r="AE50" s="689" t="n">
        <f aca="false">+AE14+AE20+AE26+AE32+AE38+AE44</f>
        <v>0</v>
      </c>
      <c r="AF50" s="689" t="n">
        <f aca="false">+AF14+AF20+AF26+AF32+AF38+AF44</f>
        <v>0</v>
      </c>
      <c r="AG50" s="699"/>
      <c r="AH50" s="697"/>
      <c r="AI50" s="697"/>
      <c r="AJ50" s="698" t="n">
        <f aca="false">+IFERROR(AK50/$I50,"-")</f>
        <v>0</v>
      </c>
      <c r="AK50" s="689" t="n">
        <f aca="false">+AK14+AK20+AK26+AK32+AK38+AK44</f>
        <v>0</v>
      </c>
      <c r="AL50" s="689" t="n">
        <f aca="false">+AL14+AL20+AL26+AL32+AL38+AL44</f>
        <v>0</v>
      </c>
      <c r="AM50" s="696" t="n">
        <f aca="false">+AK50-AL50</f>
        <v>0</v>
      </c>
      <c r="AN50" s="699"/>
      <c r="AO50" s="697"/>
      <c r="AP50" s="697"/>
      <c r="AQ50" s="698" t="n">
        <f aca="false">+IFERROR(AR50/$I50,"-")</f>
        <v>0</v>
      </c>
      <c r="AR50" s="689" t="n">
        <f aca="false">+AR14+AR20+AR26+AR32+AR38+AR44</f>
        <v>0</v>
      </c>
      <c r="AS50" s="689" t="n">
        <f aca="false">+AS14+AS20+AS26+AS32+AS38+AS44</f>
        <v>0</v>
      </c>
      <c r="AT50" s="689" t="n">
        <f aca="false">+AT14+AT20+AT26+AT32+AT38+AT44</f>
        <v>0</v>
      </c>
      <c r="AU50" s="699"/>
      <c r="AV50" s="697"/>
      <c r="AW50" s="697"/>
      <c r="AX50" s="698" t="n">
        <f aca="false">+IFERROR(AY50/$I50,"-")</f>
        <v>0</v>
      </c>
      <c r="AY50" s="689" t="n">
        <f aca="false">+AY14+AY20+AY26+AY32+AY38+AY44</f>
        <v>0</v>
      </c>
      <c r="AZ50" s="689" t="n">
        <f aca="false">+AZ14+AZ20+AZ26+AZ32+AZ38+AZ44</f>
        <v>0</v>
      </c>
      <c r="BA50" s="689" t="n">
        <f aca="false">+BA14+BA20+BA26+BA32+BA38+BA44</f>
        <v>0</v>
      </c>
      <c r="BB50" s="699"/>
      <c r="BC50" s="697"/>
      <c r="BD50" s="697"/>
      <c r="BE50" s="698" t="n">
        <f aca="false">+IFERROR(BF50/$I50,"-")</f>
        <v>0</v>
      </c>
      <c r="BF50" s="689" t="n">
        <f aca="false">+BF14+BF20+BF26+BF32+BF38+BF44</f>
        <v>0</v>
      </c>
      <c r="BG50" s="689" t="n">
        <f aca="false">+BG14+BG20+BG26+BG32+BG38+BG44</f>
        <v>0</v>
      </c>
      <c r="BH50" s="689" t="n">
        <f aca="false">+BH14+BH20+BH26+BH32+BH38+BH44</f>
        <v>0</v>
      </c>
      <c r="BI50" s="699"/>
      <c r="BJ50" s="697"/>
      <c r="BK50" s="697"/>
      <c r="BL50" s="698" t="n">
        <f aca="false">+IFERROR(BM50/$I50,"-")</f>
        <v>1</v>
      </c>
      <c r="BM50" s="689" t="n">
        <f aca="false">+BM14+BM20+BM26+BM32+BM38+BM44</f>
        <v>479784000</v>
      </c>
      <c r="BN50" s="689" t="n">
        <f aca="false">+BN14+BN20+BN26+BN32+BN38+BN44</f>
        <v>0</v>
      </c>
      <c r="BO50" s="689" t="n">
        <f aca="false">+BO14+BO20+BO26+BO32+BO38+BO44</f>
        <v>479784000</v>
      </c>
      <c r="BP50" s="699"/>
      <c r="BQ50" s="644"/>
      <c r="BR50" s="693" t="n">
        <f aca="false">+P50+W50+AD50+AR50+AY50+BF50+BM50=I50</f>
        <v>1</v>
      </c>
      <c r="BS50" s="693" t="n">
        <f aca="false">+Q50+X50+AE50+AS50+AZ50+BG50+BN50=K50</f>
        <v>1</v>
      </c>
      <c r="BT50" s="693"/>
      <c r="BU50" s="621"/>
      <c r="BV50" s="621"/>
      <c r="BW50" s="621"/>
      <c r="BX50" s="621"/>
      <c r="BY50" s="621"/>
      <c r="BZ50" s="621"/>
      <c r="CA50" s="621"/>
      <c r="CB50" s="621"/>
      <c r="CC50" s="625"/>
      <c r="CD50" s="625"/>
    </row>
    <row r="51" customFormat="false" ht="16.5" hidden="false" customHeight="true" outlineLevel="0" collapsed="false">
      <c r="A51" s="628"/>
      <c r="B51" s="726"/>
      <c r="C51" s="726"/>
      <c r="D51" s="727"/>
      <c r="E51" s="728"/>
      <c r="F51" s="700" t="s">
        <v>508</v>
      </c>
      <c r="G51" s="689" t="n">
        <f aca="false">+G15+G21+G27+G33+G39+G45</f>
        <v>0</v>
      </c>
      <c r="H51" s="689"/>
      <c r="I51" s="689" t="n">
        <f aca="false">+I15+I21+I27+I33+I39+I45</f>
        <v>0</v>
      </c>
      <c r="J51" s="700" t="str">
        <f aca="false">+IFERROR(K51/I51,"-")</f>
        <v>-</v>
      </c>
      <c r="K51" s="689" t="n">
        <f aca="false">+K15+K21+K27+K33+K39+K45</f>
        <v>0</v>
      </c>
      <c r="L51" s="689" t="n">
        <f aca="false">+L15+L21+L27+L33+L39+L45</f>
        <v>0</v>
      </c>
      <c r="M51" s="700"/>
      <c r="N51" s="700"/>
      <c r="O51" s="702" t="str">
        <f aca="false">+IFERROR(P51/$I51,"-")</f>
        <v>-</v>
      </c>
      <c r="P51" s="689" t="n">
        <f aca="false">+P15+P21+P27+P33+P39+P45</f>
        <v>0</v>
      </c>
      <c r="Q51" s="689" t="n">
        <f aca="false">+Q15+Q21+Q27+Q33+Q39+Q45</f>
        <v>0</v>
      </c>
      <c r="R51" s="689" t="n">
        <f aca="false">+R15+R21+R27+R33+R39+R45</f>
        <v>0</v>
      </c>
      <c r="S51" s="700"/>
      <c r="T51" s="700"/>
      <c r="U51" s="700"/>
      <c r="V51" s="702" t="str">
        <f aca="false">+IFERROR(W51/$I51,"-")</f>
        <v>-</v>
      </c>
      <c r="W51" s="689" t="n">
        <f aca="false">+W15+W21+W27+W33+W39+W45</f>
        <v>0</v>
      </c>
      <c r="X51" s="689" t="n">
        <f aca="false">+X15+X21+X27+X33+X39+X45</f>
        <v>0</v>
      </c>
      <c r="Y51" s="689" t="n">
        <f aca="false">+Y15+Y21+Y27+Y33+Y39+Y45</f>
        <v>0</v>
      </c>
      <c r="Z51" s="700"/>
      <c r="AA51" s="700"/>
      <c r="AB51" s="700"/>
      <c r="AC51" s="702" t="str">
        <f aca="false">+IFERROR(AD51/$I51,"-")</f>
        <v>-</v>
      </c>
      <c r="AD51" s="689" t="n">
        <f aca="false">+AD15+AD21+AD27+AD33+AD39+AD45</f>
        <v>0</v>
      </c>
      <c r="AE51" s="689" t="n">
        <f aca="false">+AE15+AE21+AE27+AE33+AE39+AE45</f>
        <v>0</v>
      </c>
      <c r="AF51" s="689" t="n">
        <f aca="false">+AF15+AF21+AF27+AF33+AF39+AF45</f>
        <v>0</v>
      </c>
      <c r="AG51" s="700"/>
      <c r="AH51" s="700"/>
      <c r="AI51" s="700"/>
      <c r="AJ51" s="702" t="str">
        <f aca="false">+IFERROR(AK51/$I51,"-")</f>
        <v>-</v>
      </c>
      <c r="AK51" s="689" t="n">
        <f aca="false">+AK15+AK21+AK27+AK33+AK39+AK45</f>
        <v>0</v>
      </c>
      <c r="AL51" s="689" t="n">
        <f aca="false">+AL15+AL21+AL27+AL33+AL39+AL45</f>
        <v>0</v>
      </c>
      <c r="AM51" s="701" t="n">
        <f aca="false">+AK51-AL51</f>
        <v>0</v>
      </c>
      <c r="AN51" s="700"/>
      <c r="AO51" s="700"/>
      <c r="AP51" s="700"/>
      <c r="AQ51" s="702" t="str">
        <f aca="false">+IFERROR(AR51/$I51,"-")</f>
        <v>-</v>
      </c>
      <c r="AR51" s="689" t="n">
        <f aca="false">+AR15+AR21+AR27+AR33+AR39+AR45</f>
        <v>0</v>
      </c>
      <c r="AS51" s="689" t="n">
        <f aca="false">+AS15+AS21+AS27+AS33+AS39+AS45</f>
        <v>0</v>
      </c>
      <c r="AT51" s="689" t="n">
        <f aca="false">+AT15+AT21+AT27+AT33+AT39+AT45</f>
        <v>0</v>
      </c>
      <c r="AU51" s="700"/>
      <c r="AV51" s="700"/>
      <c r="AW51" s="700"/>
      <c r="AX51" s="702" t="str">
        <f aca="false">+IFERROR(AY51/$I51,"-")</f>
        <v>-</v>
      </c>
      <c r="AY51" s="689" t="n">
        <f aca="false">+AY15+AY21+AY27+AY33+AY39+AY45</f>
        <v>0</v>
      </c>
      <c r="AZ51" s="689" t="n">
        <f aca="false">+AZ15+AZ21+AZ27+AZ33+AZ39+AZ45</f>
        <v>0</v>
      </c>
      <c r="BA51" s="689" t="n">
        <f aca="false">+BA15+BA21+BA27+BA33+BA39+BA45</f>
        <v>0</v>
      </c>
      <c r="BB51" s="700"/>
      <c r="BC51" s="700"/>
      <c r="BD51" s="700"/>
      <c r="BE51" s="702" t="str">
        <f aca="false">+IFERROR(BF51/$I51,"-")</f>
        <v>-</v>
      </c>
      <c r="BF51" s="689" t="n">
        <f aca="false">+BF15+BF21+BF27+BF33+BF39+BF45</f>
        <v>0</v>
      </c>
      <c r="BG51" s="689" t="n">
        <f aca="false">+BG15+BG21+BG27+BG33+BG39+BG45</f>
        <v>0</v>
      </c>
      <c r="BH51" s="689" t="n">
        <f aca="false">+BH15+BH21+BH27+BH33+BH39+BH45</f>
        <v>0</v>
      </c>
      <c r="BI51" s="700"/>
      <c r="BJ51" s="700"/>
      <c r="BK51" s="700"/>
      <c r="BL51" s="702" t="str">
        <f aca="false">+IFERROR(BM51/$I51,"-")</f>
        <v>-</v>
      </c>
      <c r="BM51" s="689" t="n">
        <f aca="false">+BM15+BM21+BM27+BM33+BM39+BM45</f>
        <v>0</v>
      </c>
      <c r="BN51" s="689" t="n">
        <f aca="false">+BN15+BN21+BN27+BN33+BN39+BN45</f>
        <v>0</v>
      </c>
      <c r="BO51" s="689" t="n">
        <f aca="false">+BO15+BO21+BO27+BO33+BO39+BO45</f>
        <v>0</v>
      </c>
      <c r="BP51" s="700"/>
      <c r="BQ51" s="666"/>
      <c r="BR51" s="703" t="n">
        <f aca="false">+P51+W51+AD51+AR51+AY51+BF51+BM51=I51</f>
        <v>1</v>
      </c>
      <c r="BS51" s="704" t="n">
        <f aca="false">+Q51+X51+AE51+AS51+AZ51+BG51+BN51=K51</f>
        <v>1</v>
      </c>
      <c r="BT51" s="704"/>
      <c r="BU51" s="621"/>
      <c r="BV51" s="621"/>
      <c r="BW51" s="621"/>
      <c r="BX51" s="621"/>
      <c r="BY51" s="621"/>
      <c r="BZ51" s="621"/>
      <c r="CA51" s="621"/>
      <c r="CB51" s="621"/>
      <c r="CC51" s="625"/>
      <c r="CD51" s="625"/>
    </row>
    <row r="52" customFormat="false" ht="12.75" hidden="false" customHeight="false" outlineLevel="0" collapsed="false">
      <c r="A52" s="628"/>
      <c r="B52" s="726"/>
      <c r="C52" s="726"/>
      <c r="D52" s="727"/>
      <c r="E52" s="727"/>
      <c r="F52" s="705" t="s">
        <v>109</v>
      </c>
      <c r="G52" s="706" t="n">
        <f aca="false">SUM(G47:G51)</f>
        <v>4557948000</v>
      </c>
      <c r="H52" s="706" t="n">
        <f aca="false">SUM(H47:H51)</f>
        <v>251886600</v>
      </c>
      <c r="I52" s="706" t="n">
        <f aca="false">SUM(I47:I51)</f>
        <v>4809834600</v>
      </c>
      <c r="J52" s="705" t="n">
        <f aca="false">+IFERROR(K52/I52,"-")</f>
        <v>0.153903670616865</v>
      </c>
      <c r="K52" s="706" t="n">
        <f aca="false">SUM(K47:K51)</f>
        <v>740251200</v>
      </c>
      <c r="L52" s="706" t="n">
        <f aca="false">SUM(L47:L51)</f>
        <v>4069583400</v>
      </c>
      <c r="M52" s="707"/>
      <c r="N52" s="705"/>
      <c r="O52" s="708" t="n">
        <f aca="false">+IFERROR(P52/$I52,"-")</f>
        <v>0.129675810473815</v>
      </c>
      <c r="P52" s="706" t="n">
        <f aca="false">SUM(P47:P51)</f>
        <v>623719200</v>
      </c>
      <c r="Q52" s="706" t="n">
        <f aca="false">SUM(Q47:Q51)</f>
        <v>740251200</v>
      </c>
      <c r="R52" s="709" t="n">
        <f aca="false">+P52-Q52</f>
        <v>-116532000</v>
      </c>
      <c r="S52" s="705"/>
      <c r="T52" s="707"/>
      <c r="U52" s="705"/>
      <c r="V52" s="708" t="n">
        <f aca="false">+IFERROR(W52/$I52,"-")</f>
        <v>0.0648379052369077</v>
      </c>
      <c r="W52" s="706" t="n">
        <f aca="false">SUM(W47:W51)</f>
        <v>311859600</v>
      </c>
      <c r="X52" s="706" t="n">
        <f aca="false">SUM(X47:X51)</f>
        <v>0</v>
      </c>
      <c r="Y52" s="709" t="n">
        <f aca="false">+W52-X52</f>
        <v>311859600</v>
      </c>
      <c r="Z52" s="705"/>
      <c r="AA52" s="707"/>
      <c r="AB52" s="705"/>
      <c r="AC52" s="708" t="n">
        <f aca="false">+IFERROR(AD52/$I52,"-")</f>
        <v>0.270074812967581</v>
      </c>
      <c r="AD52" s="706" t="n">
        <f aca="false">SUM(AD47:AD51)</f>
        <v>1299015180</v>
      </c>
      <c r="AE52" s="706" t="n">
        <f aca="false">SUM(AE47:AE51)</f>
        <v>0</v>
      </c>
      <c r="AF52" s="709" t="n">
        <f aca="false">+AD52-AE52</f>
        <v>1299015180</v>
      </c>
      <c r="AG52" s="705"/>
      <c r="AH52" s="707"/>
      <c r="AI52" s="705"/>
      <c r="AJ52" s="708" t="n">
        <f aca="false">+IFERROR(AK52/$I52,"-")</f>
        <v>0.230423940149626</v>
      </c>
      <c r="AK52" s="706" t="n">
        <f aca="false">SUM(AK47:AK51)</f>
        <v>1108301040</v>
      </c>
      <c r="AL52" s="706" t="n">
        <f aca="false">SUM(AL47:AL51)</f>
        <v>0</v>
      </c>
      <c r="AM52" s="709" t="n">
        <f aca="false">+AK52-AL52</f>
        <v>1108301040</v>
      </c>
      <c r="AN52" s="705"/>
      <c r="AO52" s="707"/>
      <c r="AP52" s="705"/>
      <c r="AQ52" s="708" t="n">
        <f aca="false">+IFERROR(AR52/$I52,"-")</f>
        <v>0</v>
      </c>
      <c r="AR52" s="706" t="n">
        <f aca="false">SUM(AR47:AR51)</f>
        <v>0</v>
      </c>
      <c r="AS52" s="706" t="n">
        <f aca="false">SUM(AS47:AS51)</f>
        <v>0</v>
      </c>
      <c r="AT52" s="709" t="n">
        <f aca="false">+AR52-AS52</f>
        <v>0</v>
      </c>
      <c r="AU52" s="705"/>
      <c r="AV52" s="707"/>
      <c r="AW52" s="705"/>
      <c r="AX52" s="708" t="n">
        <f aca="false">+IFERROR(AY52/$I52,"-")</f>
        <v>0</v>
      </c>
      <c r="AY52" s="706" t="n">
        <f aca="false">SUM(AY47:AY51)</f>
        <v>0</v>
      </c>
      <c r="AZ52" s="706" t="n">
        <f aca="false">SUM(AZ47:AZ51)</f>
        <v>0</v>
      </c>
      <c r="BA52" s="709" t="n">
        <f aca="false">+AY52-AZ52</f>
        <v>0</v>
      </c>
      <c r="BB52" s="705"/>
      <c r="BC52" s="707"/>
      <c r="BD52" s="705"/>
      <c r="BE52" s="708" t="n">
        <f aca="false">+IFERROR(BF52/$I52,"-")</f>
        <v>0</v>
      </c>
      <c r="BF52" s="706" t="n">
        <f aca="false">SUM(BF47:BF51)</f>
        <v>0</v>
      </c>
      <c r="BG52" s="706" t="n">
        <f aca="false">SUM(BG47:BG51)</f>
        <v>0</v>
      </c>
      <c r="BH52" s="709" t="n">
        <f aca="false">+BF52-BG52</f>
        <v>0</v>
      </c>
      <c r="BI52" s="705"/>
      <c r="BJ52" s="707"/>
      <c r="BK52" s="705"/>
      <c r="BL52" s="708" t="n">
        <f aca="false">+IFERROR(BM52/$I52,"-")</f>
        <v>0.30498753117207</v>
      </c>
      <c r="BM52" s="706" t="n">
        <f aca="false">SUM(BM47:BM51)</f>
        <v>1466939580</v>
      </c>
      <c r="BN52" s="706" t="n">
        <f aca="false">SUM(BN47:BN51)</f>
        <v>0</v>
      </c>
      <c r="BO52" s="709" t="n">
        <f aca="false">+BM52-BN52</f>
        <v>1466939580</v>
      </c>
      <c r="BP52" s="705"/>
      <c r="BQ52" s="666"/>
      <c r="BR52" s="710"/>
      <c r="BS52" s="711"/>
      <c r="BT52" s="711"/>
      <c r="BU52" s="621"/>
      <c r="BV52" s="621"/>
      <c r="BW52" s="621"/>
      <c r="BX52" s="621"/>
      <c r="BY52" s="621"/>
      <c r="BZ52" s="621"/>
      <c r="CA52" s="621"/>
      <c r="CB52" s="621"/>
      <c r="CC52" s="625"/>
      <c r="CD52" s="625"/>
    </row>
    <row r="53" customFormat="false" ht="12.75" hidden="false" customHeight="false" outlineLevel="0" collapsed="false">
      <c r="B53" s="729"/>
      <c r="C53" s="729"/>
      <c r="D53" s="729"/>
      <c r="E53" s="729"/>
      <c r="G53" s="712"/>
      <c r="H53" s="712"/>
    </row>
    <row r="54" customFormat="false" ht="12.75" hidden="false" customHeight="false" outlineLevel="0" collapsed="false">
      <c r="G54" s="712"/>
      <c r="H54" s="712"/>
    </row>
    <row r="56" customFormat="false" ht="12.75" hidden="false" customHeight="false" outlineLevel="0" collapsed="false">
      <c r="D56" s="716"/>
    </row>
    <row r="59" customFormat="false" ht="12.75" hidden="false" customHeight="false" outlineLevel="0" collapsed="false">
      <c r="W59" s="716"/>
      <c r="Y59" s="716"/>
      <c r="AA59" s="716"/>
      <c r="AC59" s="716"/>
      <c r="AH59" s="716"/>
      <c r="AJ59" s="716"/>
      <c r="AO59" s="716"/>
      <c r="AQ59" s="716"/>
      <c r="AV59" s="716"/>
      <c r="AX59" s="716"/>
      <c r="BC59" s="716"/>
      <c r="BE59" s="716"/>
      <c r="BJ59" s="716"/>
      <c r="BL59" s="716"/>
      <c r="BR59" s="716"/>
      <c r="BS59" s="716"/>
      <c r="BV59" s="716"/>
    </row>
  </sheetData>
  <mergeCells count="46">
    <mergeCell ref="B8:C8"/>
    <mergeCell ref="B9:B10"/>
    <mergeCell ref="C9:C10"/>
    <mergeCell ref="D9:D10"/>
    <mergeCell ref="E9:E10"/>
    <mergeCell ref="F9:F10"/>
    <mergeCell ref="G9:G10"/>
    <mergeCell ref="H9:H10"/>
    <mergeCell ref="I9:I10"/>
    <mergeCell ref="J9:L9"/>
    <mergeCell ref="M9:S9"/>
    <mergeCell ref="T9:Z9"/>
    <mergeCell ref="AA9:AG9"/>
    <mergeCell ref="AH9:AN9"/>
    <mergeCell ref="AO9:AU9"/>
    <mergeCell ref="AV9:BB9"/>
    <mergeCell ref="BC9:BI9"/>
    <mergeCell ref="BJ9:BP9"/>
    <mergeCell ref="BR9:BT10"/>
    <mergeCell ref="B11:B16"/>
    <mergeCell ref="C11:C16"/>
    <mergeCell ref="D11:D16"/>
    <mergeCell ref="E11:E16"/>
    <mergeCell ref="B17:B22"/>
    <mergeCell ref="C17:C22"/>
    <mergeCell ref="D17:D22"/>
    <mergeCell ref="E17:E22"/>
    <mergeCell ref="B23:B28"/>
    <mergeCell ref="C23:C28"/>
    <mergeCell ref="D23:D28"/>
    <mergeCell ref="E23:E28"/>
    <mergeCell ref="B29:B34"/>
    <mergeCell ref="C29:C34"/>
    <mergeCell ref="D29:D34"/>
    <mergeCell ref="E29:E34"/>
    <mergeCell ref="B35:B40"/>
    <mergeCell ref="C35:C40"/>
    <mergeCell ref="D35:D40"/>
    <mergeCell ref="E35:E40"/>
    <mergeCell ref="B41:B46"/>
    <mergeCell ref="C41:C46"/>
    <mergeCell ref="D41:D46"/>
    <mergeCell ref="E41:E46"/>
    <mergeCell ref="B47:C52"/>
    <mergeCell ref="D47:D52"/>
    <mergeCell ref="E47:E52"/>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CD47"/>
  <sheetViews>
    <sheetView showFormulas="false" showGridLines="false" showRowColHeaders="true" showZeros="true" rightToLeft="false" tabSelected="false" showOutlineSymbols="true" defaultGridColor="true" view="normal" topLeftCell="A1" colorId="64" zoomScale="85" zoomScaleNormal="85" zoomScalePageLayoutView="55" workbookViewId="0">
      <pane xSplit="9" ySplit="10" topLeftCell="J11" activePane="bottomRight" state="frozen"/>
      <selection pane="topLeft" activeCell="A1" activeCellId="0" sqref="A1"/>
      <selection pane="topRight" activeCell="J1" activeCellId="0" sqref="J1"/>
      <selection pane="bottomLeft" activeCell="A11" activeCellId="0" sqref="A11"/>
      <selection pane="bottomRight" activeCell="B4" activeCellId="0" sqref="B4"/>
    </sheetView>
  </sheetViews>
  <sheetFormatPr defaultColWidth="9" defaultRowHeight="12.75" zeroHeight="false" outlineLevelRow="0" outlineLevelCol="1"/>
  <cols>
    <col collapsed="false" customWidth="true" hidden="false" outlineLevel="0" max="1" min="1" style="40" width="1.63"/>
    <col collapsed="false" customWidth="true" hidden="false" outlineLevel="0" max="2" min="2" style="40" width="4.88"/>
    <col collapsed="false" customWidth="true" hidden="false" outlineLevel="0" max="3" min="3" style="40" width="17.63"/>
    <col collapsed="false" customWidth="true" hidden="false" outlineLevel="0" max="4" min="4" style="40" width="12.62"/>
    <col collapsed="false" customWidth="true" hidden="false" outlineLevel="0" max="5" min="5" style="40" width="12.37"/>
    <col collapsed="false" customWidth="true" hidden="false" outlineLevel="0" max="6" min="6" style="40" width="17"/>
    <col collapsed="false" customWidth="true" hidden="false" outlineLevel="0" max="9" min="7" style="40" width="11.62"/>
    <col collapsed="false" customWidth="true" hidden="false" outlineLevel="0" max="10" min="10" style="40" width="6.63"/>
    <col collapsed="false" customWidth="true" hidden="false" outlineLevel="0" max="12" min="11" style="40" width="11.62"/>
    <col collapsed="false" customWidth="true" hidden="false" outlineLevel="0" max="14" min="13" style="40" width="10.12"/>
    <col collapsed="false" customWidth="true" hidden="false" outlineLevel="0" max="15" min="15" style="40" width="6.63"/>
    <col collapsed="false" customWidth="true" hidden="false" outlineLevel="0" max="18" min="16" style="40" width="11.62"/>
    <col collapsed="false" customWidth="true" hidden="false" outlineLevel="0" max="19" min="19" style="40" width="9.75"/>
    <col collapsed="false" customWidth="true" hidden="false" outlineLevel="0" max="21" min="20" style="40" width="10.12"/>
    <col collapsed="false" customWidth="true" hidden="false" outlineLevel="0" max="22" min="22" style="40" width="6.63"/>
    <col collapsed="false" customWidth="true" hidden="false" outlineLevel="0" max="25" min="23" style="40" width="11.62"/>
    <col collapsed="false" customWidth="true" hidden="false" outlineLevel="0" max="26" min="26" style="40" width="12.12"/>
    <col collapsed="false" customWidth="true" hidden="false" outlineLevel="0" max="28" min="27" style="40" width="10.12"/>
    <col collapsed="false" customWidth="true" hidden="false" outlineLevel="0" max="29" min="29" style="40" width="6.63"/>
    <col collapsed="false" customWidth="true" hidden="false" outlineLevel="0" max="32" min="30" style="40" width="11.62"/>
    <col collapsed="false" customWidth="true" hidden="false" outlineLevel="0" max="33" min="33" style="40" width="12.12"/>
    <col collapsed="false" customWidth="true" hidden="false" outlineLevel="1" max="35" min="34" style="40" width="10.12"/>
    <col collapsed="false" customWidth="true" hidden="false" outlineLevel="1" max="36" min="36" style="40" width="6.63"/>
    <col collapsed="false" customWidth="true" hidden="false" outlineLevel="1" max="39" min="37" style="40" width="11.62"/>
    <col collapsed="false" customWidth="true" hidden="false" outlineLevel="1" max="40" min="40" style="40" width="12.12"/>
    <col collapsed="false" customWidth="true" hidden="false" outlineLevel="0" max="42" min="41" style="40" width="10.12"/>
    <col collapsed="false" customWidth="true" hidden="false" outlineLevel="0" max="43" min="43" style="40" width="6.63"/>
    <col collapsed="false" customWidth="true" hidden="false" outlineLevel="0" max="46" min="44" style="40" width="11.62"/>
    <col collapsed="false" customWidth="true" hidden="false" outlineLevel="0" max="47" min="47" style="40" width="12.12"/>
    <col collapsed="false" customWidth="true" hidden="false" outlineLevel="0" max="49" min="48" style="40" width="10.12"/>
    <col collapsed="false" customWidth="true" hidden="false" outlineLevel="0" max="50" min="50" style="40" width="6.63"/>
    <col collapsed="false" customWidth="true" hidden="false" outlineLevel="0" max="53" min="51" style="40" width="11.62"/>
    <col collapsed="false" customWidth="true" hidden="false" outlineLevel="0" max="54" min="54" style="40" width="12.12"/>
    <col collapsed="false" customWidth="true" hidden="false" outlineLevel="0" max="56" min="55" style="40" width="10.12"/>
    <col collapsed="false" customWidth="true" hidden="false" outlineLevel="0" max="57" min="57" style="40" width="6.63"/>
    <col collapsed="false" customWidth="true" hidden="false" outlineLevel="0" max="60" min="58" style="40" width="11.62"/>
    <col collapsed="false" customWidth="true" hidden="false" outlineLevel="0" max="61" min="61" style="40" width="12.12"/>
    <col collapsed="false" customWidth="true" hidden="false" outlineLevel="0" max="63" min="62" style="40" width="10.12"/>
    <col collapsed="false" customWidth="true" hidden="false" outlineLevel="0" max="64" min="64" style="40" width="6.63"/>
    <col collapsed="false" customWidth="true" hidden="false" outlineLevel="0" max="67" min="65" style="40" width="11.62"/>
    <col collapsed="false" customWidth="true" hidden="false" outlineLevel="0" max="68" min="68" style="40" width="12.12"/>
    <col collapsed="false" customWidth="true" hidden="false" outlineLevel="0" max="69" min="69" style="40" width="1.63"/>
    <col collapsed="false" customWidth="true" hidden="false" outlineLevel="0" max="72" min="70" style="40" width="9.62"/>
    <col collapsed="false" customWidth="true" hidden="false" outlineLevel="0" max="73" min="73" style="40" width="12.12"/>
    <col collapsed="false" customWidth="true" hidden="false" outlineLevel="0" max="74" min="74" style="40" width="1.63"/>
    <col collapsed="false" customWidth="true" hidden="false" outlineLevel="0" max="76" min="75" style="40" width="13.63"/>
    <col collapsed="false" customWidth="true" hidden="false" outlineLevel="0" max="77" min="77" style="40" width="12.12"/>
    <col collapsed="false" customWidth="true" hidden="false" outlineLevel="0" max="78" min="78" style="40" width="15"/>
    <col collapsed="false" customWidth="false" hidden="false" outlineLevel="0" max="16384" min="79" style="40" width="9"/>
  </cols>
  <sheetData>
    <row r="1" s="617" customFormat="true" ht="12.75" hidden="false" customHeight="false" outlineLevel="0" collapsed="false">
      <c r="BV1" s="40"/>
      <c r="BY1" s="40"/>
    </row>
    <row r="2" s="617" customFormat="true" ht="12.75" hidden="false" customHeight="false" outlineLevel="0" collapsed="false">
      <c r="B2" s="719" t="s">
        <v>140</v>
      </c>
      <c r="BV2" s="40"/>
      <c r="BY2" s="40"/>
    </row>
    <row r="3" s="617" customFormat="true" ht="14.9" hidden="false" customHeight="false" outlineLevel="0" collapsed="false">
      <c r="B3" s="720" t="s">
        <v>141</v>
      </c>
      <c r="BV3" s="40"/>
      <c r="BY3" s="40"/>
    </row>
    <row r="4" s="617" customFormat="true" ht="14.9" hidden="false" customHeight="false" outlineLevel="0" collapsed="false">
      <c r="B4" s="720" t="s">
        <v>143</v>
      </c>
      <c r="BV4" s="40"/>
      <c r="BY4" s="40"/>
    </row>
    <row r="5" s="617" customFormat="true" ht="12.75" hidden="false" customHeight="false" outlineLevel="0" collapsed="false">
      <c r="B5" s="719" t="s">
        <v>145</v>
      </c>
      <c r="BV5" s="40"/>
      <c r="BY5" s="40"/>
    </row>
    <row r="6" s="617" customFormat="true" ht="14.9" hidden="false" customHeight="false" outlineLevel="0" collapsed="false">
      <c r="B6" s="720" t="s">
        <v>147</v>
      </c>
      <c r="BV6" s="40"/>
      <c r="BY6" s="40"/>
    </row>
    <row r="7" s="617" customFormat="true" ht="28.35" hidden="false" customHeight="false" outlineLevel="0" collapsed="false">
      <c r="B7" s="720" t="s">
        <v>149</v>
      </c>
      <c r="BV7" s="40"/>
      <c r="BY7" s="40"/>
    </row>
    <row r="8" customFormat="false" ht="12.75" hidden="false" customHeight="false" outlineLevel="0" collapsed="false">
      <c r="A8" s="621"/>
      <c r="B8" s="622"/>
      <c r="C8" s="622"/>
      <c r="D8" s="623"/>
      <c r="E8" s="623"/>
      <c r="F8" s="621"/>
      <c r="G8" s="624"/>
      <c r="H8" s="624"/>
      <c r="I8" s="624"/>
      <c r="J8" s="621"/>
      <c r="K8" s="621"/>
      <c r="L8" s="621"/>
      <c r="M8" s="621"/>
      <c r="N8" s="621"/>
      <c r="O8" s="621"/>
      <c r="P8" s="621"/>
      <c r="Q8" s="621"/>
      <c r="R8" s="621"/>
      <c r="S8" s="621"/>
      <c r="T8" s="621"/>
      <c r="U8" s="621"/>
      <c r="V8" s="621"/>
      <c r="W8" s="621"/>
      <c r="X8" s="621"/>
      <c r="Y8" s="621"/>
      <c r="Z8" s="621"/>
      <c r="AA8" s="621"/>
      <c r="AB8" s="621"/>
      <c r="AC8" s="621"/>
      <c r="AD8" s="621"/>
      <c r="AE8" s="621"/>
      <c r="AF8" s="621"/>
      <c r="AG8" s="621"/>
      <c r="AH8" s="621"/>
      <c r="AI8" s="621"/>
      <c r="AJ8" s="621"/>
      <c r="AK8" s="621"/>
      <c r="AL8" s="621"/>
      <c r="AM8" s="621"/>
      <c r="AN8" s="621"/>
      <c r="AO8" s="621"/>
      <c r="AP8" s="621"/>
      <c r="AQ8" s="621"/>
      <c r="AR8" s="621"/>
      <c r="AS8" s="621"/>
      <c r="AT8" s="621"/>
      <c r="AU8" s="621"/>
      <c r="AV8" s="621"/>
      <c r="AW8" s="621"/>
      <c r="AX8" s="621"/>
      <c r="AY8" s="621"/>
      <c r="AZ8" s="621"/>
      <c r="BA8" s="621"/>
      <c r="BB8" s="621"/>
      <c r="BC8" s="621"/>
      <c r="BD8" s="621"/>
      <c r="BE8" s="621"/>
      <c r="BF8" s="621"/>
      <c r="BG8" s="621"/>
      <c r="BH8" s="621"/>
      <c r="BI8" s="621"/>
      <c r="BJ8" s="621"/>
      <c r="BK8" s="621"/>
      <c r="BL8" s="621"/>
      <c r="BM8" s="621"/>
      <c r="BN8" s="621"/>
      <c r="BO8" s="621"/>
      <c r="BP8" s="621"/>
      <c r="BQ8" s="625"/>
      <c r="BR8" s="621"/>
      <c r="BS8" s="621"/>
      <c r="BT8" s="621"/>
      <c r="BU8" s="621"/>
      <c r="BV8" s="621"/>
      <c r="BW8" s="621"/>
      <c r="BX8" s="621"/>
      <c r="BY8" s="621"/>
      <c r="BZ8" s="621"/>
      <c r="CA8" s="621"/>
      <c r="CB8" s="621"/>
      <c r="CC8" s="621"/>
      <c r="CD8" s="621"/>
    </row>
    <row r="9" customFormat="false" ht="27.75" hidden="false" customHeight="true" outlineLevel="0" collapsed="false">
      <c r="A9" s="621"/>
      <c r="B9" s="110" t="s">
        <v>121</v>
      </c>
      <c r="C9" s="110" t="s">
        <v>122</v>
      </c>
      <c r="D9" s="111" t="s">
        <v>123</v>
      </c>
      <c r="E9" s="111" t="s">
        <v>487</v>
      </c>
      <c r="F9" s="111" t="s">
        <v>488</v>
      </c>
      <c r="G9" s="111" t="s">
        <v>489</v>
      </c>
      <c r="H9" s="111" t="s">
        <v>490</v>
      </c>
      <c r="I9" s="111" t="s">
        <v>509</v>
      </c>
      <c r="J9" s="111" t="s">
        <v>492</v>
      </c>
      <c r="K9" s="111"/>
      <c r="L9" s="111"/>
      <c r="M9" s="111" t="s">
        <v>435</v>
      </c>
      <c r="N9" s="111"/>
      <c r="O9" s="111"/>
      <c r="P9" s="111"/>
      <c r="Q9" s="111"/>
      <c r="R9" s="111"/>
      <c r="S9" s="111"/>
      <c r="T9" s="111" t="s">
        <v>436</v>
      </c>
      <c r="U9" s="111"/>
      <c r="V9" s="111"/>
      <c r="W9" s="111"/>
      <c r="X9" s="111"/>
      <c r="Y9" s="111"/>
      <c r="Z9" s="111"/>
      <c r="AA9" s="111" t="s">
        <v>437</v>
      </c>
      <c r="AB9" s="111"/>
      <c r="AC9" s="111"/>
      <c r="AD9" s="111"/>
      <c r="AE9" s="111"/>
      <c r="AF9" s="111"/>
      <c r="AG9" s="111"/>
      <c r="AH9" s="111" t="s">
        <v>438</v>
      </c>
      <c r="AI9" s="111"/>
      <c r="AJ9" s="111"/>
      <c r="AK9" s="111"/>
      <c r="AL9" s="111"/>
      <c r="AM9" s="111"/>
      <c r="AN9" s="111"/>
      <c r="AO9" s="111" t="s">
        <v>493</v>
      </c>
      <c r="AP9" s="111"/>
      <c r="AQ9" s="111"/>
      <c r="AR9" s="111"/>
      <c r="AS9" s="111"/>
      <c r="AT9" s="111"/>
      <c r="AU9" s="111"/>
      <c r="AV9" s="111" t="s">
        <v>494</v>
      </c>
      <c r="AW9" s="111"/>
      <c r="AX9" s="111"/>
      <c r="AY9" s="111"/>
      <c r="AZ9" s="111"/>
      <c r="BA9" s="111"/>
      <c r="BB9" s="111"/>
      <c r="BC9" s="111" t="s">
        <v>495</v>
      </c>
      <c r="BD9" s="111"/>
      <c r="BE9" s="111"/>
      <c r="BF9" s="111"/>
      <c r="BG9" s="111"/>
      <c r="BH9" s="111"/>
      <c r="BI9" s="111"/>
      <c r="BJ9" s="111" t="s">
        <v>496</v>
      </c>
      <c r="BK9" s="111"/>
      <c r="BL9" s="111"/>
      <c r="BM9" s="111"/>
      <c r="BN9" s="111"/>
      <c r="BO9" s="111"/>
      <c r="BP9" s="111"/>
      <c r="BQ9" s="626"/>
      <c r="BR9" s="111" t="s">
        <v>497</v>
      </c>
      <c r="BS9" s="111"/>
      <c r="BT9" s="111"/>
      <c r="BU9" s="621"/>
      <c r="BV9" s="621"/>
      <c r="BW9" s="621"/>
      <c r="BX9" s="621"/>
      <c r="BY9" s="621"/>
      <c r="BZ9" s="621"/>
      <c r="CA9" s="621"/>
      <c r="CB9" s="621"/>
      <c r="CC9" s="625"/>
      <c r="CD9" s="625"/>
    </row>
    <row r="10" customFormat="false" ht="42" hidden="false" customHeight="true" outlineLevel="0" collapsed="false">
      <c r="A10" s="621"/>
      <c r="B10" s="110"/>
      <c r="C10" s="110"/>
      <c r="D10" s="111"/>
      <c r="E10" s="111"/>
      <c r="F10" s="111"/>
      <c r="G10" s="111"/>
      <c r="H10" s="111"/>
      <c r="I10" s="111"/>
      <c r="J10" s="111" t="s">
        <v>339</v>
      </c>
      <c r="K10" s="111" t="s">
        <v>498</v>
      </c>
      <c r="L10" s="111" t="s">
        <v>499</v>
      </c>
      <c r="M10" s="111" t="s">
        <v>510</v>
      </c>
      <c r="N10" s="111" t="s">
        <v>501</v>
      </c>
      <c r="O10" s="111" t="s">
        <v>339</v>
      </c>
      <c r="P10" s="111" t="s">
        <v>502</v>
      </c>
      <c r="Q10" s="111" t="s">
        <v>430</v>
      </c>
      <c r="R10" s="111" t="s">
        <v>503</v>
      </c>
      <c r="S10" s="111" t="s">
        <v>504</v>
      </c>
      <c r="T10" s="111" t="s">
        <v>500</v>
      </c>
      <c r="U10" s="111" t="s">
        <v>501</v>
      </c>
      <c r="V10" s="111" t="s">
        <v>339</v>
      </c>
      <c r="W10" s="111" t="s">
        <v>502</v>
      </c>
      <c r="X10" s="111" t="s">
        <v>430</v>
      </c>
      <c r="Y10" s="111" t="s">
        <v>503</v>
      </c>
      <c r="Z10" s="111" t="s">
        <v>504</v>
      </c>
      <c r="AA10" s="111" t="s">
        <v>500</v>
      </c>
      <c r="AB10" s="111" t="s">
        <v>501</v>
      </c>
      <c r="AC10" s="111" t="s">
        <v>339</v>
      </c>
      <c r="AD10" s="111" t="s">
        <v>502</v>
      </c>
      <c r="AE10" s="111" t="s">
        <v>430</v>
      </c>
      <c r="AF10" s="111" t="s">
        <v>503</v>
      </c>
      <c r="AG10" s="111" t="s">
        <v>504</v>
      </c>
      <c r="AH10" s="111" t="s">
        <v>500</v>
      </c>
      <c r="AI10" s="111" t="s">
        <v>501</v>
      </c>
      <c r="AJ10" s="111" t="s">
        <v>339</v>
      </c>
      <c r="AK10" s="111" t="s">
        <v>502</v>
      </c>
      <c r="AL10" s="111" t="s">
        <v>430</v>
      </c>
      <c r="AM10" s="111" t="s">
        <v>503</v>
      </c>
      <c r="AN10" s="111" t="s">
        <v>504</v>
      </c>
      <c r="AO10" s="111" t="s">
        <v>500</v>
      </c>
      <c r="AP10" s="111" t="s">
        <v>501</v>
      </c>
      <c r="AQ10" s="111" t="s">
        <v>339</v>
      </c>
      <c r="AR10" s="111" t="s">
        <v>502</v>
      </c>
      <c r="AS10" s="111" t="s">
        <v>430</v>
      </c>
      <c r="AT10" s="111" t="s">
        <v>503</v>
      </c>
      <c r="AU10" s="111" t="s">
        <v>504</v>
      </c>
      <c r="AV10" s="111" t="s">
        <v>500</v>
      </c>
      <c r="AW10" s="111" t="s">
        <v>501</v>
      </c>
      <c r="AX10" s="111" t="s">
        <v>339</v>
      </c>
      <c r="AY10" s="111" t="s">
        <v>502</v>
      </c>
      <c r="AZ10" s="111" t="s">
        <v>430</v>
      </c>
      <c r="BA10" s="111" t="s">
        <v>503</v>
      </c>
      <c r="BB10" s="111" t="s">
        <v>504</v>
      </c>
      <c r="BC10" s="111" t="s">
        <v>500</v>
      </c>
      <c r="BD10" s="111" t="s">
        <v>501</v>
      </c>
      <c r="BE10" s="111" t="s">
        <v>339</v>
      </c>
      <c r="BF10" s="111" t="s">
        <v>502</v>
      </c>
      <c r="BG10" s="111" t="s">
        <v>430</v>
      </c>
      <c r="BH10" s="111" t="s">
        <v>503</v>
      </c>
      <c r="BI10" s="111" t="s">
        <v>504</v>
      </c>
      <c r="BJ10" s="111" t="s">
        <v>500</v>
      </c>
      <c r="BK10" s="111" t="s">
        <v>501</v>
      </c>
      <c r="BL10" s="111" t="s">
        <v>339</v>
      </c>
      <c r="BM10" s="111" t="s">
        <v>502</v>
      </c>
      <c r="BN10" s="111" t="s">
        <v>430</v>
      </c>
      <c r="BO10" s="111" t="s">
        <v>503</v>
      </c>
      <c r="BP10" s="111" t="s">
        <v>504</v>
      </c>
      <c r="BQ10" s="627"/>
      <c r="BR10" s="111"/>
      <c r="BS10" s="111"/>
      <c r="BT10" s="111"/>
      <c r="BU10" s="621"/>
      <c r="BV10" s="621"/>
      <c r="BW10" s="621"/>
      <c r="BX10" s="621"/>
      <c r="BY10" s="621"/>
      <c r="BZ10" s="621"/>
      <c r="CA10" s="621"/>
      <c r="CB10" s="621"/>
      <c r="CC10" s="625"/>
      <c r="CD10" s="625"/>
    </row>
    <row r="11" customFormat="false" ht="13.5" hidden="false" customHeight="true" outlineLevel="0" collapsed="false">
      <c r="A11" s="628"/>
      <c r="B11" s="629" t="n">
        <v>1</v>
      </c>
      <c r="C11" s="630" t="s">
        <v>184</v>
      </c>
      <c r="D11" s="631" t="n">
        <v>993.6</v>
      </c>
      <c r="E11" s="631" t="s">
        <v>505</v>
      </c>
      <c r="F11" s="632" t="s">
        <v>112</v>
      </c>
      <c r="G11" s="633" t="n">
        <f aca="false">+'PAYMENT RATIO_RAW'!F$15*'GM Batch2-SPA'!$D$11/1000</f>
        <v>1043280000</v>
      </c>
      <c r="H11" s="633" t="n">
        <f aca="false">+G11*10%</f>
        <v>104328000</v>
      </c>
      <c r="I11" s="633" t="n">
        <f aca="false">SUM(G11:H11)</f>
        <v>1147608000</v>
      </c>
      <c r="J11" s="634" t="n">
        <f aca="false">+IFERROR(K11/I11,"-")</f>
        <v>0</v>
      </c>
      <c r="K11" s="635" t="n">
        <f aca="false">+IFERROR(Q11+X11+AE11+AS11+AZ11+BG11+BN11,"-")</f>
        <v>0</v>
      </c>
      <c r="L11" s="635" t="n">
        <f aca="false">+I11-K11</f>
        <v>1147608000</v>
      </c>
      <c r="M11" s="637"/>
      <c r="N11" s="637"/>
      <c r="O11" s="659" t="n">
        <f aca="false">+IFERROR(P11/$I11,"-")</f>
        <v>0</v>
      </c>
      <c r="P11" s="639" t="n">
        <f aca="false">+$I11*'PAYMENT RATIO_RAW'!G$15</f>
        <v>0</v>
      </c>
      <c r="Q11" s="640"/>
      <c r="R11" s="640" t="n">
        <f aca="false">+P11-Q11</f>
        <v>0</v>
      </c>
      <c r="S11" s="641"/>
      <c r="T11" s="636"/>
      <c r="U11" s="637"/>
      <c r="V11" s="638"/>
      <c r="W11" s="639" t="n">
        <f aca="false">+$I11*'PAYMENT RATIO_RAW'!N$15</f>
        <v>0</v>
      </c>
      <c r="X11" s="640"/>
      <c r="Y11" s="640" t="n">
        <f aca="false">+W11-X11</f>
        <v>0</v>
      </c>
      <c r="Z11" s="641"/>
      <c r="AA11" s="636" t="n">
        <f aca="false">+EDATE(AH11,-1)</f>
        <v>46254</v>
      </c>
      <c r="AB11" s="637"/>
      <c r="AC11" s="638" t="n">
        <f aca="false">+IFERROR(AD11/$I11,"-")</f>
        <v>0.3</v>
      </c>
      <c r="AD11" s="639" t="n">
        <f aca="false">+'PAYMENT RATIO_RAW'!$U$15*I11</f>
        <v>344282400</v>
      </c>
      <c r="AE11" s="640"/>
      <c r="AF11" s="640" t="n">
        <f aca="false">+AD11-AE11</f>
        <v>344282400</v>
      </c>
      <c r="AG11" s="641"/>
      <c r="AH11" s="636" t="n">
        <f aca="false">+EDATE(AO11,-1)</f>
        <v>46285</v>
      </c>
      <c r="AI11" s="642"/>
      <c r="AJ11" s="638" t="n">
        <f aca="false">+IFERROR(AK11/$I11,"-")</f>
        <v>0.4</v>
      </c>
      <c r="AK11" s="639" t="n">
        <f aca="false">+'PAYMENT RATIO_RAW'!$AB$15*I11</f>
        <v>459043200</v>
      </c>
      <c r="AL11" s="640"/>
      <c r="AM11" s="640" t="n">
        <f aca="false">+AK11-AL11</f>
        <v>459043200</v>
      </c>
      <c r="AN11" s="641"/>
      <c r="AO11" s="636" t="n">
        <f aca="false">+EDATE(AV11,-1)</f>
        <v>46315</v>
      </c>
      <c r="AP11" s="637"/>
      <c r="AQ11" s="638" t="n">
        <f aca="false">+IFERROR(AR11/$I11,"-")</f>
        <v>0</v>
      </c>
      <c r="AR11" s="639" t="n">
        <f aca="false">+$I11*'PAYMENT RATIO_RAW'!AI$15</f>
        <v>0</v>
      </c>
      <c r="AS11" s="640"/>
      <c r="AT11" s="640" t="n">
        <f aca="false">+AR11-AS11</f>
        <v>0</v>
      </c>
      <c r="AU11" s="641"/>
      <c r="AV11" s="636" t="n">
        <f aca="false">+EDATE(BC11,-1)</f>
        <v>46346</v>
      </c>
      <c r="AW11" s="637"/>
      <c r="AX11" s="638" t="n">
        <f aca="false">+IFERROR(AY11/$I11,"-")</f>
        <v>0</v>
      </c>
      <c r="AY11" s="639" t="n">
        <f aca="false">+$I11*'PAYMENT RATIO_RAW'!AP$15</f>
        <v>0</v>
      </c>
      <c r="AZ11" s="640"/>
      <c r="BA11" s="640" t="n">
        <f aca="false">+AY11-AZ11</f>
        <v>0</v>
      </c>
      <c r="BB11" s="641"/>
      <c r="BC11" s="636" t="n">
        <f aca="false">+EDATE(BJ11,-1)</f>
        <v>46376</v>
      </c>
      <c r="BD11" s="637"/>
      <c r="BE11" s="638" t="n">
        <f aca="false">+IFERROR(BF11/$I11,"-")</f>
        <v>0</v>
      </c>
      <c r="BF11" s="639" t="n">
        <f aca="false">+$I11*'PAYMENT RATIO_RAW'!AW$15</f>
        <v>0</v>
      </c>
      <c r="BG11" s="640"/>
      <c r="BH11" s="640" t="n">
        <f aca="false">+BF11-BG11</f>
        <v>0</v>
      </c>
      <c r="BI11" s="641"/>
      <c r="BJ11" s="636" t="n">
        <v>46407</v>
      </c>
      <c r="BK11" s="637"/>
      <c r="BL11" s="638" t="n">
        <f aca="false">+IFERROR(BM11/$I11,"-")</f>
        <v>0.3</v>
      </c>
      <c r="BM11" s="639" t="n">
        <f aca="false">+'PAYMENT RATIO_RAW'!$BD$15*I11</f>
        <v>344282400</v>
      </c>
      <c r="BN11" s="640"/>
      <c r="BO11" s="640" t="n">
        <f aca="false">+BM11-BN11</f>
        <v>344282400</v>
      </c>
      <c r="BP11" s="641"/>
      <c r="BQ11" s="644"/>
      <c r="BR11" s="645" t="n">
        <f aca="false">+P11+W11+AD11+AK11+AR11+AY11+BF11+BM11=I11</f>
        <v>1</v>
      </c>
      <c r="BS11" s="645" t="n">
        <f aca="false">+Q11+X11+AE11+AS11+AZ11+BG11+BN11=K11</f>
        <v>1</v>
      </c>
      <c r="BT11" s="645"/>
      <c r="BU11" s="621"/>
      <c r="BV11" s="621"/>
      <c r="BW11" s="621"/>
      <c r="BX11" s="621"/>
      <c r="BY11" s="621"/>
      <c r="BZ11" s="621"/>
      <c r="CA11" s="621"/>
      <c r="CB11" s="621"/>
      <c r="CC11" s="625"/>
      <c r="CD11" s="625"/>
    </row>
    <row r="12" customFormat="false" ht="13.5" hidden="false" customHeight="true" outlineLevel="0" collapsed="false">
      <c r="A12" s="628"/>
      <c r="B12" s="629"/>
      <c r="C12" s="630"/>
      <c r="D12" s="631"/>
      <c r="E12" s="631"/>
      <c r="F12" s="656" t="s">
        <v>114</v>
      </c>
      <c r="G12" s="730" t="n">
        <v>223820970</v>
      </c>
      <c r="H12" s="730"/>
      <c r="I12" s="730" t="n">
        <f aca="false">SUM(G12:H13)</f>
        <v>223820970</v>
      </c>
      <c r="J12" s="731" t="n">
        <f aca="false">+IFERROR(K12/I12,"-")</f>
        <v>1</v>
      </c>
      <c r="K12" s="730" t="n">
        <f aca="false">+IFERROR(Q12+X12+AE12+AS12+AZ12+BG12+BN12,"-")</f>
        <v>223820970</v>
      </c>
      <c r="L12" s="730" t="n">
        <f aca="false">+I12-K12</f>
        <v>0</v>
      </c>
      <c r="M12" s="732" t="n">
        <v>45863</v>
      </c>
      <c r="N12" s="732" t="n">
        <v>45863</v>
      </c>
      <c r="O12" s="733" t="n">
        <f aca="false">+IFERROR(P12/$I12,"-")</f>
        <v>1</v>
      </c>
      <c r="P12" s="730" t="n">
        <f aca="false">+I12</f>
        <v>223820970</v>
      </c>
      <c r="Q12" s="730" t="n">
        <v>223820970</v>
      </c>
      <c r="R12" s="730" t="n">
        <f aca="false">+P12-Q12</f>
        <v>0</v>
      </c>
      <c r="S12" s="730"/>
      <c r="T12" s="732"/>
      <c r="U12" s="732"/>
      <c r="V12" s="733" t="n">
        <f aca="false">+IFERROR(W12/$I12,"-")</f>
        <v>0</v>
      </c>
      <c r="W12" s="730"/>
      <c r="X12" s="730"/>
      <c r="Y12" s="730"/>
      <c r="Z12" s="730"/>
      <c r="AA12" s="732"/>
      <c r="AB12" s="732"/>
      <c r="AC12" s="733" t="n">
        <f aca="false">+IFERROR(AD12/$I12,"-")</f>
        <v>0</v>
      </c>
      <c r="AD12" s="730"/>
      <c r="AE12" s="730"/>
      <c r="AF12" s="730"/>
      <c r="AG12" s="730"/>
      <c r="AH12" s="732"/>
      <c r="AI12" s="732"/>
      <c r="AJ12" s="733" t="n">
        <f aca="false">+IFERROR(AK12/$I12,"-")</f>
        <v>0</v>
      </c>
      <c r="AK12" s="730" t="n">
        <f aca="false">+AD12</f>
        <v>0</v>
      </c>
      <c r="AL12" s="730"/>
      <c r="AM12" s="730"/>
      <c r="AN12" s="730"/>
      <c r="AO12" s="732"/>
      <c r="AP12" s="732"/>
      <c r="AQ12" s="733" t="n">
        <f aca="false">+IFERROR(AR12/$I12,"-")</f>
        <v>0</v>
      </c>
      <c r="AR12" s="730" t="n">
        <f aca="false">+AK12</f>
        <v>0</v>
      </c>
      <c r="AS12" s="730"/>
      <c r="AT12" s="730"/>
      <c r="AU12" s="730"/>
      <c r="AV12" s="732"/>
      <c r="AW12" s="732"/>
      <c r="AX12" s="733" t="n">
        <f aca="false">+IFERROR(AY12/$I12,"-")</f>
        <v>0</v>
      </c>
      <c r="AY12" s="730" t="n">
        <f aca="false">+AR12</f>
        <v>0</v>
      </c>
      <c r="AZ12" s="730"/>
      <c r="BA12" s="730"/>
      <c r="BB12" s="730"/>
      <c r="BC12" s="732"/>
      <c r="BD12" s="732"/>
      <c r="BE12" s="733" t="n">
        <f aca="false">+IFERROR(BF12/$I12,"-")</f>
        <v>0</v>
      </c>
      <c r="BF12" s="730"/>
      <c r="BG12" s="730"/>
      <c r="BH12" s="730"/>
      <c r="BI12" s="730"/>
      <c r="BJ12" s="732"/>
      <c r="BK12" s="732"/>
      <c r="BL12" s="733" t="n">
        <f aca="false">+IFERROR(BM12/$I12,"-")</f>
        <v>0</v>
      </c>
      <c r="BM12" s="730"/>
      <c r="BN12" s="730"/>
      <c r="BO12" s="730"/>
      <c r="BP12" s="730"/>
      <c r="BQ12" s="644"/>
      <c r="BR12" s="645" t="n">
        <f aca="false">+BM12+BF12+AY12+AR12+AD12+W12+P12=I12</f>
        <v>1</v>
      </c>
      <c r="BS12" s="645" t="n">
        <f aca="false">+Q12+X12+AE12+AS12+AZ12+BG12+BN12=K12</f>
        <v>1</v>
      </c>
      <c r="BT12" s="645" t="n">
        <f aca="false">+BF12+BF14+AY12+AY14+AR12+AR14+AD12+AD14+W12+W14+P12+P14+BM12+BM14=('PAYMENT RATIO_RAW'!$F$16+'PAYMENT RATIO_RAW'!$F$18)*D11*1.1/1000</f>
        <v>0</v>
      </c>
      <c r="BU12" s="722"/>
      <c r="BV12" s="621"/>
      <c r="BW12" s="646"/>
      <c r="BX12" s="621"/>
      <c r="BY12" s="621"/>
      <c r="BZ12" s="621"/>
      <c r="CA12" s="621"/>
      <c r="CB12" s="621"/>
      <c r="CC12" s="625"/>
      <c r="CD12" s="625"/>
    </row>
    <row r="13" customFormat="false" ht="13.5" hidden="false" customHeight="true" outlineLevel="0" collapsed="false">
      <c r="A13" s="628"/>
      <c r="B13" s="629"/>
      <c r="C13" s="630"/>
      <c r="D13" s="631"/>
      <c r="E13" s="631"/>
      <c r="F13" s="656" t="s">
        <v>404</v>
      </c>
      <c r="G13" s="730"/>
      <c r="H13" s="730"/>
      <c r="I13" s="730" t="n">
        <f aca="false">SUM(G13:H13)</f>
        <v>0</v>
      </c>
      <c r="J13" s="731"/>
      <c r="K13" s="730"/>
      <c r="L13" s="730"/>
      <c r="M13" s="732"/>
      <c r="N13" s="732"/>
      <c r="O13" s="733"/>
      <c r="P13" s="730"/>
      <c r="Q13" s="730"/>
      <c r="R13" s="730"/>
      <c r="S13" s="730"/>
      <c r="T13" s="732"/>
      <c r="U13" s="732"/>
      <c r="V13" s="733"/>
      <c r="W13" s="730"/>
      <c r="X13" s="730"/>
      <c r="Y13" s="730"/>
      <c r="Z13" s="730"/>
      <c r="AA13" s="732"/>
      <c r="AB13" s="732"/>
      <c r="AC13" s="733"/>
      <c r="AD13" s="730"/>
      <c r="AE13" s="730"/>
      <c r="AF13" s="730"/>
      <c r="AG13" s="730"/>
      <c r="AH13" s="732"/>
      <c r="AI13" s="732"/>
      <c r="AJ13" s="733"/>
      <c r="AK13" s="730"/>
      <c r="AL13" s="730"/>
      <c r="AM13" s="730"/>
      <c r="AN13" s="730"/>
      <c r="AO13" s="732"/>
      <c r="AP13" s="732"/>
      <c r="AQ13" s="733"/>
      <c r="AR13" s="730"/>
      <c r="AS13" s="730"/>
      <c r="AT13" s="730"/>
      <c r="AU13" s="730"/>
      <c r="AV13" s="732"/>
      <c r="AW13" s="732"/>
      <c r="AX13" s="733"/>
      <c r="AY13" s="730"/>
      <c r="AZ13" s="730"/>
      <c r="BA13" s="730"/>
      <c r="BB13" s="730"/>
      <c r="BC13" s="732"/>
      <c r="BD13" s="732"/>
      <c r="BE13" s="733"/>
      <c r="BF13" s="730"/>
      <c r="BG13" s="730"/>
      <c r="BH13" s="730"/>
      <c r="BI13" s="730"/>
      <c r="BJ13" s="732"/>
      <c r="BK13" s="732"/>
      <c r="BL13" s="733"/>
      <c r="BM13" s="730"/>
      <c r="BN13" s="730"/>
      <c r="BO13" s="730"/>
      <c r="BP13" s="730"/>
      <c r="BQ13" s="644"/>
      <c r="BR13" s="645" t="n">
        <f aca="false">+P13+W13+AD13+AR13+AY13+BF13+BM13=I13</f>
        <v>1</v>
      </c>
      <c r="BS13" s="645" t="n">
        <f aca="false">+Q13+X13+AE13+AS13+AZ13+BG13+BN13=K13</f>
        <v>1</v>
      </c>
      <c r="BT13" s="645"/>
      <c r="BU13" s="621"/>
      <c r="BV13" s="621"/>
      <c r="BW13" s="723"/>
      <c r="BX13" s="621"/>
      <c r="BY13" s="621"/>
      <c r="BZ13" s="621"/>
      <c r="CA13" s="621"/>
      <c r="CB13" s="621"/>
      <c r="CC13" s="625"/>
      <c r="CD13" s="625"/>
    </row>
    <row r="14" s="41" customFormat="true" ht="13.5" hidden="false" customHeight="true" outlineLevel="0" collapsed="false">
      <c r="A14" s="734"/>
      <c r="B14" s="629"/>
      <c r="C14" s="630"/>
      <c r="D14" s="631"/>
      <c r="E14" s="631"/>
      <c r="F14" s="656" t="s">
        <v>507</v>
      </c>
      <c r="G14" s="735" t="n">
        <f aca="false">+'PAYMENT RATIO_RAW'!G18*'PAYMENT RATIO_RAW'!F18*D11/1000</f>
        <v>198720000</v>
      </c>
      <c r="H14" s="735"/>
      <c r="I14" s="735" t="n">
        <f aca="false">SUM(G14:H14)</f>
        <v>198720000</v>
      </c>
      <c r="J14" s="731" t="n">
        <f aca="false">+IFERROR(K14/I14,"-")</f>
        <v>0</v>
      </c>
      <c r="K14" s="735" t="n">
        <f aca="false">+IFERROR(Q14+X14+AE14+AS14+AZ14+BG14+BN14,"-")</f>
        <v>0</v>
      </c>
      <c r="L14" s="735" t="n">
        <f aca="false">+I14-K14</f>
        <v>198720000</v>
      </c>
      <c r="M14" s="735"/>
      <c r="N14" s="736"/>
      <c r="O14" s="733" t="n">
        <f aca="false">+IFERROR(P14/$I14,"-")</f>
        <v>1</v>
      </c>
      <c r="P14" s="735" t="n">
        <f aca="false">+'PAYMENT RATIO_RAW'!G18*$I14</f>
        <v>198720000</v>
      </c>
      <c r="Q14" s="735"/>
      <c r="R14" s="640" t="n">
        <f aca="false">+P14-Q14</f>
        <v>198720000</v>
      </c>
      <c r="S14" s="735"/>
      <c r="T14" s="735"/>
      <c r="U14" s="735"/>
      <c r="V14" s="737"/>
      <c r="W14" s="735" t="n">
        <f aca="false">+'PAYMENT RATIO_RAW'!N18*$I14</f>
        <v>0</v>
      </c>
      <c r="X14" s="735"/>
      <c r="Y14" s="735"/>
      <c r="Z14" s="735"/>
      <c r="AA14" s="735"/>
      <c r="AB14" s="735"/>
      <c r="AC14" s="737"/>
      <c r="AD14" s="735"/>
      <c r="AE14" s="735"/>
      <c r="AF14" s="735"/>
      <c r="AG14" s="735"/>
      <c r="AH14" s="735"/>
      <c r="AI14" s="735"/>
      <c r="AJ14" s="737"/>
      <c r="AK14" s="735"/>
      <c r="AL14" s="735"/>
      <c r="AM14" s="735"/>
      <c r="AN14" s="735"/>
      <c r="AO14" s="735"/>
      <c r="AP14" s="735"/>
      <c r="AQ14" s="737"/>
      <c r="AR14" s="735"/>
      <c r="AS14" s="735"/>
      <c r="AT14" s="735"/>
      <c r="AU14" s="735"/>
      <c r="AV14" s="735"/>
      <c r="AW14" s="735"/>
      <c r="AX14" s="737"/>
      <c r="AY14" s="735"/>
      <c r="AZ14" s="735"/>
      <c r="BA14" s="735"/>
      <c r="BB14" s="735"/>
      <c r="BC14" s="735"/>
      <c r="BD14" s="735"/>
      <c r="BE14" s="737"/>
      <c r="BF14" s="735"/>
      <c r="BG14" s="735"/>
      <c r="BH14" s="735"/>
      <c r="BI14" s="735"/>
      <c r="BJ14" s="735"/>
      <c r="BK14" s="735"/>
      <c r="BL14" s="737"/>
      <c r="BM14" s="735"/>
      <c r="BN14" s="735"/>
      <c r="BO14" s="735"/>
      <c r="BP14" s="735"/>
      <c r="BQ14" s="644"/>
      <c r="BR14" s="645" t="n">
        <f aca="false">+P14+W14+AD14+AR14+AY14+BF14+BM14=I14</f>
        <v>1</v>
      </c>
      <c r="BS14" s="645" t="n">
        <f aca="false">+Q14+X14+AE14+AS14+AZ14+BG14+BN14=K14</f>
        <v>1</v>
      </c>
      <c r="BT14" s="645"/>
      <c r="BU14" s="623"/>
      <c r="BV14" s="623"/>
      <c r="BW14" s="623"/>
      <c r="BX14" s="623"/>
      <c r="BY14" s="623"/>
      <c r="BZ14" s="623"/>
      <c r="CA14" s="623"/>
      <c r="CB14" s="623"/>
      <c r="CC14" s="738"/>
      <c r="CD14" s="738"/>
    </row>
    <row r="15" s="41" customFormat="true" ht="13.5" hidden="false" customHeight="true" outlineLevel="0" collapsed="false">
      <c r="A15" s="734"/>
      <c r="B15" s="629"/>
      <c r="C15" s="630"/>
      <c r="D15" s="631"/>
      <c r="E15" s="631"/>
      <c r="F15" s="662" t="s">
        <v>508</v>
      </c>
      <c r="G15" s="739"/>
      <c r="H15" s="739"/>
      <c r="J15" s="731" t="str">
        <f aca="false">+IFERROR(K15/H15,"-")</f>
        <v>-</v>
      </c>
      <c r="K15" s="739" t="n">
        <f aca="false">+IFERROR(Q15+X15+AE15+AS15+AZ15+BG15+BN15,"-")</f>
        <v>0</v>
      </c>
      <c r="L15" s="739"/>
      <c r="M15" s="739"/>
      <c r="N15" s="740"/>
      <c r="O15" s="737" t="str">
        <f aca="false">+IFERROR(P15/$H15,"-")</f>
        <v>-</v>
      </c>
      <c r="P15" s="739"/>
      <c r="Q15" s="739"/>
      <c r="R15" s="640" t="n">
        <f aca="false">+P15-Q15</f>
        <v>0</v>
      </c>
      <c r="S15" s="739"/>
      <c r="T15" s="739"/>
      <c r="U15" s="739"/>
      <c r="V15" s="741"/>
      <c r="W15" s="739"/>
      <c r="X15" s="739"/>
      <c r="Y15" s="739"/>
      <c r="Z15" s="739"/>
      <c r="AA15" s="739"/>
      <c r="AB15" s="739"/>
      <c r="AC15" s="741"/>
      <c r="AD15" s="739"/>
      <c r="AE15" s="739"/>
      <c r="AF15" s="739"/>
      <c r="AG15" s="739"/>
      <c r="AH15" s="739"/>
      <c r="AI15" s="739"/>
      <c r="AJ15" s="741"/>
      <c r="AK15" s="739"/>
      <c r="AL15" s="739"/>
      <c r="AM15" s="739"/>
      <c r="AN15" s="739"/>
      <c r="AO15" s="739"/>
      <c r="AP15" s="739"/>
      <c r="AQ15" s="741"/>
      <c r="AR15" s="739"/>
      <c r="AS15" s="739"/>
      <c r="AT15" s="739"/>
      <c r="AU15" s="739"/>
      <c r="AV15" s="739"/>
      <c r="AW15" s="739"/>
      <c r="AX15" s="741"/>
      <c r="AY15" s="739"/>
      <c r="AZ15" s="739"/>
      <c r="BA15" s="739"/>
      <c r="BB15" s="739"/>
      <c r="BC15" s="739"/>
      <c r="BD15" s="739"/>
      <c r="BE15" s="741"/>
      <c r="BF15" s="739"/>
      <c r="BG15" s="739"/>
      <c r="BH15" s="739"/>
      <c r="BI15" s="739"/>
      <c r="BJ15" s="739"/>
      <c r="BK15" s="739"/>
      <c r="BL15" s="741"/>
      <c r="BM15" s="739"/>
      <c r="BN15" s="739"/>
      <c r="BO15" s="739"/>
      <c r="BP15" s="739"/>
      <c r="BQ15" s="666"/>
      <c r="BR15" s="667" t="n">
        <f aca="false">+P15+W15+AD15+AR15+AY15+BF15+BM15=H15</f>
        <v>1</v>
      </c>
      <c r="BS15" s="668" t="n">
        <f aca="false">+Q15+X15+AE15+AS15+AZ15+BG15+BN15=K15</f>
        <v>1</v>
      </c>
      <c r="BT15" s="668"/>
      <c r="BU15" s="623"/>
      <c r="BV15" s="623"/>
      <c r="BW15" s="623"/>
      <c r="BX15" s="623"/>
      <c r="BY15" s="623"/>
      <c r="BZ15" s="623"/>
      <c r="CA15" s="623"/>
      <c r="CB15" s="623"/>
      <c r="CC15" s="738"/>
      <c r="CD15" s="738"/>
    </row>
    <row r="16" customFormat="false" ht="13.5" hidden="false" customHeight="true" outlineLevel="0" collapsed="false">
      <c r="A16" s="628"/>
      <c r="B16" s="629"/>
      <c r="C16" s="630"/>
      <c r="D16" s="631"/>
      <c r="E16" s="631"/>
      <c r="F16" s="669" t="s">
        <v>109</v>
      </c>
      <c r="G16" s="670" t="n">
        <f aca="false">SUM(G11:G15)</f>
        <v>1465820970</v>
      </c>
      <c r="H16" s="670" t="n">
        <f aca="false">SUM(H11:H15)</f>
        <v>104328000</v>
      </c>
      <c r="I16" s="670" t="n">
        <f aca="false">SUM(I11:I15)</f>
        <v>1570148970</v>
      </c>
      <c r="J16" s="669" t="n">
        <f aca="false">+IFERROR(K16/I16,"-")</f>
        <v>0.14254760170941</v>
      </c>
      <c r="K16" s="670" t="n">
        <f aca="false">SUM(K11:K15)</f>
        <v>223820970</v>
      </c>
      <c r="L16" s="670" t="n">
        <f aca="false">SUM(L11:L15)</f>
        <v>1346328000</v>
      </c>
      <c r="M16" s="669"/>
      <c r="N16" s="669"/>
      <c r="O16" s="672" t="n">
        <f aca="false">+IFERROR(P16/$I16,"-")</f>
        <v>0.269108841309497</v>
      </c>
      <c r="P16" s="670" t="n">
        <f aca="false">SUM(P11:P15)</f>
        <v>422540970</v>
      </c>
      <c r="Q16" s="670" t="n">
        <f aca="false">SUM(Q11:Q15)</f>
        <v>223820970</v>
      </c>
      <c r="R16" s="673" t="n">
        <f aca="false">+P16-Q16</f>
        <v>198720000</v>
      </c>
      <c r="S16" s="669"/>
      <c r="T16" s="671"/>
      <c r="U16" s="669"/>
      <c r="V16" s="672" t="n">
        <f aca="false">+IFERROR(W16/$I16,"-")</f>
        <v>0</v>
      </c>
      <c r="W16" s="670" t="n">
        <f aca="false">SUM(W11:W15)</f>
        <v>0</v>
      </c>
      <c r="X16" s="670" t="n">
        <f aca="false">SUM(X11:X15)</f>
        <v>0</v>
      </c>
      <c r="Y16" s="673" t="n">
        <f aca="false">+W16-X16</f>
        <v>0</v>
      </c>
      <c r="Z16" s="669"/>
      <c r="AA16" s="671"/>
      <c r="AB16" s="669"/>
      <c r="AC16" s="672" t="n">
        <f aca="false">+IFERROR(AD16/$I16,"-")</f>
        <v>0.219267347607151</v>
      </c>
      <c r="AD16" s="670" t="n">
        <f aca="false">SUM(AD11:AD15)</f>
        <v>344282400</v>
      </c>
      <c r="AE16" s="670" t="n">
        <f aca="false">SUM(AE11:AE15)</f>
        <v>0</v>
      </c>
      <c r="AF16" s="673" t="n">
        <f aca="false">+AD16-AE16</f>
        <v>344282400</v>
      </c>
      <c r="AG16" s="669"/>
      <c r="AH16" s="671"/>
      <c r="AI16" s="669"/>
      <c r="AJ16" s="672" t="n">
        <f aca="false">+IFERROR(AK16/$I16,"-")</f>
        <v>0.292356463476201</v>
      </c>
      <c r="AK16" s="670" t="n">
        <f aca="false">SUM(AK11:AK15)</f>
        <v>459043200</v>
      </c>
      <c r="AL16" s="670" t="n">
        <f aca="false">SUM(AL11:AL15)</f>
        <v>0</v>
      </c>
      <c r="AM16" s="673" t="n">
        <f aca="false">+AK16-AL16</f>
        <v>459043200</v>
      </c>
      <c r="AN16" s="669"/>
      <c r="AO16" s="671"/>
      <c r="AP16" s="669"/>
      <c r="AQ16" s="672" t="n">
        <f aca="false">+IFERROR(AR16/$I16,"-")</f>
        <v>0</v>
      </c>
      <c r="AR16" s="670" t="n">
        <f aca="false">SUM(AR11:AR15)</f>
        <v>0</v>
      </c>
      <c r="AS16" s="670" t="n">
        <f aca="false">SUM(AS11:AS15)</f>
        <v>0</v>
      </c>
      <c r="AT16" s="673" t="n">
        <f aca="false">+AR16-AS16</f>
        <v>0</v>
      </c>
      <c r="AU16" s="669"/>
      <c r="AV16" s="671"/>
      <c r="AW16" s="669"/>
      <c r="AX16" s="672" t="n">
        <f aca="false">+IFERROR(AY16/$I16,"-")</f>
        <v>0</v>
      </c>
      <c r="AY16" s="670" t="n">
        <f aca="false">SUM(AY11:AY15)</f>
        <v>0</v>
      </c>
      <c r="AZ16" s="670" t="n">
        <f aca="false">SUM(AZ11:AZ15)</f>
        <v>0</v>
      </c>
      <c r="BA16" s="673" t="n">
        <f aca="false">+AY16-AZ16</f>
        <v>0</v>
      </c>
      <c r="BB16" s="669"/>
      <c r="BC16" s="671"/>
      <c r="BD16" s="669"/>
      <c r="BE16" s="672" t="n">
        <f aca="false">+IFERROR(BF16/$I16,"-")</f>
        <v>0</v>
      </c>
      <c r="BF16" s="670" t="n">
        <f aca="false">SUM(BF11:BF15)</f>
        <v>0</v>
      </c>
      <c r="BG16" s="670" t="n">
        <f aca="false">SUM(BG11:BG15)</f>
        <v>0</v>
      </c>
      <c r="BH16" s="673" t="n">
        <f aca="false">+BF16-BG16</f>
        <v>0</v>
      </c>
      <c r="BI16" s="669"/>
      <c r="BJ16" s="671"/>
      <c r="BK16" s="669"/>
      <c r="BL16" s="672" t="n">
        <f aca="false">+IFERROR(BM16/$I16,"-")</f>
        <v>0.219267347607151</v>
      </c>
      <c r="BM16" s="670" t="n">
        <f aca="false">SUM(BM11:BM15)</f>
        <v>344282400</v>
      </c>
      <c r="BN16" s="670" t="n">
        <f aca="false">SUM(BN11:BN15)</f>
        <v>0</v>
      </c>
      <c r="BO16" s="673" t="n">
        <f aca="false">+BM16-BN16</f>
        <v>344282400</v>
      </c>
      <c r="BP16" s="669"/>
      <c r="BQ16" s="666"/>
      <c r="BR16" s="674"/>
      <c r="BS16" s="675"/>
      <c r="BT16" s="675"/>
      <c r="BU16" s="621"/>
      <c r="BV16" s="621"/>
      <c r="BW16" s="621"/>
      <c r="BX16" s="621"/>
      <c r="BY16" s="621"/>
      <c r="BZ16" s="621"/>
      <c r="CA16" s="621"/>
      <c r="CB16" s="621"/>
      <c r="CC16" s="625"/>
      <c r="CD16" s="625"/>
    </row>
    <row r="17" customFormat="false" ht="13.5" hidden="false" customHeight="true" outlineLevel="0" collapsed="false">
      <c r="A17" s="628"/>
      <c r="B17" s="629" t="n">
        <v>2</v>
      </c>
      <c r="C17" s="631" t="s">
        <v>185</v>
      </c>
      <c r="D17" s="631" t="n">
        <v>993.6</v>
      </c>
      <c r="E17" s="631" t="s">
        <v>505</v>
      </c>
      <c r="F17" s="634" t="s">
        <v>112</v>
      </c>
      <c r="G17" s="633" t="n">
        <f aca="false">+'PAYMENT RATIO_RAW'!F$15*'GM Batch2-SPA'!$D$17/1000</f>
        <v>1043280000</v>
      </c>
      <c r="H17" s="633" t="n">
        <f aca="false">+G17*10%</f>
        <v>104328000</v>
      </c>
      <c r="I17" s="633" t="n">
        <f aca="false">SUM(G17:H17)</f>
        <v>1147608000</v>
      </c>
      <c r="J17" s="634" t="n">
        <f aca="false">+IFERROR(K17/I17,"-")</f>
        <v>0</v>
      </c>
      <c r="K17" s="635" t="n">
        <f aca="false">+IFERROR(Q17+X17+AE17+AS17+AZ17+BG17+BN17,"-")</f>
        <v>0</v>
      </c>
      <c r="L17" s="635" t="n">
        <f aca="false">+I17-K17</f>
        <v>1147608000</v>
      </c>
      <c r="M17" s="637"/>
      <c r="N17" s="637"/>
      <c r="O17" s="659" t="n">
        <f aca="false">+IFERROR(P17/$I17,"-")</f>
        <v>0</v>
      </c>
      <c r="P17" s="639" t="n">
        <f aca="false">+$I17*'PAYMENT RATIO_RAW'!G$15</f>
        <v>0</v>
      </c>
      <c r="Q17" s="640"/>
      <c r="R17" s="640" t="n">
        <f aca="false">+P17-Q17</f>
        <v>0</v>
      </c>
      <c r="S17" s="641"/>
      <c r="T17" s="637"/>
      <c r="U17" s="637"/>
      <c r="V17" s="659" t="n">
        <f aca="false">+IFERROR(W17/$I17,"-")</f>
        <v>0</v>
      </c>
      <c r="W17" s="639" t="n">
        <f aca="false">+$I17*'PAYMENT RATIO_RAW'!N$15</f>
        <v>0</v>
      </c>
      <c r="X17" s="640"/>
      <c r="Y17" s="640" t="n">
        <f aca="false">+W17-X17</f>
        <v>0</v>
      </c>
      <c r="Z17" s="641"/>
      <c r="AA17" s="637"/>
      <c r="AB17" s="637"/>
      <c r="AC17" s="659" t="n">
        <f aca="false">+IFERROR(AD17/$I17,"-")</f>
        <v>0.3</v>
      </c>
      <c r="AD17" s="639" t="n">
        <f aca="false">+$I17*'PAYMENT RATIO_RAW'!U$15</f>
        <v>344282400</v>
      </c>
      <c r="AE17" s="640"/>
      <c r="AF17" s="640" t="n">
        <f aca="false">+AD17-AE17</f>
        <v>344282400</v>
      </c>
      <c r="AG17" s="641"/>
      <c r="AH17" s="637"/>
      <c r="AI17" s="637"/>
      <c r="AJ17" s="659" t="n">
        <f aca="false">+IFERROR(AK17/$I17,"-")</f>
        <v>0.4</v>
      </c>
      <c r="AK17" s="639" t="n">
        <f aca="false">+$I17*'PAYMENT RATIO_RAW'!AB$15</f>
        <v>459043200</v>
      </c>
      <c r="AL17" s="640"/>
      <c r="AM17" s="640" t="n">
        <f aca="false">+AK17-AL17</f>
        <v>459043200</v>
      </c>
      <c r="AN17" s="641"/>
      <c r="AO17" s="637"/>
      <c r="AP17" s="637"/>
      <c r="AQ17" s="659" t="n">
        <f aca="false">+IFERROR(AR17/$I17,"-")</f>
        <v>0</v>
      </c>
      <c r="AR17" s="639" t="n">
        <f aca="false">+$I17*'PAYMENT RATIO_RAW'!AI$15</f>
        <v>0</v>
      </c>
      <c r="AS17" s="640"/>
      <c r="AT17" s="640" t="n">
        <f aca="false">+AR17-AS17</f>
        <v>0</v>
      </c>
      <c r="AU17" s="641"/>
      <c r="AV17" s="637"/>
      <c r="AW17" s="637"/>
      <c r="AX17" s="659" t="n">
        <f aca="false">+IFERROR(AY17/$I17,"-")</f>
        <v>0</v>
      </c>
      <c r="AY17" s="639" t="n">
        <f aca="false">+$I17*'PAYMENT RATIO_RAW'!AP$15</f>
        <v>0</v>
      </c>
      <c r="AZ17" s="640"/>
      <c r="BA17" s="640" t="n">
        <f aca="false">+AY17-AZ17</f>
        <v>0</v>
      </c>
      <c r="BB17" s="641"/>
      <c r="BC17" s="637"/>
      <c r="BD17" s="637"/>
      <c r="BE17" s="659" t="n">
        <f aca="false">+IFERROR(BF17/$I17,"-")</f>
        <v>0</v>
      </c>
      <c r="BF17" s="639" t="n">
        <f aca="false">+$I17*'PAYMENT RATIO_RAW'!AW$15</f>
        <v>0</v>
      </c>
      <c r="BG17" s="640"/>
      <c r="BH17" s="640" t="n">
        <f aca="false">+BF17-BG17</f>
        <v>0</v>
      </c>
      <c r="BI17" s="641"/>
      <c r="BJ17" s="637"/>
      <c r="BK17" s="637"/>
      <c r="BL17" s="659" t="n">
        <f aca="false">+IFERROR(BM17/$I17,"-")</f>
        <v>0.3</v>
      </c>
      <c r="BM17" s="639" t="n">
        <f aca="false">+$I17*'PAYMENT RATIO_RAW'!BD$15</f>
        <v>344282400</v>
      </c>
      <c r="BN17" s="640"/>
      <c r="BO17" s="640" t="n">
        <f aca="false">+BM17-BN17</f>
        <v>344282400</v>
      </c>
      <c r="BP17" s="641"/>
      <c r="BQ17" s="644"/>
      <c r="BR17" s="645" t="n">
        <f aca="false">+P17+W17+AD17+AK17+AR17+AY17+BF17+BM17=I17</f>
        <v>1</v>
      </c>
      <c r="BS17" s="645" t="n">
        <f aca="false">+Q17+X17+AE17+AS17+AZ17+BG17+BN17=K17</f>
        <v>1</v>
      </c>
      <c r="BT17" s="645"/>
      <c r="BU17" s="621"/>
      <c r="BV17" s="621"/>
      <c r="BW17" s="621"/>
      <c r="BX17" s="621"/>
      <c r="BY17" s="621"/>
      <c r="BZ17" s="621"/>
      <c r="CA17" s="621"/>
      <c r="CB17" s="621"/>
      <c r="CC17" s="625"/>
      <c r="CD17" s="625"/>
    </row>
    <row r="18" customFormat="false" ht="13.5" hidden="false" customHeight="true" outlineLevel="0" collapsed="false">
      <c r="A18" s="628"/>
      <c r="B18" s="629"/>
      <c r="C18" s="631"/>
      <c r="D18" s="631"/>
      <c r="E18" s="631"/>
      <c r="F18" s="656" t="s">
        <v>114</v>
      </c>
      <c r="G18" s="661" t="n">
        <v>110418040</v>
      </c>
      <c r="H18" s="730"/>
      <c r="I18" s="661" t="n">
        <f aca="false">+G18+H18</f>
        <v>110418040</v>
      </c>
      <c r="J18" s="731" t="n">
        <f aca="false">+IFERROR(K18/I18,"-")</f>
        <v>1</v>
      </c>
      <c r="K18" s="730" t="n">
        <f aca="false">+IFERROR(Q18+X18+AE18+AS18+AZ18+BG18+BN18,"-")</f>
        <v>110418040</v>
      </c>
      <c r="L18" s="730" t="n">
        <f aca="false">+I18-K18</f>
        <v>0</v>
      </c>
      <c r="M18" s="732" t="n">
        <v>45863</v>
      </c>
      <c r="N18" s="732" t="n">
        <v>45863</v>
      </c>
      <c r="O18" s="733" t="n">
        <f aca="false">+IFERROR(P18/$I18,"-")</f>
        <v>1</v>
      </c>
      <c r="P18" s="730" t="n">
        <f aca="false">+I18</f>
        <v>110418040</v>
      </c>
      <c r="Q18" s="730" t="n">
        <v>110418040</v>
      </c>
      <c r="R18" s="730" t="n">
        <f aca="false">+P18-Q18</f>
        <v>0</v>
      </c>
      <c r="S18" s="730"/>
      <c r="T18" s="732"/>
      <c r="U18" s="732"/>
      <c r="V18" s="733" t="n">
        <f aca="false">+IFERROR(W18/$I18,"-")</f>
        <v>0</v>
      </c>
      <c r="W18" s="730"/>
      <c r="X18" s="730"/>
      <c r="Y18" s="730"/>
      <c r="Z18" s="730"/>
      <c r="AA18" s="732"/>
      <c r="AB18" s="732"/>
      <c r="AC18" s="733" t="n">
        <f aca="false">+IFERROR(AD18/$I18,"-")</f>
        <v>0</v>
      </c>
      <c r="AD18" s="730"/>
      <c r="AE18" s="730"/>
      <c r="AF18" s="730"/>
      <c r="AG18" s="730"/>
      <c r="AH18" s="732"/>
      <c r="AI18" s="732"/>
      <c r="AJ18" s="733" t="n">
        <f aca="false">+IFERROR(AK18/$I18,"-")</f>
        <v>0</v>
      </c>
      <c r="AK18" s="730"/>
      <c r="AL18" s="730"/>
      <c r="AM18" s="730"/>
      <c r="AN18" s="730"/>
      <c r="AO18" s="732"/>
      <c r="AP18" s="732"/>
      <c r="AQ18" s="733" t="n">
        <f aca="false">+IFERROR(AR18/$I18,"-")</f>
        <v>0</v>
      </c>
      <c r="AR18" s="730"/>
      <c r="AS18" s="730"/>
      <c r="AT18" s="730"/>
      <c r="AU18" s="730"/>
      <c r="AV18" s="732"/>
      <c r="AW18" s="732"/>
      <c r="AX18" s="733" t="n">
        <f aca="false">+IFERROR(AY18/$I18,"-")</f>
        <v>0</v>
      </c>
      <c r="AY18" s="730"/>
      <c r="AZ18" s="730"/>
      <c r="BA18" s="730"/>
      <c r="BB18" s="730"/>
      <c r="BC18" s="732"/>
      <c r="BD18" s="732"/>
      <c r="BE18" s="733" t="n">
        <f aca="false">+IFERROR(BF18/$I18,"-")</f>
        <v>0</v>
      </c>
      <c r="BF18" s="730"/>
      <c r="BG18" s="730"/>
      <c r="BH18" s="730"/>
      <c r="BI18" s="730"/>
      <c r="BJ18" s="732"/>
      <c r="BK18" s="732"/>
      <c r="BL18" s="733" t="n">
        <f aca="false">+IFERROR(BM18/$I18,"-")</f>
        <v>0</v>
      </c>
      <c r="BM18" s="730"/>
      <c r="BN18" s="730"/>
      <c r="BO18" s="730"/>
      <c r="BP18" s="730"/>
      <c r="BQ18" s="644"/>
      <c r="BR18" s="645" t="n">
        <f aca="false">+BM18+BF18+AY18+AR18+AD18+W18+P18=I18</f>
        <v>1</v>
      </c>
      <c r="BS18" s="645" t="n">
        <f aca="false">+Q18+X18+AE18+AS18+AZ18+BG18+BN18=K18</f>
        <v>1</v>
      </c>
      <c r="BT18" s="645" t="n">
        <f aca="false">+BF18+BF20+AY18+AY20+AR18+AR20+AD18+AD20+W18+W20+P18+P20+BM18+BM20=('PAYMENT RATIO_RAW'!$F$16+'PAYMENT RATIO_RAW'!$F$18)*D17*1.1/1000</f>
        <v>0</v>
      </c>
      <c r="BU18" s="621"/>
      <c r="BV18" s="621"/>
      <c r="BW18" s="621"/>
      <c r="BX18" s="621"/>
      <c r="BY18" s="621"/>
      <c r="BZ18" s="621"/>
      <c r="CA18" s="621"/>
      <c r="CB18" s="621"/>
      <c r="CC18" s="625"/>
      <c r="CD18" s="625"/>
    </row>
    <row r="19" customFormat="false" ht="13.5" hidden="false" customHeight="true" outlineLevel="0" collapsed="false">
      <c r="A19" s="628"/>
      <c r="B19" s="629"/>
      <c r="C19" s="631"/>
      <c r="D19" s="631"/>
      <c r="E19" s="631"/>
      <c r="F19" s="656" t="s">
        <v>404</v>
      </c>
      <c r="G19" s="661"/>
      <c r="H19" s="730"/>
      <c r="I19" s="661"/>
      <c r="J19" s="731"/>
      <c r="K19" s="730"/>
      <c r="L19" s="730"/>
      <c r="M19" s="732"/>
      <c r="N19" s="732"/>
      <c r="O19" s="733"/>
      <c r="P19" s="730"/>
      <c r="Q19" s="730"/>
      <c r="R19" s="730"/>
      <c r="S19" s="730"/>
      <c r="T19" s="732"/>
      <c r="U19" s="732"/>
      <c r="V19" s="733"/>
      <c r="W19" s="730"/>
      <c r="X19" s="730"/>
      <c r="Y19" s="730"/>
      <c r="Z19" s="730"/>
      <c r="AA19" s="732"/>
      <c r="AB19" s="732"/>
      <c r="AC19" s="733"/>
      <c r="AD19" s="730"/>
      <c r="AE19" s="730"/>
      <c r="AF19" s="730"/>
      <c r="AG19" s="730"/>
      <c r="AH19" s="732"/>
      <c r="AI19" s="732"/>
      <c r="AJ19" s="733"/>
      <c r="AK19" s="730"/>
      <c r="AL19" s="730"/>
      <c r="AM19" s="730"/>
      <c r="AN19" s="730"/>
      <c r="AO19" s="732"/>
      <c r="AP19" s="732"/>
      <c r="AQ19" s="733"/>
      <c r="AR19" s="730"/>
      <c r="AS19" s="730"/>
      <c r="AT19" s="730"/>
      <c r="AU19" s="730"/>
      <c r="AV19" s="732"/>
      <c r="AW19" s="732"/>
      <c r="AX19" s="733"/>
      <c r="AY19" s="730"/>
      <c r="AZ19" s="730"/>
      <c r="BA19" s="730"/>
      <c r="BB19" s="730"/>
      <c r="BC19" s="732"/>
      <c r="BD19" s="732"/>
      <c r="BE19" s="733"/>
      <c r="BF19" s="730"/>
      <c r="BG19" s="730"/>
      <c r="BH19" s="730"/>
      <c r="BI19" s="730"/>
      <c r="BJ19" s="732"/>
      <c r="BK19" s="732"/>
      <c r="BL19" s="733"/>
      <c r="BM19" s="730"/>
      <c r="BN19" s="730"/>
      <c r="BO19" s="730"/>
      <c r="BP19" s="730"/>
      <c r="BQ19" s="644"/>
      <c r="BR19" s="645" t="n">
        <f aca="false">+P19+W19+AD19+AR19+AY19+BF19+BM19=I19</f>
        <v>1</v>
      </c>
      <c r="BS19" s="645" t="n">
        <f aca="false">+Q19+X19+AE19+AS19+AZ19+BG19+BN19=K19</f>
        <v>1</v>
      </c>
      <c r="BT19" s="645"/>
      <c r="BU19" s="621"/>
      <c r="BV19" s="621"/>
      <c r="BW19" s="621"/>
      <c r="BX19" s="621"/>
      <c r="BY19" s="621"/>
      <c r="BZ19" s="621"/>
      <c r="CA19" s="621"/>
      <c r="CB19" s="621"/>
      <c r="CC19" s="625"/>
      <c r="CD19" s="625"/>
    </row>
    <row r="20" customFormat="false" ht="13.5" hidden="false" customHeight="true" outlineLevel="0" collapsed="false">
      <c r="A20" s="628"/>
      <c r="B20" s="629"/>
      <c r="C20" s="631"/>
      <c r="D20" s="631"/>
      <c r="E20" s="631"/>
      <c r="F20" s="656" t="s">
        <v>507</v>
      </c>
      <c r="G20" s="735" t="n">
        <f aca="false">+'PAYMENT RATIO_RAW'!G18*'PAYMENT RATIO_RAW'!F18*D17/1000</f>
        <v>198720000</v>
      </c>
      <c r="H20" s="735"/>
      <c r="I20" s="735" t="n">
        <f aca="false">SUM(G20:H20)</f>
        <v>198720000</v>
      </c>
      <c r="J20" s="731" t="n">
        <f aca="false">+IFERROR(K20/I20,"-")</f>
        <v>0</v>
      </c>
      <c r="K20" s="735" t="n">
        <f aca="false">+IFERROR(Q20+X20+AE20+AS20+AZ20+BG20+BN20,"-")</f>
        <v>0</v>
      </c>
      <c r="L20" s="735" t="n">
        <f aca="false">+I20-K20</f>
        <v>198720000</v>
      </c>
      <c r="M20" s="735"/>
      <c r="N20" s="736"/>
      <c r="O20" s="733" t="n">
        <f aca="false">+IFERROR(P20/$I20,"-")</f>
        <v>1</v>
      </c>
      <c r="P20" s="735" t="n">
        <f aca="false">+'PAYMENT RATIO_RAW'!G18*$I20</f>
        <v>198720000</v>
      </c>
      <c r="Q20" s="735"/>
      <c r="R20" s="640" t="n">
        <f aca="false">+P20-Q20</f>
        <v>198720000</v>
      </c>
      <c r="S20" s="735"/>
      <c r="T20" s="735"/>
      <c r="U20" s="736"/>
      <c r="V20" s="733" t="n">
        <f aca="false">+IFERROR(W20/$I20,"-")</f>
        <v>0</v>
      </c>
      <c r="W20" s="735" t="n">
        <f aca="false">+'PAYMENT RATIO_RAW'!N18*$I20</f>
        <v>0</v>
      </c>
      <c r="X20" s="735"/>
      <c r="Y20" s="735"/>
      <c r="Z20" s="735"/>
      <c r="AA20" s="735"/>
      <c r="AB20" s="736"/>
      <c r="AC20" s="733" t="n">
        <f aca="false">+IFERROR(AD20/$I20,"-")</f>
        <v>0</v>
      </c>
      <c r="AD20" s="735" t="n">
        <f aca="false">+'PAYMENT RATIO_RAW'!U18*$I20</f>
        <v>0</v>
      </c>
      <c r="AE20" s="735"/>
      <c r="AF20" s="735"/>
      <c r="AG20" s="735"/>
      <c r="AH20" s="735"/>
      <c r="AI20" s="736"/>
      <c r="AJ20" s="733" t="n">
        <f aca="false">+IFERROR(AK20/$I20,"-")</f>
        <v>0</v>
      </c>
      <c r="AK20" s="735" t="n">
        <f aca="false">+'PAYMENT RATIO_RAW'!AB18*$I20</f>
        <v>0</v>
      </c>
      <c r="AL20" s="735"/>
      <c r="AM20" s="735"/>
      <c r="AN20" s="735"/>
      <c r="AO20" s="735"/>
      <c r="AP20" s="736"/>
      <c r="AQ20" s="733" t="n">
        <f aca="false">+IFERROR(AR20/$I20,"-")</f>
        <v>0</v>
      </c>
      <c r="AR20" s="735" t="n">
        <f aca="false">+'PAYMENT RATIO_RAW'!AI18*$I20</f>
        <v>0</v>
      </c>
      <c r="AS20" s="735"/>
      <c r="AT20" s="735"/>
      <c r="AU20" s="735"/>
      <c r="AV20" s="735"/>
      <c r="AW20" s="736"/>
      <c r="AX20" s="733" t="n">
        <f aca="false">+IFERROR(AY20/$I20,"-")</f>
        <v>0</v>
      </c>
      <c r="AY20" s="735" t="n">
        <f aca="false">+'PAYMENT RATIO_RAW'!AP18*$I20</f>
        <v>0</v>
      </c>
      <c r="AZ20" s="735"/>
      <c r="BA20" s="735"/>
      <c r="BB20" s="735"/>
      <c r="BC20" s="735"/>
      <c r="BD20" s="736"/>
      <c r="BE20" s="733" t="n">
        <f aca="false">+IFERROR(BF20/$I20,"-")</f>
        <v>0</v>
      </c>
      <c r="BF20" s="735" t="n">
        <f aca="false">+'PAYMENT RATIO_RAW'!AW18*$I20</f>
        <v>0</v>
      </c>
      <c r="BG20" s="735"/>
      <c r="BH20" s="735"/>
      <c r="BI20" s="735"/>
      <c r="BJ20" s="735"/>
      <c r="BK20" s="736"/>
      <c r="BL20" s="733" t="n">
        <f aca="false">+IFERROR(BM20/$I20,"-")</f>
        <v>0</v>
      </c>
      <c r="BM20" s="735" t="n">
        <f aca="false">+'PAYMENT RATIO_RAW'!BD18*$I20</f>
        <v>0</v>
      </c>
      <c r="BN20" s="735"/>
      <c r="BO20" s="735"/>
      <c r="BP20" s="735"/>
      <c r="BQ20" s="644"/>
      <c r="BR20" s="645" t="n">
        <f aca="false">+P20+W20+AD20+AR20+AY20+BF20+BM20=I20</f>
        <v>1</v>
      </c>
      <c r="BS20" s="645" t="n">
        <f aca="false">+Q20+X20+AE20+AS20+AZ20+BG20+BN20=K20</f>
        <v>1</v>
      </c>
      <c r="BT20" s="645"/>
      <c r="BU20" s="621"/>
      <c r="BV20" s="621"/>
      <c r="BW20" s="621"/>
      <c r="BX20" s="621"/>
      <c r="BY20" s="621"/>
      <c r="BZ20" s="621"/>
      <c r="CA20" s="621"/>
      <c r="CB20" s="621"/>
      <c r="CC20" s="625"/>
      <c r="CD20" s="625"/>
    </row>
    <row r="21" customFormat="false" ht="13.5" hidden="false" customHeight="true" outlineLevel="0" collapsed="false">
      <c r="A21" s="628"/>
      <c r="B21" s="629"/>
      <c r="C21" s="631"/>
      <c r="D21" s="631"/>
      <c r="E21" s="631"/>
      <c r="F21" s="679" t="s">
        <v>508</v>
      </c>
      <c r="G21" s="742"/>
      <c r="H21" s="739"/>
      <c r="I21" s="739" t="n">
        <f aca="false">SUM(G21:H21)</f>
        <v>0</v>
      </c>
      <c r="J21" s="731" t="str">
        <f aca="false">+IFERROR(K21/I21,"-")</f>
        <v>-</v>
      </c>
      <c r="K21" s="739" t="n">
        <f aca="false">+IFERROR(Q21+X21+AE21+AS21+AZ21+BG21+BN21,"-")</f>
        <v>0</v>
      </c>
      <c r="L21" s="739"/>
      <c r="M21" s="739"/>
      <c r="N21" s="740"/>
      <c r="O21" s="737" t="str">
        <f aca="false">+IFERROR(P21/$I21,"-")</f>
        <v>-</v>
      </c>
      <c r="P21" s="739"/>
      <c r="Q21" s="739"/>
      <c r="R21" s="640" t="n">
        <f aca="false">+P21-Q21</f>
        <v>0</v>
      </c>
      <c r="S21" s="739"/>
      <c r="T21" s="739"/>
      <c r="U21" s="740"/>
      <c r="V21" s="737" t="str">
        <f aca="false">+IFERROR(W21/$I21,"-")</f>
        <v>-</v>
      </c>
      <c r="W21" s="739"/>
      <c r="X21" s="739"/>
      <c r="Y21" s="739"/>
      <c r="Z21" s="739"/>
      <c r="AA21" s="739"/>
      <c r="AB21" s="740"/>
      <c r="AC21" s="737" t="str">
        <f aca="false">+IFERROR(AD21/$I21,"-")</f>
        <v>-</v>
      </c>
      <c r="AD21" s="739"/>
      <c r="AE21" s="739"/>
      <c r="AF21" s="739"/>
      <c r="AG21" s="739"/>
      <c r="AH21" s="739"/>
      <c r="AI21" s="740"/>
      <c r="AJ21" s="737" t="str">
        <f aca="false">+IFERROR(AK21/$I21,"-")</f>
        <v>-</v>
      </c>
      <c r="AK21" s="739"/>
      <c r="AL21" s="739"/>
      <c r="AM21" s="739"/>
      <c r="AN21" s="739"/>
      <c r="AO21" s="739"/>
      <c r="AP21" s="740"/>
      <c r="AQ21" s="737" t="str">
        <f aca="false">+IFERROR(AR21/$I21,"-")</f>
        <v>-</v>
      </c>
      <c r="AR21" s="739"/>
      <c r="AS21" s="739"/>
      <c r="AT21" s="739"/>
      <c r="AU21" s="739"/>
      <c r="AV21" s="739"/>
      <c r="AW21" s="740"/>
      <c r="AX21" s="737" t="str">
        <f aca="false">+IFERROR(AY21/$I21,"-")</f>
        <v>-</v>
      </c>
      <c r="AY21" s="739"/>
      <c r="AZ21" s="739"/>
      <c r="BA21" s="739"/>
      <c r="BB21" s="739"/>
      <c r="BC21" s="739"/>
      <c r="BD21" s="740"/>
      <c r="BE21" s="737" t="str">
        <f aca="false">+IFERROR(BF21/$I21,"-")</f>
        <v>-</v>
      </c>
      <c r="BF21" s="739"/>
      <c r="BG21" s="739"/>
      <c r="BH21" s="739"/>
      <c r="BI21" s="739"/>
      <c r="BJ21" s="739"/>
      <c r="BK21" s="740"/>
      <c r="BL21" s="737" t="str">
        <f aca="false">+IFERROR(BM21/$I21,"-")</f>
        <v>-</v>
      </c>
      <c r="BM21" s="739"/>
      <c r="BN21" s="739"/>
      <c r="BO21" s="739"/>
      <c r="BP21" s="739"/>
      <c r="BQ21" s="666"/>
      <c r="BR21" s="667" t="n">
        <f aca="false">+P21+W21+AD21+AR21+AY21+BF21+BM21=I21</f>
        <v>1</v>
      </c>
      <c r="BS21" s="668" t="n">
        <f aca="false">+Q21+X21+AE21+AS21+AZ21+BG21+BN21=K21</f>
        <v>1</v>
      </c>
      <c r="BT21" s="668"/>
      <c r="BU21" s="621"/>
      <c r="BV21" s="621"/>
      <c r="BW21" s="621"/>
      <c r="BX21" s="621"/>
      <c r="BY21" s="621"/>
      <c r="BZ21" s="621"/>
      <c r="CA21" s="621"/>
      <c r="CB21" s="621"/>
      <c r="CC21" s="625"/>
      <c r="CD21" s="625"/>
    </row>
    <row r="22" customFormat="false" ht="13.5" hidden="false" customHeight="true" outlineLevel="0" collapsed="false">
      <c r="A22" s="628"/>
      <c r="B22" s="629"/>
      <c r="C22" s="631"/>
      <c r="D22" s="631"/>
      <c r="E22" s="631"/>
      <c r="F22" s="669" t="s">
        <v>109</v>
      </c>
      <c r="G22" s="670" t="n">
        <f aca="false">SUM(G17:G21)</f>
        <v>1352418040</v>
      </c>
      <c r="H22" s="670" t="n">
        <f aca="false">SUM(H17:H21)</f>
        <v>104328000</v>
      </c>
      <c r="I22" s="670" t="n">
        <f aca="false">SUM(I17:I21)</f>
        <v>1456746040</v>
      </c>
      <c r="J22" s="669" t="n">
        <f aca="false">+IFERROR(K22/I22,"-")</f>
        <v>0.0757977279279235</v>
      </c>
      <c r="K22" s="670" t="n">
        <f aca="false">SUM(K17:K21)</f>
        <v>110418040</v>
      </c>
      <c r="L22" s="670" t="n">
        <f aca="false">SUM(L17:L21)</f>
        <v>1346328000</v>
      </c>
      <c r="M22" s="669"/>
      <c r="N22" s="669"/>
      <c r="O22" s="672" t="n">
        <f aca="false">+IFERROR(P22/$I22,"-")</f>
        <v>0.212211347421957</v>
      </c>
      <c r="P22" s="670" t="n">
        <f aca="false">SUM(P17:P21)</f>
        <v>309138040</v>
      </c>
      <c r="Q22" s="670" t="n">
        <f aca="false">SUM(Q17:Q21)</f>
        <v>110418040</v>
      </c>
      <c r="R22" s="673" t="n">
        <f aca="false">+P22-Q22</f>
        <v>198720000</v>
      </c>
      <c r="S22" s="669"/>
      <c r="T22" s="669"/>
      <c r="U22" s="669"/>
      <c r="V22" s="672" t="n">
        <f aca="false">+IFERROR(W22/$I22,"-")</f>
        <v>0</v>
      </c>
      <c r="W22" s="670" t="n">
        <f aca="false">SUM(W17:W21)</f>
        <v>0</v>
      </c>
      <c r="X22" s="670" t="n">
        <f aca="false">SUM(X17:X21)</f>
        <v>0</v>
      </c>
      <c r="Y22" s="673" t="n">
        <f aca="false">+W22-X22</f>
        <v>0</v>
      </c>
      <c r="Z22" s="669"/>
      <c r="AA22" s="669"/>
      <c r="AB22" s="669"/>
      <c r="AC22" s="672" t="n">
        <f aca="false">+IFERROR(AD22/$I22,"-")</f>
        <v>0.236336595773413</v>
      </c>
      <c r="AD22" s="670" t="n">
        <f aca="false">SUM(AD17:AD21)</f>
        <v>344282400</v>
      </c>
      <c r="AE22" s="670" t="n">
        <f aca="false">SUM(AE17:AE21)</f>
        <v>0</v>
      </c>
      <c r="AF22" s="673" t="n">
        <f aca="false">+AD22-AE22</f>
        <v>344282400</v>
      </c>
      <c r="AG22" s="669"/>
      <c r="AH22" s="669"/>
      <c r="AI22" s="669"/>
      <c r="AJ22" s="672" t="n">
        <f aca="false">+IFERROR(AK22/$I22,"-")</f>
        <v>0.315115461031217</v>
      </c>
      <c r="AK22" s="670" t="n">
        <f aca="false">SUM(AK17:AK21)</f>
        <v>459043200</v>
      </c>
      <c r="AL22" s="670" t="n">
        <f aca="false">SUM(AL17:AL21)</f>
        <v>0</v>
      </c>
      <c r="AM22" s="673" t="n">
        <f aca="false">+AK22-AL22</f>
        <v>459043200</v>
      </c>
      <c r="AN22" s="669"/>
      <c r="AO22" s="669"/>
      <c r="AP22" s="669"/>
      <c r="AQ22" s="672" t="n">
        <f aca="false">+IFERROR(AR22/$I22,"-")</f>
        <v>0</v>
      </c>
      <c r="AR22" s="670" t="n">
        <f aca="false">SUM(AR17:AR21)</f>
        <v>0</v>
      </c>
      <c r="AS22" s="670" t="n">
        <f aca="false">SUM(AS17:AS21)</f>
        <v>0</v>
      </c>
      <c r="AT22" s="673" t="n">
        <f aca="false">+AR22-AS22</f>
        <v>0</v>
      </c>
      <c r="AU22" s="669"/>
      <c r="AV22" s="669"/>
      <c r="AW22" s="669"/>
      <c r="AX22" s="672" t="n">
        <f aca="false">+IFERROR(AY22/$I22,"-")</f>
        <v>0</v>
      </c>
      <c r="AY22" s="670" t="n">
        <f aca="false">SUM(AY17:AY21)</f>
        <v>0</v>
      </c>
      <c r="AZ22" s="670" t="n">
        <f aca="false">SUM(AZ17:AZ21)</f>
        <v>0</v>
      </c>
      <c r="BA22" s="673" t="n">
        <f aca="false">+AY22-AZ22</f>
        <v>0</v>
      </c>
      <c r="BB22" s="669"/>
      <c r="BC22" s="669"/>
      <c r="BD22" s="669"/>
      <c r="BE22" s="672" t="n">
        <f aca="false">+IFERROR(BF22/$I22,"-")</f>
        <v>0</v>
      </c>
      <c r="BF22" s="670" t="n">
        <f aca="false">SUM(BF17:BF21)</f>
        <v>0</v>
      </c>
      <c r="BG22" s="670" t="n">
        <f aca="false">SUM(BG17:BG21)</f>
        <v>0</v>
      </c>
      <c r="BH22" s="673" t="n">
        <f aca="false">+BF22-BG22</f>
        <v>0</v>
      </c>
      <c r="BI22" s="669"/>
      <c r="BJ22" s="669"/>
      <c r="BK22" s="669"/>
      <c r="BL22" s="672" t="n">
        <f aca="false">+IFERROR(BM22/$I22,"-")</f>
        <v>0.236336595773413</v>
      </c>
      <c r="BM22" s="670" t="n">
        <f aca="false">SUM(BM17:BM21)</f>
        <v>344282400</v>
      </c>
      <c r="BN22" s="670" t="n">
        <f aca="false">SUM(BN17:BN21)</f>
        <v>0</v>
      </c>
      <c r="BO22" s="673" t="n">
        <f aca="false">+BM22-BN22</f>
        <v>344282400</v>
      </c>
      <c r="BP22" s="669"/>
      <c r="BQ22" s="666"/>
      <c r="BR22" s="674"/>
      <c r="BS22" s="675"/>
      <c r="BT22" s="675"/>
      <c r="BU22" s="621"/>
      <c r="BV22" s="621"/>
      <c r="BW22" s="621"/>
      <c r="BX22" s="621"/>
      <c r="BY22" s="621"/>
      <c r="BZ22" s="621"/>
      <c r="CA22" s="621"/>
      <c r="CB22" s="621"/>
      <c r="CC22" s="625"/>
      <c r="CD22" s="625"/>
    </row>
    <row r="23" customFormat="false" ht="13.5" hidden="false" customHeight="true" outlineLevel="0" collapsed="false">
      <c r="A23" s="683"/>
      <c r="B23" s="629" t="n">
        <v>3</v>
      </c>
      <c r="C23" s="631" t="s">
        <v>511</v>
      </c>
      <c r="D23" s="631" t="n">
        <v>993.6</v>
      </c>
      <c r="E23" s="631" t="s">
        <v>505</v>
      </c>
      <c r="F23" s="632" t="s">
        <v>112</v>
      </c>
      <c r="G23" s="633" t="n">
        <f aca="false">+'PAYMENT RATIO_RAW'!F$15*'GM Batch2-SPA'!$D$23/1000</f>
        <v>1043280000</v>
      </c>
      <c r="H23" s="633" t="n">
        <f aca="false">+G23*10%</f>
        <v>104328000</v>
      </c>
      <c r="I23" s="633" t="n">
        <f aca="false">SUM(G23:H23)</f>
        <v>1147608000</v>
      </c>
      <c r="J23" s="634" t="n">
        <f aca="false">+IFERROR(K23/I23,"-")</f>
        <v>0</v>
      </c>
      <c r="K23" s="635" t="n">
        <f aca="false">+IFERROR(Q23+X23+AE23+AS23+AZ23+BG23+BN23,"-")</f>
        <v>0</v>
      </c>
      <c r="L23" s="635" t="n">
        <f aca="false">+I23-K23</f>
        <v>1147608000</v>
      </c>
      <c r="M23" s="637"/>
      <c r="N23" s="637"/>
      <c r="O23" s="659" t="n">
        <f aca="false">+IFERROR(P23/$I23,"-")</f>
        <v>0</v>
      </c>
      <c r="P23" s="639" t="n">
        <f aca="false">+$I23*'PAYMENT RATIO_RAW'!G$15</f>
        <v>0</v>
      </c>
      <c r="Q23" s="640"/>
      <c r="R23" s="640" t="n">
        <f aca="false">+P23-Q23</f>
        <v>0</v>
      </c>
      <c r="S23" s="641"/>
      <c r="T23" s="636"/>
      <c r="U23" s="637"/>
      <c r="V23" s="638"/>
      <c r="W23" s="639" t="n">
        <f aca="false">+$I23*'PAYMENT RATIO_RAW'!N$15</f>
        <v>0</v>
      </c>
      <c r="X23" s="640"/>
      <c r="Y23" s="640" t="n">
        <f aca="false">+W23-X23</f>
        <v>0</v>
      </c>
      <c r="Z23" s="641"/>
      <c r="AA23" s="636" t="n">
        <f aca="false">+EDATE(AH23,-1)</f>
        <v>46254</v>
      </c>
      <c r="AB23" s="637"/>
      <c r="AC23" s="638" t="n">
        <f aca="false">+IFERROR(AD23/$I23,"-")</f>
        <v>0.3</v>
      </c>
      <c r="AD23" s="639" t="n">
        <f aca="false">+'PAYMENT RATIO_RAW'!$U$15*I23</f>
        <v>344282400</v>
      </c>
      <c r="AE23" s="640"/>
      <c r="AF23" s="640" t="n">
        <f aca="false">+AD23-AE23</f>
        <v>344282400</v>
      </c>
      <c r="AG23" s="641"/>
      <c r="AH23" s="636" t="n">
        <f aca="false">+EDATE(AO23,-1)</f>
        <v>46285</v>
      </c>
      <c r="AI23" s="642"/>
      <c r="AJ23" s="638" t="n">
        <f aca="false">+IFERROR(AK23/$I23,"-")</f>
        <v>0.4</v>
      </c>
      <c r="AK23" s="639" t="n">
        <f aca="false">+'PAYMENT RATIO_RAW'!$AB$15*I23</f>
        <v>459043200</v>
      </c>
      <c r="AL23" s="640"/>
      <c r="AM23" s="640" t="n">
        <f aca="false">+AK23-AL23</f>
        <v>459043200</v>
      </c>
      <c r="AN23" s="641"/>
      <c r="AO23" s="636" t="n">
        <f aca="false">+EDATE(AV23,-1)</f>
        <v>46315</v>
      </c>
      <c r="AP23" s="637"/>
      <c r="AQ23" s="638" t="n">
        <f aca="false">+IFERROR(AR23/$I23,"-")</f>
        <v>0</v>
      </c>
      <c r="AR23" s="639" t="n">
        <f aca="false">+$I23*'PAYMENT RATIO_RAW'!AI$15</f>
        <v>0</v>
      </c>
      <c r="AS23" s="640"/>
      <c r="AT23" s="640" t="n">
        <f aca="false">+AR23-AS23</f>
        <v>0</v>
      </c>
      <c r="AU23" s="641"/>
      <c r="AV23" s="636" t="n">
        <f aca="false">+EDATE(BC23,-1)</f>
        <v>46346</v>
      </c>
      <c r="AW23" s="637"/>
      <c r="AX23" s="638" t="n">
        <f aca="false">+IFERROR(AY23/$I23,"-")</f>
        <v>0</v>
      </c>
      <c r="AY23" s="639" t="n">
        <f aca="false">+$I23*'PAYMENT RATIO_RAW'!AP$15</f>
        <v>0</v>
      </c>
      <c r="AZ23" s="640"/>
      <c r="BA23" s="640" t="n">
        <f aca="false">+AY23-AZ23</f>
        <v>0</v>
      </c>
      <c r="BB23" s="641"/>
      <c r="BC23" s="636" t="n">
        <f aca="false">+EDATE(BJ23,-1)</f>
        <v>46376</v>
      </c>
      <c r="BD23" s="637"/>
      <c r="BE23" s="638" t="n">
        <f aca="false">+IFERROR(BF23/$I23,"-")</f>
        <v>0</v>
      </c>
      <c r="BF23" s="639" t="n">
        <f aca="false">+$I23*'PAYMENT RATIO_RAW'!AW$15</f>
        <v>0</v>
      </c>
      <c r="BG23" s="640"/>
      <c r="BH23" s="640" t="n">
        <f aca="false">+BF23-BG23</f>
        <v>0</v>
      </c>
      <c r="BI23" s="641"/>
      <c r="BJ23" s="636" t="n">
        <v>46407</v>
      </c>
      <c r="BK23" s="637"/>
      <c r="BL23" s="638" t="n">
        <f aca="false">+IFERROR(BM23/$I23,"-")</f>
        <v>0.3</v>
      </c>
      <c r="BM23" s="639" t="n">
        <f aca="false">+'PAYMENT RATIO_RAW'!$BD$15*I23</f>
        <v>344282400</v>
      </c>
      <c r="BN23" s="640"/>
      <c r="BO23" s="640" t="n">
        <f aca="false">+BM23-BN23</f>
        <v>344282400</v>
      </c>
      <c r="BP23" s="641"/>
      <c r="BQ23" s="644"/>
      <c r="BR23" s="645" t="n">
        <f aca="false">+P23+W23+AD23+AK23+AR23+AY23+BF23+BM23=I23</f>
        <v>1</v>
      </c>
      <c r="BS23" s="645" t="n">
        <f aca="false">+Q23+X23+AE23+AS23+AZ23+BG23+BN23=K23</f>
        <v>1</v>
      </c>
      <c r="BT23" s="645"/>
      <c r="BU23" s="625"/>
      <c r="BV23" s="625"/>
      <c r="BW23" s="625"/>
      <c r="BX23" s="625"/>
      <c r="BY23" s="625"/>
      <c r="BZ23" s="625"/>
      <c r="CA23" s="625"/>
      <c r="CB23" s="625"/>
      <c r="CC23" s="625"/>
      <c r="CD23" s="625"/>
    </row>
    <row r="24" customFormat="false" ht="13.5" hidden="false" customHeight="true" outlineLevel="0" collapsed="false">
      <c r="A24" s="683"/>
      <c r="B24" s="629"/>
      <c r="C24" s="631"/>
      <c r="D24" s="631"/>
      <c r="E24" s="631"/>
      <c r="F24" s="656" t="s">
        <v>114</v>
      </c>
      <c r="G24" s="661" t="n">
        <v>108773270</v>
      </c>
      <c r="H24" s="730"/>
      <c r="I24" s="661" t="n">
        <f aca="false">+G24+H24</f>
        <v>108773270</v>
      </c>
      <c r="J24" s="731" t="n">
        <f aca="false">+IFERROR(K24/I24,"-")</f>
        <v>1</v>
      </c>
      <c r="K24" s="730" t="n">
        <f aca="false">+IFERROR(Q24+X24+AE24+AS24+AZ24+BG24+BN24,"-")</f>
        <v>108773270</v>
      </c>
      <c r="L24" s="730" t="n">
        <f aca="false">+I24-K24</f>
        <v>0</v>
      </c>
      <c r="M24" s="732" t="n">
        <v>45863</v>
      </c>
      <c r="N24" s="732" t="n">
        <v>45863</v>
      </c>
      <c r="O24" s="733" t="n">
        <f aca="false">+IFERROR(P24/$I24,"-")</f>
        <v>1</v>
      </c>
      <c r="P24" s="730" t="n">
        <f aca="false">+I24</f>
        <v>108773270</v>
      </c>
      <c r="Q24" s="730" t="n">
        <v>108773270</v>
      </c>
      <c r="R24" s="730" t="n">
        <f aca="false">+P24-Q24</f>
        <v>0</v>
      </c>
      <c r="S24" s="730"/>
      <c r="T24" s="732"/>
      <c r="U24" s="732"/>
      <c r="V24" s="733" t="n">
        <f aca="false">+IFERROR(W24/$I24,"-")</f>
        <v>0</v>
      </c>
      <c r="W24" s="730"/>
      <c r="X24" s="730"/>
      <c r="Y24" s="730"/>
      <c r="Z24" s="730"/>
      <c r="AA24" s="732"/>
      <c r="AB24" s="732"/>
      <c r="AC24" s="733" t="n">
        <f aca="false">+IFERROR(AD24/$I24,"-")</f>
        <v>0</v>
      </c>
      <c r="AD24" s="730"/>
      <c r="AE24" s="730"/>
      <c r="AF24" s="730"/>
      <c r="AG24" s="730"/>
      <c r="AH24" s="732"/>
      <c r="AI24" s="732"/>
      <c r="AJ24" s="733" t="n">
        <f aca="false">+IFERROR(AK24/$I24,"-")</f>
        <v>0</v>
      </c>
      <c r="AK24" s="730"/>
      <c r="AL24" s="730"/>
      <c r="AM24" s="730"/>
      <c r="AN24" s="730"/>
      <c r="AO24" s="732"/>
      <c r="AP24" s="732"/>
      <c r="AQ24" s="733" t="n">
        <f aca="false">+IFERROR(AR24/$I24,"-")</f>
        <v>0</v>
      </c>
      <c r="AR24" s="730"/>
      <c r="AS24" s="730"/>
      <c r="AT24" s="730"/>
      <c r="AU24" s="730"/>
      <c r="AV24" s="732"/>
      <c r="AW24" s="732"/>
      <c r="AX24" s="733" t="n">
        <f aca="false">+IFERROR(AY24/$I24,"-")</f>
        <v>0</v>
      </c>
      <c r="AY24" s="730"/>
      <c r="AZ24" s="730"/>
      <c r="BA24" s="730"/>
      <c r="BB24" s="730"/>
      <c r="BC24" s="732"/>
      <c r="BD24" s="732"/>
      <c r="BE24" s="733" t="n">
        <f aca="false">+IFERROR(BF24/$I24,"-")</f>
        <v>0</v>
      </c>
      <c r="BF24" s="730"/>
      <c r="BG24" s="730"/>
      <c r="BH24" s="730"/>
      <c r="BI24" s="730"/>
      <c r="BJ24" s="732"/>
      <c r="BK24" s="732"/>
      <c r="BL24" s="733" t="n">
        <f aca="false">+IFERROR(BM24/$I24,"-")</f>
        <v>0</v>
      </c>
      <c r="BM24" s="730"/>
      <c r="BN24" s="730"/>
      <c r="BO24" s="730"/>
      <c r="BP24" s="730"/>
      <c r="BQ24" s="644"/>
      <c r="BR24" s="645" t="n">
        <f aca="false">+BM24+BF24+AY24+AR24+AD24+W24+P24=I24</f>
        <v>1</v>
      </c>
      <c r="BS24" s="645" t="n">
        <f aca="false">+Q24+X24+AE24+AS24+AZ24+BG24+BN24=K24</f>
        <v>1</v>
      </c>
      <c r="BT24" s="645" t="n">
        <f aca="false">+BF24+BF26+AY24+AY26+AR24+AR26+AD24+AD26+W24+W26+P24+P26+BM24+BM26=('PAYMENT RATIO_RAW'!$F$16+'PAYMENT RATIO_RAW'!$F$18)*D23*1.1/1000</f>
        <v>0</v>
      </c>
      <c r="BU24" s="625"/>
      <c r="BV24" s="625"/>
      <c r="BW24" s="625"/>
      <c r="BX24" s="625"/>
      <c r="BY24" s="625"/>
      <c r="BZ24" s="625"/>
      <c r="CA24" s="625"/>
      <c r="CB24" s="625"/>
      <c r="CC24" s="625"/>
      <c r="CD24" s="625"/>
    </row>
    <row r="25" customFormat="false" ht="13.5" hidden="false" customHeight="true" outlineLevel="0" collapsed="false">
      <c r="A25" s="683"/>
      <c r="B25" s="629"/>
      <c r="C25" s="631"/>
      <c r="D25" s="631"/>
      <c r="E25" s="631"/>
      <c r="F25" s="656" t="s">
        <v>404</v>
      </c>
      <c r="G25" s="661"/>
      <c r="H25" s="730"/>
      <c r="I25" s="661"/>
      <c r="J25" s="731"/>
      <c r="K25" s="730"/>
      <c r="L25" s="730"/>
      <c r="M25" s="732"/>
      <c r="N25" s="732"/>
      <c r="O25" s="733"/>
      <c r="P25" s="730"/>
      <c r="Q25" s="730"/>
      <c r="R25" s="730"/>
      <c r="S25" s="730"/>
      <c r="T25" s="732"/>
      <c r="U25" s="732"/>
      <c r="V25" s="733"/>
      <c r="W25" s="730"/>
      <c r="X25" s="730"/>
      <c r="Y25" s="730"/>
      <c r="Z25" s="730"/>
      <c r="AA25" s="732"/>
      <c r="AB25" s="732"/>
      <c r="AC25" s="733"/>
      <c r="AD25" s="730"/>
      <c r="AE25" s="730"/>
      <c r="AF25" s="730"/>
      <c r="AG25" s="730"/>
      <c r="AH25" s="732"/>
      <c r="AI25" s="732"/>
      <c r="AJ25" s="733"/>
      <c r="AK25" s="730"/>
      <c r="AL25" s="730"/>
      <c r="AM25" s="730"/>
      <c r="AN25" s="730"/>
      <c r="AO25" s="732"/>
      <c r="AP25" s="732"/>
      <c r="AQ25" s="733"/>
      <c r="AR25" s="730"/>
      <c r="AS25" s="730"/>
      <c r="AT25" s="730"/>
      <c r="AU25" s="730"/>
      <c r="AV25" s="732"/>
      <c r="AW25" s="732"/>
      <c r="AX25" s="733"/>
      <c r="AY25" s="730"/>
      <c r="AZ25" s="730"/>
      <c r="BA25" s="730"/>
      <c r="BB25" s="730"/>
      <c r="BC25" s="732"/>
      <c r="BD25" s="732"/>
      <c r="BE25" s="733"/>
      <c r="BF25" s="730"/>
      <c r="BG25" s="730"/>
      <c r="BH25" s="730"/>
      <c r="BI25" s="730"/>
      <c r="BJ25" s="732"/>
      <c r="BK25" s="732"/>
      <c r="BL25" s="733"/>
      <c r="BM25" s="730"/>
      <c r="BN25" s="730"/>
      <c r="BO25" s="730"/>
      <c r="BP25" s="730"/>
      <c r="BQ25" s="644"/>
      <c r="BR25" s="645" t="n">
        <f aca="false">+P25+W25+AD25+AR25+AY25+BF25+BM25=I25</f>
        <v>1</v>
      </c>
      <c r="BS25" s="645" t="n">
        <f aca="false">+Q25+X25+AE25+AS25+AZ25+BG25+BN25=K25</f>
        <v>1</v>
      </c>
      <c r="BT25" s="645"/>
      <c r="BU25" s="625"/>
      <c r="BV25" s="625"/>
      <c r="BW25" s="625"/>
      <c r="BX25" s="625"/>
      <c r="BY25" s="625"/>
      <c r="BZ25" s="625"/>
      <c r="CA25" s="625"/>
      <c r="CB25" s="625"/>
      <c r="CC25" s="625"/>
      <c r="CD25" s="625"/>
    </row>
    <row r="26" customFormat="false" ht="13.5" hidden="false" customHeight="true" outlineLevel="0" collapsed="false">
      <c r="A26" s="683"/>
      <c r="B26" s="629"/>
      <c r="C26" s="631"/>
      <c r="D26" s="631"/>
      <c r="E26" s="631"/>
      <c r="F26" s="656" t="s">
        <v>507</v>
      </c>
      <c r="G26" s="735" t="n">
        <f aca="false">+'PAYMENT RATIO_RAW'!G18*'PAYMENT RATIO_RAW'!F18*D23/1000</f>
        <v>198720000</v>
      </c>
      <c r="H26" s="735"/>
      <c r="I26" s="735" t="n">
        <f aca="false">SUM(G26:H26)</f>
        <v>198720000</v>
      </c>
      <c r="J26" s="731" t="n">
        <f aca="false">+IFERROR(K26/I26,"-")</f>
        <v>0</v>
      </c>
      <c r="K26" s="735" t="n">
        <f aca="false">+IFERROR(Q26+X26+AE26+AS26+AZ26+BG26+BN26,"-")</f>
        <v>0</v>
      </c>
      <c r="L26" s="735" t="n">
        <f aca="false">+I26-K26</f>
        <v>198720000</v>
      </c>
      <c r="M26" s="735"/>
      <c r="N26" s="736"/>
      <c r="O26" s="733" t="n">
        <f aca="false">+IFERROR(P26/$I26,"-")</f>
        <v>1</v>
      </c>
      <c r="P26" s="735" t="n">
        <f aca="false">+'PAYMENT RATIO_RAW'!G18*$I26</f>
        <v>198720000</v>
      </c>
      <c r="Q26" s="735"/>
      <c r="R26" s="640" t="n">
        <f aca="false">+P26-Q26</f>
        <v>198720000</v>
      </c>
      <c r="S26" s="735"/>
      <c r="T26" s="735"/>
      <c r="U26" s="736"/>
      <c r="V26" s="733" t="n">
        <f aca="false">+IFERROR(W26/$I26,"-")</f>
        <v>0</v>
      </c>
      <c r="W26" s="735" t="n">
        <f aca="false">+'PAYMENT RATIO_RAW'!N24*$I26</f>
        <v>0</v>
      </c>
      <c r="X26" s="735"/>
      <c r="Y26" s="735"/>
      <c r="Z26" s="735"/>
      <c r="AA26" s="735"/>
      <c r="AB26" s="736"/>
      <c r="AC26" s="733" t="n">
        <f aca="false">+IFERROR(AD26/$I26,"-")</f>
        <v>0</v>
      </c>
      <c r="AD26" s="735"/>
      <c r="AE26" s="735"/>
      <c r="AF26" s="735"/>
      <c r="AG26" s="735"/>
      <c r="AH26" s="735"/>
      <c r="AI26" s="736"/>
      <c r="AJ26" s="733" t="n">
        <f aca="false">+IFERROR(AK26/$I26,"-")</f>
        <v>0</v>
      </c>
      <c r="AK26" s="735" t="n">
        <f aca="false">+'PAYMENT RATIO_RAW'!AB24*$I26</f>
        <v>0</v>
      </c>
      <c r="AL26" s="735"/>
      <c r="AM26" s="735"/>
      <c r="AN26" s="735"/>
      <c r="AO26" s="735"/>
      <c r="AP26" s="736"/>
      <c r="AQ26" s="733" t="n">
        <f aca="false">+IFERROR(AR26/$I26,"-")</f>
        <v>0</v>
      </c>
      <c r="AR26" s="735"/>
      <c r="AS26" s="735"/>
      <c r="AT26" s="735"/>
      <c r="AU26" s="735"/>
      <c r="AV26" s="735"/>
      <c r="AW26" s="736"/>
      <c r="AX26" s="733" t="n">
        <f aca="false">+IFERROR(AY26/$I26,"-")</f>
        <v>0</v>
      </c>
      <c r="AY26" s="735"/>
      <c r="AZ26" s="735"/>
      <c r="BA26" s="735"/>
      <c r="BB26" s="735"/>
      <c r="BC26" s="735"/>
      <c r="BD26" s="736"/>
      <c r="BE26" s="733" t="n">
        <f aca="false">+IFERROR(BF26/$I26,"-")</f>
        <v>0</v>
      </c>
      <c r="BF26" s="735"/>
      <c r="BG26" s="735"/>
      <c r="BH26" s="735"/>
      <c r="BI26" s="735"/>
      <c r="BJ26" s="735"/>
      <c r="BK26" s="736"/>
      <c r="BL26" s="733" t="n">
        <f aca="false">+IFERROR(BM26/$I26,"-")</f>
        <v>0</v>
      </c>
      <c r="BM26" s="735"/>
      <c r="BN26" s="735"/>
      <c r="BO26" s="735"/>
      <c r="BP26" s="735"/>
      <c r="BQ26" s="644"/>
      <c r="BR26" s="645" t="n">
        <f aca="false">+P26+W26+AD26+AR26+AY26+BF26+BM26=I26</f>
        <v>1</v>
      </c>
      <c r="BS26" s="645" t="n">
        <f aca="false">+Q26+X26+AE26+AS26+AZ26+BG26+BN26=K26</f>
        <v>1</v>
      </c>
      <c r="BT26" s="645"/>
      <c r="BU26" s="625"/>
      <c r="BV26" s="625"/>
      <c r="BW26" s="625"/>
      <c r="BX26" s="625"/>
      <c r="BY26" s="625"/>
      <c r="BZ26" s="625"/>
      <c r="CA26" s="625"/>
      <c r="CB26" s="625"/>
      <c r="CC26" s="625"/>
      <c r="CD26" s="625"/>
    </row>
    <row r="27" customFormat="false" ht="13.5" hidden="false" customHeight="true" outlineLevel="0" collapsed="false">
      <c r="A27" s="683"/>
      <c r="B27" s="629"/>
      <c r="C27" s="631"/>
      <c r="D27" s="631"/>
      <c r="E27" s="631"/>
      <c r="F27" s="679" t="s">
        <v>508</v>
      </c>
      <c r="G27" s="742"/>
      <c r="H27" s="739"/>
      <c r="I27" s="739" t="n">
        <f aca="false">SUM(G27:H27)</f>
        <v>0</v>
      </c>
      <c r="J27" s="731" t="str">
        <f aca="false">+IFERROR(K27/I27,"-")</f>
        <v>-</v>
      </c>
      <c r="K27" s="739" t="n">
        <f aca="false">+IFERROR(Q27+X27+AE27+AS27+AZ27+BG27+BN27,"-")</f>
        <v>0</v>
      </c>
      <c r="L27" s="739"/>
      <c r="M27" s="739"/>
      <c r="N27" s="740"/>
      <c r="O27" s="737" t="str">
        <f aca="false">+IFERROR(P27/$I27,"-")</f>
        <v>-</v>
      </c>
      <c r="P27" s="739"/>
      <c r="Q27" s="739"/>
      <c r="R27" s="640" t="n">
        <f aca="false">+P27-Q27</f>
        <v>0</v>
      </c>
      <c r="S27" s="739"/>
      <c r="T27" s="739"/>
      <c r="U27" s="740"/>
      <c r="V27" s="737" t="str">
        <f aca="false">+IFERROR(W27/$I27,"-")</f>
        <v>-</v>
      </c>
      <c r="W27" s="739"/>
      <c r="X27" s="739"/>
      <c r="Y27" s="739"/>
      <c r="Z27" s="739"/>
      <c r="AA27" s="739"/>
      <c r="AB27" s="740"/>
      <c r="AC27" s="737" t="str">
        <f aca="false">+IFERROR(AD27/$I27,"-")</f>
        <v>-</v>
      </c>
      <c r="AD27" s="739"/>
      <c r="AE27" s="739"/>
      <c r="AF27" s="739"/>
      <c r="AG27" s="739"/>
      <c r="AH27" s="739"/>
      <c r="AI27" s="740"/>
      <c r="AJ27" s="737" t="str">
        <f aca="false">+IFERROR(AK27/$I27,"-")</f>
        <v>-</v>
      </c>
      <c r="AK27" s="739"/>
      <c r="AL27" s="739"/>
      <c r="AM27" s="739"/>
      <c r="AN27" s="739"/>
      <c r="AO27" s="739"/>
      <c r="AP27" s="740"/>
      <c r="AQ27" s="737" t="str">
        <f aca="false">+IFERROR(AR27/$I27,"-")</f>
        <v>-</v>
      </c>
      <c r="AR27" s="739"/>
      <c r="AS27" s="739"/>
      <c r="AT27" s="739"/>
      <c r="AU27" s="739"/>
      <c r="AV27" s="739"/>
      <c r="AW27" s="740"/>
      <c r="AX27" s="737" t="str">
        <f aca="false">+IFERROR(AY27/$I27,"-")</f>
        <v>-</v>
      </c>
      <c r="AY27" s="739"/>
      <c r="AZ27" s="739"/>
      <c r="BA27" s="739"/>
      <c r="BB27" s="739"/>
      <c r="BC27" s="739"/>
      <c r="BD27" s="740"/>
      <c r="BE27" s="737" t="str">
        <f aca="false">+IFERROR(BF27/$I27,"-")</f>
        <v>-</v>
      </c>
      <c r="BF27" s="739"/>
      <c r="BG27" s="739"/>
      <c r="BH27" s="739"/>
      <c r="BI27" s="739"/>
      <c r="BJ27" s="739"/>
      <c r="BK27" s="740"/>
      <c r="BL27" s="737" t="str">
        <f aca="false">+IFERROR(BM27/$I27,"-")</f>
        <v>-</v>
      </c>
      <c r="BM27" s="739"/>
      <c r="BN27" s="739"/>
      <c r="BO27" s="739"/>
      <c r="BP27" s="739"/>
      <c r="BQ27" s="666"/>
      <c r="BR27" s="667" t="n">
        <f aca="false">+P27+W27+AD27+AR27+AY27+BF27+BM27=I27</f>
        <v>1</v>
      </c>
      <c r="BS27" s="668" t="n">
        <f aca="false">+Q27+X27+AE27+AS27+AZ27+BG27+BN27=K27</f>
        <v>1</v>
      </c>
      <c r="BT27" s="668"/>
      <c r="BU27" s="625"/>
      <c r="BV27" s="625"/>
      <c r="BW27" s="625"/>
      <c r="BX27" s="625"/>
      <c r="BY27" s="625"/>
      <c r="BZ27" s="625"/>
      <c r="CA27" s="625"/>
      <c r="CB27" s="625"/>
      <c r="CC27" s="625"/>
      <c r="CD27" s="625"/>
    </row>
    <row r="28" customFormat="false" ht="13.5" hidden="false" customHeight="true" outlineLevel="0" collapsed="false">
      <c r="A28" s="628"/>
      <c r="B28" s="629"/>
      <c r="C28" s="631"/>
      <c r="D28" s="631"/>
      <c r="E28" s="631"/>
      <c r="F28" s="669" t="s">
        <v>109</v>
      </c>
      <c r="G28" s="670" t="n">
        <f aca="false">SUM(G23:G27)</f>
        <v>1350773270</v>
      </c>
      <c r="H28" s="670" t="n">
        <f aca="false">SUM(H23:H27)</f>
        <v>104328000</v>
      </c>
      <c r="I28" s="670" t="n">
        <f aca="false">SUM(I23:I27)</f>
        <v>1455101270</v>
      </c>
      <c r="J28" s="669" t="n">
        <f aca="false">+IFERROR(K28/I28,"-")</f>
        <v>0.0747530582527771</v>
      </c>
      <c r="K28" s="670" t="n">
        <f aca="false">SUM(K23:K27)</f>
        <v>108773270</v>
      </c>
      <c r="L28" s="670" t="n">
        <f aca="false">SUM(L23:L27)</f>
        <v>1346328000</v>
      </c>
      <c r="M28" s="669"/>
      <c r="N28" s="669"/>
      <c r="O28" s="672" t="n">
        <f aca="false">+IFERROR(P28/$I28,"-")</f>
        <v>0.21132087253281</v>
      </c>
      <c r="P28" s="670" t="n">
        <f aca="false">SUM(P23:P27)</f>
        <v>307493270</v>
      </c>
      <c r="Q28" s="670" t="n">
        <f aca="false">SUM(Q23:Q27)</f>
        <v>108773270</v>
      </c>
      <c r="R28" s="673" t="n">
        <f aca="false">+P28-Q28</f>
        <v>198720000</v>
      </c>
      <c r="S28" s="669"/>
      <c r="T28" s="671"/>
      <c r="U28" s="669"/>
      <c r="V28" s="672" t="n">
        <f aca="false">+IFERROR(W28/$I28,"-")</f>
        <v>0</v>
      </c>
      <c r="W28" s="670" t="n">
        <f aca="false">SUM(W23:W27)</f>
        <v>0</v>
      </c>
      <c r="X28" s="670" t="n">
        <f aca="false">SUM(X23:X27)</f>
        <v>0</v>
      </c>
      <c r="Y28" s="673" t="n">
        <f aca="false">+W28-X28</f>
        <v>0</v>
      </c>
      <c r="Z28" s="669"/>
      <c r="AA28" s="671"/>
      <c r="AB28" s="669"/>
      <c r="AC28" s="672" t="n">
        <f aca="false">+IFERROR(AD28/$I28,"-")</f>
        <v>0.236603738240157</v>
      </c>
      <c r="AD28" s="670" t="n">
        <f aca="false">SUM(AD23:AD27)</f>
        <v>344282400</v>
      </c>
      <c r="AE28" s="670" t="n">
        <f aca="false">SUM(AE23:AE27)</f>
        <v>0</v>
      </c>
      <c r="AF28" s="673" t="n">
        <f aca="false">+AD28-AE28</f>
        <v>344282400</v>
      </c>
      <c r="AG28" s="669"/>
      <c r="AH28" s="671"/>
      <c r="AI28" s="669"/>
      <c r="AJ28" s="672" t="n">
        <f aca="false">+IFERROR(AK28/$I28,"-")</f>
        <v>0.315471650986876</v>
      </c>
      <c r="AK28" s="670" t="n">
        <f aca="false">SUM(AK23:AK27)</f>
        <v>459043200</v>
      </c>
      <c r="AL28" s="670" t="n">
        <f aca="false">SUM(AL23:AL27)</f>
        <v>0</v>
      </c>
      <c r="AM28" s="673" t="n">
        <f aca="false">+AK28-AL28</f>
        <v>459043200</v>
      </c>
      <c r="AN28" s="669"/>
      <c r="AO28" s="671"/>
      <c r="AP28" s="669"/>
      <c r="AQ28" s="672" t="n">
        <f aca="false">+IFERROR(AR28/$I28,"-")</f>
        <v>0</v>
      </c>
      <c r="AR28" s="670" t="n">
        <f aca="false">SUM(AR23:AR27)</f>
        <v>0</v>
      </c>
      <c r="AS28" s="670" t="n">
        <f aca="false">SUM(AS23:AS27)</f>
        <v>0</v>
      </c>
      <c r="AT28" s="673" t="n">
        <f aca="false">+AR28-AS28</f>
        <v>0</v>
      </c>
      <c r="AU28" s="669"/>
      <c r="AV28" s="671"/>
      <c r="AW28" s="669"/>
      <c r="AX28" s="672" t="n">
        <f aca="false">+IFERROR(AY28/$I28,"-")</f>
        <v>0</v>
      </c>
      <c r="AY28" s="670" t="n">
        <f aca="false">SUM(AY23:AY27)</f>
        <v>0</v>
      </c>
      <c r="AZ28" s="670" t="n">
        <f aca="false">SUM(AZ23:AZ27)</f>
        <v>0</v>
      </c>
      <c r="BA28" s="673" t="n">
        <f aca="false">+AY28-AZ28</f>
        <v>0</v>
      </c>
      <c r="BB28" s="669"/>
      <c r="BC28" s="671"/>
      <c r="BD28" s="669"/>
      <c r="BE28" s="672" t="n">
        <f aca="false">+IFERROR(BF28/$I28,"-")</f>
        <v>0</v>
      </c>
      <c r="BF28" s="670" t="n">
        <f aca="false">SUM(BF23:BF27)</f>
        <v>0</v>
      </c>
      <c r="BG28" s="670" t="n">
        <f aca="false">SUM(BG23:BG27)</f>
        <v>0</v>
      </c>
      <c r="BH28" s="673" t="n">
        <f aca="false">+BF28-BG28</f>
        <v>0</v>
      </c>
      <c r="BI28" s="669"/>
      <c r="BJ28" s="671"/>
      <c r="BK28" s="669"/>
      <c r="BL28" s="672" t="n">
        <f aca="false">+IFERROR(BM28/$I28,"-")</f>
        <v>0.236603738240157</v>
      </c>
      <c r="BM28" s="670" t="n">
        <f aca="false">SUM(BM23:BM27)</f>
        <v>344282400</v>
      </c>
      <c r="BN28" s="670" t="n">
        <f aca="false">SUM(BN23:BN27)</f>
        <v>0</v>
      </c>
      <c r="BO28" s="673" t="n">
        <f aca="false">+BM28-BN28</f>
        <v>344282400</v>
      </c>
      <c r="BP28" s="669"/>
      <c r="BQ28" s="666"/>
      <c r="BR28" s="674"/>
      <c r="BS28" s="675"/>
      <c r="BT28" s="675"/>
      <c r="BU28" s="621"/>
      <c r="BV28" s="621"/>
      <c r="BW28" s="621"/>
      <c r="BX28" s="621"/>
      <c r="BY28" s="621"/>
      <c r="BZ28" s="621"/>
      <c r="CA28" s="621"/>
      <c r="CB28" s="621"/>
      <c r="CC28" s="625"/>
      <c r="CD28" s="625"/>
    </row>
    <row r="29" customFormat="false" ht="13.5" hidden="false" customHeight="true" outlineLevel="0" collapsed="false">
      <c r="A29" s="628"/>
      <c r="B29" s="629" t="n">
        <v>4</v>
      </c>
      <c r="C29" s="630" t="s">
        <v>187</v>
      </c>
      <c r="D29" s="631" t="n">
        <v>993.6</v>
      </c>
      <c r="E29" s="631" t="s">
        <v>505</v>
      </c>
      <c r="F29" s="632" t="s">
        <v>112</v>
      </c>
      <c r="G29" s="633" t="n">
        <f aca="false">+'PAYMENT RATIO_RAW'!F$15*'GM Batch2-SPA'!$D$29/1000</f>
        <v>1043280000</v>
      </c>
      <c r="H29" s="633" t="n">
        <f aca="false">+G29*10%</f>
        <v>104328000</v>
      </c>
      <c r="I29" s="633" t="n">
        <f aca="false">SUM(G29:H29)</f>
        <v>1147608000</v>
      </c>
      <c r="J29" s="634" t="n">
        <f aca="false">+IFERROR(K29/I29,"-")</f>
        <v>0</v>
      </c>
      <c r="K29" s="635" t="n">
        <f aca="false">+IFERROR(Q29+X29+AE29+AS29+AZ29+BG29+BN29,"-")</f>
        <v>0</v>
      </c>
      <c r="L29" s="635" t="n">
        <f aca="false">+I29-K29</f>
        <v>1147608000</v>
      </c>
      <c r="M29" s="637"/>
      <c r="N29" s="637"/>
      <c r="O29" s="659" t="n">
        <f aca="false">+IFERROR(P29/$I29,"-")</f>
        <v>0</v>
      </c>
      <c r="P29" s="639" t="n">
        <f aca="false">+$I29*'PAYMENT RATIO_RAW'!G$15</f>
        <v>0</v>
      </c>
      <c r="Q29" s="640"/>
      <c r="R29" s="640" t="n">
        <f aca="false">+P29-Q29</f>
        <v>0</v>
      </c>
      <c r="S29" s="641"/>
      <c r="T29" s="636"/>
      <c r="U29" s="637"/>
      <c r="V29" s="638"/>
      <c r="W29" s="639" t="n">
        <f aca="false">+$I29*'PAYMENT RATIO_RAW'!N$15</f>
        <v>0</v>
      </c>
      <c r="X29" s="640"/>
      <c r="Y29" s="640" t="n">
        <f aca="false">+W29-X29</f>
        <v>0</v>
      </c>
      <c r="Z29" s="641"/>
      <c r="AA29" s="636" t="n">
        <f aca="false">+EDATE(AH29,-1)</f>
        <v>46254</v>
      </c>
      <c r="AB29" s="637"/>
      <c r="AC29" s="638" t="n">
        <f aca="false">+IFERROR(AD29/$I29,"-")</f>
        <v>0.3</v>
      </c>
      <c r="AD29" s="639" t="n">
        <f aca="false">+'PAYMENT RATIO_RAW'!$U$15*I29</f>
        <v>344282400</v>
      </c>
      <c r="AE29" s="640"/>
      <c r="AF29" s="640" t="n">
        <f aca="false">+AD29-AE29</f>
        <v>344282400</v>
      </c>
      <c r="AG29" s="641"/>
      <c r="AH29" s="636" t="n">
        <f aca="false">+EDATE(AO29,-1)</f>
        <v>46285</v>
      </c>
      <c r="AI29" s="642"/>
      <c r="AJ29" s="638" t="n">
        <f aca="false">+IFERROR(AK29/$I29,"-")</f>
        <v>0.4</v>
      </c>
      <c r="AK29" s="639" t="n">
        <f aca="false">+'PAYMENT RATIO_RAW'!$AB$15*I29</f>
        <v>459043200</v>
      </c>
      <c r="AL29" s="640"/>
      <c r="AM29" s="640" t="n">
        <f aca="false">+AK29-AL29</f>
        <v>459043200</v>
      </c>
      <c r="AN29" s="641"/>
      <c r="AO29" s="636" t="n">
        <f aca="false">+EDATE(AV29,-1)</f>
        <v>46315</v>
      </c>
      <c r="AP29" s="637"/>
      <c r="AQ29" s="638" t="n">
        <f aca="false">+IFERROR(AR29/$I29,"-")</f>
        <v>0</v>
      </c>
      <c r="AR29" s="639" t="n">
        <f aca="false">+$I29*'PAYMENT RATIO_RAW'!AI$15</f>
        <v>0</v>
      </c>
      <c r="AS29" s="640"/>
      <c r="AT29" s="640" t="n">
        <f aca="false">+AR29-AS29</f>
        <v>0</v>
      </c>
      <c r="AU29" s="641"/>
      <c r="AV29" s="636" t="n">
        <f aca="false">+EDATE(BC29,-1)</f>
        <v>46346</v>
      </c>
      <c r="AW29" s="637"/>
      <c r="AX29" s="638" t="n">
        <f aca="false">+IFERROR(AY29/$I29,"-")</f>
        <v>0</v>
      </c>
      <c r="AY29" s="639" t="n">
        <f aca="false">+$I29*'PAYMENT RATIO_RAW'!AP$15</f>
        <v>0</v>
      </c>
      <c r="AZ29" s="640"/>
      <c r="BA29" s="640" t="n">
        <f aca="false">+AY29-AZ29</f>
        <v>0</v>
      </c>
      <c r="BB29" s="641"/>
      <c r="BC29" s="636" t="n">
        <f aca="false">+EDATE(BJ29,-1)</f>
        <v>46376</v>
      </c>
      <c r="BD29" s="637"/>
      <c r="BE29" s="638" t="n">
        <f aca="false">+IFERROR(BF29/$I29,"-")</f>
        <v>0</v>
      </c>
      <c r="BF29" s="639" t="n">
        <f aca="false">+$I29*'PAYMENT RATIO_RAW'!AW$15</f>
        <v>0</v>
      </c>
      <c r="BG29" s="640"/>
      <c r="BH29" s="640" t="n">
        <f aca="false">+BF29-BG29</f>
        <v>0</v>
      </c>
      <c r="BI29" s="641"/>
      <c r="BJ29" s="636" t="n">
        <v>46407</v>
      </c>
      <c r="BK29" s="637"/>
      <c r="BL29" s="638" t="n">
        <f aca="false">+IFERROR(BM29/$I29,"-")</f>
        <v>0.3</v>
      </c>
      <c r="BM29" s="639" t="n">
        <f aca="false">+'PAYMENT RATIO_RAW'!$BD$15*I29</f>
        <v>344282400</v>
      </c>
      <c r="BN29" s="640"/>
      <c r="BO29" s="640" t="n">
        <f aca="false">+BM29-BN29</f>
        <v>344282400</v>
      </c>
      <c r="BP29" s="641"/>
      <c r="BQ29" s="644"/>
      <c r="BR29" s="645" t="n">
        <f aca="false">+P29+W29+AD29+AK29+AR29+AY29+BF29+BM29=I29</f>
        <v>1</v>
      </c>
      <c r="BS29" s="645" t="n">
        <f aca="false">+Q29+X29+AE29+AS29+AZ29+BG29+BN29=K29</f>
        <v>1</v>
      </c>
      <c r="BT29" s="645"/>
      <c r="BU29" s="621"/>
      <c r="BV29" s="621"/>
      <c r="BW29" s="621"/>
      <c r="BX29" s="621"/>
      <c r="BY29" s="621"/>
      <c r="BZ29" s="621"/>
      <c r="CA29" s="621"/>
      <c r="CB29" s="621"/>
      <c r="CC29" s="625"/>
      <c r="CD29" s="625"/>
    </row>
    <row r="30" customFormat="false" ht="13.5" hidden="false" customHeight="true" outlineLevel="0" collapsed="false">
      <c r="A30" s="628"/>
      <c r="B30" s="629"/>
      <c r="C30" s="630"/>
      <c r="D30" s="631"/>
      <c r="E30" s="631"/>
      <c r="F30" s="656" t="s">
        <v>114</v>
      </c>
      <c r="G30" s="661" t="n">
        <v>458479720</v>
      </c>
      <c r="H30" s="730"/>
      <c r="I30" s="661" t="n">
        <f aca="false">+G30+H30</f>
        <v>458479720</v>
      </c>
      <c r="J30" s="731" t="n">
        <f aca="false">+IFERROR(K30/I30,"-")</f>
        <v>1</v>
      </c>
      <c r="K30" s="730" t="n">
        <f aca="false">+IFERROR(Q30+X30+AE30+AS30+AZ30+BG30+BN30,"-")</f>
        <v>458479720</v>
      </c>
      <c r="L30" s="730" t="n">
        <f aca="false">+I30-K30</f>
        <v>0</v>
      </c>
      <c r="M30" s="732" t="n">
        <v>45863</v>
      </c>
      <c r="N30" s="732" t="n">
        <v>45863</v>
      </c>
      <c r="O30" s="733" t="n">
        <f aca="false">+IFERROR(P30/$I30,"-")</f>
        <v>1</v>
      </c>
      <c r="P30" s="730" t="n">
        <f aca="false">+I30</f>
        <v>458479720</v>
      </c>
      <c r="Q30" s="730" t="n">
        <v>458479720</v>
      </c>
      <c r="R30" s="730" t="n">
        <f aca="false">+P30-Q30</f>
        <v>0</v>
      </c>
      <c r="S30" s="730"/>
      <c r="T30" s="732"/>
      <c r="U30" s="732"/>
      <c r="V30" s="733" t="n">
        <f aca="false">+IFERROR(W30/$I30,"-")</f>
        <v>0</v>
      </c>
      <c r="W30" s="730"/>
      <c r="X30" s="730"/>
      <c r="Y30" s="730"/>
      <c r="Z30" s="730"/>
      <c r="AA30" s="732"/>
      <c r="AB30" s="732"/>
      <c r="AC30" s="733" t="n">
        <f aca="false">+IFERROR(AD30/$I30,"-")</f>
        <v>0</v>
      </c>
      <c r="AD30" s="730"/>
      <c r="AE30" s="730"/>
      <c r="AF30" s="730"/>
      <c r="AG30" s="730"/>
      <c r="AH30" s="732"/>
      <c r="AI30" s="732"/>
      <c r="AJ30" s="733" t="n">
        <f aca="false">+IFERROR(AK30/$I30,"-")</f>
        <v>0</v>
      </c>
      <c r="AK30" s="730"/>
      <c r="AL30" s="730"/>
      <c r="AM30" s="730"/>
      <c r="AN30" s="730"/>
      <c r="AO30" s="732"/>
      <c r="AP30" s="732"/>
      <c r="AQ30" s="733" t="n">
        <f aca="false">+IFERROR(AR30/$I30,"-")</f>
        <v>0</v>
      </c>
      <c r="AR30" s="730"/>
      <c r="AS30" s="730"/>
      <c r="AT30" s="730"/>
      <c r="AU30" s="730"/>
      <c r="AV30" s="732"/>
      <c r="AW30" s="732"/>
      <c r="AX30" s="733" t="n">
        <f aca="false">+IFERROR(AY30/$I30,"-")</f>
        <v>0</v>
      </c>
      <c r="AY30" s="730"/>
      <c r="AZ30" s="730"/>
      <c r="BA30" s="730"/>
      <c r="BB30" s="730"/>
      <c r="BC30" s="732"/>
      <c r="BD30" s="732"/>
      <c r="BE30" s="733" t="n">
        <f aca="false">+IFERROR(BF30/$I30,"-")</f>
        <v>0</v>
      </c>
      <c r="BF30" s="730"/>
      <c r="BG30" s="730"/>
      <c r="BH30" s="730"/>
      <c r="BI30" s="730"/>
      <c r="BJ30" s="732"/>
      <c r="BK30" s="732"/>
      <c r="BL30" s="733" t="n">
        <f aca="false">+IFERROR(BM30/$I30,"-")</f>
        <v>0</v>
      </c>
      <c r="BM30" s="730"/>
      <c r="BN30" s="730"/>
      <c r="BO30" s="730"/>
      <c r="BP30" s="730"/>
      <c r="BQ30" s="644"/>
      <c r="BR30" s="645" t="n">
        <f aca="false">+BM30+BF30+AY30+AR30+AD30+W30+P30=I30</f>
        <v>1</v>
      </c>
      <c r="BS30" s="645" t="n">
        <f aca="false">+Q30+X30+AE30+AS30+AZ30+BG30+BN30=K30</f>
        <v>1</v>
      </c>
      <c r="BT30" s="645" t="n">
        <f aca="false">+BF30+BF32+AY30+AY32+AR30+AR32+AD30+AD32+W30+W32+P30+P32+BM30+BM32=('PAYMENT RATIO_RAW'!$F$16+'PAYMENT RATIO_RAW'!$F$18)*D29*1.1/1000</f>
        <v>0</v>
      </c>
      <c r="BU30" s="621"/>
      <c r="BV30" s="621"/>
      <c r="BW30" s="621"/>
      <c r="BX30" s="621"/>
      <c r="BY30" s="621"/>
      <c r="BZ30" s="621"/>
      <c r="CA30" s="621"/>
      <c r="CB30" s="621"/>
      <c r="CC30" s="625"/>
      <c r="CD30" s="625"/>
    </row>
    <row r="31" customFormat="false" ht="13.5" hidden="false" customHeight="true" outlineLevel="0" collapsed="false">
      <c r="A31" s="628"/>
      <c r="B31" s="629"/>
      <c r="C31" s="630"/>
      <c r="D31" s="631"/>
      <c r="E31" s="631"/>
      <c r="F31" s="656" t="s">
        <v>404</v>
      </c>
      <c r="G31" s="661"/>
      <c r="H31" s="730"/>
      <c r="I31" s="661"/>
      <c r="J31" s="731"/>
      <c r="K31" s="730"/>
      <c r="L31" s="730"/>
      <c r="M31" s="732"/>
      <c r="N31" s="732"/>
      <c r="O31" s="733"/>
      <c r="P31" s="730"/>
      <c r="Q31" s="730"/>
      <c r="R31" s="730"/>
      <c r="S31" s="730"/>
      <c r="T31" s="732"/>
      <c r="U31" s="732"/>
      <c r="V31" s="733"/>
      <c r="W31" s="730"/>
      <c r="X31" s="730"/>
      <c r="Y31" s="730"/>
      <c r="Z31" s="730"/>
      <c r="AA31" s="732"/>
      <c r="AB31" s="732"/>
      <c r="AC31" s="733"/>
      <c r="AD31" s="730"/>
      <c r="AE31" s="730"/>
      <c r="AF31" s="730"/>
      <c r="AG31" s="730"/>
      <c r="AH31" s="732"/>
      <c r="AI31" s="732"/>
      <c r="AJ31" s="733"/>
      <c r="AK31" s="730"/>
      <c r="AL31" s="730"/>
      <c r="AM31" s="730"/>
      <c r="AN31" s="730"/>
      <c r="AO31" s="732"/>
      <c r="AP31" s="732"/>
      <c r="AQ31" s="733"/>
      <c r="AR31" s="730"/>
      <c r="AS31" s="730"/>
      <c r="AT31" s="730"/>
      <c r="AU31" s="730"/>
      <c r="AV31" s="732"/>
      <c r="AW31" s="732"/>
      <c r="AX31" s="733"/>
      <c r="AY31" s="730"/>
      <c r="AZ31" s="730"/>
      <c r="BA31" s="730"/>
      <c r="BB31" s="730"/>
      <c r="BC31" s="732"/>
      <c r="BD31" s="732"/>
      <c r="BE31" s="733"/>
      <c r="BF31" s="730"/>
      <c r="BG31" s="730"/>
      <c r="BH31" s="730"/>
      <c r="BI31" s="730"/>
      <c r="BJ31" s="732"/>
      <c r="BK31" s="732"/>
      <c r="BL31" s="733"/>
      <c r="BM31" s="730"/>
      <c r="BN31" s="730"/>
      <c r="BO31" s="730"/>
      <c r="BP31" s="730"/>
      <c r="BQ31" s="644"/>
      <c r="BR31" s="645" t="n">
        <f aca="false">+P31+W31+AD31+AR31+AY31+BF31+BM31=I31</f>
        <v>1</v>
      </c>
      <c r="BS31" s="645" t="n">
        <f aca="false">+Q31+X31+AE31+AS31+AZ31+BG31+BN31=K31</f>
        <v>1</v>
      </c>
      <c r="BT31" s="645"/>
      <c r="BU31" s="621"/>
      <c r="BV31" s="621"/>
      <c r="BW31" s="621"/>
      <c r="BX31" s="621"/>
      <c r="BY31" s="621"/>
      <c r="BZ31" s="621"/>
      <c r="CA31" s="621"/>
      <c r="CB31" s="621"/>
      <c r="CC31" s="625"/>
      <c r="CD31" s="625"/>
    </row>
    <row r="32" customFormat="false" ht="13.5" hidden="false" customHeight="true" outlineLevel="0" collapsed="false">
      <c r="A32" s="628"/>
      <c r="B32" s="629"/>
      <c r="C32" s="630"/>
      <c r="D32" s="631"/>
      <c r="E32" s="631"/>
      <c r="F32" s="656" t="s">
        <v>507</v>
      </c>
      <c r="G32" s="735" t="n">
        <f aca="false">+'PAYMENT RATIO_RAW'!G18*'PAYMENT RATIO_RAW'!F18*D29/1000</f>
        <v>198720000</v>
      </c>
      <c r="H32" s="735"/>
      <c r="I32" s="735" t="n">
        <f aca="false">SUM(G32:H32)</f>
        <v>198720000</v>
      </c>
      <c r="J32" s="731" t="n">
        <f aca="false">+IFERROR(K32/I32,"-")</f>
        <v>0</v>
      </c>
      <c r="K32" s="735" t="n">
        <f aca="false">+IFERROR(Q32+X32+AE32+AS32+AZ32+BG32+BN32,"-")</f>
        <v>0</v>
      </c>
      <c r="L32" s="735" t="n">
        <f aca="false">+I32-K32</f>
        <v>198720000</v>
      </c>
      <c r="M32" s="735"/>
      <c r="N32" s="736"/>
      <c r="O32" s="733" t="n">
        <f aca="false">+IFERROR(P32/$I32,"-")</f>
        <v>1</v>
      </c>
      <c r="P32" s="735" t="n">
        <f aca="false">+'PAYMENT RATIO_RAW'!G18*$I32</f>
        <v>198720000</v>
      </c>
      <c r="Q32" s="735"/>
      <c r="R32" s="640" t="n">
        <f aca="false">+P32-Q32</f>
        <v>198720000</v>
      </c>
      <c r="S32" s="735"/>
      <c r="T32" s="735"/>
      <c r="U32" s="736"/>
      <c r="V32" s="733" t="n">
        <f aca="false">+IFERROR(W32/$I32,"-")</f>
        <v>0</v>
      </c>
      <c r="W32" s="735"/>
      <c r="X32" s="735"/>
      <c r="Y32" s="735"/>
      <c r="Z32" s="735"/>
      <c r="AA32" s="735"/>
      <c r="AB32" s="736"/>
      <c r="AC32" s="733" t="n">
        <f aca="false">+IFERROR(AD32/$I32,"-")</f>
        <v>0</v>
      </c>
      <c r="AD32" s="735"/>
      <c r="AE32" s="735"/>
      <c r="AF32" s="735"/>
      <c r="AG32" s="735"/>
      <c r="AH32" s="735"/>
      <c r="AI32" s="736"/>
      <c r="AJ32" s="733" t="n">
        <f aca="false">+IFERROR(AK32/$I32,"-")</f>
        <v>0</v>
      </c>
      <c r="AK32" s="735" t="n">
        <f aca="false">+'PAYMENT RATIO_RAW'!AB30*$I32</f>
        <v>0</v>
      </c>
      <c r="AL32" s="735"/>
      <c r="AM32" s="735"/>
      <c r="AN32" s="735"/>
      <c r="AO32" s="735"/>
      <c r="AP32" s="736"/>
      <c r="AQ32" s="733" t="n">
        <f aca="false">+IFERROR(AR32/$I32,"-")</f>
        <v>0</v>
      </c>
      <c r="AR32" s="735"/>
      <c r="AS32" s="735"/>
      <c r="AT32" s="735"/>
      <c r="AU32" s="735"/>
      <c r="AV32" s="735"/>
      <c r="AW32" s="736"/>
      <c r="AX32" s="733" t="n">
        <f aca="false">+IFERROR(AY32/$I32,"-")</f>
        <v>0</v>
      </c>
      <c r="AY32" s="735"/>
      <c r="AZ32" s="735"/>
      <c r="BA32" s="735"/>
      <c r="BB32" s="735"/>
      <c r="BC32" s="735"/>
      <c r="BD32" s="736"/>
      <c r="BE32" s="733" t="n">
        <f aca="false">+IFERROR(BF32/$I32,"-")</f>
        <v>0</v>
      </c>
      <c r="BF32" s="735"/>
      <c r="BG32" s="735"/>
      <c r="BH32" s="735"/>
      <c r="BI32" s="735"/>
      <c r="BJ32" s="735"/>
      <c r="BK32" s="736"/>
      <c r="BL32" s="733" t="n">
        <f aca="false">+IFERROR(BM32/$I32,"-")</f>
        <v>0</v>
      </c>
      <c r="BM32" s="735"/>
      <c r="BN32" s="735"/>
      <c r="BO32" s="735"/>
      <c r="BP32" s="735"/>
      <c r="BQ32" s="644"/>
      <c r="BR32" s="645" t="n">
        <f aca="false">+P32+W32+AD32+AR32+AY32+BF32+BM32=I32</f>
        <v>1</v>
      </c>
      <c r="BS32" s="645" t="n">
        <f aca="false">+Q32+X32+AE32+AS32+AZ32+BG32+BN32=K32</f>
        <v>1</v>
      </c>
      <c r="BT32" s="645"/>
      <c r="BU32" s="621"/>
      <c r="BV32" s="621"/>
      <c r="BW32" s="621"/>
      <c r="BX32" s="621"/>
      <c r="BY32" s="621"/>
      <c r="BZ32" s="621"/>
      <c r="CA32" s="621"/>
      <c r="CB32" s="621"/>
      <c r="CC32" s="625"/>
      <c r="CD32" s="625"/>
    </row>
    <row r="33" customFormat="false" ht="13.5" hidden="false" customHeight="true" outlineLevel="0" collapsed="false">
      <c r="A33" s="628"/>
      <c r="B33" s="629"/>
      <c r="C33" s="630"/>
      <c r="D33" s="631"/>
      <c r="E33" s="631"/>
      <c r="F33" s="679" t="s">
        <v>508</v>
      </c>
      <c r="G33" s="742"/>
      <c r="H33" s="739"/>
      <c r="I33" s="739" t="n">
        <f aca="false">SUM(G33:H33)</f>
        <v>0</v>
      </c>
      <c r="J33" s="731" t="str">
        <f aca="false">+IFERROR(K33/I33,"-")</f>
        <v>-</v>
      </c>
      <c r="K33" s="739" t="n">
        <f aca="false">+IFERROR(Q33+X33+AE33+AS33+AZ33+BG33+BN33,"-")</f>
        <v>0</v>
      </c>
      <c r="L33" s="739"/>
      <c r="M33" s="739"/>
      <c r="N33" s="740"/>
      <c r="O33" s="737" t="str">
        <f aca="false">+IFERROR(P33/$I33,"-")</f>
        <v>-</v>
      </c>
      <c r="P33" s="739"/>
      <c r="Q33" s="739"/>
      <c r="R33" s="640" t="n">
        <f aca="false">+P33-Q33</f>
        <v>0</v>
      </c>
      <c r="S33" s="739"/>
      <c r="T33" s="739"/>
      <c r="U33" s="740"/>
      <c r="V33" s="737" t="str">
        <f aca="false">+IFERROR(W33/$I33,"-")</f>
        <v>-</v>
      </c>
      <c r="W33" s="739"/>
      <c r="X33" s="739"/>
      <c r="Y33" s="739"/>
      <c r="Z33" s="739"/>
      <c r="AA33" s="739"/>
      <c r="AB33" s="740"/>
      <c r="AC33" s="737" t="str">
        <f aca="false">+IFERROR(AD33/$I33,"-")</f>
        <v>-</v>
      </c>
      <c r="AD33" s="739"/>
      <c r="AE33" s="739"/>
      <c r="AF33" s="739"/>
      <c r="AG33" s="739"/>
      <c r="AH33" s="739"/>
      <c r="AI33" s="740"/>
      <c r="AJ33" s="737" t="str">
        <f aca="false">+IFERROR(AK33/$I33,"-")</f>
        <v>-</v>
      </c>
      <c r="AK33" s="739"/>
      <c r="AL33" s="739"/>
      <c r="AM33" s="739"/>
      <c r="AN33" s="739"/>
      <c r="AO33" s="739"/>
      <c r="AP33" s="740"/>
      <c r="AQ33" s="737" t="str">
        <f aca="false">+IFERROR(AR33/$I33,"-")</f>
        <v>-</v>
      </c>
      <c r="AR33" s="739"/>
      <c r="AS33" s="739"/>
      <c r="AT33" s="739"/>
      <c r="AU33" s="739"/>
      <c r="AV33" s="739"/>
      <c r="AW33" s="740"/>
      <c r="AX33" s="737" t="str">
        <f aca="false">+IFERROR(AY33/$I33,"-")</f>
        <v>-</v>
      </c>
      <c r="AY33" s="739"/>
      <c r="AZ33" s="739"/>
      <c r="BA33" s="739"/>
      <c r="BB33" s="739"/>
      <c r="BC33" s="739"/>
      <c r="BD33" s="740"/>
      <c r="BE33" s="737" t="str">
        <f aca="false">+IFERROR(BF33/$I33,"-")</f>
        <v>-</v>
      </c>
      <c r="BF33" s="739"/>
      <c r="BG33" s="739"/>
      <c r="BH33" s="739"/>
      <c r="BI33" s="739"/>
      <c r="BJ33" s="739"/>
      <c r="BK33" s="740"/>
      <c r="BL33" s="737" t="str">
        <f aca="false">+IFERROR(BM33/$I33,"-")</f>
        <v>-</v>
      </c>
      <c r="BM33" s="739"/>
      <c r="BN33" s="739"/>
      <c r="BO33" s="739"/>
      <c r="BP33" s="739"/>
      <c r="BQ33" s="666"/>
      <c r="BR33" s="667" t="n">
        <f aca="false">+P33+W33+AD33+AR33+AY33+BF33+BM33=I33</f>
        <v>1</v>
      </c>
      <c r="BS33" s="668" t="n">
        <f aca="false">+Q33+X33+AE33+AS33+AZ33+BG33+BN33=K33</f>
        <v>1</v>
      </c>
      <c r="BT33" s="668"/>
      <c r="BU33" s="621"/>
      <c r="BV33" s="621"/>
      <c r="BW33" s="621"/>
      <c r="BX33" s="621"/>
      <c r="BY33" s="621"/>
      <c r="BZ33" s="621"/>
      <c r="CA33" s="621"/>
      <c r="CB33" s="621"/>
      <c r="CC33" s="625"/>
      <c r="CD33" s="625"/>
    </row>
    <row r="34" customFormat="false" ht="13.5" hidden="false" customHeight="true" outlineLevel="0" collapsed="false">
      <c r="A34" s="628"/>
      <c r="B34" s="629"/>
      <c r="C34" s="630"/>
      <c r="D34" s="631"/>
      <c r="E34" s="631"/>
      <c r="F34" s="669" t="s">
        <v>109</v>
      </c>
      <c r="G34" s="670" t="n">
        <f aca="false">SUM(G29:G33)</f>
        <v>1700479720</v>
      </c>
      <c r="H34" s="670" t="n">
        <f aca="false">SUM(H29:H33)</f>
        <v>104328000</v>
      </c>
      <c r="I34" s="670" t="n">
        <f aca="false">SUM(I29:I33)</f>
        <v>1804807720</v>
      </c>
      <c r="J34" s="669" t="n">
        <f aca="false">+IFERROR(K34/I34,"-")</f>
        <v>0.254032446182134</v>
      </c>
      <c r="K34" s="670" t="n">
        <f aca="false">SUM(K29:K33)</f>
        <v>458479720</v>
      </c>
      <c r="L34" s="670" t="n">
        <f aca="false">SUM(L29:L33)</f>
        <v>1346328000</v>
      </c>
      <c r="M34" s="669"/>
      <c r="N34" s="669"/>
      <c r="O34" s="672" t="n">
        <f aca="false">+IFERROR(P34/$I34,"-")</f>
        <v>0.364138358184771</v>
      </c>
      <c r="P34" s="670" t="n">
        <f aca="false">SUM(P29:P33)</f>
        <v>657199720</v>
      </c>
      <c r="Q34" s="670" t="n">
        <f aca="false">SUM(Q29:Q33)</f>
        <v>458479720</v>
      </c>
      <c r="R34" s="673" t="n">
        <f aca="false">+P34-Q34</f>
        <v>198720000</v>
      </c>
      <c r="S34" s="669"/>
      <c r="T34" s="671"/>
      <c r="U34" s="669"/>
      <c r="V34" s="672" t="n">
        <f aca="false">+IFERROR(W34/$I34,"-")</f>
        <v>0</v>
      </c>
      <c r="W34" s="670" t="n">
        <f aca="false">SUM(W29:W33)</f>
        <v>0</v>
      </c>
      <c r="X34" s="670" t="n">
        <f aca="false">SUM(X29:X33)</f>
        <v>0</v>
      </c>
      <c r="Y34" s="673" t="n">
        <f aca="false">+W34-X34</f>
        <v>0</v>
      </c>
      <c r="Z34" s="669"/>
      <c r="AA34" s="671"/>
      <c r="AB34" s="669"/>
      <c r="AC34" s="672" t="n">
        <f aca="false">+IFERROR(AD34/$I34,"-")</f>
        <v>0.190758492544569</v>
      </c>
      <c r="AD34" s="670" t="n">
        <f aca="false">SUM(AD29:AD33)</f>
        <v>344282400</v>
      </c>
      <c r="AE34" s="670" t="n">
        <f aca="false">SUM(AE29:AE33)</f>
        <v>0</v>
      </c>
      <c r="AF34" s="673" t="n">
        <f aca="false">+AD34-AE34</f>
        <v>344282400</v>
      </c>
      <c r="AG34" s="669"/>
      <c r="AH34" s="671"/>
      <c r="AI34" s="669"/>
      <c r="AJ34" s="672" t="n">
        <f aca="false">+IFERROR(AK34/$I34,"-")</f>
        <v>0.254344656726092</v>
      </c>
      <c r="AK34" s="670" t="n">
        <f aca="false">SUM(AK29:AK33)</f>
        <v>459043200</v>
      </c>
      <c r="AL34" s="670" t="n">
        <f aca="false">SUM(AL29:AL33)</f>
        <v>0</v>
      </c>
      <c r="AM34" s="673" t="n">
        <f aca="false">+AK34-AL34</f>
        <v>459043200</v>
      </c>
      <c r="AN34" s="669"/>
      <c r="AO34" s="671"/>
      <c r="AP34" s="669"/>
      <c r="AQ34" s="672" t="n">
        <f aca="false">+IFERROR(AR34/$I34,"-")</f>
        <v>0</v>
      </c>
      <c r="AR34" s="670" t="n">
        <f aca="false">SUM(AR29:AR33)</f>
        <v>0</v>
      </c>
      <c r="AS34" s="670" t="n">
        <f aca="false">SUM(AS29:AS33)</f>
        <v>0</v>
      </c>
      <c r="AT34" s="673" t="n">
        <f aca="false">+AR34-AS34</f>
        <v>0</v>
      </c>
      <c r="AU34" s="669"/>
      <c r="AV34" s="671"/>
      <c r="AW34" s="669"/>
      <c r="AX34" s="672" t="n">
        <f aca="false">+IFERROR(AY34/$I34,"-")</f>
        <v>0</v>
      </c>
      <c r="AY34" s="670" t="n">
        <f aca="false">SUM(AY29:AY33)</f>
        <v>0</v>
      </c>
      <c r="AZ34" s="670" t="n">
        <f aca="false">SUM(AZ29:AZ33)</f>
        <v>0</v>
      </c>
      <c r="BA34" s="673" t="n">
        <f aca="false">+AY34-AZ34</f>
        <v>0</v>
      </c>
      <c r="BB34" s="669"/>
      <c r="BC34" s="671"/>
      <c r="BD34" s="669"/>
      <c r="BE34" s="672" t="n">
        <f aca="false">+IFERROR(BF34/$I34,"-")</f>
        <v>0</v>
      </c>
      <c r="BF34" s="670" t="n">
        <f aca="false">SUM(BF29:BF33)</f>
        <v>0</v>
      </c>
      <c r="BG34" s="670" t="n">
        <f aca="false">SUM(BG29:BG33)</f>
        <v>0</v>
      </c>
      <c r="BH34" s="673" t="n">
        <f aca="false">+BF34-BG34</f>
        <v>0</v>
      </c>
      <c r="BI34" s="669"/>
      <c r="BJ34" s="671"/>
      <c r="BK34" s="669"/>
      <c r="BL34" s="672" t="n">
        <f aca="false">+IFERROR(BM34/$I34,"-")</f>
        <v>0.190758492544569</v>
      </c>
      <c r="BM34" s="670" t="n">
        <f aca="false">SUM(BM29:BM33)</f>
        <v>344282400</v>
      </c>
      <c r="BN34" s="670" t="n">
        <f aca="false">SUM(BN29:BN33)</f>
        <v>0</v>
      </c>
      <c r="BO34" s="673" t="n">
        <f aca="false">+BM34-BN34</f>
        <v>344282400</v>
      </c>
      <c r="BP34" s="669"/>
      <c r="BQ34" s="666"/>
      <c r="BR34" s="674"/>
      <c r="BS34" s="675"/>
      <c r="BT34" s="675"/>
      <c r="BU34" s="621"/>
      <c r="BV34" s="621"/>
      <c r="BW34" s="621"/>
      <c r="BX34" s="621"/>
      <c r="BY34" s="621"/>
      <c r="BZ34" s="621"/>
      <c r="CA34" s="621"/>
      <c r="CB34" s="621"/>
      <c r="CC34" s="625"/>
      <c r="CD34" s="625"/>
    </row>
    <row r="35" customFormat="false" ht="16.5" hidden="false" customHeight="true" outlineLevel="0" collapsed="false">
      <c r="A35" s="628"/>
      <c r="B35" s="685" t="s">
        <v>109</v>
      </c>
      <c r="C35" s="685"/>
      <c r="D35" s="686" t="n">
        <f aca="false">+SUM(D11:D34)</f>
        <v>3974.4</v>
      </c>
      <c r="E35" s="687"/>
      <c r="F35" s="688" t="s">
        <v>112</v>
      </c>
      <c r="G35" s="743" t="n">
        <f aca="false">+G11+G17+G23+G29</f>
        <v>4173120000</v>
      </c>
      <c r="H35" s="743" t="n">
        <f aca="false">+H11+H17+H23+H29</f>
        <v>417312000</v>
      </c>
      <c r="I35" s="743" t="n">
        <f aca="false">+I11+I17+I23+I29</f>
        <v>4590432000</v>
      </c>
      <c r="J35" s="688" t="n">
        <f aca="false">+IFERROR(K35/I35,"-")</f>
        <v>0</v>
      </c>
      <c r="K35" s="744" t="n">
        <f aca="false">+K11+K17+K23+K29</f>
        <v>0</v>
      </c>
      <c r="L35" s="744" t="n">
        <f aca="false">+L11+L17+L23+L29</f>
        <v>4590432000</v>
      </c>
      <c r="M35" s="744"/>
      <c r="N35" s="744"/>
      <c r="O35" s="698" t="n">
        <f aca="false">+IFERROR(P35/$I35,"-")</f>
        <v>0</v>
      </c>
      <c r="P35" s="743" t="n">
        <f aca="false">+P11+P17+P23+P29</f>
        <v>0</v>
      </c>
      <c r="Q35" s="743" t="n">
        <f aca="false">+Q11+Q17+Q23+Q29</f>
        <v>0</v>
      </c>
      <c r="R35" s="745" t="n">
        <f aca="false">+P35-Q35</f>
        <v>0</v>
      </c>
      <c r="S35" s="692"/>
      <c r="T35" s="744"/>
      <c r="U35" s="744"/>
      <c r="V35" s="698" t="n">
        <f aca="false">+IFERROR(W35/$I35,"-")</f>
        <v>0</v>
      </c>
      <c r="W35" s="743" t="n">
        <f aca="false">+W11+W17+W23+W29</f>
        <v>0</v>
      </c>
      <c r="X35" s="743" t="n">
        <f aca="false">+X11+X17+X23+X29</f>
        <v>0</v>
      </c>
      <c r="Y35" s="745" t="n">
        <f aca="false">+W35-X35</f>
        <v>0</v>
      </c>
      <c r="Z35" s="692"/>
      <c r="AA35" s="744"/>
      <c r="AB35" s="744"/>
      <c r="AC35" s="698" t="n">
        <f aca="false">+IFERROR(AD35/$I35,"-")</f>
        <v>0.3</v>
      </c>
      <c r="AD35" s="743" t="n">
        <f aca="false">+AD11+AD17+AD23+AD29</f>
        <v>1377129600</v>
      </c>
      <c r="AE35" s="743" t="n">
        <f aca="false">+AE11+AE17+AE23+AE29</f>
        <v>0</v>
      </c>
      <c r="AF35" s="745" t="n">
        <f aca="false">+AD35-AE35</f>
        <v>1377129600</v>
      </c>
      <c r="AG35" s="692"/>
      <c r="AH35" s="744"/>
      <c r="AI35" s="744"/>
      <c r="AJ35" s="698" t="n">
        <f aca="false">+IFERROR(AK35/$I35,"-")</f>
        <v>0.4</v>
      </c>
      <c r="AK35" s="743" t="n">
        <f aca="false">+AK11+AK17+AK23+AK29</f>
        <v>1836172800</v>
      </c>
      <c r="AL35" s="743" t="n">
        <f aca="false">+AL11+AL17+AL23+AL29</f>
        <v>0</v>
      </c>
      <c r="AM35" s="745" t="n">
        <f aca="false">+AK35-AL35</f>
        <v>1836172800</v>
      </c>
      <c r="AN35" s="692"/>
      <c r="AO35" s="744"/>
      <c r="AP35" s="744"/>
      <c r="AQ35" s="698" t="n">
        <f aca="false">+IFERROR(AR35/$I35,"-")</f>
        <v>0</v>
      </c>
      <c r="AR35" s="743" t="n">
        <f aca="false">+AR11+AR17+AR23+AR29</f>
        <v>0</v>
      </c>
      <c r="AS35" s="743" t="n">
        <f aca="false">+AS11+AS17+AS23+AS29</f>
        <v>0</v>
      </c>
      <c r="AT35" s="745" t="n">
        <f aca="false">+AR35-AS35</f>
        <v>0</v>
      </c>
      <c r="AU35" s="692"/>
      <c r="AV35" s="744"/>
      <c r="AW35" s="744"/>
      <c r="AX35" s="698" t="n">
        <f aca="false">+IFERROR(AY35/$I35,"-")</f>
        <v>0</v>
      </c>
      <c r="AY35" s="743" t="n">
        <f aca="false">+AY11+AY17+AY23+AY29</f>
        <v>0</v>
      </c>
      <c r="AZ35" s="743" t="n">
        <f aca="false">+AZ11+AZ17+AZ23+AZ29</f>
        <v>0</v>
      </c>
      <c r="BA35" s="745" t="n">
        <f aca="false">+AY35-AZ35</f>
        <v>0</v>
      </c>
      <c r="BB35" s="692"/>
      <c r="BC35" s="744"/>
      <c r="BD35" s="744"/>
      <c r="BE35" s="698" t="n">
        <f aca="false">+IFERROR(BF35/$I35,"-")</f>
        <v>0</v>
      </c>
      <c r="BF35" s="743" t="n">
        <f aca="false">+BF11+BF17+BF23+BF29</f>
        <v>0</v>
      </c>
      <c r="BG35" s="743" t="n">
        <f aca="false">+BG11+BG17+BG23+BG29</f>
        <v>0</v>
      </c>
      <c r="BH35" s="745" t="n">
        <f aca="false">+BF35-BG35</f>
        <v>0</v>
      </c>
      <c r="BI35" s="692"/>
      <c r="BJ35" s="744"/>
      <c r="BK35" s="744"/>
      <c r="BL35" s="698" t="n">
        <f aca="false">+IFERROR(BM35/$I35,"-")</f>
        <v>0.3</v>
      </c>
      <c r="BM35" s="743" t="n">
        <f aca="false">+BM11+BM17+BM23+BM29</f>
        <v>1377129600</v>
      </c>
      <c r="BN35" s="743" t="n">
        <f aca="false">+BN11+BN17+BN23+BN29</f>
        <v>0</v>
      </c>
      <c r="BO35" s="745" t="n">
        <f aca="false">+BM35-BN35</f>
        <v>1377129600</v>
      </c>
      <c r="BP35" s="692"/>
      <c r="BQ35" s="644"/>
      <c r="BR35" s="693" t="n">
        <f aca="false">+P35+W35+AD35+AK35+AR35+AY35+BF35+BM35=I35</f>
        <v>1</v>
      </c>
      <c r="BS35" s="693" t="n">
        <f aca="false">+Q35+X35+AE35+AS35+AZ35+BG35+BN35=K35</f>
        <v>1</v>
      </c>
      <c r="BT35" s="693"/>
      <c r="BU35" s="621"/>
      <c r="BV35" s="621"/>
      <c r="BW35" s="621"/>
      <c r="BX35" s="621"/>
      <c r="BY35" s="621"/>
      <c r="BZ35" s="621"/>
      <c r="CA35" s="621"/>
      <c r="CB35" s="621"/>
      <c r="CC35" s="625"/>
      <c r="CD35" s="625"/>
    </row>
    <row r="36" customFormat="false" ht="12.75" hidden="false" customHeight="false" outlineLevel="0" collapsed="false">
      <c r="A36" s="628"/>
      <c r="B36" s="685"/>
      <c r="C36" s="685"/>
      <c r="D36" s="686"/>
      <c r="E36" s="687"/>
      <c r="F36" s="695" t="s">
        <v>114</v>
      </c>
      <c r="G36" s="746" t="n">
        <f aca="false">+G12+G18+G24+G30</f>
        <v>901492000</v>
      </c>
      <c r="H36" s="746" t="n">
        <f aca="false">+H12+H18+H24+H30</f>
        <v>0</v>
      </c>
      <c r="I36" s="746" t="n">
        <f aca="false">+G36+H36</f>
        <v>901492000</v>
      </c>
      <c r="J36" s="747" t="n">
        <f aca="false">+IFERROR(K36/I36,"-")</f>
        <v>1</v>
      </c>
      <c r="K36" s="748" t="n">
        <f aca="false">+K12+K18+K24+K30</f>
        <v>901492000</v>
      </c>
      <c r="L36" s="748" t="n">
        <f aca="false">+L12+L18+L24+L30</f>
        <v>0</v>
      </c>
      <c r="M36" s="748"/>
      <c r="N36" s="748"/>
      <c r="O36" s="749" t="n">
        <f aca="false">+IFERROR(P36/$I36,"-")</f>
        <v>1</v>
      </c>
      <c r="P36" s="746" t="n">
        <f aca="false">+P12+P18+P24+P30</f>
        <v>901492000</v>
      </c>
      <c r="Q36" s="746" t="n">
        <f aca="false">+Q12+Q18+Q24+Q30</f>
        <v>901492000</v>
      </c>
      <c r="R36" s="748" t="n">
        <f aca="false">+P36-Q36</f>
        <v>0</v>
      </c>
      <c r="S36" s="748"/>
      <c r="T36" s="748"/>
      <c r="U36" s="748"/>
      <c r="V36" s="749" t="n">
        <f aca="false">+IFERROR(W36/$I36,"-")</f>
        <v>0</v>
      </c>
      <c r="W36" s="746" t="n">
        <f aca="false">+W12+W18+W24+W30</f>
        <v>0</v>
      </c>
      <c r="X36" s="746" t="n">
        <f aca="false">+X12+X18+X24+X30</f>
        <v>0</v>
      </c>
      <c r="Y36" s="748" t="n">
        <f aca="false">+W36-X36</f>
        <v>0</v>
      </c>
      <c r="Z36" s="748"/>
      <c r="AA36" s="748"/>
      <c r="AB36" s="748"/>
      <c r="AC36" s="749" t="n">
        <f aca="false">+IFERROR(AD36/$I36,"-")</f>
        <v>0</v>
      </c>
      <c r="AD36" s="746" t="n">
        <f aca="false">+AD12+AD18+AD24+AD30</f>
        <v>0</v>
      </c>
      <c r="AE36" s="746" t="n">
        <f aca="false">+AE12+AE18+AE24+AE30</f>
        <v>0</v>
      </c>
      <c r="AF36" s="748" t="n">
        <f aca="false">+AD36-AE36</f>
        <v>0</v>
      </c>
      <c r="AG36" s="748"/>
      <c r="AH36" s="748"/>
      <c r="AI36" s="748"/>
      <c r="AJ36" s="749" t="n">
        <f aca="false">+IFERROR(AK36/$I36,"-")</f>
        <v>0</v>
      </c>
      <c r="AK36" s="746" t="n">
        <f aca="false">+AK12+AK18+AK24+AK30</f>
        <v>0</v>
      </c>
      <c r="AL36" s="746" t="n">
        <f aca="false">+AL12+AL18+AL24+AL30</f>
        <v>0</v>
      </c>
      <c r="AM36" s="748" t="n">
        <f aca="false">+AK36-AL36</f>
        <v>0</v>
      </c>
      <c r="AN36" s="748"/>
      <c r="AO36" s="748"/>
      <c r="AP36" s="748"/>
      <c r="AQ36" s="749" t="n">
        <f aca="false">+IFERROR(AR36/$I36,"-")</f>
        <v>0</v>
      </c>
      <c r="AR36" s="746" t="n">
        <f aca="false">+AR12+AR18+AR24+AR30</f>
        <v>0</v>
      </c>
      <c r="AS36" s="746" t="n">
        <f aca="false">+AS12+AS18+AS24+AS30</f>
        <v>0</v>
      </c>
      <c r="AT36" s="748" t="n">
        <f aca="false">+AR36-AS36</f>
        <v>0</v>
      </c>
      <c r="AU36" s="748"/>
      <c r="AV36" s="748"/>
      <c r="AW36" s="748"/>
      <c r="AX36" s="749" t="n">
        <f aca="false">+IFERROR(AY36/$I36,"-")</f>
        <v>0</v>
      </c>
      <c r="AY36" s="746" t="n">
        <f aca="false">+AY12+AY18+AY24+AY30</f>
        <v>0</v>
      </c>
      <c r="AZ36" s="746" t="n">
        <f aca="false">+AZ12+AZ18+AZ24+AZ30</f>
        <v>0</v>
      </c>
      <c r="BA36" s="748" t="n">
        <f aca="false">+AY36-AZ36</f>
        <v>0</v>
      </c>
      <c r="BB36" s="748"/>
      <c r="BC36" s="748"/>
      <c r="BD36" s="748"/>
      <c r="BE36" s="749" t="n">
        <f aca="false">+IFERROR(BF36/$I36,"-")</f>
        <v>0</v>
      </c>
      <c r="BF36" s="746" t="n">
        <f aca="false">+BF12+BF18+BF24+BF30</f>
        <v>0</v>
      </c>
      <c r="BG36" s="746" t="n">
        <f aca="false">+BG12+BG18+BG24+BG30</f>
        <v>0</v>
      </c>
      <c r="BH36" s="748" t="n">
        <f aca="false">+BF36-BG36</f>
        <v>0</v>
      </c>
      <c r="BI36" s="748"/>
      <c r="BJ36" s="748"/>
      <c r="BK36" s="748"/>
      <c r="BL36" s="749" t="n">
        <f aca="false">+IFERROR(BM36/$I36,"-")</f>
        <v>0</v>
      </c>
      <c r="BM36" s="746" t="n">
        <f aca="false">+BM12+BM18+BM24+BM30</f>
        <v>0</v>
      </c>
      <c r="BN36" s="746" t="n">
        <f aca="false">+BN12+BN18+BN24+BN30</f>
        <v>0</v>
      </c>
      <c r="BO36" s="748" t="n">
        <f aca="false">+BM36-BN36</f>
        <v>0</v>
      </c>
      <c r="BP36" s="748"/>
      <c r="BQ36" s="644"/>
      <c r="BR36" s="693" t="n">
        <f aca="false">+BM36+BF36+AY36+AR36+AD36+W36+P36=I36</f>
        <v>1</v>
      </c>
      <c r="BS36" s="693" t="n">
        <f aca="false">+Q36+X36+AE36+AS36+AZ36+BG36+BN36=K36</f>
        <v>1</v>
      </c>
      <c r="BT36" s="693" t="n">
        <f aca="false">+BF36+BF38+AY36+AY38+AR36+AR38+AD36+AD38+W36+W38+P36+P38+BM36+BM38=('PAYMENT RATIO_RAW'!$F$16+'PAYMENT RATIO_RAW'!$F$18)*D35*1.1/1000</f>
        <v>0</v>
      </c>
      <c r="BU36" s="621"/>
      <c r="BV36" s="621"/>
      <c r="BW36" s="621"/>
      <c r="BX36" s="621"/>
      <c r="BY36" s="621"/>
      <c r="BZ36" s="621"/>
      <c r="CA36" s="621"/>
      <c r="CB36" s="621"/>
      <c r="CC36" s="625"/>
      <c r="CD36" s="625"/>
    </row>
    <row r="37" customFormat="false" ht="12.75" hidden="false" customHeight="false" outlineLevel="0" collapsed="false">
      <c r="A37" s="628"/>
      <c r="B37" s="685"/>
      <c r="C37" s="685"/>
      <c r="D37" s="686"/>
      <c r="E37" s="687"/>
      <c r="F37" s="695" t="s">
        <v>404</v>
      </c>
      <c r="G37" s="746"/>
      <c r="H37" s="746"/>
      <c r="I37" s="746"/>
      <c r="J37" s="747"/>
      <c r="K37" s="748"/>
      <c r="L37" s="748"/>
      <c r="M37" s="748"/>
      <c r="N37" s="748"/>
      <c r="O37" s="749"/>
      <c r="P37" s="746"/>
      <c r="Q37" s="746"/>
      <c r="R37" s="748"/>
      <c r="S37" s="748"/>
      <c r="T37" s="748"/>
      <c r="U37" s="748"/>
      <c r="V37" s="749"/>
      <c r="W37" s="746"/>
      <c r="X37" s="746"/>
      <c r="Y37" s="748"/>
      <c r="Z37" s="748"/>
      <c r="AA37" s="748"/>
      <c r="AB37" s="748"/>
      <c r="AC37" s="749"/>
      <c r="AD37" s="746"/>
      <c r="AE37" s="746"/>
      <c r="AF37" s="748"/>
      <c r="AG37" s="748"/>
      <c r="AH37" s="748"/>
      <c r="AI37" s="748"/>
      <c r="AJ37" s="749"/>
      <c r="AK37" s="746"/>
      <c r="AL37" s="746"/>
      <c r="AM37" s="748"/>
      <c r="AN37" s="748"/>
      <c r="AO37" s="748"/>
      <c r="AP37" s="748"/>
      <c r="AQ37" s="749"/>
      <c r="AR37" s="746"/>
      <c r="AS37" s="746"/>
      <c r="AT37" s="748"/>
      <c r="AU37" s="748"/>
      <c r="AV37" s="748"/>
      <c r="AW37" s="748"/>
      <c r="AX37" s="749"/>
      <c r="AY37" s="746"/>
      <c r="AZ37" s="746"/>
      <c r="BA37" s="748"/>
      <c r="BB37" s="748"/>
      <c r="BC37" s="748"/>
      <c r="BD37" s="748"/>
      <c r="BE37" s="749"/>
      <c r="BF37" s="746"/>
      <c r="BG37" s="746"/>
      <c r="BH37" s="748"/>
      <c r="BI37" s="748"/>
      <c r="BJ37" s="748"/>
      <c r="BK37" s="748"/>
      <c r="BL37" s="749"/>
      <c r="BM37" s="746"/>
      <c r="BN37" s="746"/>
      <c r="BO37" s="748"/>
      <c r="BP37" s="748"/>
      <c r="BQ37" s="644"/>
      <c r="BR37" s="693" t="n">
        <f aca="false">+P37+W37+AD37+AR37+AY37+BF37+BM37=I37</f>
        <v>1</v>
      </c>
      <c r="BS37" s="693" t="n">
        <f aca="false">+Q37+X37+AE37+AS37+AZ37+BG37+BN37=K37</f>
        <v>1</v>
      </c>
      <c r="BT37" s="693"/>
      <c r="BU37" s="621"/>
      <c r="BV37" s="621"/>
      <c r="BW37" s="621"/>
      <c r="BX37" s="621"/>
      <c r="BY37" s="621"/>
      <c r="BZ37" s="621"/>
      <c r="CA37" s="621"/>
      <c r="CB37" s="621"/>
      <c r="CC37" s="625"/>
      <c r="CD37" s="625"/>
    </row>
    <row r="38" customFormat="false" ht="16.5" hidden="false" customHeight="true" outlineLevel="0" collapsed="false">
      <c r="A38" s="628"/>
      <c r="B38" s="685"/>
      <c r="C38" s="685"/>
      <c r="D38" s="686"/>
      <c r="E38" s="687"/>
      <c r="F38" s="695" t="s">
        <v>507</v>
      </c>
      <c r="G38" s="750" t="n">
        <f aca="false">+G14+G20+G26+G32</f>
        <v>794880000</v>
      </c>
      <c r="H38" s="750" t="n">
        <f aca="false">+H14+H20+H26+H32</f>
        <v>0</v>
      </c>
      <c r="I38" s="750" t="n">
        <f aca="false">+I14+I20+I26+I32</f>
        <v>794880000</v>
      </c>
      <c r="J38" s="751"/>
      <c r="K38" s="750"/>
      <c r="L38" s="750"/>
      <c r="M38" s="750"/>
      <c r="N38" s="750"/>
      <c r="O38" s="749" t="n">
        <f aca="false">+IFERROR(P38/$I38,"-")</f>
        <v>1</v>
      </c>
      <c r="P38" s="750" t="n">
        <f aca="false">+P14+P20+P26+P32</f>
        <v>794880000</v>
      </c>
      <c r="Q38" s="750" t="n">
        <f aca="false">+Q14+Q20+Q26+Q32</f>
        <v>0</v>
      </c>
      <c r="R38" s="745" t="n">
        <f aca="false">+P38-Q38</f>
        <v>794880000</v>
      </c>
      <c r="S38" s="750"/>
      <c r="T38" s="750"/>
      <c r="U38" s="750"/>
      <c r="V38" s="749" t="n">
        <f aca="false">+IFERROR(W38/$I38,"-")</f>
        <v>0</v>
      </c>
      <c r="W38" s="750" t="n">
        <f aca="false">+W14+W20+W26+W32</f>
        <v>0</v>
      </c>
      <c r="X38" s="750" t="n">
        <f aca="false">+X14+X20+X26+X32</f>
        <v>0</v>
      </c>
      <c r="Y38" s="745" t="n">
        <f aca="false">+W38-X38</f>
        <v>0</v>
      </c>
      <c r="Z38" s="750"/>
      <c r="AA38" s="750"/>
      <c r="AB38" s="750"/>
      <c r="AC38" s="749" t="n">
        <f aca="false">+IFERROR(AD38/$I38,"-")</f>
        <v>0</v>
      </c>
      <c r="AD38" s="750" t="n">
        <f aca="false">+AD14+AD20+AD26+AD32</f>
        <v>0</v>
      </c>
      <c r="AE38" s="750" t="n">
        <f aca="false">+AE14+AE20+AE26+AE32</f>
        <v>0</v>
      </c>
      <c r="AF38" s="745" t="n">
        <f aca="false">+AD38-AE38</f>
        <v>0</v>
      </c>
      <c r="AG38" s="750"/>
      <c r="AH38" s="750"/>
      <c r="AI38" s="750"/>
      <c r="AJ38" s="749" t="n">
        <f aca="false">+IFERROR(AK38/$I38,"-")</f>
        <v>0</v>
      </c>
      <c r="AK38" s="750" t="n">
        <f aca="false">+AK14+AK20+AK26+AK32</f>
        <v>0</v>
      </c>
      <c r="AL38" s="750" t="n">
        <f aca="false">+AL14+AL20+AL26+AL32</f>
        <v>0</v>
      </c>
      <c r="AM38" s="745" t="n">
        <f aca="false">+AK38-AL38</f>
        <v>0</v>
      </c>
      <c r="AN38" s="750"/>
      <c r="AO38" s="750"/>
      <c r="AP38" s="750"/>
      <c r="AQ38" s="749" t="n">
        <f aca="false">+IFERROR(AR38/$I38,"-")</f>
        <v>0</v>
      </c>
      <c r="AR38" s="750" t="n">
        <f aca="false">+AR14+AR20+AR26+AR32</f>
        <v>0</v>
      </c>
      <c r="AS38" s="750" t="n">
        <f aca="false">+AS14+AS20+AS26+AS32</f>
        <v>0</v>
      </c>
      <c r="AT38" s="745" t="n">
        <f aca="false">+AR38-AS38</f>
        <v>0</v>
      </c>
      <c r="AU38" s="750"/>
      <c r="AV38" s="750"/>
      <c r="AW38" s="750"/>
      <c r="AX38" s="749" t="n">
        <f aca="false">+IFERROR(AY38/$I38,"-")</f>
        <v>0</v>
      </c>
      <c r="AY38" s="750" t="n">
        <f aca="false">+AY14+AY20+AY26+AY32</f>
        <v>0</v>
      </c>
      <c r="AZ38" s="750" t="n">
        <f aca="false">+AZ14+AZ20+AZ26+AZ32</f>
        <v>0</v>
      </c>
      <c r="BA38" s="745" t="n">
        <f aca="false">+AY38-AZ38</f>
        <v>0</v>
      </c>
      <c r="BB38" s="750"/>
      <c r="BC38" s="750"/>
      <c r="BD38" s="750"/>
      <c r="BE38" s="749" t="n">
        <f aca="false">+IFERROR(BF38/$I38,"-")</f>
        <v>0</v>
      </c>
      <c r="BF38" s="750" t="n">
        <f aca="false">+BF14+BF20+BF26+BF32</f>
        <v>0</v>
      </c>
      <c r="BG38" s="750" t="n">
        <f aca="false">+BG14+BG20+BG26+BG32</f>
        <v>0</v>
      </c>
      <c r="BH38" s="745" t="n">
        <f aca="false">+BF38-BG38</f>
        <v>0</v>
      </c>
      <c r="BI38" s="750"/>
      <c r="BJ38" s="750"/>
      <c r="BK38" s="750"/>
      <c r="BL38" s="749" t="n">
        <f aca="false">+IFERROR(BM38/$I38,"-")</f>
        <v>0</v>
      </c>
      <c r="BM38" s="750" t="n">
        <f aca="false">+BM14+BM20+BM26+BM32</f>
        <v>0</v>
      </c>
      <c r="BN38" s="750" t="n">
        <f aca="false">+BN14+BN20+BN26+BN32</f>
        <v>0</v>
      </c>
      <c r="BO38" s="745" t="n">
        <f aca="false">+BM38-BN38</f>
        <v>0</v>
      </c>
      <c r="BP38" s="750"/>
      <c r="BQ38" s="644"/>
      <c r="BR38" s="693" t="n">
        <f aca="false">+P38+W38+AD38+AR38+AY38+BF38+BM38=I38</f>
        <v>1</v>
      </c>
      <c r="BS38" s="693" t="n">
        <f aca="false">+Q38+X38+AE38+AS38+AZ38+BG38+BN38=K38</f>
        <v>1</v>
      </c>
      <c r="BT38" s="693"/>
      <c r="BU38" s="621"/>
      <c r="BV38" s="621"/>
      <c r="BW38" s="621"/>
      <c r="BX38" s="621"/>
      <c r="BY38" s="621"/>
      <c r="BZ38" s="621"/>
      <c r="CA38" s="621"/>
      <c r="CB38" s="621"/>
      <c r="CC38" s="625"/>
      <c r="CD38" s="625"/>
    </row>
    <row r="39" customFormat="false" ht="16.5" hidden="false" customHeight="true" outlineLevel="0" collapsed="false">
      <c r="A39" s="628"/>
      <c r="B39" s="685"/>
      <c r="C39" s="685"/>
      <c r="D39" s="686"/>
      <c r="E39" s="687"/>
      <c r="F39" s="700" t="s">
        <v>508</v>
      </c>
      <c r="G39" s="752" t="n">
        <f aca="false">+G15+G21+G27+G33</f>
        <v>0</v>
      </c>
      <c r="H39" s="752" t="e">
        <f aca="false">+#REF!+H21+H27+H33</f>
        <v>#REF!</v>
      </c>
      <c r="I39" s="753" t="n">
        <f aca="false">+H15+I21+I27+I33</f>
        <v>0</v>
      </c>
      <c r="J39" s="751"/>
      <c r="K39" s="753"/>
      <c r="L39" s="753"/>
      <c r="M39" s="753"/>
      <c r="N39" s="753"/>
      <c r="O39" s="754" t="str">
        <f aca="false">+IFERROR(P39/$I39,"-")</f>
        <v>-</v>
      </c>
      <c r="P39" s="752" t="n">
        <f aca="false">+P15+P21+P27+P33</f>
        <v>0</v>
      </c>
      <c r="Q39" s="752" t="n">
        <f aca="false">+Q15+Q21+Q27+Q33</f>
        <v>0</v>
      </c>
      <c r="R39" s="745" t="n">
        <f aca="false">+P39-Q39</f>
        <v>0</v>
      </c>
      <c r="S39" s="753"/>
      <c r="T39" s="753"/>
      <c r="U39" s="753"/>
      <c r="V39" s="754" t="str">
        <f aca="false">+IFERROR(W39/$I39,"-")</f>
        <v>-</v>
      </c>
      <c r="W39" s="752" t="n">
        <f aca="false">+W15+W21+W27+W33</f>
        <v>0</v>
      </c>
      <c r="X39" s="752" t="n">
        <f aca="false">+X15+X21+X27+X33</f>
        <v>0</v>
      </c>
      <c r="Y39" s="745" t="n">
        <f aca="false">+W39-X39</f>
        <v>0</v>
      </c>
      <c r="Z39" s="753"/>
      <c r="AA39" s="753"/>
      <c r="AB39" s="753"/>
      <c r="AC39" s="754" t="str">
        <f aca="false">+IFERROR(AD39/$I39,"-")</f>
        <v>-</v>
      </c>
      <c r="AD39" s="752" t="n">
        <f aca="false">+AD15+AD21+AD27+AD33</f>
        <v>0</v>
      </c>
      <c r="AE39" s="752" t="n">
        <f aca="false">+AE15+AE21+AE27+AE33</f>
        <v>0</v>
      </c>
      <c r="AF39" s="745" t="n">
        <f aca="false">+AD39-AE39</f>
        <v>0</v>
      </c>
      <c r="AG39" s="753"/>
      <c r="AH39" s="753"/>
      <c r="AI39" s="753"/>
      <c r="AJ39" s="754" t="str">
        <f aca="false">+IFERROR(AK39/$I39,"-")</f>
        <v>-</v>
      </c>
      <c r="AK39" s="752" t="n">
        <f aca="false">+AK15+AK21+AK27+AK33</f>
        <v>0</v>
      </c>
      <c r="AL39" s="752" t="n">
        <f aca="false">+AL15+AL21+AL27+AL33</f>
        <v>0</v>
      </c>
      <c r="AM39" s="745" t="n">
        <f aca="false">+AK39-AL39</f>
        <v>0</v>
      </c>
      <c r="AN39" s="753"/>
      <c r="AO39" s="753"/>
      <c r="AP39" s="753"/>
      <c r="AQ39" s="754" t="str">
        <f aca="false">+IFERROR(AR39/$I39,"-")</f>
        <v>-</v>
      </c>
      <c r="AR39" s="752" t="n">
        <f aca="false">+AR15+AR21+AR27+AR33</f>
        <v>0</v>
      </c>
      <c r="AS39" s="752" t="n">
        <f aca="false">+AS15+AS21+AS27+AS33</f>
        <v>0</v>
      </c>
      <c r="AT39" s="745" t="n">
        <f aca="false">+AR39-AS39</f>
        <v>0</v>
      </c>
      <c r="AU39" s="753"/>
      <c r="AV39" s="753"/>
      <c r="AW39" s="753"/>
      <c r="AX39" s="754" t="str">
        <f aca="false">+IFERROR(AY39/$I39,"-")</f>
        <v>-</v>
      </c>
      <c r="AY39" s="752" t="n">
        <f aca="false">+AY15+AY21+AY27+AY33</f>
        <v>0</v>
      </c>
      <c r="AZ39" s="752" t="n">
        <f aca="false">+AZ15+AZ21+AZ27+AZ33</f>
        <v>0</v>
      </c>
      <c r="BA39" s="745" t="n">
        <f aca="false">+AY39-AZ39</f>
        <v>0</v>
      </c>
      <c r="BB39" s="753"/>
      <c r="BC39" s="753"/>
      <c r="BD39" s="753"/>
      <c r="BE39" s="754" t="str">
        <f aca="false">+IFERROR(BF39/$I39,"-")</f>
        <v>-</v>
      </c>
      <c r="BF39" s="752" t="n">
        <f aca="false">+BF15+BF21+BF27+BF33</f>
        <v>0</v>
      </c>
      <c r="BG39" s="752" t="n">
        <f aca="false">+BG15+BG21+BG27+BG33</f>
        <v>0</v>
      </c>
      <c r="BH39" s="745" t="n">
        <f aca="false">+BF39-BG39</f>
        <v>0</v>
      </c>
      <c r="BI39" s="753"/>
      <c r="BJ39" s="753"/>
      <c r="BK39" s="753"/>
      <c r="BL39" s="754" t="str">
        <f aca="false">+IFERROR(BM39/$I39,"-")</f>
        <v>-</v>
      </c>
      <c r="BM39" s="752" t="n">
        <f aca="false">+BM15+BM21+BM27+BM33</f>
        <v>0</v>
      </c>
      <c r="BN39" s="752" t="n">
        <f aca="false">+BN15+BN21+BN27+BN33</f>
        <v>0</v>
      </c>
      <c r="BO39" s="745" t="n">
        <f aca="false">+BM39-BN39</f>
        <v>0</v>
      </c>
      <c r="BP39" s="753"/>
      <c r="BQ39" s="666"/>
      <c r="BR39" s="703" t="n">
        <f aca="false">+P39+W39+AD39+AR39+AY39+BF39+BM39=I39</f>
        <v>1</v>
      </c>
      <c r="BS39" s="704" t="n">
        <f aca="false">+Q39+X39+AE39+AS39+AZ39+BG39+BN39=K39</f>
        <v>1</v>
      </c>
      <c r="BT39" s="704"/>
      <c r="BU39" s="621"/>
      <c r="BV39" s="621"/>
      <c r="BW39" s="621"/>
      <c r="BX39" s="621"/>
      <c r="BY39" s="621"/>
      <c r="BZ39" s="621"/>
      <c r="CA39" s="621"/>
      <c r="CB39" s="621"/>
      <c r="CC39" s="625"/>
      <c r="CD39" s="625"/>
    </row>
    <row r="40" customFormat="false" ht="12.75" hidden="false" customHeight="false" outlineLevel="0" collapsed="false">
      <c r="A40" s="628"/>
      <c r="B40" s="685"/>
      <c r="C40" s="685"/>
      <c r="D40" s="686"/>
      <c r="E40" s="686"/>
      <c r="F40" s="705" t="s">
        <v>109</v>
      </c>
      <c r="G40" s="706" t="n">
        <f aca="false">SUM(G35:G39)</f>
        <v>5869492000</v>
      </c>
      <c r="H40" s="706" t="e">
        <f aca="false">SUM(H35:H39)</f>
        <v>#REF!</v>
      </c>
      <c r="I40" s="706" t="n">
        <f aca="false">SUM(I35:I39)</f>
        <v>6286804000</v>
      </c>
      <c r="J40" s="705" t="n">
        <f aca="false">+IFERROR(K40/I40,"-")</f>
        <v>0.143394322457007</v>
      </c>
      <c r="K40" s="706" t="n">
        <f aca="false">SUM(K35:K39)</f>
        <v>901492000</v>
      </c>
      <c r="L40" s="706" t="n">
        <f aca="false">SUM(L35:L39)</f>
        <v>4590432000</v>
      </c>
      <c r="M40" s="707"/>
      <c r="N40" s="705"/>
      <c r="O40" s="708" t="n">
        <f aca="false">+IFERROR(P40/$I40,"-")</f>
        <v>0.269830584824976</v>
      </c>
      <c r="P40" s="706" t="n">
        <f aca="false">SUM(P35:P39)</f>
        <v>1696372000</v>
      </c>
      <c r="Q40" s="706" t="n">
        <f aca="false">SUM(Q35:Q39)</f>
        <v>901492000</v>
      </c>
      <c r="R40" s="709" t="n">
        <f aca="false">+P40-Q40</f>
        <v>794880000</v>
      </c>
      <c r="S40" s="705"/>
      <c r="T40" s="707"/>
      <c r="U40" s="705"/>
      <c r="V40" s="708" t="n">
        <f aca="false">+IFERROR(W40/$I40,"-")</f>
        <v>0</v>
      </c>
      <c r="W40" s="706" t="n">
        <f aca="false">SUM(W35:W39)</f>
        <v>0</v>
      </c>
      <c r="X40" s="706" t="n">
        <f aca="false">SUM(X35:X39)</f>
        <v>0</v>
      </c>
      <c r="Y40" s="709" t="n">
        <f aca="false">+W40-X40</f>
        <v>0</v>
      </c>
      <c r="Z40" s="705"/>
      <c r="AA40" s="707"/>
      <c r="AB40" s="705"/>
      <c r="AC40" s="708" t="n">
        <f aca="false">+IFERROR(AD40/$I40,"-")</f>
        <v>0.219050824552507</v>
      </c>
      <c r="AD40" s="706" t="n">
        <f aca="false">SUM(AD35:AD39)</f>
        <v>1377129600</v>
      </c>
      <c r="AE40" s="706" t="n">
        <f aca="false">SUM(AE35:AE39)</f>
        <v>0</v>
      </c>
      <c r="AF40" s="709" t="n">
        <f aca="false">+AD40-AE40</f>
        <v>1377129600</v>
      </c>
      <c r="AG40" s="705"/>
      <c r="AH40" s="707"/>
      <c r="AI40" s="705"/>
      <c r="AJ40" s="708" t="n">
        <f aca="false">+IFERROR(AK40/$I40,"-")</f>
        <v>0.29206776607001</v>
      </c>
      <c r="AK40" s="706" t="n">
        <f aca="false">SUM(AK35:AK39)</f>
        <v>1836172800</v>
      </c>
      <c r="AL40" s="706" t="n">
        <f aca="false">SUM(AL35:AL39)</f>
        <v>0</v>
      </c>
      <c r="AM40" s="709" t="n">
        <f aca="false">+AK40-AL40</f>
        <v>1836172800</v>
      </c>
      <c r="AN40" s="705"/>
      <c r="AO40" s="707"/>
      <c r="AP40" s="705"/>
      <c r="AQ40" s="708" t="n">
        <f aca="false">+IFERROR(AR40/$I40,"-")</f>
        <v>0</v>
      </c>
      <c r="AR40" s="706" t="n">
        <f aca="false">SUM(AR35:AR39)</f>
        <v>0</v>
      </c>
      <c r="AS40" s="706" t="n">
        <f aca="false">SUM(AS35:AS39)</f>
        <v>0</v>
      </c>
      <c r="AT40" s="709" t="n">
        <f aca="false">+AR40-AS40</f>
        <v>0</v>
      </c>
      <c r="AU40" s="705"/>
      <c r="AV40" s="707"/>
      <c r="AW40" s="705"/>
      <c r="AX40" s="708" t="n">
        <f aca="false">+IFERROR(AY40/$I40,"-")</f>
        <v>0</v>
      </c>
      <c r="AY40" s="706" t="n">
        <f aca="false">SUM(AY35:AY39)</f>
        <v>0</v>
      </c>
      <c r="AZ40" s="706" t="n">
        <f aca="false">SUM(AZ35:AZ39)</f>
        <v>0</v>
      </c>
      <c r="BA40" s="709" t="n">
        <f aca="false">+AY40-AZ40</f>
        <v>0</v>
      </c>
      <c r="BB40" s="705"/>
      <c r="BC40" s="707"/>
      <c r="BD40" s="705"/>
      <c r="BE40" s="708" t="n">
        <f aca="false">+IFERROR(BF40/$I40,"-")</f>
        <v>0</v>
      </c>
      <c r="BF40" s="706" t="n">
        <f aca="false">SUM(BF35:BF39)</f>
        <v>0</v>
      </c>
      <c r="BG40" s="706" t="n">
        <f aca="false">SUM(BG35:BG39)</f>
        <v>0</v>
      </c>
      <c r="BH40" s="709" t="n">
        <f aca="false">+BF40-BG40</f>
        <v>0</v>
      </c>
      <c r="BI40" s="705"/>
      <c r="BJ40" s="707"/>
      <c r="BK40" s="705"/>
      <c r="BL40" s="708" t="n">
        <f aca="false">+IFERROR(BM40/$I40,"-")</f>
        <v>0.219050824552507</v>
      </c>
      <c r="BM40" s="706" t="n">
        <f aca="false">SUM(BM35:BM39)</f>
        <v>1377129600</v>
      </c>
      <c r="BN40" s="706" t="n">
        <f aca="false">SUM(BN35:BN39)</f>
        <v>0</v>
      </c>
      <c r="BO40" s="709" t="n">
        <f aca="false">+BM40-BN40</f>
        <v>1377129600</v>
      </c>
      <c r="BP40" s="705"/>
      <c r="BQ40" s="666"/>
      <c r="BR40" s="710"/>
      <c r="BS40" s="711"/>
      <c r="BT40" s="711"/>
      <c r="BU40" s="621"/>
      <c r="BV40" s="621"/>
      <c r="BW40" s="621"/>
      <c r="BX40" s="621"/>
      <c r="BY40" s="621"/>
      <c r="BZ40" s="621"/>
      <c r="CA40" s="621"/>
      <c r="CB40" s="621"/>
      <c r="CC40" s="625"/>
      <c r="CD40" s="625"/>
    </row>
    <row r="41" customFormat="false" ht="12.75" hidden="false" customHeight="false" outlineLevel="0" collapsed="false">
      <c r="G41" s="712"/>
      <c r="H41" s="712"/>
    </row>
    <row r="43" customFormat="false" ht="12.75" hidden="false" customHeight="false" outlineLevel="0" collapsed="false">
      <c r="D43" s="716"/>
      <c r="G43" s="712" t="n">
        <f aca="false">G38+'GM Batch2-APA'!G50</f>
        <v>1274664000</v>
      </c>
    </row>
    <row r="47" customFormat="false" ht="12.75" hidden="false" customHeight="false" outlineLevel="0" collapsed="false">
      <c r="W47" s="716"/>
      <c r="Y47" s="716"/>
      <c r="AD47" s="716"/>
      <c r="AF47" s="716"/>
      <c r="AK47" s="716"/>
      <c r="AM47" s="716"/>
      <c r="AR47" s="716"/>
      <c r="AT47" s="716"/>
      <c r="AY47" s="716"/>
      <c r="BA47" s="716"/>
      <c r="BF47" s="716"/>
      <c r="BH47" s="716"/>
      <c r="BM47" s="716"/>
      <c r="BO47" s="716"/>
      <c r="BU47" s="716"/>
      <c r="BV47" s="716"/>
      <c r="BY47" s="716"/>
    </row>
  </sheetData>
  <mergeCells count="348">
    <mergeCell ref="B8:C8"/>
    <mergeCell ref="B9:B10"/>
    <mergeCell ref="C9:C10"/>
    <mergeCell ref="D9:D10"/>
    <mergeCell ref="E9:E10"/>
    <mergeCell ref="F9:F10"/>
    <mergeCell ref="G9:G10"/>
    <mergeCell ref="H9:H10"/>
    <mergeCell ref="I9:I10"/>
    <mergeCell ref="J9:L9"/>
    <mergeCell ref="M9:S9"/>
    <mergeCell ref="T9:Z9"/>
    <mergeCell ref="AA9:AG9"/>
    <mergeCell ref="AH9:AN9"/>
    <mergeCell ref="AO9:AU9"/>
    <mergeCell ref="AV9:BB9"/>
    <mergeCell ref="BC9:BI9"/>
    <mergeCell ref="BJ9:BP9"/>
    <mergeCell ref="BR9:BT10"/>
    <mergeCell ref="B11:B16"/>
    <mergeCell ref="C11:C16"/>
    <mergeCell ref="D11:D16"/>
    <mergeCell ref="E11:E16"/>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Y12:AY13"/>
    <mergeCell ref="AZ12:AZ13"/>
    <mergeCell ref="BA12:BA13"/>
    <mergeCell ref="BB12:BB13"/>
    <mergeCell ref="BC12:BC13"/>
    <mergeCell ref="BD12:BD13"/>
    <mergeCell ref="BE12:BE13"/>
    <mergeCell ref="BF12:BF13"/>
    <mergeCell ref="BG12:BG13"/>
    <mergeCell ref="BH12:BH13"/>
    <mergeCell ref="BI12:BI13"/>
    <mergeCell ref="BJ12:BJ13"/>
    <mergeCell ref="BK12:BK13"/>
    <mergeCell ref="BL12:BL13"/>
    <mergeCell ref="BM12:BM13"/>
    <mergeCell ref="BN12:BN13"/>
    <mergeCell ref="BO12:BO13"/>
    <mergeCell ref="BP12:BP13"/>
    <mergeCell ref="B17:B22"/>
    <mergeCell ref="C17:C22"/>
    <mergeCell ref="D17:D22"/>
    <mergeCell ref="E17:E22"/>
    <mergeCell ref="G18:G19"/>
    <mergeCell ref="H18:H19"/>
    <mergeCell ref="I18:I19"/>
    <mergeCell ref="J18:J19"/>
    <mergeCell ref="K18:K19"/>
    <mergeCell ref="L18:L19"/>
    <mergeCell ref="M18:M19"/>
    <mergeCell ref="N18:N19"/>
    <mergeCell ref="O18:O19"/>
    <mergeCell ref="P18:P19"/>
    <mergeCell ref="Q18:Q19"/>
    <mergeCell ref="R18:R19"/>
    <mergeCell ref="S18:S19"/>
    <mergeCell ref="T18:T19"/>
    <mergeCell ref="U18:U19"/>
    <mergeCell ref="V18:V19"/>
    <mergeCell ref="W18:W19"/>
    <mergeCell ref="X18:X19"/>
    <mergeCell ref="Y18:Y19"/>
    <mergeCell ref="Z18:Z19"/>
    <mergeCell ref="AA18:AA19"/>
    <mergeCell ref="AB18:AB19"/>
    <mergeCell ref="AC18:AC19"/>
    <mergeCell ref="AD18:AD19"/>
    <mergeCell ref="AE18:AE19"/>
    <mergeCell ref="AF18:AF19"/>
    <mergeCell ref="AG18:AG19"/>
    <mergeCell ref="AH18:AH19"/>
    <mergeCell ref="AI18:AI19"/>
    <mergeCell ref="AJ18:AJ19"/>
    <mergeCell ref="AK18:AK19"/>
    <mergeCell ref="AL18:AL19"/>
    <mergeCell ref="AM18:AM19"/>
    <mergeCell ref="AN18:AN19"/>
    <mergeCell ref="AO18:AO19"/>
    <mergeCell ref="AP18:AP19"/>
    <mergeCell ref="AQ18:AQ19"/>
    <mergeCell ref="AR18:AR19"/>
    <mergeCell ref="AS18:AS19"/>
    <mergeCell ref="AT18:AT19"/>
    <mergeCell ref="AU18:AU19"/>
    <mergeCell ref="AV18:AV19"/>
    <mergeCell ref="AW18:AW19"/>
    <mergeCell ref="AX18:AX19"/>
    <mergeCell ref="AY18:AY19"/>
    <mergeCell ref="AZ18:AZ19"/>
    <mergeCell ref="BA18:BA19"/>
    <mergeCell ref="BB18:BB19"/>
    <mergeCell ref="BC18:BC19"/>
    <mergeCell ref="BD18:BD19"/>
    <mergeCell ref="BE18:BE19"/>
    <mergeCell ref="BF18:BF19"/>
    <mergeCell ref="BG18:BG19"/>
    <mergeCell ref="BH18:BH19"/>
    <mergeCell ref="BI18:BI19"/>
    <mergeCell ref="BJ18:BJ19"/>
    <mergeCell ref="BK18:BK19"/>
    <mergeCell ref="BL18:BL19"/>
    <mergeCell ref="BM18:BM19"/>
    <mergeCell ref="BN18:BN19"/>
    <mergeCell ref="BO18:BO19"/>
    <mergeCell ref="BP18:BP19"/>
    <mergeCell ref="B23:B28"/>
    <mergeCell ref="C23:C28"/>
    <mergeCell ref="D23:D28"/>
    <mergeCell ref="E23:E28"/>
    <mergeCell ref="G24:G25"/>
    <mergeCell ref="H24:H25"/>
    <mergeCell ref="I24:I25"/>
    <mergeCell ref="J24:J25"/>
    <mergeCell ref="K24:K25"/>
    <mergeCell ref="L24:L25"/>
    <mergeCell ref="M24:M25"/>
    <mergeCell ref="N24:N25"/>
    <mergeCell ref="O24:O25"/>
    <mergeCell ref="P24:P25"/>
    <mergeCell ref="Q24:Q25"/>
    <mergeCell ref="R24:R25"/>
    <mergeCell ref="S24:S25"/>
    <mergeCell ref="T24:T25"/>
    <mergeCell ref="U24:U25"/>
    <mergeCell ref="V24:V25"/>
    <mergeCell ref="W24:W25"/>
    <mergeCell ref="X24:X25"/>
    <mergeCell ref="Y24:Y25"/>
    <mergeCell ref="Z24:Z25"/>
    <mergeCell ref="AA24:AA25"/>
    <mergeCell ref="AB24:AB25"/>
    <mergeCell ref="AC24:AC25"/>
    <mergeCell ref="AD24:AD25"/>
    <mergeCell ref="AE24:AE25"/>
    <mergeCell ref="AF24:AF25"/>
    <mergeCell ref="AG24:AG25"/>
    <mergeCell ref="AH24:AH25"/>
    <mergeCell ref="AI24:AI25"/>
    <mergeCell ref="AJ24:AJ25"/>
    <mergeCell ref="AK24:AK25"/>
    <mergeCell ref="AL24:AL25"/>
    <mergeCell ref="AM24:AM25"/>
    <mergeCell ref="AN24:AN25"/>
    <mergeCell ref="AO24:AO25"/>
    <mergeCell ref="AP24:AP25"/>
    <mergeCell ref="AQ24:AQ25"/>
    <mergeCell ref="AR24:AR25"/>
    <mergeCell ref="AS24:AS25"/>
    <mergeCell ref="AT24:AT25"/>
    <mergeCell ref="AU24:AU25"/>
    <mergeCell ref="AV24:AV25"/>
    <mergeCell ref="AW24:AW25"/>
    <mergeCell ref="AX24:AX25"/>
    <mergeCell ref="AY24:AY25"/>
    <mergeCell ref="AZ24:AZ25"/>
    <mergeCell ref="BA24:BA25"/>
    <mergeCell ref="BB24:BB25"/>
    <mergeCell ref="BC24:BC25"/>
    <mergeCell ref="BD24:BD25"/>
    <mergeCell ref="BE24:BE25"/>
    <mergeCell ref="BF24:BF25"/>
    <mergeCell ref="BG24:BG25"/>
    <mergeCell ref="BH24:BH25"/>
    <mergeCell ref="BI24:BI25"/>
    <mergeCell ref="BJ24:BJ25"/>
    <mergeCell ref="BK24:BK25"/>
    <mergeCell ref="BL24:BL25"/>
    <mergeCell ref="BM24:BM25"/>
    <mergeCell ref="BN24:BN25"/>
    <mergeCell ref="BO24:BO25"/>
    <mergeCell ref="BP24:BP25"/>
    <mergeCell ref="B29:B34"/>
    <mergeCell ref="C29:C34"/>
    <mergeCell ref="D29:D34"/>
    <mergeCell ref="E29:E34"/>
    <mergeCell ref="G30:G31"/>
    <mergeCell ref="H30:H31"/>
    <mergeCell ref="I30:I31"/>
    <mergeCell ref="J30:J31"/>
    <mergeCell ref="K30:K31"/>
    <mergeCell ref="L30:L31"/>
    <mergeCell ref="M30:M31"/>
    <mergeCell ref="N30:N31"/>
    <mergeCell ref="O30:O31"/>
    <mergeCell ref="P30:P31"/>
    <mergeCell ref="Q30:Q31"/>
    <mergeCell ref="R30:R31"/>
    <mergeCell ref="S30:S31"/>
    <mergeCell ref="T30:T31"/>
    <mergeCell ref="U30:U31"/>
    <mergeCell ref="V30:V31"/>
    <mergeCell ref="W30:W31"/>
    <mergeCell ref="X30:X31"/>
    <mergeCell ref="Y30:Y31"/>
    <mergeCell ref="Z30:Z31"/>
    <mergeCell ref="AA30:AA31"/>
    <mergeCell ref="AB30:AB31"/>
    <mergeCell ref="AC30:AC31"/>
    <mergeCell ref="AD30:AD31"/>
    <mergeCell ref="AE30:AE31"/>
    <mergeCell ref="AF30:AF31"/>
    <mergeCell ref="AG30:AG31"/>
    <mergeCell ref="AH30:AH31"/>
    <mergeCell ref="AI30:AI31"/>
    <mergeCell ref="AJ30:AJ31"/>
    <mergeCell ref="AK30:AK31"/>
    <mergeCell ref="AL30:AL31"/>
    <mergeCell ref="AM30:AM31"/>
    <mergeCell ref="AN30:AN31"/>
    <mergeCell ref="AO30:AO31"/>
    <mergeCell ref="AP30:AP31"/>
    <mergeCell ref="AQ30:AQ31"/>
    <mergeCell ref="AR30:AR31"/>
    <mergeCell ref="AS30:AS31"/>
    <mergeCell ref="AT30:AT31"/>
    <mergeCell ref="AU30:AU31"/>
    <mergeCell ref="AV30:AV31"/>
    <mergeCell ref="AW30:AW31"/>
    <mergeCell ref="AX30:AX31"/>
    <mergeCell ref="AY30:AY31"/>
    <mergeCell ref="AZ30:AZ31"/>
    <mergeCell ref="BA30:BA31"/>
    <mergeCell ref="BB30:BB31"/>
    <mergeCell ref="BC30:BC31"/>
    <mergeCell ref="BD30:BD31"/>
    <mergeCell ref="BE30:BE31"/>
    <mergeCell ref="BF30:BF31"/>
    <mergeCell ref="BG30:BG31"/>
    <mergeCell ref="BH30:BH31"/>
    <mergeCell ref="BI30:BI31"/>
    <mergeCell ref="BJ30:BJ31"/>
    <mergeCell ref="BK30:BK31"/>
    <mergeCell ref="BL30:BL31"/>
    <mergeCell ref="BM30:BM31"/>
    <mergeCell ref="BN30:BN31"/>
    <mergeCell ref="BO30:BO31"/>
    <mergeCell ref="BP30:BP31"/>
    <mergeCell ref="B35:C40"/>
    <mergeCell ref="D35:D40"/>
    <mergeCell ref="E35:E40"/>
    <mergeCell ref="G36:G37"/>
    <mergeCell ref="H36:H37"/>
    <mergeCell ref="I36:I37"/>
    <mergeCell ref="J36:J37"/>
    <mergeCell ref="K36:K37"/>
    <mergeCell ref="L36:L37"/>
    <mergeCell ref="M36:M37"/>
    <mergeCell ref="N36:N37"/>
    <mergeCell ref="O36:O37"/>
    <mergeCell ref="P36:P37"/>
    <mergeCell ref="Q36:Q37"/>
    <mergeCell ref="R36:R37"/>
    <mergeCell ref="S36:S37"/>
    <mergeCell ref="T36:T37"/>
    <mergeCell ref="U36:U37"/>
    <mergeCell ref="V36:V37"/>
    <mergeCell ref="W36:W37"/>
    <mergeCell ref="X36:X37"/>
    <mergeCell ref="Y36:Y37"/>
    <mergeCell ref="Z36:Z37"/>
    <mergeCell ref="AA36:AA37"/>
    <mergeCell ref="AB36:AB37"/>
    <mergeCell ref="AC36:AC37"/>
    <mergeCell ref="AD36:AD37"/>
    <mergeCell ref="AE36:AE37"/>
    <mergeCell ref="AF36:AF37"/>
    <mergeCell ref="AG36:AG37"/>
    <mergeCell ref="AH36:AH37"/>
    <mergeCell ref="AI36:AI37"/>
    <mergeCell ref="AJ36:AJ37"/>
    <mergeCell ref="AK36:AK37"/>
    <mergeCell ref="AL36:AL37"/>
    <mergeCell ref="AM36:AM37"/>
    <mergeCell ref="AN36:AN37"/>
    <mergeCell ref="AO36:AO37"/>
    <mergeCell ref="AP36:AP37"/>
    <mergeCell ref="AQ36:AQ37"/>
    <mergeCell ref="AR36:AR37"/>
    <mergeCell ref="AS36:AS37"/>
    <mergeCell ref="AT36:AT37"/>
    <mergeCell ref="AU36:AU37"/>
    <mergeCell ref="AV36:AV37"/>
    <mergeCell ref="AW36:AW37"/>
    <mergeCell ref="AX36:AX37"/>
    <mergeCell ref="AY36:AY37"/>
    <mergeCell ref="AZ36:AZ37"/>
    <mergeCell ref="BA36:BA37"/>
    <mergeCell ref="BB36:BB37"/>
    <mergeCell ref="BC36:BC37"/>
    <mergeCell ref="BD36:BD37"/>
    <mergeCell ref="BE36:BE37"/>
    <mergeCell ref="BF36:BF37"/>
    <mergeCell ref="BG36:BG37"/>
    <mergeCell ref="BH36:BH37"/>
    <mergeCell ref="BI36:BI37"/>
    <mergeCell ref="BJ36:BJ37"/>
    <mergeCell ref="BK36:BK37"/>
    <mergeCell ref="BL36:BL37"/>
    <mergeCell ref="BM36:BM37"/>
    <mergeCell ref="BN36:BN37"/>
    <mergeCell ref="BO36:BO37"/>
    <mergeCell ref="BP36:BP37"/>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CD63"/>
  <sheetViews>
    <sheetView showFormulas="false" showGridLines="false" showRowColHeaders="true" showZeros="true" rightToLeft="false" tabSelected="false" showOutlineSymbols="true" defaultGridColor="true" view="normal" topLeftCell="A1" colorId="64" zoomScale="100" zoomScaleNormal="100" zoomScalePageLayoutView="55" workbookViewId="0">
      <pane xSplit="9" ySplit="10" topLeftCell="Q11" activePane="bottomRight" state="frozen"/>
      <selection pane="topLeft" activeCell="A1" activeCellId="0" sqref="A1"/>
      <selection pane="topRight" activeCell="Q1" activeCellId="0" sqref="Q1"/>
      <selection pane="bottomLeft" activeCell="A11" activeCellId="0" sqref="A11"/>
      <selection pane="bottomRight" activeCell="B4" activeCellId="0" sqref="B4"/>
    </sheetView>
  </sheetViews>
  <sheetFormatPr defaultColWidth="9" defaultRowHeight="12.75" zeroHeight="false" outlineLevelRow="0" outlineLevelCol="1"/>
  <cols>
    <col collapsed="false" customWidth="true" hidden="false" outlineLevel="0" max="1" min="1" style="40" width="1.63"/>
    <col collapsed="false" customWidth="true" hidden="false" outlineLevel="0" max="2" min="2" style="40" width="4.88"/>
    <col collapsed="false" customWidth="true" hidden="false" outlineLevel="0" max="3" min="3" style="40" width="17.63"/>
    <col collapsed="false" customWidth="true" hidden="false" outlineLevel="0" max="4" min="4" style="40" width="12.62"/>
    <col collapsed="false" customWidth="true" hidden="false" outlineLevel="0" max="5" min="5" style="40" width="12.37"/>
    <col collapsed="false" customWidth="true" hidden="false" outlineLevel="0" max="6" min="6" style="40" width="17"/>
    <col collapsed="false" customWidth="true" hidden="false" outlineLevel="0" max="9" min="7" style="40" width="11.62"/>
    <col collapsed="false" customWidth="true" hidden="false" outlineLevel="0" max="10" min="10" style="40" width="6.63"/>
    <col collapsed="false" customWidth="true" hidden="false" outlineLevel="0" max="12" min="11" style="40" width="11.62"/>
    <col collapsed="false" customWidth="true" hidden="false" outlineLevel="0" max="14" min="13" style="40" width="10.12"/>
    <col collapsed="false" customWidth="true" hidden="false" outlineLevel="0" max="15" min="15" style="40" width="6.63"/>
    <col collapsed="false" customWidth="true" hidden="false" outlineLevel="0" max="18" min="16" style="40" width="11.62"/>
    <col collapsed="false" customWidth="true" hidden="false" outlineLevel="0" max="20" min="19" style="40" width="11.5"/>
    <col collapsed="false" customWidth="true" hidden="false" outlineLevel="0" max="21" min="21" style="40" width="10.12"/>
    <col collapsed="false" customWidth="true" hidden="false" outlineLevel="0" max="22" min="22" style="40" width="6.63"/>
    <col collapsed="false" customWidth="true" hidden="false" outlineLevel="0" max="25" min="23" style="40" width="11.62"/>
    <col collapsed="false" customWidth="true" hidden="false" outlineLevel="0" max="26" min="26" style="40" width="12.12"/>
    <col collapsed="false" customWidth="true" hidden="false" outlineLevel="0" max="28" min="27" style="40" width="10.12"/>
    <col collapsed="false" customWidth="true" hidden="false" outlineLevel="0" max="29" min="29" style="40" width="6.63"/>
    <col collapsed="false" customWidth="true" hidden="false" outlineLevel="0" max="32" min="30" style="40" width="11.62"/>
    <col collapsed="false" customWidth="true" hidden="false" outlineLevel="0" max="33" min="33" style="40" width="12.12"/>
    <col collapsed="false" customWidth="true" hidden="false" outlineLevel="1" max="35" min="34" style="40" width="10.12"/>
    <col collapsed="false" customWidth="true" hidden="false" outlineLevel="1" max="36" min="36" style="40" width="6.63"/>
    <col collapsed="false" customWidth="true" hidden="false" outlineLevel="1" max="39" min="37" style="40" width="11.62"/>
    <col collapsed="false" customWidth="true" hidden="false" outlineLevel="1" max="40" min="40" style="40" width="12.12"/>
    <col collapsed="false" customWidth="true" hidden="false" outlineLevel="0" max="42" min="41" style="40" width="10.12"/>
    <col collapsed="false" customWidth="true" hidden="false" outlineLevel="0" max="43" min="43" style="40" width="6.63"/>
    <col collapsed="false" customWidth="true" hidden="false" outlineLevel="0" max="46" min="44" style="40" width="11.62"/>
    <col collapsed="false" customWidth="true" hidden="false" outlineLevel="0" max="47" min="47" style="40" width="12.12"/>
    <col collapsed="false" customWidth="true" hidden="false" outlineLevel="0" max="49" min="48" style="40" width="10.12"/>
    <col collapsed="false" customWidth="true" hidden="false" outlineLevel="0" max="50" min="50" style="40" width="6.63"/>
    <col collapsed="false" customWidth="true" hidden="false" outlineLevel="0" max="53" min="51" style="40" width="11.62"/>
    <col collapsed="false" customWidth="true" hidden="false" outlineLevel="0" max="54" min="54" style="40" width="12.12"/>
    <col collapsed="false" customWidth="true" hidden="false" outlineLevel="0" max="56" min="55" style="40" width="10.12"/>
    <col collapsed="false" customWidth="true" hidden="false" outlineLevel="0" max="57" min="57" style="40" width="6.63"/>
    <col collapsed="false" customWidth="true" hidden="false" outlineLevel="0" max="60" min="58" style="40" width="11.62"/>
    <col collapsed="false" customWidth="true" hidden="false" outlineLevel="0" max="61" min="61" style="40" width="12.12"/>
    <col collapsed="false" customWidth="true" hidden="false" outlineLevel="0" max="63" min="62" style="40" width="10.12"/>
    <col collapsed="false" customWidth="true" hidden="false" outlineLevel="0" max="64" min="64" style="40" width="6.63"/>
    <col collapsed="false" customWidth="true" hidden="false" outlineLevel="0" max="67" min="65" style="40" width="11.62"/>
    <col collapsed="false" customWidth="true" hidden="false" outlineLevel="0" max="68" min="68" style="40" width="12.12"/>
    <col collapsed="false" customWidth="true" hidden="false" outlineLevel="0" max="69" min="69" style="40" width="1.63"/>
    <col collapsed="false" customWidth="true" hidden="false" outlineLevel="0" max="72" min="70" style="40" width="9.62"/>
    <col collapsed="false" customWidth="true" hidden="false" outlineLevel="0" max="73" min="73" style="40" width="12.12"/>
    <col collapsed="false" customWidth="true" hidden="false" outlineLevel="0" max="74" min="74" style="40" width="1.63"/>
    <col collapsed="false" customWidth="true" hidden="false" outlineLevel="0" max="76" min="75" style="40" width="13.63"/>
    <col collapsed="false" customWidth="true" hidden="false" outlineLevel="0" max="77" min="77" style="40" width="12.12"/>
    <col collapsed="false" customWidth="true" hidden="false" outlineLevel="0" max="78" min="78" style="40" width="15"/>
    <col collapsed="false" customWidth="false" hidden="false" outlineLevel="0" max="16384" min="79" style="40" width="9"/>
  </cols>
  <sheetData>
    <row r="1" s="617" customFormat="true" ht="12.75" hidden="false" customHeight="false" outlineLevel="0" collapsed="false">
      <c r="E1" s="755"/>
      <c r="F1" s="755"/>
      <c r="G1" s="755"/>
      <c r="H1" s="755"/>
      <c r="I1" s="755"/>
      <c r="J1" s="755"/>
      <c r="K1" s="755"/>
      <c r="L1" s="755"/>
      <c r="M1" s="755"/>
      <c r="N1" s="755"/>
      <c r="O1" s="755"/>
      <c r="P1" s="755"/>
      <c r="Q1" s="755"/>
      <c r="R1" s="755"/>
      <c r="S1" s="755"/>
      <c r="T1" s="755"/>
      <c r="BV1" s="40"/>
      <c r="BY1" s="40"/>
    </row>
    <row r="2" s="617" customFormat="true" ht="13.4" hidden="false" customHeight="false" outlineLevel="0" collapsed="false">
      <c r="B2" s="719" t="s">
        <v>140</v>
      </c>
      <c r="E2" s="756" t="s">
        <v>512</v>
      </c>
      <c r="F2" s="293" t="n">
        <v>44000000</v>
      </c>
      <c r="G2" s="755" t="s">
        <v>513</v>
      </c>
      <c r="H2" s="755"/>
      <c r="I2" s="755"/>
      <c r="J2" s="755"/>
      <c r="K2" s="755"/>
      <c r="L2" s="755"/>
      <c r="M2" s="755"/>
      <c r="N2" s="755"/>
      <c r="O2" s="755"/>
      <c r="P2" s="755"/>
      <c r="Q2" s="755"/>
      <c r="R2" s="755"/>
      <c r="S2" s="755"/>
      <c r="T2" s="755"/>
      <c r="BV2" s="40"/>
      <c r="BY2" s="40"/>
    </row>
    <row r="3" s="617" customFormat="true" ht="41.75" hidden="false" customHeight="false" outlineLevel="0" collapsed="false">
      <c r="B3" s="720" t="s">
        <v>141</v>
      </c>
      <c r="E3" s="757" t="n">
        <f aca="false">+D11</f>
        <v>340.8</v>
      </c>
      <c r="F3" s="293" t="n">
        <f aca="false">+ROUND(E3/$C$57*$D$52,)</f>
        <v>9714811</v>
      </c>
      <c r="G3" s="755"/>
      <c r="H3" s="755"/>
      <c r="I3" s="755"/>
      <c r="J3" s="755"/>
      <c r="K3" s="755"/>
      <c r="L3" s="755"/>
      <c r="M3" s="755"/>
      <c r="N3" s="755"/>
      <c r="O3" s="755"/>
      <c r="P3" s="755" t="s">
        <v>514</v>
      </c>
      <c r="Q3" s="758" t="n">
        <v>1050000000</v>
      </c>
      <c r="R3" s="758" t="n">
        <v>1100000000</v>
      </c>
      <c r="S3" s="758"/>
      <c r="T3" s="755"/>
      <c r="BV3" s="40"/>
      <c r="BY3" s="40"/>
    </row>
    <row r="4" s="617" customFormat="true" ht="28.35" hidden="false" customHeight="false" outlineLevel="0" collapsed="false">
      <c r="B4" s="720" t="s">
        <v>143</v>
      </c>
      <c r="E4" s="757" t="n">
        <f aca="false">+D17</f>
        <v>144.84</v>
      </c>
      <c r="F4" s="293" t="n">
        <f aca="false">+ROUND(E4/$C$57*$D$52,)</f>
        <v>4128795</v>
      </c>
      <c r="G4" s="755"/>
      <c r="H4" s="755"/>
      <c r="I4" s="755"/>
      <c r="J4" s="755"/>
      <c r="K4" s="755"/>
      <c r="L4" s="755"/>
      <c r="M4" s="755" t="s">
        <v>515</v>
      </c>
      <c r="N4" s="755" t="s">
        <v>516</v>
      </c>
      <c r="O4" s="755"/>
      <c r="P4" s="758" t="n">
        <v>46492230</v>
      </c>
      <c r="Q4" s="758" t="n">
        <f aca="false">+Q3*D35/1000*1.1</f>
        <v>1782788700</v>
      </c>
      <c r="R4" s="758" t="n">
        <f aca="false">+R3*D35*1.1/1000</f>
        <v>1867683400</v>
      </c>
      <c r="S4" s="758" t="n">
        <f aca="false">+R4-P4</f>
        <v>1821191170</v>
      </c>
      <c r="T4" s="758" t="n">
        <f aca="false">+S4*0.5</f>
        <v>910595585</v>
      </c>
      <c r="BV4" s="40"/>
      <c r="BY4" s="40"/>
    </row>
    <row r="5" s="617" customFormat="true" ht="14.9" hidden="false" customHeight="false" outlineLevel="0" collapsed="false">
      <c r="B5" s="719" t="s">
        <v>145</v>
      </c>
      <c r="E5" s="757" t="n">
        <f aca="false">+D23</f>
        <v>807.98</v>
      </c>
      <c r="F5" s="293" t="n">
        <f aca="false">+ROUND(E5/$C$57*$D$52,)</f>
        <v>23032199</v>
      </c>
      <c r="G5" s="755"/>
      <c r="H5" s="755"/>
      <c r="I5" s="755"/>
      <c r="J5" s="755"/>
      <c r="K5" s="755"/>
      <c r="L5" s="755"/>
      <c r="M5" s="755"/>
      <c r="N5" s="755"/>
      <c r="O5" s="755"/>
      <c r="P5" s="755"/>
      <c r="Q5" s="759" t="n">
        <f aca="false">+F2</f>
        <v>44000000</v>
      </c>
      <c r="R5" s="759" t="n">
        <f aca="false">+Q5</f>
        <v>44000000</v>
      </c>
      <c r="S5" s="760" t="s">
        <v>517</v>
      </c>
      <c r="T5" s="761" t="n">
        <f aca="false">+T4+R5</f>
        <v>954595585</v>
      </c>
      <c r="BV5" s="40"/>
      <c r="BY5" s="40"/>
    </row>
    <row r="6" s="617" customFormat="true" ht="28.35" hidden="false" customHeight="false" outlineLevel="0" collapsed="false">
      <c r="B6" s="720" t="s">
        <v>147</v>
      </c>
      <c r="E6" s="757" t="n">
        <f aca="false">+D29</f>
        <v>249.92</v>
      </c>
      <c r="F6" s="293" t="n">
        <f aca="false">+ROUND(E6/$C$57*$D$52,)</f>
        <v>7124195</v>
      </c>
      <c r="G6" s="760"/>
      <c r="H6" s="760"/>
      <c r="I6" s="760"/>
      <c r="J6" s="760"/>
      <c r="K6" s="760"/>
      <c r="L6" s="760"/>
      <c r="M6" s="760"/>
      <c r="N6" s="760"/>
      <c r="O6" s="760"/>
      <c r="P6" s="760"/>
      <c r="Q6" s="759" t="n">
        <f aca="false">+Q4+Q5</f>
        <v>1826788700</v>
      </c>
      <c r="R6" s="759" t="n">
        <f aca="false">+R4+R5</f>
        <v>1911683400</v>
      </c>
      <c r="S6" s="760" t="s">
        <v>518</v>
      </c>
      <c r="T6" s="759" t="n">
        <f aca="false">+T4</f>
        <v>910595585</v>
      </c>
      <c r="BV6" s="40"/>
      <c r="BY6" s="40"/>
    </row>
    <row r="7" s="617" customFormat="true" ht="28.35" hidden="false" customHeight="false" outlineLevel="0" collapsed="false">
      <c r="B7" s="720" t="s">
        <v>149</v>
      </c>
      <c r="E7" s="757" t="n">
        <f aca="false">SUM(E3:E6)</f>
        <v>1543.54</v>
      </c>
      <c r="F7" s="762" t="n">
        <f aca="false">SUM(F3:F6)</f>
        <v>44000000</v>
      </c>
      <c r="G7" s="760"/>
      <c r="H7" s="760"/>
      <c r="I7" s="760"/>
      <c r="J7" s="760"/>
      <c r="K7" s="760"/>
      <c r="L7" s="760"/>
      <c r="M7" s="760"/>
      <c r="N7" s="760"/>
      <c r="O7" s="760"/>
      <c r="P7" s="755" t="s">
        <v>519</v>
      </c>
      <c r="Q7" s="761" t="n">
        <f aca="false">+Q6-P4</f>
        <v>1780296470</v>
      </c>
      <c r="R7" s="759" t="n">
        <f aca="false">+R6-P4</f>
        <v>1865191170</v>
      </c>
      <c r="S7" s="759" t="n">
        <f aca="false">+R7-Q7</f>
        <v>84894700</v>
      </c>
      <c r="T7" s="758" t="n">
        <f aca="false">+T5+T6</f>
        <v>1865191170</v>
      </c>
      <c r="BV7" s="40"/>
      <c r="BY7" s="40"/>
    </row>
    <row r="8" customFormat="false" ht="12.75" hidden="false" customHeight="false" outlineLevel="0" collapsed="false">
      <c r="A8" s="621"/>
      <c r="B8" s="622"/>
      <c r="C8" s="622"/>
      <c r="D8" s="623"/>
      <c r="E8" s="623"/>
      <c r="F8" s="621"/>
      <c r="G8" s="624"/>
      <c r="H8" s="624"/>
      <c r="I8" s="624"/>
      <c r="J8" s="621"/>
      <c r="K8" s="621"/>
      <c r="L8" s="621"/>
      <c r="M8" s="621"/>
      <c r="N8" s="621"/>
      <c r="O8" s="621"/>
      <c r="P8" s="621"/>
      <c r="Q8" s="621"/>
      <c r="R8" s="621"/>
      <c r="S8" s="621"/>
      <c r="T8" s="621"/>
      <c r="U8" s="621"/>
      <c r="V8" s="621"/>
      <c r="W8" s="621"/>
      <c r="X8" s="621"/>
      <c r="Y8" s="621"/>
      <c r="Z8" s="621"/>
      <c r="AA8" s="621"/>
      <c r="AB8" s="621"/>
      <c r="AC8" s="621"/>
      <c r="AD8" s="621"/>
      <c r="AE8" s="621"/>
      <c r="AF8" s="621"/>
      <c r="AG8" s="621"/>
      <c r="AH8" s="621"/>
      <c r="AI8" s="621"/>
      <c r="AJ8" s="621"/>
      <c r="AK8" s="621"/>
      <c r="AL8" s="621"/>
      <c r="AM8" s="621"/>
      <c r="AN8" s="621"/>
      <c r="AO8" s="621"/>
      <c r="AP8" s="621"/>
      <c r="AQ8" s="621"/>
      <c r="AR8" s="621"/>
      <c r="AS8" s="621"/>
      <c r="AT8" s="621"/>
      <c r="AU8" s="621"/>
      <c r="AV8" s="621"/>
      <c r="AW8" s="621"/>
      <c r="AX8" s="621"/>
      <c r="AY8" s="621"/>
      <c r="AZ8" s="621"/>
      <c r="BA8" s="621"/>
      <c r="BB8" s="621"/>
      <c r="BC8" s="621"/>
      <c r="BD8" s="621"/>
      <c r="BE8" s="621"/>
      <c r="BF8" s="621"/>
      <c r="BG8" s="621"/>
      <c r="BH8" s="621"/>
      <c r="BI8" s="621"/>
      <c r="BJ8" s="621"/>
      <c r="BK8" s="621"/>
      <c r="BL8" s="621"/>
      <c r="BM8" s="621"/>
      <c r="BN8" s="621"/>
      <c r="BO8" s="621"/>
      <c r="BP8" s="621"/>
      <c r="BQ8" s="625"/>
      <c r="BR8" s="621"/>
      <c r="BS8" s="621"/>
      <c r="BT8" s="621"/>
      <c r="BU8" s="621"/>
      <c r="BV8" s="621"/>
      <c r="BW8" s="621"/>
      <c r="BX8" s="621"/>
      <c r="BY8" s="621"/>
      <c r="BZ8" s="621"/>
      <c r="CA8" s="621"/>
      <c r="CB8" s="621"/>
      <c r="CC8" s="621"/>
      <c r="CD8" s="621"/>
    </row>
    <row r="9" customFormat="false" ht="27.75" hidden="false" customHeight="true" outlineLevel="0" collapsed="false">
      <c r="A9" s="621"/>
      <c r="B9" s="110" t="s">
        <v>121</v>
      </c>
      <c r="C9" s="110" t="s">
        <v>122</v>
      </c>
      <c r="D9" s="111" t="s">
        <v>123</v>
      </c>
      <c r="E9" s="111" t="s">
        <v>487</v>
      </c>
      <c r="F9" s="111" t="s">
        <v>488</v>
      </c>
      <c r="G9" s="111" t="s">
        <v>489</v>
      </c>
      <c r="H9" s="111" t="s">
        <v>490</v>
      </c>
      <c r="I9" s="111" t="s">
        <v>491</v>
      </c>
      <c r="J9" s="111" t="s">
        <v>492</v>
      </c>
      <c r="K9" s="111"/>
      <c r="L9" s="111"/>
      <c r="M9" s="111" t="s">
        <v>435</v>
      </c>
      <c r="N9" s="111"/>
      <c r="O9" s="111"/>
      <c r="P9" s="111"/>
      <c r="Q9" s="111"/>
      <c r="R9" s="111"/>
      <c r="S9" s="111"/>
      <c r="T9" s="111" t="s">
        <v>436</v>
      </c>
      <c r="U9" s="111"/>
      <c r="V9" s="111"/>
      <c r="W9" s="111"/>
      <c r="X9" s="111"/>
      <c r="Y9" s="111"/>
      <c r="Z9" s="111"/>
      <c r="AA9" s="111" t="s">
        <v>437</v>
      </c>
      <c r="AB9" s="111"/>
      <c r="AC9" s="111"/>
      <c r="AD9" s="111"/>
      <c r="AE9" s="111"/>
      <c r="AF9" s="111"/>
      <c r="AG9" s="111"/>
      <c r="AH9" s="111" t="s">
        <v>438</v>
      </c>
      <c r="AI9" s="111"/>
      <c r="AJ9" s="111"/>
      <c r="AK9" s="111"/>
      <c r="AL9" s="111"/>
      <c r="AM9" s="111"/>
      <c r="AN9" s="111"/>
      <c r="AO9" s="111" t="s">
        <v>493</v>
      </c>
      <c r="AP9" s="111"/>
      <c r="AQ9" s="111"/>
      <c r="AR9" s="111"/>
      <c r="AS9" s="111"/>
      <c r="AT9" s="111"/>
      <c r="AU9" s="111"/>
      <c r="AV9" s="111" t="s">
        <v>494</v>
      </c>
      <c r="AW9" s="111"/>
      <c r="AX9" s="111"/>
      <c r="AY9" s="111"/>
      <c r="AZ9" s="111"/>
      <c r="BA9" s="111"/>
      <c r="BB9" s="111"/>
      <c r="BC9" s="111" t="s">
        <v>495</v>
      </c>
      <c r="BD9" s="111"/>
      <c r="BE9" s="111"/>
      <c r="BF9" s="111"/>
      <c r="BG9" s="111"/>
      <c r="BH9" s="111"/>
      <c r="BI9" s="111"/>
      <c r="BJ9" s="111" t="s">
        <v>496</v>
      </c>
      <c r="BK9" s="111"/>
      <c r="BL9" s="111"/>
      <c r="BM9" s="111"/>
      <c r="BN9" s="111"/>
      <c r="BO9" s="111"/>
      <c r="BP9" s="111"/>
      <c r="BQ9" s="626"/>
      <c r="BR9" s="111" t="s">
        <v>497</v>
      </c>
      <c r="BS9" s="111"/>
      <c r="BT9" s="111"/>
      <c r="BU9" s="621"/>
      <c r="BV9" s="621"/>
      <c r="BW9" s="621"/>
      <c r="BX9" s="621"/>
      <c r="BY9" s="621"/>
      <c r="BZ9" s="621"/>
      <c r="CA9" s="621"/>
      <c r="CB9" s="621"/>
      <c r="CC9" s="625"/>
      <c r="CD9" s="625"/>
    </row>
    <row r="10" customFormat="false" ht="42" hidden="false" customHeight="true" outlineLevel="0" collapsed="false">
      <c r="A10" s="621"/>
      <c r="B10" s="110"/>
      <c r="C10" s="110"/>
      <c r="D10" s="111"/>
      <c r="E10" s="111"/>
      <c r="F10" s="111"/>
      <c r="G10" s="111"/>
      <c r="H10" s="111"/>
      <c r="I10" s="111"/>
      <c r="J10" s="111" t="s">
        <v>339</v>
      </c>
      <c r="K10" s="111" t="s">
        <v>498</v>
      </c>
      <c r="L10" s="111" t="s">
        <v>499</v>
      </c>
      <c r="M10" s="111" t="s">
        <v>510</v>
      </c>
      <c r="N10" s="111" t="s">
        <v>501</v>
      </c>
      <c r="O10" s="111" t="s">
        <v>339</v>
      </c>
      <c r="P10" s="111" t="s">
        <v>502</v>
      </c>
      <c r="Q10" s="111" t="s">
        <v>430</v>
      </c>
      <c r="R10" s="111" t="s">
        <v>503</v>
      </c>
      <c r="S10" s="111" t="s">
        <v>504</v>
      </c>
      <c r="T10" s="111" t="s">
        <v>500</v>
      </c>
      <c r="U10" s="111" t="s">
        <v>501</v>
      </c>
      <c r="V10" s="111" t="s">
        <v>339</v>
      </c>
      <c r="W10" s="111" t="s">
        <v>502</v>
      </c>
      <c r="X10" s="111" t="s">
        <v>430</v>
      </c>
      <c r="Y10" s="111" t="s">
        <v>503</v>
      </c>
      <c r="Z10" s="111" t="s">
        <v>504</v>
      </c>
      <c r="AA10" s="111" t="s">
        <v>500</v>
      </c>
      <c r="AB10" s="111" t="s">
        <v>501</v>
      </c>
      <c r="AC10" s="111" t="s">
        <v>339</v>
      </c>
      <c r="AD10" s="111" t="s">
        <v>502</v>
      </c>
      <c r="AE10" s="111" t="s">
        <v>430</v>
      </c>
      <c r="AF10" s="111" t="s">
        <v>503</v>
      </c>
      <c r="AG10" s="111" t="s">
        <v>504</v>
      </c>
      <c r="AH10" s="111" t="s">
        <v>500</v>
      </c>
      <c r="AI10" s="111" t="s">
        <v>501</v>
      </c>
      <c r="AJ10" s="111" t="s">
        <v>339</v>
      </c>
      <c r="AK10" s="111" t="s">
        <v>502</v>
      </c>
      <c r="AL10" s="111" t="s">
        <v>430</v>
      </c>
      <c r="AM10" s="111" t="s">
        <v>503</v>
      </c>
      <c r="AN10" s="111" t="s">
        <v>504</v>
      </c>
      <c r="AO10" s="111" t="s">
        <v>500</v>
      </c>
      <c r="AP10" s="111" t="s">
        <v>501</v>
      </c>
      <c r="AQ10" s="111" t="s">
        <v>339</v>
      </c>
      <c r="AR10" s="111" t="s">
        <v>502</v>
      </c>
      <c r="AS10" s="111" t="s">
        <v>430</v>
      </c>
      <c r="AT10" s="111" t="s">
        <v>503</v>
      </c>
      <c r="AU10" s="111" t="s">
        <v>504</v>
      </c>
      <c r="AV10" s="111" t="s">
        <v>500</v>
      </c>
      <c r="AW10" s="111" t="s">
        <v>501</v>
      </c>
      <c r="AX10" s="111" t="s">
        <v>339</v>
      </c>
      <c r="AY10" s="111" t="s">
        <v>502</v>
      </c>
      <c r="AZ10" s="111" t="s">
        <v>430</v>
      </c>
      <c r="BA10" s="111" t="s">
        <v>503</v>
      </c>
      <c r="BB10" s="111" t="s">
        <v>504</v>
      </c>
      <c r="BC10" s="111" t="s">
        <v>500</v>
      </c>
      <c r="BD10" s="111" t="s">
        <v>501</v>
      </c>
      <c r="BE10" s="111" t="s">
        <v>339</v>
      </c>
      <c r="BF10" s="111" t="s">
        <v>502</v>
      </c>
      <c r="BG10" s="111" t="s">
        <v>430</v>
      </c>
      <c r="BH10" s="111" t="s">
        <v>503</v>
      </c>
      <c r="BI10" s="111" t="s">
        <v>504</v>
      </c>
      <c r="BJ10" s="111" t="s">
        <v>500</v>
      </c>
      <c r="BK10" s="111" t="s">
        <v>501</v>
      </c>
      <c r="BL10" s="111" t="s">
        <v>339</v>
      </c>
      <c r="BM10" s="111" t="s">
        <v>502</v>
      </c>
      <c r="BN10" s="111" t="s">
        <v>430</v>
      </c>
      <c r="BO10" s="111" t="s">
        <v>503</v>
      </c>
      <c r="BP10" s="111" t="s">
        <v>504</v>
      </c>
      <c r="BQ10" s="627"/>
      <c r="BR10" s="111"/>
      <c r="BS10" s="111"/>
      <c r="BT10" s="111"/>
      <c r="BU10" s="621"/>
      <c r="BV10" s="621"/>
      <c r="BW10" s="621"/>
      <c r="BX10" s="621"/>
      <c r="BY10" s="621"/>
      <c r="BZ10" s="621"/>
      <c r="CA10" s="621"/>
      <c r="CB10" s="621"/>
      <c r="CC10" s="625"/>
      <c r="CD10" s="625"/>
    </row>
    <row r="11" customFormat="false" ht="16.5" hidden="false" customHeight="true" outlineLevel="0" collapsed="false">
      <c r="A11" s="628"/>
      <c r="B11" s="629" t="n">
        <v>1</v>
      </c>
      <c r="C11" s="630" t="s">
        <v>199</v>
      </c>
      <c r="D11" s="631" t="n">
        <v>340.8</v>
      </c>
      <c r="E11" s="631" t="s">
        <v>505</v>
      </c>
      <c r="F11" s="632" t="s">
        <v>112</v>
      </c>
      <c r="G11" s="633" t="n">
        <f aca="false">+'PAYMENT RATIO_RAW'!$F$53*D11/1000</f>
        <v>374880000</v>
      </c>
      <c r="H11" s="633" t="n">
        <f aca="false">+G11*10%</f>
        <v>37488000</v>
      </c>
      <c r="I11" s="633" t="n">
        <f aca="false">SUM(G11:H11)</f>
        <v>412368000</v>
      </c>
      <c r="J11" s="634" t="n">
        <f aca="false">+IFERROR(K11/I11,"-")</f>
        <v>0</v>
      </c>
      <c r="K11" s="635" t="n">
        <f aca="false">+IFERROR(Q11+X11+AE11+AS11+AZ11+BG11+BN11,"-")</f>
        <v>0</v>
      </c>
      <c r="L11" s="635" t="n">
        <f aca="false">+I11-K11</f>
        <v>412368000</v>
      </c>
      <c r="M11" s="637"/>
      <c r="N11" s="637"/>
      <c r="O11" s="659" t="n">
        <f aca="false">+IFERROR(P11/$I11,"-")</f>
        <v>0</v>
      </c>
      <c r="P11" s="639" t="n">
        <f aca="false">+$I11*'PAYMENT RATIO_RAW'!G$53</f>
        <v>0</v>
      </c>
      <c r="Q11" s="640"/>
      <c r="R11" s="640" t="n">
        <f aca="false">+P11-Q11</f>
        <v>0</v>
      </c>
      <c r="S11" s="641"/>
      <c r="T11" s="636"/>
      <c r="U11" s="637"/>
      <c r="V11" s="638"/>
      <c r="W11" s="639" t="n">
        <f aca="false">+$I11*'PAYMENT RATIO_RAW'!N$53</f>
        <v>0</v>
      </c>
      <c r="X11" s="640"/>
      <c r="Y11" s="640" t="n">
        <f aca="false">+W11-X11</f>
        <v>0</v>
      </c>
      <c r="Z11" s="641"/>
      <c r="AA11" s="636" t="n">
        <f aca="false">+EDATE(AH11,1)</f>
        <v>45960</v>
      </c>
      <c r="AB11" s="637"/>
      <c r="AC11" s="638" t="n">
        <f aca="false">+IFERROR(AD11/$I11,"-")</f>
        <v>0.5</v>
      </c>
      <c r="AD11" s="639" t="n">
        <f aca="false">+$I11*'PAYMENT RATIO_RAW'!U$53</f>
        <v>206184000</v>
      </c>
      <c r="AE11" s="640"/>
      <c r="AF11" s="640" t="n">
        <f aca="false">+AD11-AE11</f>
        <v>206184000</v>
      </c>
      <c r="AG11" s="641"/>
      <c r="AH11" s="636" t="n">
        <f aca="false">+EDATE(AO11,-1)</f>
        <v>45930</v>
      </c>
      <c r="AI11" s="642"/>
      <c r="AJ11" s="638" t="n">
        <f aca="false">+IFERROR(AK11/$I11,"-")</f>
        <v>0</v>
      </c>
      <c r="AK11" s="640" t="n">
        <f aca="false">+$I11*'PAYMENT RATIO_RAW'!AB34</f>
        <v>0</v>
      </c>
      <c r="AL11" s="640"/>
      <c r="AM11" s="640" t="n">
        <f aca="false">+AK11-AL11</f>
        <v>0</v>
      </c>
      <c r="AN11" s="641"/>
      <c r="AO11" s="636" t="n">
        <f aca="false">+EDATE(AV11,-1)</f>
        <v>45960</v>
      </c>
      <c r="AP11" s="637"/>
      <c r="AQ11" s="638" t="n">
        <f aca="false">+IFERROR(AR11/$I11,"-")</f>
        <v>0</v>
      </c>
      <c r="AR11" s="639" t="n">
        <f aca="false">+$I11*'PAYMENT RATIO_RAW'!AI$53</f>
        <v>0</v>
      </c>
      <c r="AS11" s="640"/>
      <c r="AT11" s="640" t="n">
        <f aca="false">+AR11-AS11</f>
        <v>0</v>
      </c>
      <c r="AU11" s="641"/>
      <c r="AV11" s="636" t="n">
        <f aca="false">+EDATE(BC11,-1)</f>
        <v>45991</v>
      </c>
      <c r="AW11" s="637"/>
      <c r="AX11" s="638" t="n">
        <f aca="false">+IFERROR(AY11/$I11,"-")</f>
        <v>0</v>
      </c>
      <c r="AY11" s="639" t="n">
        <f aca="false">+$I11*'PAYMENT RATIO_RAW'!AP$53</f>
        <v>0</v>
      </c>
      <c r="AZ11" s="640"/>
      <c r="BA11" s="640" t="n">
        <f aca="false">+AY11-AZ11</f>
        <v>0</v>
      </c>
      <c r="BB11" s="641"/>
      <c r="BC11" s="636" t="n">
        <f aca="false">+EDATE(BJ11,-1)</f>
        <v>46022</v>
      </c>
      <c r="BD11" s="637"/>
      <c r="BE11" s="638" t="n">
        <f aca="false">+IFERROR(BF11/$I11,"-")</f>
        <v>0</v>
      </c>
      <c r="BF11" s="639" t="n">
        <f aca="false">+$I11*'PAYMENT RATIO_RAW'!AW$53</f>
        <v>0</v>
      </c>
      <c r="BG11" s="640"/>
      <c r="BH11" s="640" t="n">
        <f aca="false">+BF11-BG11</f>
        <v>0</v>
      </c>
      <c r="BI11" s="641"/>
      <c r="BJ11" s="636" t="n">
        <v>46053</v>
      </c>
      <c r="BK11" s="637"/>
      <c r="BL11" s="638" t="n">
        <f aca="false">+IFERROR(BM11/$I11,"-")</f>
        <v>0.5</v>
      </c>
      <c r="BM11" s="639" t="n">
        <f aca="false">+$I11*'PAYMENT RATIO_RAW'!BD$53</f>
        <v>206184000</v>
      </c>
      <c r="BN11" s="640"/>
      <c r="BO11" s="640" t="n">
        <f aca="false">+BM11-BN11</f>
        <v>206184000</v>
      </c>
      <c r="BP11" s="641"/>
      <c r="BQ11" s="644"/>
      <c r="BR11" s="645" t="n">
        <f aca="false">+P11+W11+AD11+AR11+AY11+BF11+BM11=I11</f>
        <v>1</v>
      </c>
      <c r="BS11" s="645" t="n">
        <f aca="false">+Q11+X11+AE11+AS11+AZ11+BG11+BN11=K11</f>
        <v>1</v>
      </c>
      <c r="BT11" s="645"/>
      <c r="BU11" s="723" t="n">
        <f aca="false">+BM11+AD11</f>
        <v>412368000</v>
      </c>
      <c r="BV11" s="621"/>
      <c r="BW11" s="621" t="n">
        <f aca="false">+D11*1050000000*1.1/1000</f>
        <v>393624000</v>
      </c>
      <c r="BX11" s="621"/>
      <c r="BY11" s="621"/>
      <c r="BZ11" s="621"/>
      <c r="CA11" s="621"/>
      <c r="CB11" s="621"/>
      <c r="CC11" s="625"/>
      <c r="CD11" s="625"/>
    </row>
    <row r="12" customFormat="false" ht="12.75" hidden="false" customHeight="false" outlineLevel="0" collapsed="false">
      <c r="A12" s="628"/>
      <c r="B12" s="629"/>
      <c r="C12" s="630"/>
      <c r="D12" s="631"/>
      <c r="E12" s="631"/>
      <c r="F12" s="656" t="s">
        <v>114</v>
      </c>
      <c r="G12" s="657" t="n">
        <f aca="false">+'PAYMENT RATIO_RAW'!F54*$D$11/1000</f>
        <v>136320000</v>
      </c>
      <c r="H12" s="657"/>
      <c r="I12" s="657" t="n">
        <f aca="false">SUM(G12:H12)</f>
        <v>136320000</v>
      </c>
      <c r="J12" s="656" t="n">
        <f aca="false">+IFERROR(K12/I12,"-")</f>
        <v>0.945352112676056</v>
      </c>
      <c r="K12" s="639" t="n">
        <f aca="false">+IFERROR(Q12+X12+AE12+AS12+AZ12+BG12+BN12,"-")</f>
        <v>128870400</v>
      </c>
      <c r="L12" s="639" t="n">
        <f aca="false">+I12-K12</f>
        <v>7449600</v>
      </c>
      <c r="M12" s="658" t="n">
        <v>45900</v>
      </c>
      <c r="N12" s="658" t="n">
        <v>45845</v>
      </c>
      <c r="O12" s="659" t="n">
        <f aca="false">+IFERROR(P12/$I12,"-")</f>
        <v>0.7</v>
      </c>
      <c r="P12" s="639" t="n">
        <f aca="false">+$I12*'PAYMENT RATIO_RAW'!G$54</f>
        <v>95424000</v>
      </c>
      <c r="Q12" s="639" t="n">
        <v>101606400</v>
      </c>
      <c r="R12" s="639" t="n">
        <f aca="false">+P12-Q12</f>
        <v>-6182400</v>
      </c>
      <c r="S12" s="660"/>
      <c r="T12" s="658" t="n">
        <v>45943</v>
      </c>
      <c r="U12" s="658"/>
      <c r="V12" s="659" t="n">
        <f aca="false">+IFERROR(W12/$I12,"-")</f>
        <v>0.2</v>
      </c>
      <c r="W12" s="639" t="n">
        <f aca="false">+$I12*'PAYMENT RATIO_RAW'!N$54</f>
        <v>27264000</v>
      </c>
      <c r="X12" s="639" t="n">
        <f aca="false">+W12</f>
        <v>27264000</v>
      </c>
      <c r="Y12" s="639" t="n">
        <f aca="false">+W12-X12</f>
        <v>0</v>
      </c>
      <c r="Z12" s="721"/>
      <c r="AA12" s="658"/>
      <c r="AB12" s="658"/>
      <c r="AC12" s="659" t="n">
        <f aca="false">+IFERROR(AD12/$I12,"-")</f>
        <v>0</v>
      </c>
      <c r="AD12" s="639" t="n">
        <f aca="false">+$I12*'PAYMENT RATIO_RAW'!U$54</f>
        <v>0</v>
      </c>
      <c r="AE12" s="639"/>
      <c r="AF12" s="639" t="n">
        <f aca="false">+AD12-AE12</f>
        <v>0</v>
      </c>
      <c r="AG12" s="660"/>
      <c r="AH12" s="658"/>
      <c r="AI12" s="658"/>
      <c r="AJ12" s="659" t="n">
        <f aca="false">+IFERROR(AK12/$I12,"-")</f>
        <v>0</v>
      </c>
      <c r="AK12" s="639"/>
      <c r="AL12" s="639"/>
      <c r="AM12" s="639" t="n">
        <f aca="false">+AK12-AL12</f>
        <v>0</v>
      </c>
      <c r="AN12" s="660"/>
      <c r="AO12" s="658"/>
      <c r="AP12" s="658"/>
      <c r="AQ12" s="659"/>
      <c r="AR12" s="639" t="n">
        <f aca="false">+$I12*'PAYMENT RATIO_RAW'!AI$54</f>
        <v>0</v>
      </c>
      <c r="AS12" s="639"/>
      <c r="AT12" s="639" t="n">
        <f aca="false">+AR12-AS12</f>
        <v>0</v>
      </c>
      <c r="AU12" s="660"/>
      <c r="AV12" s="658"/>
      <c r="AW12" s="658"/>
      <c r="AX12" s="659"/>
      <c r="AY12" s="639" t="n">
        <f aca="false">+$I12*'PAYMENT RATIO_RAW'!AP$54</f>
        <v>0</v>
      </c>
      <c r="AZ12" s="639"/>
      <c r="BA12" s="639" t="n">
        <f aca="false">+AY12-AZ12</f>
        <v>0</v>
      </c>
      <c r="BB12" s="660"/>
      <c r="BC12" s="658"/>
      <c r="BD12" s="658"/>
      <c r="BE12" s="659" t="n">
        <f aca="false">+IFERROR(BF12/$I12,"-")</f>
        <v>0</v>
      </c>
      <c r="BF12" s="639" t="n">
        <f aca="false">+$I12*'PAYMENT RATIO_RAW'!AW$54</f>
        <v>0</v>
      </c>
      <c r="BG12" s="639"/>
      <c r="BH12" s="640" t="n">
        <f aca="false">+BF12-BG12</f>
        <v>0</v>
      </c>
      <c r="BI12" s="660"/>
      <c r="BJ12" s="658" t="n">
        <v>46053</v>
      </c>
      <c r="BK12" s="658"/>
      <c r="BL12" s="659" t="n">
        <f aca="false">+IFERROR(BM12/$I12,"-")</f>
        <v>0.1</v>
      </c>
      <c r="BM12" s="639" t="n">
        <f aca="false">+$I12*'PAYMENT RATIO_RAW'!BD$54</f>
        <v>13632000</v>
      </c>
      <c r="BN12" s="639"/>
      <c r="BO12" s="639" t="n">
        <f aca="false">+BM12-BN12</f>
        <v>13632000</v>
      </c>
      <c r="BP12" s="660"/>
      <c r="BQ12" s="644"/>
      <c r="BR12" s="645" t="n">
        <f aca="false">+BM12+BF12+AY12+AR12+AD12+W12+P12=I12</f>
        <v>1</v>
      </c>
      <c r="BS12" s="645" t="n">
        <f aca="false">+Q12+X12+AE12+AS12+AZ12+BG12+BN12=K12</f>
        <v>1</v>
      </c>
      <c r="BT12" s="645" t="n">
        <f aca="false">+BF12+BF14+AY12+AY14+AR12+AR14+AD12+AD14+W12+W14+P12+P14+BM12+BM14=('PAYMENT RATIO_RAW'!$F$54+'PAYMENT RATIO_RAW'!$F$56)*D11*1.1/1000</f>
        <v>0</v>
      </c>
      <c r="BU12" s="722"/>
      <c r="BV12" s="621"/>
      <c r="BW12" s="646"/>
      <c r="BX12" s="621"/>
      <c r="BY12" s="621"/>
      <c r="BZ12" s="621"/>
      <c r="CA12" s="621"/>
      <c r="CB12" s="621"/>
      <c r="CC12" s="625"/>
      <c r="CD12" s="625"/>
    </row>
    <row r="13" customFormat="false" ht="12.75" hidden="false" customHeight="false" outlineLevel="0" collapsed="false">
      <c r="A13" s="628"/>
      <c r="B13" s="629"/>
      <c r="C13" s="630"/>
      <c r="D13" s="631"/>
      <c r="E13" s="631"/>
      <c r="F13" s="656" t="s">
        <v>404</v>
      </c>
      <c r="G13" s="657" t="n">
        <f aca="false">+'PAYMENT RATIO_RAW'!F55*$D$11/1000</f>
        <v>0</v>
      </c>
      <c r="H13" s="657" t="n">
        <f aca="false">+G13*10%</f>
        <v>0</v>
      </c>
      <c r="I13" s="657" t="n">
        <f aca="false">SUM(G13:H13)</f>
        <v>0</v>
      </c>
      <c r="J13" s="656" t="str">
        <f aca="false">+IFERROR(K13/I13,"-")</f>
        <v>-</v>
      </c>
      <c r="K13" s="639" t="n">
        <f aca="false">+IFERROR(Q13+X13+AE13+AS13+AZ13+BG13+BN13,"-")</f>
        <v>0</v>
      </c>
      <c r="L13" s="639" t="n">
        <f aca="false">+I13-K13</f>
        <v>0</v>
      </c>
      <c r="M13" s="658" t="n">
        <v>45900</v>
      </c>
      <c r="N13" s="658"/>
      <c r="O13" s="659" t="str">
        <f aca="false">+IFERROR(P13/$I13,"-")</f>
        <v>-</v>
      </c>
      <c r="P13" s="639" t="n">
        <f aca="false">+$I13*'PAYMENT RATIO_RAW'!G$55</f>
        <v>0</v>
      </c>
      <c r="Q13" s="639"/>
      <c r="R13" s="639" t="n">
        <f aca="false">+P13-Q13</f>
        <v>0</v>
      </c>
      <c r="S13" s="660"/>
      <c r="T13" s="658"/>
      <c r="U13" s="658"/>
      <c r="V13" s="659" t="str">
        <f aca="false">+IFERROR(W13/$I13,"-")</f>
        <v>-</v>
      </c>
      <c r="W13" s="639" t="n">
        <f aca="false">+$I13*'PAYMENT RATIO_RAW'!N$55</f>
        <v>0</v>
      </c>
      <c r="X13" s="639"/>
      <c r="Y13" s="639" t="n">
        <f aca="false">+W13-X13</f>
        <v>0</v>
      </c>
      <c r="Z13" s="660"/>
      <c r="AA13" s="658"/>
      <c r="AB13" s="658"/>
      <c r="AC13" s="659" t="str">
        <f aca="false">+IFERROR(AD13/$I13,"-")</f>
        <v>-</v>
      </c>
      <c r="AD13" s="639" t="n">
        <f aca="false">+$I13*'PAYMENT RATIO_RAW'!U$55</f>
        <v>0</v>
      </c>
      <c r="AE13" s="639"/>
      <c r="AF13" s="639" t="n">
        <f aca="false">+AD13-AE13</f>
        <v>0</v>
      </c>
      <c r="AG13" s="660"/>
      <c r="AH13" s="658"/>
      <c r="AI13" s="658"/>
      <c r="AJ13" s="659" t="str">
        <f aca="false">+IFERROR(AK13/$I13,"-")</f>
        <v>-</v>
      </c>
      <c r="AK13" s="639"/>
      <c r="AL13" s="639"/>
      <c r="AM13" s="639" t="n">
        <f aca="false">+AK13-AL13</f>
        <v>0</v>
      </c>
      <c r="AN13" s="660"/>
      <c r="AO13" s="658"/>
      <c r="AP13" s="658"/>
      <c r="AQ13" s="659"/>
      <c r="AR13" s="639" t="n">
        <f aca="false">+$I13*'PAYMENT RATIO_RAW'!AI$55</f>
        <v>0</v>
      </c>
      <c r="AS13" s="639"/>
      <c r="AT13" s="639" t="n">
        <f aca="false">+AR13-AS13</f>
        <v>0</v>
      </c>
      <c r="AU13" s="660"/>
      <c r="AV13" s="658"/>
      <c r="AW13" s="658"/>
      <c r="AX13" s="659"/>
      <c r="AY13" s="639" t="n">
        <f aca="false">+$I13*'PAYMENT RATIO_RAW'!AP$55</f>
        <v>0</v>
      </c>
      <c r="AZ13" s="639"/>
      <c r="BA13" s="639" t="n">
        <f aca="false">+AY13-AZ13</f>
        <v>0</v>
      </c>
      <c r="BB13" s="660"/>
      <c r="BC13" s="658"/>
      <c r="BD13" s="658"/>
      <c r="BE13" s="659" t="str">
        <f aca="false">+IFERROR(BF13/$I13,"-")</f>
        <v>-</v>
      </c>
      <c r="BF13" s="639" t="n">
        <f aca="false">+$I13*'PAYMENT RATIO_RAW'!AW$55</f>
        <v>0</v>
      </c>
      <c r="BG13" s="639"/>
      <c r="BH13" s="640" t="n">
        <f aca="false">+BF13-BG13</f>
        <v>0</v>
      </c>
      <c r="BI13" s="660"/>
      <c r="BJ13" s="658"/>
      <c r="BK13" s="658"/>
      <c r="BL13" s="659" t="str">
        <f aca="false">+IFERROR(BM13/$I13,"-")</f>
        <v>-</v>
      </c>
      <c r="BM13" s="639" t="n">
        <f aca="false">+$I13*'PAYMENT RATIO_RAW'!BD$55</f>
        <v>0</v>
      </c>
      <c r="BN13" s="639"/>
      <c r="BO13" s="639" t="n">
        <f aca="false">+BM13-BN13</f>
        <v>0</v>
      </c>
      <c r="BP13" s="660"/>
      <c r="BQ13" s="644"/>
      <c r="BR13" s="645" t="n">
        <f aca="false">+P13+W13+AD13+AR13+AY13+BF13+BM13=I13</f>
        <v>1</v>
      </c>
      <c r="BS13" s="645" t="n">
        <f aca="false">+Q13+X13+AE13+AS13+AZ13+BG13+BN13=K13</f>
        <v>1</v>
      </c>
      <c r="BT13" s="645"/>
      <c r="BU13" s="621"/>
      <c r="BV13" s="621"/>
      <c r="BW13" s="723"/>
      <c r="BX13" s="621"/>
      <c r="BY13" s="621"/>
      <c r="BZ13" s="621"/>
      <c r="CA13" s="621"/>
      <c r="CB13" s="621"/>
      <c r="CC13" s="625"/>
      <c r="CD13" s="625"/>
    </row>
    <row r="14" customFormat="false" ht="12.75" hidden="false" customHeight="false" outlineLevel="0" collapsed="false">
      <c r="A14" s="628"/>
      <c r="B14" s="629"/>
      <c r="C14" s="630"/>
      <c r="D14" s="631"/>
      <c r="E14" s="631"/>
      <c r="F14" s="656" t="s">
        <v>507</v>
      </c>
      <c r="G14" s="657" t="n">
        <f aca="false">+'PAYMENT RATIO_RAW'!F56*$D$11/1000</f>
        <v>0</v>
      </c>
      <c r="H14" s="661" t="n">
        <f aca="false">+G14*10%</f>
        <v>0</v>
      </c>
      <c r="I14" s="661" t="n">
        <f aca="false">SUM(G14:H14)</f>
        <v>0</v>
      </c>
      <c r="J14" s="656" t="str">
        <f aca="false">+IFERROR(K14/I14,"-")</f>
        <v>-</v>
      </c>
      <c r="K14" s="639" t="n">
        <f aca="false">+IFERROR(Q14+X14+AE14+AS14+AZ14+BG14+BN14,"-")</f>
        <v>0</v>
      </c>
      <c r="L14" s="639" t="n">
        <f aca="false">+I14-K14</f>
        <v>0</v>
      </c>
      <c r="M14" s="658" t="n">
        <v>45900</v>
      </c>
      <c r="N14" s="642"/>
      <c r="O14" s="659" t="str">
        <f aca="false">+IFERROR(P14/$I14,"-")</f>
        <v>-</v>
      </c>
      <c r="P14" s="639" t="n">
        <f aca="false">+$I14*'PAYMENT RATIO_RAW'!G$56</f>
        <v>0</v>
      </c>
      <c r="Q14" s="639"/>
      <c r="R14" s="639" t="n">
        <f aca="false">+P14-Q14</f>
        <v>0</v>
      </c>
      <c r="S14" s="660"/>
      <c r="T14" s="658"/>
      <c r="U14" s="642"/>
      <c r="V14" s="659" t="str">
        <f aca="false">+IFERROR(W14/$I14,"-")</f>
        <v>-</v>
      </c>
      <c r="W14" s="639" t="n">
        <f aca="false">+$I14*'PAYMENT RATIO_RAW'!N$56</f>
        <v>0</v>
      </c>
      <c r="X14" s="639"/>
      <c r="Y14" s="639" t="n">
        <f aca="false">+W14-X14</f>
        <v>0</v>
      </c>
      <c r="Z14" s="660"/>
      <c r="AA14" s="658"/>
      <c r="AB14" s="642"/>
      <c r="AC14" s="659" t="str">
        <f aca="false">+IFERROR(AD14/$I14,"-")</f>
        <v>-</v>
      </c>
      <c r="AD14" s="639" t="n">
        <f aca="false">+$I14*'PAYMENT RATIO_RAW'!U$56</f>
        <v>0</v>
      </c>
      <c r="AE14" s="639"/>
      <c r="AF14" s="639" t="n">
        <f aca="false">+AD14-AE14</f>
        <v>0</v>
      </c>
      <c r="AG14" s="660"/>
      <c r="AH14" s="642"/>
      <c r="AI14" s="642"/>
      <c r="AJ14" s="659" t="str">
        <f aca="false">+IFERROR(AK14/$I14,"-")</f>
        <v>-</v>
      </c>
      <c r="AK14" s="639"/>
      <c r="AL14" s="639"/>
      <c r="AM14" s="639" t="n">
        <f aca="false">+AK14-AL14</f>
        <v>0</v>
      </c>
      <c r="AN14" s="660"/>
      <c r="AO14" s="658"/>
      <c r="AP14" s="642"/>
      <c r="AQ14" s="659"/>
      <c r="AR14" s="639" t="n">
        <f aca="false">+$I14*'PAYMENT RATIO_RAW'!AI$56</f>
        <v>0</v>
      </c>
      <c r="AS14" s="639"/>
      <c r="AT14" s="639" t="n">
        <f aca="false">+AR14-AS14</f>
        <v>0</v>
      </c>
      <c r="AU14" s="660"/>
      <c r="AV14" s="658"/>
      <c r="AW14" s="642"/>
      <c r="AX14" s="659"/>
      <c r="AY14" s="639" t="n">
        <f aca="false">+$I14*'PAYMENT RATIO_RAW'!AP$56</f>
        <v>0</v>
      </c>
      <c r="AZ14" s="639"/>
      <c r="BA14" s="639" t="n">
        <f aca="false">+AY14-AZ14</f>
        <v>0</v>
      </c>
      <c r="BB14" s="660"/>
      <c r="BC14" s="658"/>
      <c r="BD14" s="642"/>
      <c r="BE14" s="659" t="str">
        <f aca="false">+IFERROR(BF14/$I14,"-")</f>
        <v>-</v>
      </c>
      <c r="BF14" s="639" t="n">
        <f aca="false">+$I14*'PAYMENT RATIO_RAW'!AW$56</f>
        <v>0</v>
      </c>
      <c r="BG14" s="639"/>
      <c r="BH14" s="640" t="n">
        <f aca="false">+BF14-BG14</f>
        <v>0</v>
      </c>
      <c r="BI14" s="660"/>
      <c r="BJ14" s="658"/>
      <c r="BK14" s="642"/>
      <c r="BL14" s="659" t="str">
        <f aca="false">+IFERROR(BM14/$I14,"-")</f>
        <v>-</v>
      </c>
      <c r="BM14" s="639" t="n">
        <f aca="false">+$I14*'PAYMENT RATIO_RAW'!BD$56</f>
        <v>0</v>
      </c>
      <c r="BN14" s="639"/>
      <c r="BO14" s="639" t="n">
        <f aca="false">+BM14-BN14</f>
        <v>0</v>
      </c>
      <c r="BP14" s="660"/>
      <c r="BQ14" s="644"/>
      <c r="BR14" s="645" t="n">
        <f aca="false">+P14+W14+AD14+AR14+AY14+BF14+BM14=I14</f>
        <v>1</v>
      </c>
      <c r="BS14" s="645" t="n">
        <f aca="false">+Q14+X14+AE14+AS14+AZ14+BG14+BN14=K14</f>
        <v>1</v>
      </c>
      <c r="BT14" s="645"/>
      <c r="BU14" s="621"/>
      <c r="BV14" s="621"/>
      <c r="BW14" s="621"/>
      <c r="BX14" s="621"/>
      <c r="BY14" s="621"/>
      <c r="BZ14" s="621"/>
      <c r="CA14" s="621"/>
      <c r="CB14" s="621"/>
      <c r="CC14" s="625"/>
      <c r="CD14" s="625"/>
    </row>
    <row r="15" customFormat="false" ht="12.75" hidden="false" customHeight="false" outlineLevel="0" collapsed="false">
      <c r="A15" s="628"/>
      <c r="B15" s="629"/>
      <c r="C15" s="630"/>
      <c r="D15" s="631"/>
      <c r="E15" s="631"/>
      <c r="F15" s="662" t="s">
        <v>508</v>
      </c>
      <c r="G15" s="661" t="n">
        <f aca="false">+D11*'PAYMENT RATIO_RAW'!F$57/1000</f>
        <v>46008000</v>
      </c>
      <c r="H15" s="661" t="n">
        <f aca="false">+G15*10%</f>
        <v>4600800</v>
      </c>
      <c r="I15" s="661" t="n">
        <f aca="false">SUM(G15:H15)</f>
        <v>50608800</v>
      </c>
      <c r="J15" s="662" t="n">
        <f aca="false">+IFERROR(K15/I15,"-")</f>
        <v>0</v>
      </c>
      <c r="K15" s="663" t="n">
        <f aca="false">+IFERROR(Q15+X15+AE15+AS15+AZ15+BG15+BN15,"-")</f>
        <v>0</v>
      </c>
      <c r="L15" s="663" t="n">
        <f aca="false">+I15-K15</f>
        <v>50608800</v>
      </c>
      <c r="M15" s="662"/>
      <c r="N15" s="662"/>
      <c r="O15" s="665"/>
      <c r="P15" s="639" t="n">
        <f aca="false">+$I15*'PAYMENT RATIO_RAW'!G$57</f>
        <v>0</v>
      </c>
      <c r="Q15" s="663"/>
      <c r="R15" s="663" t="n">
        <f aca="false">+P15-Q15</f>
        <v>0</v>
      </c>
      <c r="S15" s="662"/>
      <c r="T15" s="664"/>
      <c r="U15" s="662"/>
      <c r="V15" s="665"/>
      <c r="W15" s="639" t="n">
        <f aca="false">+$I15*'PAYMENT RATIO_RAW'!N$57</f>
        <v>0</v>
      </c>
      <c r="X15" s="663"/>
      <c r="Y15" s="663" t="n">
        <f aca="false">+W15-X15</f>
        <v>0</v>
      </c>
      <c r="Z15" s="662"/>
      <c r="AA15" s="664"/>
      <c r="AB15" s="662"/>
      <c r="AC15" s="665"/>
      <c r="AD15" s="639" t="n">
        <f aca="false">+$I15*'PAYMENT RATIO_RAW'!U$57</f>
        <v>0</v>
      </c>
      <c r="AE15" s="663"/>
      <c r="AF15" s="663" t="n">
        <f aca="false">+AD15-AE15</f>
        <v>0</v>
      </c>
      <c r="AG15" s="662"/>
      <c r="AH15" s="664"/>
      <c r="AI15" s="662"/>
      <c r="AJ15" s="665"/>
      <c r="AK15" s="663"/>
      <c r="AL15" s="663"/>
      <c r="AM15" s="663"/>
      <c r="AN15" s="662"/>
      <c r="AO15" s="664"/>
      <c r="AP15" s="662"/>
      <c r="AQ15" s="665"/>
      <c r="AR15" s="639" t="n">
        <f aca="false">+$I15*'PAYMENT RATIO_RAW'!AI$57</f>
        <v>0</v>
      </c>
      <c r="AS15" s="663"/>
      <c r="AT15" s="663"/>
      <c r="AU15" s="662"/>
      <c r="AV15" s="664"/>
      <c r="AW15" s="662"/>
      <c r="AX15" s="665"/>
      <c r="AY15" s="639" t="n">
        <f aca="false">+$I15*'PAYMENT RATIO_RAW'!AP$57</f>
        <v>0</v>
      </c>
      <c r="AZ15" s="663"/>
      <c r="BA15" s="663"/>
      <c r="BB15" s="662"/>
      <c r="BC15" s="664"/>
      <c r="BD15" s="662"/>
      <c r="BE15" s="665" t="n">
        <f aca="false">+IFERROR(BF15/$I15,"-")</f>
        <v>0</v>
      </c>
      <c r="BF15" s="639" t="n">
        <f aca="false">+$I15*'PAYMENT RATIO_RAW'!AW$57</f>
        <v>0</v>
      </c>
      <c r="BG15" s="663"/>
      <c r="BH15" s="640" t="n">
        <f aca="false">+BF15-BG15</f>
        <v>0</v>
      </c>
      <c r="BI15" s="662"/>
      <c r="BJ15" s="658" t="n">
        <v>46053</v>
      </c>
      <c r="BK15" s="662"/>
      <c r="BL15" s="665" t="n">
        <f aca="false">+IFERROR(BM15/$I15,"-")</f>
        <v>1</v>
      </c>
      <c r="BM15" s="639" t="n">
        <f aca="false">+$I15*'PAYMENT RATIO_RAW'!BD$57</f>
        <v>50608800</v>
      </c>
      <c r="BN15" s="663"/>
      <c r="BO15" s="663" t="n">
        <f aca="false">+BM15-BN15</f>
        <v>50608800</v>
      </c>
      <c r="BP15" s="662"/>
      <c r="BQ15" s="666"/>
      <c r="BR15" s="667" t="n">
        <f aca="false">+P15+W15+AD15+AR15+AY15+BF15+BM15=I15</f>
        <v>1</v>
      </c>
      <c r="BS15" s="668" t="n">
        <f aca="false">+Q15+X15+AE15+AS15+AZ15+BG15+BN15=K15</f>
        <v>1</v>
      </c>
      <c r="BT15" s="668"/>
      <c r="BU15" s="621"/>
      <c r="BV15" s="621"/>
      <c r="BW15" s="621"/>
      <c r="BX15" s="621"/>
      <c r="BY15" s="621"/>
      <c r="BZ15" s="621"/>
      <c r="CA15" s="621"/>
      <c r="CB15" s="621"/>
      <c r="CC15" s="625"/>
      <c r="CD15" s="625"/>
    </row>
    <row r="16" customFormat="false" ht="12.75" hidden="false" customHeight="false" outlineLevel="0" collapsed="false">
      <c r="A16" s="628"/>
      <c r="B16" s="629"/>
      <c r="C16" s="630"/>
      <c r="D16" s="631"/>
      <c r="E16" s="631"/>
      <c r="F16" s="669" t="s">
        <v>109</v>
      </c>
      <c r="G16" s="670" t="n">
        <f aca="false">SUM(G11:G15)</f>
        <v>557208000</v>
      </c>
      <c r="H16" s="670" t="n">
        <f aca="false">SUM(H11:H15)</f>
        <v>42088800</v>
      </c>
      <c r="I16" s="670" t="n">
        <f aca="false">SUM(I11:I15)</f>
        <v>599296800</v>
      </c>
      <c r="J16" s="669" t="n">
        <f aca="false">+IFERROR(K16/I16,"-")</f>
        <v>0.21503602221804</v>
      </c>
      <c r="K16" s="670" t="n">
        <f aca="false">SUM(K11:K15)</f>
        <v>128870400</v>
      </c>
      <c r="L16" s="670" t="n">
        <f aca="false">SUM(L11:L15)</f>
        <v>470426400</v>
      </c>
      <c r="M16" s="669"/>
      <c r="N16" s="669"/>
      <c r="O16" s="672" t="n">
        <f aca="false">+IFERROR(P16/$I16,"-")</f>
        <v>0.159226613591129</v>
      </c>
      <c r="P16" s="670" t="n">
        <f aca="false">SUM(P11:P15)</f>
        <v>95424000</v>
      </c>
      <c r="Q16" s="670" t="n">
        <f aca="false">SUM(Q11:Q15)</f>
        <v>101606400</v>
      </c>
      <c r="R16" s="673" t="n">
        <f aca="false">+P16-Q16</f>
        <v>-6182400</v>
      </c>
      <c r="S16" s="669"/>
      <c r="T16" s="671"/>
      <c r="U16" s="669"/>
      <c r="V16" s="672" t="n">
        <f aca="false">+IFERROR(W16/$I16,"-")</f>
        <v>0.0454933181688939</v>
      </c>
      <c r="W16" s="670" t="n">
        <f aca="false">SUM(W11:W15)</f>
        <v>27264000</v>
      </c>
      <c r="X16" s="670" t="n">
        <f aca="false">SUM(X11:X15)</f>
        <v>27264000</v>
      </c>
      <c r="Y16" s="673" t="n">
        <f aca="false">+W16-X16</f>
        <v>0</v>
      </c>
      <c r="Z16" s="669"/>
      <c r="AA16" s="671"/>
      <c r="AB16" s="669"/>
      <c r="AC16" s="672" t="n">
        <f aca="false">+IFERROR(AD16/$I16,"-")</f>
        <v>0.34404321865226</v>
      </c>
      <c r="AD16" s="670" t="n">
        <f aca="false">SUM(AD11:AD15)</f>
        <v>206184000</v>
      </c>
      <c r="AE16" s="670" t="n">
        <f aca="false">SUM(AE11:AE15)</f>
        <v>0</v>
      </c>
      <c r="AF16" s="673" t="n">
        <f aca="false">+AD16-AE16</f>
        <v>206184000</v>
      </c>
      <c r="AG16" s="669"/>
      <c r="AH16" s="671"/>
      <c r="AI16" s="669"/>
      <c r="AJ16" s="672" t="n">
        <f aca="false">+IFERROR(AK16/$I16,"-")</f>
        <v>0</v>
      </c>
      <c r="AK16" s="670" t="n">
        <f aca="false">SUM(AK11:AK15)</f>
        <v>0</v>
      </c>
      <c r="AL16" s="670" t="n">
        <f aca="false">SUM(AL11:AL15)</f>
        <v>0</v>
      </c>
      <c r="AM16" s="673" t="n">
        <f aca="false">+AK16-AL16</f>
        <v>0</v>
      </c>
      <c r="AN16" s="669"/>
      <c r="AO16" s="671"/>
      <c r="AP16" s="669"/>
      <c r="AQ16" s="672" t="n">
        <f aca="false">+IFERROR(AR16/$I16,"-")</f>
        <v>0</v>
      </c>
      <c r="AR16" s="670" t="n">
        <f aca="false">SUM(AR11:AR15)</f>
        <v>0</v>
      </c>
      <c r="AS16" s="670" t="n">
        <f aca="false">SUM(AS11:AS15)</f>
        <v>0</v>
      </c>
      <c r="AT16" s="673" t="n">
        <f aca="false">+AR16-AS16</f>
        <v>0</v>
      </c>
      <c r="AU16" s="669"/>
      <c r="AV16" s="671"/>
      <c r="AW16" s="669"/>
      <c r="AX16" s="672" t="n">
        <f aca="false">+IFERROR(AY16/$I16,"-")</f>
        <v>0</v>
      </c>
      <c r="AY16" s="670" t="n">
        <f aca="false">SUM(AY11:AY15)</f>
        <v>0</v>
      </c>
      <c r="AZ16" s="670" t="n">
        <f aca="false">SUM(AZ11:AZ15)</f>
        <v>0</v>
      </c>
      <c r="BA16" s="673" t="n">
        <f aca="false">+AY16-AZ16</f>
        <v>0</v>
      </c>
      <c r="BB16" s="669"/>
      <c r="BC16" s="671"/>
      <c r="BD16" s="669"/>
      <c r="BE16" s="672" t="n">
        <f aca="false">+IFERROR(BF16/$I16,"-")</f>
        <v>0</v>
      </c>
      <c r="BF16" s="670" t="n">
        <f aca="false">SUM(BF11:BF15)</f>
        <v>0</v>
      </c>
      <c r="BG16" s="670" t="n">
        <f aca="false">SUM(BG11:BG15)</f>
        <v>0</v>
      </c>
      <c r="BH16" s="673" t="n">
        <f aca="false">+BF16-BG16</f>
        <v>0</v>
      </c>
      <c r="BI16" s="669"/>
      <c r="BJ16" s="671"/>
      <c r="BK16" s="669"/>
      <c r="BL16" s="672" t="n">
        <f aca="false">+IFERROR(BM16/$I16,"-")</f>
        <v>0.451236849587717</v>
      </c>
      <c r="BM16" s="670" t="n">
        <f aca="false">SUM(BM11:BM15)</f>
        <v>270424800</v>
      </c>
      <c r="BN16" s="670" t="n">
        <f aca="false">SUM(BN11:BN15)</f>
        <v>0</v>
      </c>
      <c r="BO16" s="673" t="n">
        <f aca="false">+BM16-BN16</f>
        <v>270424800</v>
      </c>
      <c r="BP16" s="669"/>
      <c r="BQ16" s="666"/>
      <c r="BR16" s="674"/>
      <c r="BS16" s="675"/>
      <c r="BT16" s="675"/>
      <c r="BU16" s="621"/>
      <c r="BV16" s="621"/>
      <c r="BW16" s="621"/>
      <c r="BX16" s="621"/>
      <c r="BY16" s="621"/>
      <c r="BZ16" s="621"/>
      <c r="CA16" s="621"/>
      <c r="CB16" s="621"/>
      <c r="CC16" s="625"/>
      <c r="CD16" s="625"/>
    </row>
    <row r="17" customFormat="false" ht="12.75" hidden="false" customHeight="true" outlineLevel="0" collapsed="false">
      <c r="A17" s="628"/>
      <c r="B17" s="629" t="n">
        <v>2</v>
      </c>
      <c r="C17" s="630" t="s">
        <v>200</v>
      </c>
      <c r="D17" s="631" t="n">
        <v>144.84</v>
      </c>
      <c r="E17" s="631" t="s">
        <v>505</v>
      </c>
      <c r="F17" s="634" t="s">
        <v>112</v>
      </c>
      <c r="G17" s="633" t="n">
        <f aca="false">+'PAYMENT RATIO_RAW'!$F$53*D17/1000</f>
        <v>159324000</v>
      </c>
      <c r="H17" s="633" t="n">
        <f aca="false">+G17*10%</f>
        <v>15932400</v>
      </c>
      <c r="I17" s="633" t="n">
        <f aca="false">SUM(G17:H17)</f>
        <v>175256400</v>
      </c>
      <c r="J17" s="662" t="n">
        <f aca="false">+IFERROR(K17/I17,"-")</f>
        <v>0</v>
      </c>
      <c r="K17" s="663" t="n">
        <f aca="false">+IFERROR(Q17+X17+AE17+AS17+AZ17+BG17+BN17,"-")</f>
        <v>0</v>
      </c>
      <c r="L17" s="640" t="n">
        <f aca="false">+I17-K17</f>
        <v>175256400</v>
      </c>
      <c r="M17" s="637"/>
      <c r="N17" s="637"/>
      <c r="O17" s="659" t="n">
        <f aca="false">+IFERROR(P17/$I17,"-")</f>
        <v>0</v>
      </c>
      <c r="P17" s="639" t="n">
        <f aca="false">+$I17*'PAYMENT RATIO_RAW'!G$53</f>
        <v>0</v>
      </c>
      <c r="Q17" s="640"/>
      <c r="R17" s="640" t="n">
        <f aca="false">+P17-Q17</f>
        <v>0</v>
      </c>
      <c r="S17" s="641"/>
      <c r="T17" s="636"/>
      <c r="U17" s="637"/>
      <c r="V17" s="638"/>
      <c r="W17" s="639" t="n">
        <f aca="false">+$I17*'PAYMENT RATIO_RAW'!N$53</f>
        <v>0</v>
      </c>
      <c r="X17" s="640"/>
      <c r="Y17" s="640" t="n">
        <f aca="false">+W17-X17</f>
        <v>0</v>
      </c>
      <c r="Z17" s="641"/>
      <c r="AA17" s="636" t="n">
        <f aca="false">+EDATE(AH17,1)</f>
        <v>45960</v>
      </c>
      <c r="AB17" s="637"/>
      <c r="AC17" s="638" t="n">
        <f aca="false">+IFERROR(AD17/$I17,"-")</f>
        <v>0.5</v>
      </c>
      <c r="AD17" s="639" t="n">
        <f aca="false">+$I17*'PAYMENT RATIO_RAW'!U$53</f>
        <v>87628200</v>
      </c>
      <c r="AE17" s="640"/>
      <c r="AF17" s="640" t="n">
        <f aca="false">+AD17-AE17</f>
        <v>87628200</v>
      </c>
      <c r="AG17" s="641"/>
      <c r="AH17" s="636" t="n">
        <f aca="false">+EDATE(AO17,-1)</f>
        <v>45930</v>
      </c>
      <c r="AI17" s="642"/>
      <c r="AJ17" s="638" t="n">
        <f aca="false">+IFERROR(AK17/$I17,"-")</f>
        <v>0</v>
      </c>
      <c r="AK17" s="640" t="n">
        <f aca="false">+$I17*'PAYMENT RATIO_RAW'!AB39</f>
        <v>0</v>
      </c>
      <c r="AL17" s="640"/>
      <c r="AM17" s="640" t="n">
        <f aca="false">+AK17-AL17</f>
        <v>0</v>
      </c>
      <c r="AN17" s="641"/>
      <c r="AO17" s="636" t="n">
        <f aca="false">+EDATE(AV17,-1)</f>
        <v>45960</v>
      </c>
      <c r="AP17" s="637"/>
      <c r="AQ17" s="638" t="n">
        <f aca="false">+IFERROR(AR17/$I17,"-")</f>
        <v>0</v>
      </c>
      <c r="AR17" s="639" t="n">
        <f aca="false">+$I17*'PAYMENT RATIO_RAW'!AI$53</f>
        <v>0</v>
      </c>
      <c r="AS17" s="640"/>
      <c r="AT17" s="640" t="n">
        <f aca="false">+AR17-AS17</f>
        <v>0</v>
      </c>
      <c r="AU17" s="641"/>
      <c r="AV17" s="636" t="n">
        <f aca="false">+EDATE(BC17,-1)</f>
        <v>45991</v>
      </c>
      <c r="AW17" s="637"/>
      <c r="AX17" s="638" t="n">
        <f aca="false">+IFERROR(AY17/$I17,"-")</f>
        <v>0</v>
      </c>
      <c r="AY17" s="639" t="n">
        <f aca="false">+$I17*'PAYMENT RATIO_RAW'!AP$53</f>
        <v>0</v>
      </c>
      <c r="AZ17" s="640"/>
      <c r="BA17" s="640" t="n">
        <f aca="false">+AY17-AZ17</f>
        <v>0</v>
      </c>
      <c r="BB17" s="641"/>
      <c r="BC17" s="636" t="n">
        <f aca="false">+EDATE(BJ17,-1)</f>
        <v>46022</v>
      </c>
      <c r="BD17" s="637"/>
      <c r="BE17" s="638" t="n">
        <f aca="false">+IFERROR(BF17/$I17,"-")</f>
        <v>0</v>
      </c>
      <c r="BF17" s="639" t="n">
        <f aca="false">+$I17*'PAYMENT RATIO_RAW'!AW$53</f>
        <v>0</v>
      </c>
      <c r="BG17" s="640"/>
      <c r="BH17" s="640" t="n">
        <f aca="false">+BF17-BG17</f>
        <v>0</v>
      </c>
      <c r="BI17" s="641"/>
      <c r="BJ17" s="636" t="n">
        <v>46053</v>
      </c>
      <c r="BK17" s="637"/>
      <c r="BL17" s="638" t="n">
        <f aca="false">+IFERROR(BM17/$I17,"-")</f>
        <v>0.5</v>
      </c>
      <c r="BM17" s="639" t="n">
        <f aca="false">+$I17*'PAYMENT RATIO_RAW'!BD$53</f>
        <v>87628200</v>
      </c>
      <c r="BN17" s="640"/>
      <c r="BO17" s="640" t="n">
        <f aca="false">+BM17-BN17</f>
        <v>87628200</v>
      </c>
      <c r="BP17" s="641"/>
      <c r="BQ17" s="644"/>
      <c r="BR17" s="645" t="n">
        <f aca="false">+P17+W17+AD17+AR17+AY17+BF17+BM17=I17</f>
        <v>1</v>
      </c>
      <c r="BS17" s="645" t="n">
        <f aca="false">+Q17+X17+AE17+AS17+AZ17+BG17+BN17=K17</f>
        <v>1</v>
      </c>
      <c r="BT17" s="645"/>
      <c r="BU17" s="621"/>
      <c r="BV17" s="621"/>
      <c r="BW17" s="621"/>
      <c r="BX17" s="621"/>
      <c r="BY17" s="621"/>
      <c r="BZ17" s="621"/>
      <c r="CA17" s="621"/>
      <c r="CB17" s="621"/>
      <c r="CC17" s="625"/>
      <c r="CD17" s="625"/>
    </row>
    <row r="18" customFormat="false" ht="12.75" hidden="false" customHeight="false" outlineLevel="0" collapsed="false">
      <c r="A18" s="628"/>
      <c r="B18" s="629"/>
      <c r="C18" s="630"/>
      <c r="D18" s="631"/>
      <c r="E18" s="631"/>
      <c r="F18" s="656" t="s">
        <v>114</v>
      </c>
      <c r="G18" s="657" t="n">
        <f aca="false">+'PAYMENT RATIO_RAW'!F54*'DG M&amp;A-SPA_POSN'!D17/1000</f>
        <v>57936000</v>
      </c>
      <c r="H18" s="657"/>
      <c r="I18" s="657" t="n">
        <f aca="false">SUM(G18:H18)</f>
        <v>57936000</v>
      </c>
      <c r="J18" s="656" t="n">
        <f aca="false">+IFERROR(K18/I18,"-")</f>
        <v>0.882021541010771</v>
      </c>
      <c r="K18" s="639" t="n">
        <f aca="false">+IFERROR(Q18+X18+AE18+AS18+AZ18+BG18+BN18,"-")</f>
        <v>51100800</v>
      </c>
      <c r="L18" s="639" t="n">
        <f aca="false">+I18-K18</f>
        <v>6835200</v>
      </c>
      <c r="M18" s="658" t="n">
        <v>45900</v>
      </c>
      <c r="N18" s="658" t="n">
        <v>45845</v>
      </c>
      <c r="O18" s="659" t="n">
        <f aca="false">+IFERROR(P18/$I18,"-")</f>
        <v>0.7</v>
      </c>
      <c r="P18" s="639" t="n">
        <f aca="false">+$I18*'PAYMENT RATIO_RAW'!G$54</f>
        <v>40555200</v>
      </c>
      <c r="Q18" s="639" t="n">
        <v>39513600</v>
      </c>
      <c r="R18" s="639" t="n">
        <f aca="false">+P18-Q18</f>
        <v>1041600</v>
      </c>
      <c r="S18" s="660"/>
      <c r="T18" s="658" t="n">
        <v>45943</v>
      </c>
      <c r="U18" s="658"/>
      <c r="V18" s="659" t="n">
        <f aca="false">+IFERROR(W18/$I18,"-")</f>
        <v>0.2</v>
      </c>
      <c r="W18" s="639" t="n">
        <f aca="false">+$I18*'PAYMENT RATIO_RAW'!N$54</f>
        <v>11587200</v>
      </c>
      <c r="X18" s="639" t="n">
        <f aca="false">+W18</f>
        <v>11587200</v>
      </c>
      <c r="Y18" s="639" t="n">
        <f aca="false">+W18-X18</f>
        <v>0</v>
      </c>
      <c r="Z18" s="721"/>
      <c r="AA18" s="658"/>
      <c r="AB18" s="658"/>
      <c r="AC18" s="659" t="n">
        <f aca="false">+IFERROR(AD18/$I18,"-")</f>
        <v>0</v>
      </c>
      <c r="AD18" s="639" t="n">
        <f aca="false">+$I18*'PAYMENT RATIO_RAW'!U$54</f>
        <v>0</v>
      </c>
      <c r="AE18" s="639"/>
      <c r="AF18" s="639" t="n">
        <f aca="false">+AD18-AE18</f>
        <v>0</v>
      </c>
      <c r="AG18" s="660"/>
      <c r="AH18" s="658"/>
      <c r="AI18" s="658"/>
      <c r="AJ18" s="659" t="n">
        <f aca="false">+IFERROR(AK18/$I18,"-")</f>
        <v>0</v>
      </c>
      <c r="AK18" s="639"/>
      <c r="AL18" s="639"/>
      <c r="AM18" s="639" t="n">
        <f aca="false">+AK18-AL18</f>
        <v>0</v>
      </c>
      <c r="AN18" s="660"/>
      <c r="AO18" s="658"/>
      <c r="AP18" s="658"/>
      <c r="AQ18" s="659"/>
      <c r="AR18" s="639" t="n">
        <f aca="false">+$I18*'PAYMENT RATIO_RAW'!AI$54</f>
        <v>0</v>
      </c>
      <c r="AS18" s="639"/>
      <c r="AT18" s="639" t="n">
        <f aca="false">+AR18-AS18</f>
        <v>0</v>
      </c>
      <c r="AU18" s="660"/>
      <c r="AV18" s="658"/>
      <c r="AW18" s="658"/>
      <c r="AX18" s="659"/>
      <c r="AY18" s="639" t="n">
        <f aca="false">+$I18*'PAYMENT RATIO_RAW'!AP$54</f>
        <v>0</v>
      </c>
      <c r="AZ18" s="639"/>
      <c r="BA18" s="639" t="n">
        <f aca="false">+AY18-AZ18</f>
        <v>0</v>
      </c>
      <c r="BB18" s="660"/>
      <c r="BC18" s="658"/>
      <c r="BD18" s="658"/>
      <c r="BE18" s="659" t="n">
        <f aca="false">+IFERROR(BF18/$I18,"-")</f>
        <v>0</v>
      </c>
      <c r="BF18" s="639" t="n">
        <f aca="false">+$I18*'PAYMENT RATIO_RAW'!AW$54</f>
        <v>0</v>
      </c>
      <c r="BG18" s="639"/>
      <c r="BH18" s="640" t="n">
        <f aca="false">+BF18-BG18</f>
        <v>0</v>
      </c>
      <c r="BI18" s="660"/>
      <c r="BJ18" s="658" t="n">
        <v>46053</v>
      </c>
      <c r="BK18" s="658"/>
      <c r="BL18" s="659" t="n">
        <f aca="false">+IFERROR(BM18/$I18,"-")</f>
        <v>0.1</v>
      </c>
      <c r="BM18" s="639" t="n">
        <f aca="false">+$I18*'PAYMENT RATIO_RAW'!BD$54</f>
        <v>5793600</v>
      </c>
      <c r="BN18" s="639"/>
      <c r="BO18" s="639" t="n">
        <f aca="false">+BM18-BN18</f>
        <v>5793600</v>
      </c>
      <c r="BP18" s="660"/>
      <c r="BQ18" s="644"/>
      <c r="BR18" s="645" t="n">
        <f aca="false">+BM18+BF18+AY18+AR18+AD18+W18+P18=I18</f>
        <v>1</v>
      </c>
      <c r="BS18" s="645" t="n">
        <f aca="false">+Q18+X18+AE18+AS18+AZ18+BG18+BN18=K18</f>
        <v>1</v>
      </c>
      <c r="BT18" s="645" t="n">
        <f aca="false">+BF18+BF20+AY18+AY20+AR18+AR20+AD18+AD20+W18+W20+P18+P20+BM18+BM20=('PAYMENT RATIO_RAW'!$F$54+'PAYMENT RATIO_RAW'!$F$56)*D17*1.1/1000</f>
        <v>0</v>
      </c>
      <c r="BU18" s="621"/>
      <c r="BV18" s="621"/>
      <c r="BW18" s="621"/>
      <c r="BX18" s="621"/>
      <c r="BY18" s="621"/>
      <c r="BZ18" s="621"/>
      <c r="CA18" s="621"/>
      <c r="CB18" s="621"/>
      <c r="CC18" s="625"/>
      <c r="CD18" s="625"/>
    </row>
    <row r="19" customFormat="false" ht="12.75" hidden="false" customHeight="false" outlineLevel="0" collapsed="false">
      <c r="A19" s="628"/>
      <c r="B19" s="629"/>
      <c r="C19" s="630"/>
      <c r="D19" s="631"/>
      <c r="E19" s="631"/>
      <c r="F19" s="656" t="s">
        <v>404</v>
      </c>
      <c r="G19" s="657" t="n">
        <f aca="false">+$D$17*'PAYMENT RATIO_RAW'!F$55/1000</f>
        <v>0</v>
      </c>
      <c r="H19" s="657" t="n">
        <f aca="false">+G19*10%</f>
        <v>0</v>
      </c>
      <c r="I19" s="657" t="n">
        <f aca="false">SUM(G19:H19)</f>
        <v>0</v>
      </c>
      <c r="J19" s="656" t="str">
        <f aca="false">+IFERROR(K19/I19,"-")</f>
        <v>-</v>
      </c>
      <c r="K19" s="639" t="n">
        <f aca="false">+IFERROR(Q19+X19+AE19+AS19+AZ19+BG19+BN19,"-")</f>
        <v>0</v>
      </c>
      <c r="L19" s="639" t="n">
        <f aca="false">+I19-K19</f>
        <v>0</v>
      </c>
      <c r="M19" s="658" t="n">
        <v>45900</v>
      </c>
      <c r="N19" s="658"/>
      <c r="O19" s="659" t="str">
        <f aca="false">+IFERROR(P19/$I19,"-")</f>
        <v>-</v>
      </c>
      <c r="P19" s="639" t="n">
        <f aca="false">+$I19*'PAYMENT RATIO_RAW'!G$55</f>
        <v>0</v>
      </c>
      <c r="Q19" s="639"/>
      <c r="R19" s="639" t="n">
        <f aca="false">+P19-Q19</f>
        <v>0</v>
      </c>
      <c r="S19" s="660"/>
      <c r="T19" s="658"/>
      <c r="U19" s="658"/>
      <c r="V19" s="659" t="str">
        <f aca="false">+IFERROR(W19/$I19,"-")</f>
        <v>-</v>
      </c>
      <c r="W19" s="639" t="n">
        <f aca="false">+$I19*'PAYMENT RATIO_RAW'!N$55</f>
        <v>0</v>
      </c>
      <c r="X19" s="639"/>
      <c r="Y19" s="639" t="n">
        <f aca="false">+W19-X19</f>
        <v>0</v>
      </c>
      <c r="Z19" s="660"/>
      <c r="AA19" s="658"/>
      <c r="AB19" s="658"/>
      <c r="AC19" s="659" t="str">
        <f aca="false">+IFERROR(AD19/$I19,"-")</f>
        <v>-</v>
      </c>
      <c r="AD19" s="639" t="n">
        <f aca="false">+$I19*'PAYMENT RATIO_RAW'!U$55</f>
        <v>0</v>
      </c>
      <c r="AE19" s="639"/>
      <c r="AF19" s="639" t="n">
        <f aca="false">+AD19-AE19</f>
        <v>0</v>
      </c>
      <c r="AG19" s="660"/>
      <c r="AH19" s="658"/>
      <c r="AI19" s="658"/>
      <c r="AJ19" s="659" t="str">
        <f aca="false">+IFERROR(AK19/$I19,"-")</f>
        <v>-</v>
      </c>
      <c r="AK19" s="639"/>
      <c r="AL19" s="639"/>
      <c r="AM19" s="639" t="n">
        <f aca="false">+AK19-AL19</f>
        <v>0</v>
      </c>
      <c r="AN19" s="660"/>
      <c r="AO19" s="658"/>
      <c r="AP19" s="658"/>
      <c r="AQ19" s="659"/>
      <c r="AR19" s="639" t="n">
        <f aca="false">+$I19*'PAYMENT RATIO_RAW'!AI$55</f>
        <v>0</v>
      </c>
      <c r="AS19" s="639"/>
      <c r="AT19" s="639" t="n">
        <f aca="false">+AR19-AS19</f>
        <v>0</v>
      </c>
      <c r="AU19" s="660"/>
      <c r="AV19" s="658"/>
      <c r="AW19" s="658"/>
      <c r="AX19" s="659"/>
      <c r="AY19" s="639" t="n">
        <f aca="false">+$I19*'PAYMENT RATIO_RAW'!AP$55</f>
        <v>0</v>
      </c>
      <c r="AZ19" s="639"/>
      <c r="BA19" s="639" t="n">
        <f aca="false">+AY19-AZ19</f>
        <v>0</v>
      </c>
      <c r="BB19" s="660"/>
      <c r="BC19" s="658"/>
      <c r="BD19" s="658"/>
      <c r="BE19" s="659" t="str">
        <f aca="false">+IFERROR(BF19/$I19,"-")</f>
        <v>-</v>
      </c>
      <c r="BF19" s="639" t="n">
        <f aca="false">+$I19*'PAYMENT RATIO_RAW'!AW$55</f>
        <v>0</v>
      </c>
      <c r="BG19" s="639"/>
      <c r="BH19" s="640" t="n">
        <f aca="false">+BF19-BG19</f>
        <v>0</v>
      </c>
      <c r="BI19" s="660"/>
      <c r="BJ19" s="658"/>
      <c r="BK19" s="658"/>
      <c r="BL19" s="659" t="str">
        <f aca="false">+IFERROR(BM19/$I19,"-")</f>
        <v>-</v>
      </c>
      <c r="BM19" s="639" t="n">
        <f aca="false">+$I19*'PAYMENT RATIO_RAW'!BD$55</f>
        <v>0</v>
      </c>
      <c r="BN19" s="639"/>
      <c r="BO19" s="639" t="n">
        <f aca="false">+BM19-BN19</f>
        <v>0</v>
      </c>
      <c r="BP19" s="660"/>
      <c r="BQ19" s="644"/>
      <c r="BR19" s="645" t="n">
        <f aca="false">+P19+W19+AD19+AR19+AY19+BF19+BM19=I19</f>
        <v>1</v>
      </c>
      <c r="BS19" s="645" t="n">
        <f aca="false">+Q19+X19+AE19+AS19+AZ19+BG19+BN19=K19</f>
        <v>1</v>
      </c>
      <c r="BT19" s="645"/>
      <c r="BU19" s="621"/>
      <c r="BV19" s="621"/>
      <c r="BW19" s="621"/>
      <c r="BX19" s="621"/>
      <c r="BY19" s="621"/>
      <c r="BZ19" s="621"/>
      <c r="CA19" s="621"/>
      <c r="CB19" s="621"/>
      <c r="CC19" s="625"/>
      <c r="CD19" s="625"/>
    </row>
    <row r="20" customFormat="false" ht="12.75" hidden="false" customHeight="false" outlineLevel="0" collapsed="false">
      <c r="A20" s="628"/>
      <c r="B20" s="629"/>
      <c r="C20" s="630"/>
      <c r="D20" s="631"/>
      <c r="E20" s="631"/>
      <c r="F20" s="656" t="s">
        <v>507</v>
      </c>
      <c r="G20" s="657" t="n">
        <f aca="false">+$D$17*'PAYMENT RATIO_RAW'!F$56/1000</f>
        <v>0</v>
      </c>
      <c r="H20" s="661" t="n">
        <f aca="false">+G20*10%</f>
        <v>0</v>
      </c>
      <c r="I20" s="661" t="n">
        <f aca="false">SUM(G20:H20)</f>
        <v>0</v>
      </c>
      <c r="J20" s="656" t="str">
        <f aca="false">+IFERROR(K20/I20,"-")</f>
        <v>-</v>
      </c>
      <c r="K20" s="639" t="n">
        <f aca="false">+IFERROR(Q20+X20+AE20+AS20+AZ20+BG20+BN20,"-")</f>
        <v>0</v>
      </c>
      <c r="L20" s="639" t="n">
        <f aca="false">+I20-K20</f>
        <v>0</v>
      </c>
      <c r="M20" s="658" t="n">
        <v>45900</v>
      </c>
      <c r="N20" s="642"/>
      <c r="O20" s="659" t="str">
        <f aca="false">+IFERROR(P20/$I20,"-")</f>
        <v>-</v>
      </c>
      <c r="P20" s="639" t="n">
        <f aca="false">+$I20*'PAYMENT RATIO_RAW'!G$56</f>
        <v>0</v>
      </c>
      <c r="Q20" s="639"/>
      <c r="R20" s="639" t="n">
        <f aca="false">+P20-Q20</f>
        <v>0</v>
      </c>
      <c r="S20" s="660"/>
      <c r="T20" s="658"/>
      <c r="U20" s="642"/>
      <c r="V20" s="659" t="str">
        <f aca="false">+IFERROR(W20/$I20,"-")</f>
        <v>-</v>
      </c>
      <c r="W20" s="639" t="n">
        <f aca="false">+$I20*'PAYMENT RATIO_RAW'!N$56</f>
        <v>0</v>
      </c>
      <c r="X20" s="639"/>
      <c r="Y20" s="639" t="n">
        <f aca="false">+W20-X20</f>
        <v>0</v>
      </c>
      <c r="Z20" s="660"/>
      <c r="AA20" s="658"/>
      <c r="AB20" s="642"/>
      <c r="AC20" s="659" t="str">
        <f aca="false">+IFERROR(AD20/$I20,"-")</f>
        <v>-</v>
      </c>
      <c r="AD20" s="639" t="n">
        <f aca="false">+$I20*'PAYMENT RATIO_RAW'!U$56</f>
        <v>0</v>
      </c>
      <c r="AE20" s="639"/>
      <c r="AF20" s="639" t="n">
        <f aca="false">+AD20-AE20</f>
        <v>0</v>
      </c>
      <c r="AG20" s="660"/>
      <c r="AH20" s="642"/>
      <c r="AI20" s="642"/>
      <c r="AJ20" s="659" t="str">
        <f aca="false">+IFERROR(AK20/$I20,"-")</f>
        <v>-</v>
      </c>
      <c r="AK20" s="639"/>
      <c r="AL20" s="639"/>
      <c r="AM20" s="639" t="n">
        <f aca="false">+AK20-AL20</f>
        <v>0</v>
      </c>
      <c r="AN20" s="660"/>
      <c r="AO20" s="658"/>
      <c r="AP20" s="642"/>
      <c r="AQ20" s="659"/>
      <c r="AR20" s="639" t="n">
        <f aca="false">+$I20*'PAYMENT RATIO_RAW'!AI$56</f>
        <v>0</v>
      </c>
      <c r="AS20" s="639"/>
      <c r="AT20" s="639" t="n">
        <f aca="false">+AR20-AS20</f>
        <v>0</v>
      </c>
      <c r="AU20" s="660"/>
      <c r="AV20" s="658"/>
      <c r="AW20" s="642"/>
      <c r="AX20" s="659"/>
      <c r="AY20" s="639" t="n">
        <f aca="false">+$I20*'PAYMENT RATIO_RAW'!AP$56</f>
        <v>0</v>
      </c>
      <c r="AZ20" s="639"/>
      <c r="BA20" s="639" t="n">
        <f aca="false">+AY20-AZ20</f>
        <v>0</v>
      </c>
      <c r="BB20" s="660"/>
      <c r="BC20" s="658"/>
      <c r="BD20" s="642"/>
      <c r="BE20" s="659" t="str">
        <f aca="false">+IFERROR(BF20/$I20,"-")</f>
        <v>-</v>
      </c>
      <c r="BF20" s="639" t="n">
        <f aca="false">+$I20*'PAYMENT RATIO_RAW'!AW$56</f>
        <v>0</v>
      </c>
      <c r="BG20" s="639"/>
      <c r="BH20" s="640" t="n">
        <f aca="false">+BF20-BG20</f>
        <v>0</v>
      </c>
      <c r="BI20" s="660"/>
      <c r="BJ20" s="658"/>
      <c r="BK20" s="642"/>
      <c r="BL20" s="659" t="str">
        <f aca="false">+IFERROR(BM20/$I20,"-")</f>
        <v>-</v>
      </c>
      <c r="BM20" s="639" t="n">
        <f aca="false">+$I20*'PAYMENT RATIO_RAW'!BD$56</f>
        <v>0</v>
      </c>
      <c r="BN20" s="639"/>
      <c r="BO20" s="639" t="n">
        <f aca="false">+BM20-BN20</f>
        <v>0</v>
      </c>
      <c r="BP20" s="660"/>
      <c r="BQ20" s="644"/>
      <c r="BR20" s="645" t="n">
        <f aca="false">+P20+W20+AD20+AR20+AY20+BF20+BM20=I20</f>
        <v>1</v>
      </c>
      <c r="BS20" s="645" t="n">
        <f aca="false">+Q20+X20+AE20+AS20+AZ20+BG20+BN20=K20</f>
        <v>1</v>
      </c>
      <c r="BT20" s="645"/>
      <c r="BU20" s="621"/>
      <c r="BV20" s="621"/>
      <c r="BW20" s="621"/>
      <c r="BX20" s="621"/>
      <c r="BY20" s="621"/>
      <c r="BZ20" s="621"/>
      <c r="CA20" s="621"/>
      <c r="CB20" s="621"/>
      <c r="CC20" s="625"/>
      <c r="CD20" s="625"/>
    </row>
    <row r="21" customFormat="false" ht="12.75" hidden="false" customHeight="false" outlineLevel="0" collapsed="false">
      <c r="A21" s="628"/>
      <c r="B21" s="629"/>
      <c r="C21" s="630"/>
      <c r="D21" s="631"/>
      <c r="E21" s="631"/>
      <c r="F21" s="679" t="s">
        <v>508</v>
      </c>
      <c r="G21" s="661" t="n">
        <f aca="false">+D17*'PAYMENT RATIO_RAW'!F$57/1000</f>
        <v>19553400</v>
      </c>
      <c r="H21" s="661" t="n">
        <f aca="false">+G21*10%</f>
        <v>1955340</v>
      </c>
      <c r="I21" s="661" t="n">
        <f aca="false">SUM(G21:H21)</f>
        <v>21508740</v>
      </c>
      <c r="J21" s="679" t="n">
        <f aca="false">+IFERROR(K21/I21,"-")</f>
        <v>0.389726594863297</v>
      </c>
      <c r="K21" s="681" t="n">
        <f aca="false">+IFERROR(Q21+X21+AE21+AS21+AZ21+BG21+BN21,"-")</f>
        <v>8382528</v>
      </c>
      <c r="L21" s="681" t="n">
        <f aca="false">+I21-K21</f>
        <v>13126212</v>
      </c>
      <c r="M21" s="662"/>
      <c r="N21" s="763" t="n">
        <v>45908</v>
      </c>
      <c r="O21" s="665" t="n">
        <f aca="false">+IFERROR(P21/$I21,"-")</f>
        <v>0</v>
      </c>
      <c r="P21" s="639" t="n">
        <f aca="false">+$I21*'PAYMENT RATIO_RAW'!G$57</f>
        <v>0</v>
      </c>
      <c r="Q21" s="663" t="n">
        <v>8382528</v>
      </c>
      <c r="R21" s="663" t="n">
        <f aca="false">+P21-Q21</f>
        <v>-8382528</v>
      </c>
      <c r="S21" s="662"/>
      <c r="T21" s="664"/>
      <c r="U21" s="662"/>
      <c r="V21" s="665"/>
      <c r="W21" s="639" t="n">
        <f aca="false">+$I21*'PAYMENT RATIO_RAW'!N$57</f>
        <v>0</v>
      </c>
      <c r="X21" s="663"/>
      <c r="Y21" s="663" t="n">
        <f aca="false">+W21-X21</f>
        <v>0</v>
      </c>
      <c r="Z21" s="662"/>
      <c r="AA21" s="664"/>
      <c r="AB21" s="662"/>
      <c r="AC21" s="665"/>
      <c r="AD21" s="639" t="n">
        <f aca="false">+$I21*'PAYMENT RATIO_RAW'!U$57</f>
        <v>0</v>
      </c>
      <c r="AE21" s="663"/>
      <c r="AF21" s="663" t="n">
        <f aca="false">+AD21-AE21</f>
        <v>0</v>
      </c>
      <c r="AG21" s="662"/>
      <c r="AH21" s="664"/>
      <c r="AI21" s="662"/>
      <c r="AJ21" s="665"/>
      <c r="AK21" s="663"/>
      <c r="AL21" s="663"/>
      <c r="AM21" s="663"/>
      <c r="AN21" s="662"/>
      <c r="AO21" s="664"/>
      <c r="AP21" s="662"/>
      <c r="AQ21" s="665"/>
      <c r="AR21" s="639" t="n">
        <f aca="false">+$I21*'PAYMENT RATIO_RAW'!AI$57</f>
        <v>0</v>
      </c>
      <c r="AS21" s="663"/>
      <c r="AT21" s="663"/>
      <c r="AU21" s="662"/>
      <c r="AV21" s="664"/>
      <c r="AW21" s="662"/>
      <c r="AX21" s="665"/>
      <c r="AY21" s="639" t="n">
        <f aca="false">+$I21*'PAYMENT RATIO_RAW'!AP$57</f>
        <v>0</v>
      </c>
      <c r="AZ21" s="663"/>
      <c r="BA21" s="663"/>
      <c r="BB21" s="662"/>
      <c r="BC21" s="664"/>
      <c r="BD21" s="662"/>
      <c r="BE21" s="665" t="n">
        <f aca="false">+IFERROR(BF21/$I21,"-")</f>
        <v>0</v>
      </c>
      <c r="BF21" s="639" t="n">
        <f aca="false">+$I21*'PAYMENT RATIO_RAW'!AW$57</f>
        <v>0</v>
      </c>
      <c r="BG21" s="663"/>
      <c r="BH21" s="640" t="n">
        <f aca="false">+BF21-BG21</f>
        <v>0</v>
      </c>
      <c r="BI21" s="662"/>
      <c r="BJ21" s="658" t="n">
        <v>46053</v>
      </c>
      <c r="BK21" s="662"/>
      <c r="BL21" s="665" t="n">
        <f aca="false">+IFERROR(BM21/$I21,"-")</f>
        <v>1</v>
      </c>
      <c r="BM21" s="639" t="n">
        <f aca="false">+$I21*'PAYMENT RATIO_RAW'!BD$57</f>
        <v>21508740</v>
      </c>
      <c r="BN21" s="663"/>
      <c r="BO21" s="663" t="n">
        <f aca="false">+BM21-BN21</f>
        <v>21508740</v>
      </c>
      <c r="BP21" s="662"/>
      <c r="BQ21" s="666"/>
      <c r="BR21" s="667" t="n">
        <f aca="false">+P21+W21+AD21+AR21+AY21+BF21+BM21=I21</f>
        <v>1</v>
      </c>
      <c r="BS21" s="668" t="n">
        <f aca="false">+Q21+X21+AE21+AS21+AZ21+BG21+BN21=K21</f>
        <v>1</v>
      </c>
      <c r="BT21" s="668"/>
      <c r="BU21" s="621"/>
      <c r="BV21" s="621"/>
      <c r="BW21" s="621"/>
      <c r="BX21" s="621"/>
      <c r="BY21" s="621"/>
      <c r="BZ21" s="621"/>
      <c r="CA21" s="621"/>
      <c r="CB21" s="621"/>
      <c r="CC21" s="625"/>
      <c r="CD21" s="625"/>
    </row>
    <row r="22" customFormat="false" ht="12.75" hidden="false" customHeight="false" outlineLevel="0" collapsed="false">
      <c r="A22" s="628"/>
      <c r="B22" s="629"/>
      <c r="C22" s="630"/>
      <c r="D22" s="631"/>
      <c r="E22" s="631"/>
      <c r="F22" s="669" t="s">
        <v>109</v>
      </c>
      <c r="G22" s="670" t="n">
        <f aca="false">SUM(G17:G21)</f>
        <v>236813400</v>
      </c>
      <c r="H22" s="670" t="n">
        <f aca="false">SUM(H17:H21)</f>
        <v>17887740</v>
      </c>
      <c r="I22" s="670" t="n">
        <f aca="false">SUM(I17:I21)</f>
        <v>254701140</v>
      </c>
      <c r="J22" s="669" t="n">
        <f aca="false">+IFERROR(K22/I22,"-")</f>
        <v>0.233541663771116</v>
      </c>
      <c r="K22" s="670" t="n">
        <f aca="false">SUM(K17:K21)</f>
        <v>59483328</v>
      </c>
      <c r="L22" s="670" t="n">
        <f aca="false">SUM(L17:L21)</f>
        <v>195217812</v>
      </c>
      <c r="M22" s="669"/>
      <c r="N22" s="669"/>
      <c r="O22" s="672" t="n">
        <f aca="false">+IFERROR(P22/$I22,"-")</f>
        <v>0.159226613591129</v>
      </c>
      <c r="P22" s="670" t="n">
        <f aca="false">SUM(P17:P21)</f>
        <v>40555200</v>
      </c>
      <c r="Q22" s="670" t="n">
        <f aca="false">SUM(Q17:Q21)</f>
        <v>47896128</v>
      </c>
      <c r="R22" s="673" t="n">
        <f aca="false">+P22-Q22</f>
        <v>-7340928</v>
      </c>
      <c r="S22" s="669"/>
      <c r="T22" s="671"/>
      <c r="U22" s="669"/>
      <c r="V22" s="672" t="n">
        <f aca="false">+IFERROR(W22/$I22,"-")</f>
        <v>0.0454933181688939</v>
      </c>
      <c r="W22" s="670" t="n">
        <f aca="false">SUM(W17:W21)</f>
        <v>11587200</v>
      </c>
      <c r="X22" s="670" t="n">
        <f aca="false">SUM(X17:X21)</f>
        <v>11587200</v>
      </c>
      <c r="Y22" s="673" t="n">
        <f aca="false">+W22-X22</f>
        <v>0</v>
      </c>
      <c r="Z22" s="669"/>
      <c r="AA22" s="671"/>
      <c r="AB22" s="669"/>
      <c r="AC22" s="672" t="n">
        <f aca="false">+IFERROR(AD22/$I22,"-")</f>
        <v>0.34404321865226</v>
      </c>
      <c r="AD22" s="670" t="n">
        <f aca="false">SUM(AD17:AD21)</f>
        <v>87628200</v>
      </c>
      <c r="AE22" s="670" t="n">
        <f aca="false">SUM(AE17:AE21)</f>
        <v>0</v>
      </c>
      <c r="AF22" s="673" t="n">
        <f aca="false">+AD22-AE22</f>
        <v>87628200</v>
      </c>
      <c r="AG22" s="669"/>
      <c r="AH22" s="671"/>
      <c r="AI22" s="669"/>
      <c r="AJ22" s="672" t="n">
        <f aca="false">+IFERROR(AK22/$I22,"-")</f>
        <v>0</v>
      </c>
      <c r="AK22" s="670" t="n">
        <f aca="false">SUM(AK17:AK21)</f>
        <v>0</v>
      </c>
      <c r="AL22" s="670" t="n">
        <f aca="false">SUM(AL17:AL21)</f>
        <v>0</v>
      </c>
      <c r="AM22" s="673" t="n">
        <f aca="false">+AK22-AL22</f>
        <v>0</v>
      </c>
      <c r="AN22" s="669"/>
      <c r="AO22" s="671"/>
      <c r="AP22" s="669"/>
      <c r="AQ22" s="672" t="n">
        <f aca="false">+IFERROR(AR22/$I22,"-")</f>
        <v>0</v>
      </c>
      <c r="AR22" s="670" t="n">
        <f aca="false">SUM(AR17:AR21)</f>
        <v>0</v>
      </c>
      <c r="AS22" s="670" t="n">
        <f aca="false">SUM(AS17:AS21)</f>
        <v>0</v>
      </c>
      <c r="AT22" s="673" t="n">
        <f aca="false">+AR22-AS22</f>
        <v>0</v>
      </c>
      <c r="AU22" s="669"/>
      <c r="AV22" s="671"/>
      <c r="AW22" s="669"/>
      <c r="AX22" s="672" t="n">
        <f aca="false">+IFERROR(AY22/$I22,"-")</f>
        <v>0</v>
      </c>
      <c r="AY22" s="670" t="n">
        <f aca="false">SUM(AY17:AY21)</f>
        <v>0</v>
      </c>
      <c r="AZ22" s="670" t="n">
        <f aca="false">SUM(AZ17:AZ21)</f>
        <v>0</v>
      </c>
      <c r="BA22" s="673" t="n">
        <f aca="false">+AY22-AZ22</f>
        <v>0</v>
      </c>
      <c r="BB22" s="669"/>
      <c r="BC22" s="671"/>
      <c r="BD22" s="669"/>
      <c r="BE22" s="672" t="n">
        <f aca="false">+IFERROR(BF22/$I22,"-")</f>
        <v>0</v>
      </c>
      <c r="BF22" s="670" t="n">
        <f aca="false">SUM(BF17:BF21)</f>
        <v>0</v>
      </c>
      <c r="BG22" s="670" t="n">
        <f aca="false">SUM(BG17:BG21)</f>
        <v>0</v>
      </c>
      <c r="BH22" s="673" t="n">
        <f aca="false">+BF22-BG22</f>
        <v>0</v>
      </c>
      <c r="BI22" s="669"/>
      <c r="BJ22" s="671"/>
      <c r="BK22" s="669"/>
      <c r="BL22" s="672" t="n">
        <f aca="false">+IFERROR(BM22/$I22,"-")</f>
        <v>0.451236849587717</v>
      </c>
      <c r="BM22" s="670" t="n">
        <f aca="false">SUM(BM17:BM21)</f>
        <v>114930540</v>
      </c>
      <c r="BN22" s="670" t="n">
        <f aca="false">SUM(BN17:BN21)</f>
        <v>0</v>
      </c>
      <c r="BO22" s="673" t="n">
        <f aca="false">+BM22-BN22</f>
        <v>114930540</v>
      </c>
      <c r="BP22" s="669"/>
      <c r="BQ22" s="666"/>
      <c r="BR22" s="674"/>
      <c r="BS22" s="675"/>
      <c r="BT22" s="675"/>
      <c r="BU22" s="621"/>
      <c r="BV22" s="621"/>
      <c r="BW22" s="621"/>
      <c r="BX22" s="621"/>
      <c r="BY22" s="621"/>
      <c r="BZ22" s="621"/>
      <c r="CA22" s="621"/>
      <c r="CB22" s="621"/>
      <c r="CC22" s="625"/>
      <c r="CD22" s="625"/>
    </row>
    <row r="23" customFormat="false" ht="12.75" hidden="false" customHeight="true" outlineLevel="0" collapsed="false">
      <c r="A23" s="683"/>
      <c r="B23" s="629" t="n">
        <v>3</v>
      </c>
      <c r="C23" s="630" t="s">
        <v>201</v>
      </c>
      <c r="D23" s="631" t="n">
        <v>807.98</v>
      </c>
      <c r="E23" s="631" t="s">
        <v>505</v>
      </c>
      <c r="F23" s="632" t="s">
        <v>112</v>
      </c>
      <c r="G23" s="633" t="n">
        <f aca="false">+'PAYMENT RATIO_RAW'!$F$53*D23/1000</f>
        <v>888778000</v>
      </c>
      <c r="H23" s="633" t="n">
        <f aca="false">+G23*10%</f>
        <v>88877800</v>
      </c>
      <c r="I23" s="633" t="n">
        <f aca="false">SUM(G23:H23)</f>
        <v>977655800</v>
      </c>
      <c r="J23" s="634" t="n">
        <f aca="false">+IFERROR(K23/I23,"-")</f>
        <v>0</v>
      </c>
      <c r="K23" s="640" t="n">
        <f aca="false">+IFERROR(Q23+X23+AE23+AS23+AZ23+BG23+BN23,"-")</f>
        <v>0</v>
      </c>
      <c r="L23" s="640" t="n">
        <f aca="false">+I23-K23</f>
        <v>977655800</v>
      </c>
      <c r="M23" s="637"/>
      <c r="N23" s="637"/>
      <c r="O23" s="659" t="n">
        <f aca="false">+IFERROR(P23/$I23,"-")</f>
        <v>0</v>
      </c>
      <c r="P23" s="639" t="n">
        <f aca="false">+$I23*'PAYMENT RATIO_RAW'!G$53</f>
        <v>0</v>
      </c>
      <c r="Q23" s="640"/>
      <c r="R23" s="640" t="n">
        <f aca="false">+P23-Q23</f>
        <v>0</v>
      </c>
      <c r="S23" s="641"/>
      <c r="T23" s="636"/>
      <c r="U23" s="637"/>
      <c r="V23" s="638"/>
      <c r="W23" s="639" t="n">
        <f aca="false">+$I23*'PAYMENT RATIO_RAW'!N$53</f>
        <v>0</v>
      </c>
      <c r="X23" s="640"/>
      <c r="Y23" s="640" t="n">
        <f aca="false">+W23-X23</f>
        <v>0</v>
      </c>
      <c r="Z23" s="641"/>
      <c r="AA23" s="636" t="n">
        <f aca="false">+EDATE(AH23,1)</f>
        <v>45960</v>
      </c>
      <c r="AB23" s="637"/>
      <c r="AC23" s="638" t="n">
        <f aca="false">+IFERROR(AD23/$I23,"-")</f>
        <v>0.5</v>
      </c>
      <c r="AD23" s="639" t="n">
        <f aca="false">+$I23*'PAYMENT RATIO_RAW'!U$53</f>
        <v>488827900</v>
      </c>
      <c r="AE23" s="640"/>
      <c r="AF23" s="640" t="n">
        <f aca="false">+AD23-AE23</f>
        <v>488827900</v>
      </c>
      <c r="AG23" s="641"/>
      <c r="AH23" s="636" t="n">
        <f aca="false">+EDATE(AO23,-1)</f>
        <v>45930</v>
      </c>
      <c r="AI23" s="642"/>
      <c r="AJ23" s="638" t="n">
        <f aca="false">+IFERROR(AK23/$I23,"-")</f>
        <v>0</v>
      </c>
      <c r="AK23" s="640"/>
      <c r="AL23" s="640"/>
      <c r="AM23" s="640" t="n">
        <f aca="false">+AK23-AL23</f>
        <v>0</v>
      </c>
      <c r="AN23" s="641"/>
      <c r="AO23" s="636" t="n">
        <f aca="false">+EDATE(AV23,-1)</f>
        <v>45960</v>
      </c>
      <c r="AP23" s="637"/>
      <c r="AQ23" s="638" t="n">
        <f aca="false">+IFERROR(AR23/$I23,"-")</f>
        <v>0</v>
      </c>
      <c r="AR23" s="639" t="n">
        <f aca="false">+$I23*'PAYMENT RATIO_RAW'!AI$53</f>
        <v>0</v>
      </c>
      <c r="AS23" s="640"/>
      <c r="AT23" s="640" t="n">
        <f aca="false">+AR23-AS23</f>
        <v>0</v>
      </c>
      <c r="AU23" s="641"/>
      <c r="AV23" s="636" t="n">
        <f aca="false">+EDATE(BC23,-1)</f>
        <v>45991</v>
      </c>
      <c r="AW23" s="637"/>
      <c r="AX23" s="638" t="n">
        <f aca="false">+IFERROR(AY23/$I23,"-")</f>
        <v>0</v>
      </c>
      <c r="AY23" s="639" t="n">
        <f aca="false">+$I23*'PAYMENT RATIO_RAW'!AP$53</f>
        <v>0</v>
      </c>
      <c r="AZ23" s="640"/>
      <c r="BA23" s="640" t="n">
        <f aca="false">+AY23-AZ23</f>
        <v>0</v>
      </c>
      <c r="BB23" s="641"/>
      <c r="BC23" s="636" t="n">
        <f aca="false">+EDATE(BJ23,-1)</f>
        <v>46022</v>
      </c>
      <c r="BD23" s="637"/>
      <c r="BE23" s="638" t="n">
        <f aca="false">+IFERROR(BF23/$I23,"-")</f>
        <v>0</v>
      </c>
      <c r="BF23" s="639" t="n">
        <f aca="false">+$I23*'PAYMENT RATIO_RAW'!AW$53</f>
        <v>0</v>
      </c>
      <c r="BG23" s="640"/>
      <c r="BH23" s="640" t="n">
        <f aca="false">+BF23-BG23</f>
        <v>0</v>
      </c>
      <c r="BI23" s="641"/>
      <c r="BJ23" s="636" t="n">
        <v>46053</v>
      </c>
      <c r="BK23" s="637"/>
      <c r="BL23" s="638" t="n">
        <f aca="false">+IFERROR(BM23/$I23,"-")</f>
        <v>0.5</v>
      </c>
      <c r="BM23" s="639" t="n">
        <f aca="false">+$I23*'PAYMENT RATIO_RAW'!BD$53</f>
        <v>488827900</v>
      </c>
      <c r="BN23" s="640"/>
      <c r="BO23" s="640" t="n">
        <f aca="false">+BM23-BN23</f>
        <v>488827900</v>
      </c>
      <c r="BP23" s="641"/>
      <c r="BQ23" s="644"/>
      <c r="BR23" s="645" t="n">
        <f aca="false">+P23+W23+AD23+AR23+AY23+BF23+BM23=I23</f>
        <v>1</v>
      </c>
      <c r="BS23" s="645" t="n">
        <f aca="false">+Q23+X23+AE23+AS23+AZ23+BG23+BN23=K23</f>
        <v>1</v>
      </c>
      <c r="BT23" s="645"/>
      <c r="BU23" s="625"/>
      <c r="BV23" s="625"/>
      <c r="BW23" s="625"/>
      <c r="BX23" s="625"/>
      <c r="BY23" s="625"/>
      <c r="BZ23" s="625"/>
      <c r="CA23" s="625"/>
      <c r="CB23" s="625"/>
      <c r="CC23" s="625"/>
      <c r="CD23" s="625"/>
    </row>
    <row r="24" customFormat="false" ht="12.75" hidden="false" customHeight="false" outlineLevel="0" collapsed="false">
      <c r="A24" s="683"/>
      <c r="B24" s="629"/>
      <c r="C24" s="630"/>
      <c r="D24" s="631"/>
      <c r="E24" s="631"/>
      <c r="F24" s="656" t="s">
        <v>114</v>
      </c>
      <c r="G24" s="657" t="n">
        <f aca="false">+$D$23*'PAYMENT RATIO_RAW'!F$54/1000</f>
        <v>323192000</v>
      </c>
      <c r="H24" s="657"/>
      <c r="I24" s="657" t="n">
        <f aca="false">SUM(G24:H24)</f>
        <v>323192000</v>
      </c>
      <c r="J24" s="656" t="n">
        <f aca="false">+IFERROR(K24/I24,"-")</f>
        <v>0.88498601450531</v>
      </c>
      <c r="K24" s="639" t="n">
        <f aca="false">+IFERROR(Q24+X24+AE24+AS24+AZ24+BG24+BN24,"-")</f>
        <v>286020400</v>
      </c>
      <c r="L24" s="639" t="n">
        <f aca="false">+I24-K24</f>
        <v>37171600</v>
      </c>
      <c r="M24" s="658" t="n">
        <v>45900</v>
      </c>
      <c r="N24" s="658" t="n">
        <v>45845</v>
      </c>
      <c r="O24" s="659" t="n">
        <f aca="false">+IFERROR(P24/$I24,"-")</f>
        <v>0.7</v>
      </c>
      <c r="P24" s="639" t="n">
        <f aca="false">+$I24*'PAYMENT RATIO_RAW'!G$54</f>
        <v>226234400</v>
      </c>
      <c r="Q24" s="639" t="n">
        <v>221382000</v>
      </c>
      <c r="R24" s="639" t="n">
        <f aca="false">+P24-Q24</f>
        <v>4852400</v>
      </c>
      <c r="S24" s="660"/>
      <c r="T24" s="658" t="n">
        <v>45943</v>
      </c>
      <c r="U24" s="658"/>
      <c r="V24" s="659" t="n">
        <f aca="false">+IFERROR(W24/$I24,"-")</f>
        <v>0.2</v>
      </c>
      <c r="W24" s="639" t="n">
        <f aca="false">+$I24*'PAYMENT RATIO_RAW'!N$54</f>
        <v>64638400</v>
      </c>
      <c r="X24" s="639" t="n">
        <f aca="false">+W24</f>
        <v>64638400</v>
      </c>
      <c r="Y24" s="639" t="n">
        <f aca="false">+W24-X24</f>
        <v>0</v>
      </c>
      <c r="Z24" s="721"/>
      <c r="AA24" s="658"/>
      <c r="AB24" s="658"/>
      <c r="AC24" s="659" t="n">
        <f aca="false">+IFERROR(AD24/$I24,"-")</f>
        <v>0</v>
      </c>
      <c r="AD24" s="639" t="n">
        <f aca="false">+$I24*'PAYMENT RATIO_RAW'!U$54</f>
        <v>0</v>
      </c>
      <c r="AE24" s="639"/>
      <c r="AF24" s="639" t="n">
        <f aca="false">+AD24-AE24</f>
        <v>0</v>
      </c>
      <c r="AG24" s="660"/>
      <c r="AH24" s="658"/>
      <c r="AI24" s="658"/>
      <c r="AJ24" s="659" t="n">
        <f aca="false">+IFERROR(AK24/$I24,"-")</f>
        <v>0</v>
      </c>
      <c r="AK24" s="639"/>
      <c r="AL24" s="639"/>
      <c r="AM24" s="639" t="n">
        <f aca="false">+AK24-AL24</f>
        <v>0</v>
      </c>
      <c r="AN24" s="660"/>
      <c r="AO24" s="658"/>
      <c r="AP24" s="658"/>
      <c r="AQ24" s="659"/>
      <c r="AR24" s="639" t="n">
        <f aca="false">+$I24*'PAYMENT RATIO_RAW'!AI$54</f>
        <v>0</v>
      </c>
      <c r="AS24" s="639"/>
      <c r="AT24" s="639" t="n">
        <f aca="false">+AR24-AS24</f>
        <v>0</v>
      </c>
      <c r="AU24" s="660"/>
      <c r="AV24" s="658"/>
      <c r="AW24" s="658"/>
      <c r="AX24" s="659"/>
      <c r="AY24" s="639" t="n">
        <f aca="false">+$I24*'PAYMENT RATIO_RAW'!AP$54</f>
        <v>0</v>
      </c>
      <c r="AZ24" s="639"/>
      <c r="BA24" s="639" t="n">
        <f aca="false">+AY24-AZ24</f>
        <v>0</v>
      </c>
      <c r="BB24" s="660"/>
      <c r="BC24" s="658"/>
      <c r="BD24" s="658"/>
      <c r="BE24" s="659" t="n">
        <f aca="false">+IFERROR(BF24/$I24,"-")</f>
        <v>0</v>
      </c>
      <c r="BF24" s="639" t="n">
        <f aca="false">+$I24*'PAYMENT RATIO_RAW'!AW$54</f>
        <v>0</v>
      </c>
      <c r="BG24" s="639"/>
      <c r="BH24" s="640" t="n">
        <f aca="false">+BF24-BG24</f>
        <v>0</v>
      </c>
      <c r="BI24" s="660"/>
      <c r="BJ24" s="658" t="n">
        <v>46053</v>
      </c>
      <c r="BK24" s="658"/>
      <c r="BL24" s="659" t="n">
        <f aca="false">+IFERROR(BM24/$I24,"-")</f>
        <v>0.1</v>
      </c>
      <c r="BM24" s="639" t="n">
        <f aca="false">+$I24*'PAYMENT RATIO_RAW'!BD$54</f>
        <v>32319200</v>
      </c>
      <c r="BN24" s="639"/>
      <c r="BO24" s="639" t="n">
        <f aca="false">+BM24-BN24</f>
        <v>32319200</v>
      </c>
      <c r="BP24" s="660"/>
      <c r="BQ24" s="644"/>
      <c r="BR24" s="645" t="n">
        <f aca="false">+BM24+BF24+AY24+AR24+AD24+W24+P24=I24</f>
        <v>1</v>
      </c>
      <c r="BS24" s="645" t="n">
        <f aca="false">+Q24+X24+AE24+AS24+AZ24+BG24+BN24=K24</f>
        <v>1</v>
      </c>
      <c r="BT24" s="645" t="n">
        <f aca="false">+BF24+BF26+AY24+AY26+AR24+AR26+AD24+AD26+W24+W26+P24+P26+BM24+BM26=('PAYMENT RATIO_RAW'!$F$54+'PAYMENT RATIO_RAW'!$F$56)*D23*1.1/1000</f>
        <v>0</v>
      </c>
      <c r="BU24" s="625"/>
      <c r="BV24" s="625"/>
      <c r="BW24" s="625"/>
      <c r="BX24" s="625"/>
      <c r="BY24" s="625"/>
      <c r="BZ24" s="625"/>
      <c r="CA24" s="625"/>
      <c r="CB24" s="625"/>
      <c r="CC24" s="625"/>
      <c r="CD24" s="625"/>
    </row>
    <row r="25" customFormat="false" ht="12.75" hidden="false" customHeight="false" outlineLevel="0" collapsed="false">
      <c r="A25" s="683"/>
      <c r="B25" s="629"/>
      <c r="C25" s="630"/>
      <c r="D25" s="631"/>
      <c r="E25" s="631"/>
      <c r="F25" s="656" t="s">
        <v>404</v>
      </c>
      <c r="G25" s="657" t="n">
        <f aca="false">+$D$23*'PAYMENT RATIO_RAW'!F$55/1000</f>
        <v>0</v>
      </c>
      <c r="H25" s="657" t="n">
        <f aca="false">+G25*10%</f>
        <v>0</v>
      </c>
      <c r="I25" s="657" t="n">
        <f aca="false">SUM(G25:H25)</f>
        <v>0</v>
      </c>
      <c r="J25" s="656" t="str">
        <f aca="false">+IFERROR(K25/I25,"-")</f>
        <v>-</v>
      </c>
      <c r="K25" s="639" t="n">
        <f aca="false">+IFERROR(Q25+X25+AE25+AS25+AZ25+BG25+BN25,"-")</f>
        <v>0</v>
      </c>
      <c r="L25" s="639" t="n">
        <f aca="false">+I25-K25</f>
        <v>0</v>
      </c>
      <c r="M25" s="658" t="n">
        <v>45900</v>
      </c>
      <c r="N25" s="658"/>
      <c r="O25" s="659" t="str">
        <f aca="false">+IFERROR(P25/$I25,"-")</f>
        <v>-</v>
      </c>
      <c r="P25" s="639" t="n">
        <f aca="false">+$I25*'PAYMENT RATIO_RAW'!G$55</f>
        <v>0</v>
      </c>
      <c r="Q25" s="639"/>
      <c r="R25" s="639" t="n">
        <f aca="false">+P25-Q25</f>
        <v>0</v>
      </c>
      <c r="S25" s="660"/>
      <c r="T25" s="658"/>
      <c r="U25" s="658"/>
      <c r="V25" s="659" t="str">
        <f aca="false">+IFERROR(W25/$I25,"-")</f>
        <v>-</v>
      </c>
      <c r="W25" s="639" t="n">
        <f aca="false">+$I25*'PAYMENT RATIO_RAW'!N$55</f>
        <v>0</v>
      </c>
      <c r="X25" s="639"/>
      <c r="Y25" s="639" t="n">
        <f aca="false">+W25-X25</f>
        <v>0</v>
      </c>
      <c r="Z25" s="660"/>
      <c r="AA25" s="658"/>
      <c r="AB25" s="658"/>
      <c r="AC25" s="659" t="str">
        <f aca="false">+IFERROR(AD25/$I25,"-")</f>
        <v>-</v>
      </c>
      <c r="AD25" s="639" t="n">
        <f aca="false">+$I25*'PAYMENT RATIO_RAW'!U$55</f>
        <v>0</v>
      </c>
      <c r="AE25" s="639"/>
      <c r="AF25" s="639" t="n">
        <f aca="false">+AD25-AE25</f>
        <v>0</v>
      </c>
      <c r="AG25" s="660"/>
      <c r="AH25" s="658"/>
      <c r="AI25" s="658"/>
      <c r="AJ25" s="659" t="str">
        <f aca="false">+IFERROR(AK25/$I25,"-")</f>
        <v>-</v>
      </c>
      <c r="AK25" s="639"/>
      <c r="AL25" s="639"/>
      <c r="AM25" s="639" t="n">
        <f aca="false">+AK25-AL25</f>
        <v>0</v>
      </c>
      <c r="AN25" s="660"/>
      <c r="AO25" s="658"/>
      <c r="AP25" s="658"/>
      <c r="AQ25" s="659"/>
      <c r="AR25" s="639" t="n">
        <f aca="false">+$I25*'PAYMENT RATIO_RAW'!AI$55</f>
        <v>0</v>
      </c>
      <c r="AS25" s="639"/>
      <c r="AT25" s="639" t="n">
        <f aca="false">+AR25-AS25</f>
        <v>0</v>
      </c>
      <c r="AU25" s="660"/>
      <c r="AV25" s="658"/>
      <c r="AW25" s="658"/>
      <c r="AX25" s="659"/>
      <c r="AY25" s="639" t="n">
        <f aca="false">+$I25*'PAYMENT RATIO_RAW'!AP$55</f>
        <v>0</v>
      </c>
      <c r="AZ25" s="639"/>
      <c r="BA25" s="639" t="n">
        <f aca="false">+AY25-AZ25</f>
        <v>0</v>
      </c>
      <c r="BB25" s="660"/>
      <c r="BC25" s="658"/>
      <c r="BD25" s="658"/>
      <c r="BE25" s="659" t="str">
        <f aca="false">+IFERROR(BF25/$I25,"-")</f>
        <v>-</v>
      </c>
      <c r="BF25" s="639" t="n">
        <f aca="false">+$I25*'PAYMENT RATIO_RAW'!AW$55</f>
        <v>0</v>
      </c>
      <c r="BG25" s="639"/>
      <c r="BH25" s="640" t="n">
        <f aca="false">+BF25-BG25</f>
        <v>0</v>
      </c>
      <c r="BI25" s="660"/>
      <c r="BJ25" s="658"/>
      <c r="BK25" s="658"/>
      <c r="BL25" s="659" t="str">
        <f aca="false">+IFERROR(BM25/$I25,"-")</f>
        <v>-</v>
      </c>
      <c r="BM25" s="639" t="n">
        <f aca="false">+$I25*'PAYMENT RATIO_RAW'!BD$55</f>
        <v>0</v>
      </c>
      <c r="BN25" s="639"/>
      <c r="BO25" s="639" t="n">
        <f aca="false">+BM25-BN25</f>
        <v>0</v>
      </c>
      <c r="BP25" s="660"/>
      <c r="BQ25" s="644"/>
      <c r="BR25" s="645" t="n">
        <f aca="false">+P25+W25+AD25+AR25+AY25+BF25+BM25=I25</f>
        <v>1</v>
      </c>
      <c r="BS25" s="645" t="n">
        <f aca="false">+Q25+X25+AE25+AS25+AZ25+BG25+BN25=K25</f>
        <v>1</v>
      </c>
      <c r="BT25" s="645"/>
      <c r="BU25" s="625"/>
      <c r="BV25" s="625"/>
      <c r="BW25" s="625"/>
      <c r="BX25" s="625"/>
      <c r="BY25" s="625"/>
      <c r="BZ25" s="625"/>
      <c r="CA25" s="625"/>
      <c r="CB25" s="625"/>
      <c r="CC25" s="625"/>
      <c r="CD25" s="625"/>
    </row>
    <row r="26" customFormat="false" ht="12.75" hidden="false" customHeight="false" outlineLevel="0" collapsed="false">
      <c r="A26" s="683"/>
      <c r="B26" s="629"/>
      <c r="C26" s="630"/>
      <c r="D26" s="631"/>
      <c r="E26" s="631"/>
      <c r="F26" s="656" t="s">
        <v>507</v>
      </c>
      <c r="G26" s="657" t="n">
        <f aca="false">+$D$23*'PAYMENT RATIO_RAW'!F$56/1000</f>
        <v>0</v>
      </c>
      <c r="H26" s="661" t="n">
        <f aca="false">+G26*10%</f>
        <v>0</v>
      </c>
      <c r="I26" s="661" t="n">
        <f aca="false">SUM(G26:H26)</f>
        <v>0</v>
      </c>
      <c r="J26" s="656" t="str">
        <f aca="false">+IFERROR(K26/I26,"-")</f>
        <v>-</v>
      </c>
      <c r="K26" s="639" t="n">
        <f aca="false">+IFERROR(Q26+X26+AE26+AS26+AZ26+BG26+BN26,"-")</f>
        <v>0</v>
      </c>
      <c r="L26" s="639" t="n">
        <f aca="false">+I26-K26</f>
        <v>0</v>
      </c>
      <c r="M26" s="658" t="n">
        <v>45900</v>
      </c>
      <c r="N26" s="642"/>
      <c r="O26" s="659" t="str">
        <f aca="false">+IFERROR(P26/$I26,"-")</f>
        <v>-</v>
      </c>
      <c r="P26" s="639" t="n">
        <f aca="false">+$I26*'PAYMENT RATIO_RAW'!G$56</f>
        <v>0</v>
      </c>
      <c r="Q26" s="639"/>
      <c r="R26" s="639" t="n">
        <f aca="false">+P26-Q26</f>
        <v>0</v>
      </c>
      <c r="S26" s="660"/>
      <c r="T26" s="658"/>
      <c r="U26" s="642"/>
      <c r="V26" s="659" t="str">
        <f aca="false">+IFERROR(W26/$I26,"-")</f>
        <v>-</v>
      </c>
      <c r="W26" s="639" t="n">
        <f aca="false">+$I26*'PAYMENT RATIO_RAW'!N$56</f>
        <v>0</v>
      </c>
      <c r="X26" s="639"/>
      <c r="Y26" s="639" t="n">
        <f aca="false">+W26-X26</f>
        <v>0</v>
      </c>
      <c r="Z26" s="660"/>
      <c r="AA26" s="658"/>
      <c r="AB26" s="642"/>
      <c r="AC26" s="659" t="str">
        <f aca="false">+IFERROR(AD26/$I26,"-")</f>
        <v>-</v>
      </c>
      <c r="AD26" s="639" t="n">
        <f aca="false">+$I26*'PAYMENT RATIO_RAW'!U$56</f>
        <v>0</v>
      </c>
      <c r="AE26" s="639"/>
      <c r="AF26" s="639" t="n">
        <f aca="false">+AD26-AE26</f>
        <v>0</v>
      </c>
      <c r="AG26" s="660"/>
      <c r="AH26" s="642"/>
      <c r="AI26" s="642"/>
      <c r="AJ26" s="659" t="str">
        <f aca="false">+IFERROR(AK26/$I26,"-")</f>
        <v>-</v>
      </c>
      <c r="AK26" s="639"/>
      <c r="AL26" s="639"/>
      <c r="AM26" s="639" t="n">
        <f aca="false">+AK26-AL26</f>
        <v>0</v>
      </c>
      <c r="AN26" s="660"/>
      <c r="AO26" s="658"/>
      <c r="AP26" s="642"/>
      <c r="AQ26" s="659"/>
      <c r="AR26" s="639" t="n">
        <f aca="false">+$I26*'PAYMENT RATIO_RAW'!AI$56</f>
        <v>0</v>
      </c>
      <c r="AS26" s="639"/>
      <c r="AT26" s="639" t="n">
        <f aca="false">+AR26-AS26</f>
        <v>0</v>
      </c>
      <c r="AU26" s="660"/>
      <c r="AV26" s="658"/>
      <c r="AW26" s="642"/>
      <c r="AX26" s="659"/>
      <c r="AY26" s="639" t="n">
        <f aca="false">+$I26*'PAYMENT RATIO_RAW'!AP$56</f>
        <v>0</v>
      </c>
      <c r="AZ26" s="639"/>
      <c r="BA26" s="639" t="n">
        <f aca="false">+AY26-AZ26</f>
        <v>0</v>
      </c>
      <c r="BB26" s="660"/>
      <c r="BC26" s="658"/>
      <c r="BD26" s="642"/>
      <c r="BE26" s="659" t="str">
        <f aca="false">+IFERROR(BF26/$I26,"-")</f>
        <v>-</v>
      </c>
      <c r="BF26" s="639" t="n">
        <f aca="false">+$I26*'PAYMENT RATIO_RAW'!AW$56</f>
        <v>0</v>
      </c>
      <c r="BG26" s="639"/>
      <c r="BH26" s="640" t="n">
        <f aca="false">+BF26-BG26</f>
        <v>0</v>
      </c>
      <c r="BI26" s="660"/>
      <c r="BJ26" s="658"/>
      <c r="BK26" s="642"/>
      <c r="BL26" s="659" t="str">
        <f aca="false">+IFERROR(BM26/$I26,"-")</f>
        <v>-</v>
      </c>
      <c r="BM26" s="639" t="n">
        <f aca="false">+$I26*'PAYMENT RATIO_RAW'!BD$56</f>
        <v>0</v>
      </c>
      <c r="BN26" s="639"/>
      <c r="BO26" s="639" t="n">
        <f aca="false">+BM26-BN26</f>
        <v>0</v>
      </c>
      <c r="BP26" s="660"/>
      <c r="BQ26" s="644"/>
      <c r="BR26" s="645" t="n">
        <f aca="false">+P26+W26+AD26+AR26+AY26+BF26+BM26=I26</f>
        <v>1</v>
      </c>
      <c r="BS26" s="645" t="n">
        <f aca="false">+Q26+X26+AE26+AS26+AZ26+BG26+BN26=K26</f>
        <v>1</v>
      </c>
      <c r="BT26" s="645"/>
      <c r="BU26" s="625"/>
      <c r="BV26" s="625"/>
      <c r="BW26" s="625"/>
      <c r="BX26" s="625"/>
      <c r="BY26" s="625"/>
      <c r="BZ26" s="625"/>
      <c r="CA26" s="625"/>
      <c r="CB26" s="625"/>
      <c r="CC26" s="625"/>
      <c r="CD26" s="625"/>
    </row>
    <row r="27" customFormat="false" ht="12.75" hidden="false" customHeight="false" outlineLevel="0" collapsed="false">
      <c r="A27" s="683"/>
      <c r="B27" s="629"/>
      <c r="C27" s="630"/>
      <c r="D27" s="631"/>
      <c r="E27" s="631"/>
      <c r="F27" s="679" t="s">
        <v>508</v>
      </c>
      <c r="G27" s="661" t="n">
        <f aca="false">+'PAYMENT RATIO_RAW'!F57*D23/1000</f>
        <v>109077300</v>
      </c>
      <c r="H27" s="661" t="n">
        <f aca="false">+G27*10%</f>
        <v>10907730</v>
      </c>
      <c r="I27" s="661" t="n">
        <f aca="false">SUM(G27:H27)</f>
        <v>119985030</v>
      </c>
      <c r="J27" s="679" t="n">
        <f aca="false">+IFERROR(K27/I27,"-")</f>
        <v>0</v>
      </c>
      <c r="K27" s="681" t="n">
        <f aca="false">+IFERROR(Q27+X27+AE27+AS27+AZ27+BG27+BN27,"-")</f>
        <v>0</v>
      </c>
      <c r="L27" s="681" t="n">
        <f aca="false">+I27-K27</f>
        <v>119985030</v>
      </c>
      <c r="M27" s="662"/>
      <c r="N27" s="662"/>
      <c r="O27" s="665"/>
      <c r="P27" s="639" t="n">
        <f aca="false">+$I27*'PAYMENT RATIO_RAW'!G$57</f>
        <v>0</v>
      </c>
      <c r="Q27" s="663"/>
      <c r="R27" s="663" t="n">
        <f aca="false">+P27-Q27</f>
        <v>0</v>
      </c>
      <c r="S27" s="662"/>
      <c r="T27" s="664"/>
      <c r="U27" s="662"/>
      <c r="V27" s="665"/>
      <c r="W27" s="639" t="n">
        <f aca="false">+$I27*'PAYMENT RATIO_RAW'!N$57</f>
        <v>0</v>
      </c>
      <c r="X27" s="663"/>
      <c r="Y27" s="663" t="n">
        <f aca="false">+W27-X27</f>
        <v>0</v>
      </c>
      <c r="Z27" s="662"/>
      <c r="AA27" s="664"/>
      <c r="AB27" s="662"/>
      <c r="AC27" s="665"/>
      <c r="AD27" s="639" t="n">
        <f aca="false">+$I27*'PAYMENT RATIO_RAW'!U$57</f>
        <v>0</v>
      </c>
      <c r="AE27" s="663"/>
      <c r="AF27" s="663" t="n">
        <f aca="false">+AD27-AE27</f>
        <v>0</v>
      </c>
      <c r="AG27" s="662"/>
      <c r="AH27" s="664"/>
      <c r="AI27" s="662"/>
      <c r="AJ27" s="665"/>
      <c r="AK27" s="663"/>
      <c r="AL27" s="663"/>
      <c r="AM27" s="663"/>
      <c r="AN27" s="662"/>
      <c r="AO27" s="664"/>
      <c r="AP27" s="662"/>
      <c r="AQ27" s="665"/>
      <c r="AR27" s="639" t="n">
        <f aca="false">+$I27*'PAYMENT RATIO_RAW'!AI$57</f>
        <v>0</v>
      </c>
      <c r="AS27" s="663"/>
      <c r="AT27" s="663"/>
      <c r="AU27" s="662"/>
      <c r="AV27" s="664"/>
      <c r="AW27" s="662"/>
      <c r="AX27" s="665"/>
      <c r="AY27" s="639" t="n">
        <f aca="false">+$I27*'PAYMENT RATIO_RAW'!AP$57</f>
        <v>0</v>
      </c>
      <c r="AZ27" s="663"/>
      <c r="BA27" s="663"/>
      <c r="BB27" s="662"/>
      <c r="BC27" s="664"/>
      <c r="BD27" s="662"/>
      <c r="BE27" s="665" t="n">
        <f aca="false">+IFERROR(BF27/$I27,"-")</f>
        <v>0</v>
      </c>
      <c r="BF27" s="639" t="n">
        <f aca="false">+$I27*'PAYMENT RATIO_RAW'!AW$57</f>
        <v>0</v>
      </c>
      <c r="BG27" s="663"/>
      <c r="BH27" s="640" t="n">
        <f aca="false">+BF27-BG27</f>
        <v>0</v>
      </c>
      <c r="BI27" s="662"/>
      <c r="BJ27" s="658" t="n">
        <v>46053</v>
      </c>
      <c r="BK27" s="662"/>
      <c r="BL27" s="665" t="n">
        <f aca="false">+IFERROR(BM27/$I27,"-")</f>
        <v>1</v>
      </c>
      <c r="BM27" s="639" t="n">
        <f aca="false">+$I27*'PAYMENT RATIO_RAW'!BD$57</f>
        <v>119985030</v>
      </c>
      <c r="BN27" s="663"/>
      <c r="BO27" s="663" t="n">
        <f aca="false">+BM27-BN27</f>
        <v>119985030</v>
      </c>
      <c r="BP27" s="662"/>
      <c r="BQ27" s="666"/>
      <c r="BR27" s="667" t="n">
        <f aca="false">+P27+W27+AD27+AR27+AY27+BF27+BM27=I27</f>
        <v>1</v>
      </c>
      <c r="BS27" s="668" t="n">
        <f aca="false">+Q27+X27+AE27+AS27+AZ27+BG27+BN27=K27</f>
        <v>1</v>
      </c>
      <c r="BT27" s="668"/>
      <c r="BU27" s="625"/>
      <c r="BV27" s="625"/>
      <c r="BW27" s="625"/>
      <c r="BX27" s="625"/>
      <c r="BY27" s="625"/>
      <c r="BZ27" s="625"/>
      <c r="CA27" s="625"/>
      <c r="CB27" s="625"/>
      <c r="CC27" s="625"/>
      <c r="CD27" s="625"/>
    </row>
    <row r="28" customFormat="false" ht="12.75" hidden="false" customHeight="false" outlineLevel="0" collapsed="false">
      <c r="A28" s="628"/>
      <c r="B28" s="629"/>
      <c r="C28" s="630"/>
      <c r="D28" s="631"/>
      <c r="E28" s="631"/>
      <c r="F28" s="669" t="s">
        <v>109</v>
      </c>
      <c r="G28" s="670" t="n">
        <f aca="false">SUM(G23:G27)</f>
        <v>1321047300</v>
      </c>
      <c r="H28" s="670" t="n">
        <f aca="false">SUM(H23:H27)</f>
        <v>99785530</v>
      </c>
      <c r="I28" s="670" t="n">
        <f aca="false">SUM(I23:I27)</f>
        <v>1420832830</v>
      </c>
      <c r="J28" s="669" t="n">
        <f aca="false">+IFERROR(K28/I28,"-")</f>
        <v>0.201304751664557</v>
      </c>
      <c r="K28" s="670" t="n">
        <f aca="false">SUM(K23:K27)</f>
        <v>286020400</v>
      </c>
      <c r="L28" s="670" t="n">
        <f aca="false">SUM(L23:L27)</f>
        <v>1134812430</v>
      </c>
      <c r="M28" s="669"/>
      <c r="N28" s="669"/>
      <c r="O28" s="672" t="n">
        <f aca="false">+IFERROR(P28/$I28,"-")</f>
        <v>0.159226613591129</v>
      </c>
      <c r="P28" s="670" t="n">
        <f aca="false">SUM(P23:P27)</f>
        <v>226234400</v>
      </c>
      <c r="Q28" s="670" t="n">
        <f aca="false">SUM(Q23:Q27)</f>
        <v>221382000</v>
      </c>
      <c r="R28" s="673" t="n">
        <f aca="false">+P28-Q28</f>
        <v>4852400</v>
      </c>
      <c r="S28" s="669"/>
      <c r="T28" s="671"/>
      <c r="U28" s="669"/>
      <c r="V28" s="672" t="n">
        <f aca="false">+IFERROR(W28/$I28,"-")</f>
        <v>0.0454933181688939</v>
      </c>
      <c r="W28" s="670" t="n">
        <f aca="false">SUM(W23:W27)</f>
        <v>64638400</v>
      </c>
      <c r="X28" s="670" t="n">
        <f aca="false">SUM(X23:X27)</f>
        <v>64638400</v>
      </c>
      <c r="Y28" s="673" t="n">
        <f aca="false">+W28-X28</f>
        <v>0</v>
      </c>
      <c r="Z28" s="669"/>
      <c r="AA28" s="671"/>
      <c r="AB28" s="669"/>
      <c r="AC28" s="672" t="n">
        <f aca="false">+IFERROR(AD28/$I28,"-")</f>
        <v>0.34404321865226</v>
      </c>
      <c r="AD28" s="670" t="n">
        <f aca="false">SUM(AD23:AD27)</f>
        <v>488827900</v>
      </c>
      <c r="AE28" s="670" t="n">
        <f aca="false">SUM(AE23:AE27)</f>
        <v>0</v>
      </c>
      <c r="AF28" s="673" t="n">
        <f aca="false">+AD28-AE28</f>
        <v>488827900</v>
      </c>
      <c r="AG28" s="669"/>
      <c r="AH28" s="671"/>
      <c r="AI28" s="669"/>
      <c r="AJ28" s="672" t="n">
        <f aca="false">+IFERROR(AK28/$I28,"-")</f>
        <v>0</v>
      </c>
      <c r="AK28" s="670" t="n">
        <f aca="false">SUM(AK23:AK27)</f>
        <v>0</v>
      </c>
      <c r="AL28" s="670" t="n">
        <f aca="false">SUM(AL23:AL27)</f>
        <v>0</v>
      </c>
      <c r="AM28" s="673" t="n">
        <f aca="false">+AK28-AL28</f>
        <v>0</v>
      </c>
      <c r="AN28" s="669"/>
      <c r="AO28" s="671"/>
      <c r="AP28" s="669"/>
      <c r="AQ28" s="672" t="n">
        <f aca="false">+IFERROR(AR28/$I28,"-")</f>
        <v>0</v>
      </c>
      <c r="AR28" s="670" t="n">
        <f aca="false">SUM(AR23:AR27)</f>
        <v>0</v>
      </c>
      <c r="AS28" s="670" t="n">
        <f aca="false">SUM(AS23:AS27)</f>
        <v>0</v>
      </c>
      <c r="AT28" s="673" t="n">
        <f aca="false">+AR28-AS28</f>
        <v>0</v>
      </c>
      <c r="AU28" s="669"/>
      <c r="AV28" s="671"/>
      <c r="AW28" s="669"/>
      <c r="AX28" s="672" t="n">
        <f aca="false">+IFERROR(AY28/$I28,"-")</f>
        <v>0</v>
      </c>
      <c r="AY28" s="670" t="n">
        <f aca="false">SUM(AY23:AY27)</f>
        <v>0</v>
      </c>
      <c r="AZ28" s="670" t="n">
        <f aca="false">SUM(AZ23:AZ27)</f>
        <v>0</v>
      </c>
      <c r="BA28" s="673" t="n">
        <f aca="false">+AY28-AZ28</f>
        <v>0</v>
      </c>
      <c r="BB28" s="669"/>
      <c r="BC28" s="671"/>
      <c r="BD28" s="669"/>
      <c r="BE28" s="672" t="n">
        <f aca="false">+IFERROR(BF28/$I28,"-")</f>
        <v>0</v>
      </c>
      <c r="BF28" s="670" t="n">
        <f aca="false">SUM(BF23:BF27)</f>
        <v>0</v>
      </c>
      <c r="BG28" s="670" t="n">
        <f aca="false">SUM(BG23:BG27)</f>
        <v>0</v>
      </c>
      <c r="BH28" s="673" t="n">
        <f aca="false">+BF28-BG28</f>
        <v>0</v>
      </c>
      <c r="BI28" s="669"/>
      <c r="BJ28" s="671"/>
      <c r="BK28" s="669"/>
      <c r="BL28" s="672" t="n">
        <f aca="false">+IFERROR(BM28/$I28,"-")</f>
        <v>0.451236849587717</v>
      </c>
      <c r="BM28" s="670" t="n">
        <f aca="false">SUM(BM23:BM27)</f>
        <v>641132130</v>
      </c>
      <c r="BN28" s="670" t="n">
        <f aca="false">SUM(BN23:BN27)</f>
        <v>0</v>
      </c>
      <c r="BO28" s="673" t="n">
        <f aca="false">+BM28-BN28</f>
        <v>641132130</v>
      </c>
      <c r="BP28" s="669"/>
      <c r="BQ28" s="666"/>
      <c r="BR28" s="674"/>
      <c r="BS28" s="675"/>
      <c r="BT28" s="675"/>
      <c r="BU28" s="621"/>
      <c r="BV28" s="621"/>
      <c r="BW28" s="621"/>
      <c r="BX28" s="621"/>
      <c r="BY28" s="621"/>
      <c r="BZ28" s="621"/>
      <c r="CA28" s="621"/>
      <c r="CB28" s="621"/>
      <c r="CC28" s="625"/>
      <c r="CD28" s="625"/>
    </row>
    <row r="29" customFormat="false" ht="12.75" hidden="false" customHeight="true" outlineLevel="0" collapsed="false">
      <c r="A29" s="628"/>
      <c r="B29" s="629" t="n">
        <v>4</v>
      </c>
      <c r="C29" s="630" t="s">
        <v>202</v>
      </c>
      <c r="D29" s="631" t="n">
        <v>249.92</v>
      </c>
      <c r="E29" s="631" t="s">
        <v>505</v>
      </c>
      <c r="F29" s="632" t="s">
        <v>112</v>
      </c>
      <c r="G29" s="633" t="n">
        <f aca="false">+'PAYMENT RATIO_RAW'!$F$53*D29/1000</f>
        <v>274912000</v>
      </c>
      <c r="H29" s="633" t="n">
        <f aca="false">+G29*10%</f>
        <v>27491200</v>
      </c>
      <c r="I29" s="633" t="n">
        <f aca="false">SUM(G29:H29)</f>
        <v>302403200</v>
      </c>
      <c r="J29" s="634" t="n">
        <f aca="false">+IFERROR(K29/I29,"-")</f>
        <v>0</v>
      </c>
      <c r="K29" s="640" t="n">
        <f aca="false">+IFERROR(Q29+X29+AE29+AS29+AZ29+BG29+BN29,"-")</f>
        <v>0</v>
      </c>
      <c r="L29" s="640" t="n">
        <f aca="false">+I29-K29</f>
        <v>302403200</v>
      </c>
      <c r="M29" s="637"/>
      <c r="N29" s="637"/>
      <c r="O29" s="659" t="n">
        <f aca="false">+IFERROR(P29/$I29,"-")</f>
        <v>0</v>
      </c>
      <c r="P29" s="639" t="n">
        <f aca="false">+$I29*'PAYMENT RATIO_RAW'!G$53</f>
        <v>0</v>
      </c>
      <c r="Q29" s="640"/>
      <c r="R29" s="640" t="n">
        <f aca="false">+P29-Q29</f>
        <v>0</v>
      </c>
      <c r="S29" s="641"/>
      <c r="T29" s="636"/>
      <c r="U29" s="637"/>
      <c r="V29" s="638"/>
      <c r="W29" s="639" t="n">
        <f aca="false">+$I29*'PAYMENT RATIO_RAW'!N$53</f>
        <v>0</v>
      </c>
      <c r="X29" s="640"/>
      <c r="Y29" s="640" t="n">
        <f aca="false">+W29-X29</f>
        <v>0</v>
      </c>
      <c r="Z29" s="641"/>
      <c r="AA29" s="636" t="n">
        <f aca="false">+EDATE(AH29,1)</f>
        <v>45960</v>
      </c>
      <c r="AB29" s="637"/>
      <c r="AC29" s="638" t="n">
        <f aca="false">+IFERROR(AD29/$I29,"-")</f>
        <v>0.5</v>
      </c>
      <c r="AD29" s="639" t="n">
        <f aca="false">+$I29*'PAYMENT RATIO_RAW'!U$53</f>
        <v>151201600</v>
      </c>
      <c r="AE29" s="640"/>
      <c r="AF29" s="640" t="n">
        <f aca="false">+AD29-AE29</f>
        <v>151201600</v>
      </c>
      <c r="AG29" s="641"/>
      <c r="AH29" s="636" t="n">
        <f aca="false">+EDATE(AO29,-1)</f>
        <v>45930</v>
      </c>
      <c r="AI29" s="642"/>
      <c r="AJ29" s="638" t="n">
        <f aca="false">+IFERROR(AK29/$I29,"-")</f>
        <v>0</v>
      </c>
      <c r="AK29" s="640"/>
      <c r="AL29" s="640"/>
      <c r="AM29" s="640" t="n">
        <f aca="false">+AK29-AL29</f>
        <v>0</v>
      </c>
      <c r="AN29" s="641"/>
      <c r="AO29" s="636" t="n">
        <f aca="false">+EDATE(AV29,-1)</f>
        <v>45960</v>
      </c>
      <c r="AP29" s="637"/>
      <c r="AQ29" s="638" t="n">
        <f aca="false">+IFERROR(AR29/$I29,"-")</f>
        <v>0</v>
      </c>
      <c r="AR29" s="639" t="n">
        <f aca="false">+$I29*'PAYMENT RATIO_RAW'!AI$53</f>
        <v>0</v>
      </c>
      <c r="AS29" s="640"/>
      <c r="AT29" s="640" t="n">
        <f aca="false">+AR29-AS29</f>
        <v>0</v>
      </c>
      <c r="AU29" s="641"/>
      <c r="AV29" s="636" t="n">
        <f aca="false">+EDATE(BC29,-1)</f>
        <v>45991</v>
      </c>
      <c r="AW29" s="637"/>
      <c r="AX29" s="638" t="n">
        <f aca="false">+IFERROR(AY29/$I29,"-")</f>
        <v>0</v>
      </c>
      <c r="AY29" s="639" t="n">
        <f aca="false">+$I29*'PAYMENT RATIO_RAW'!AP$53</f>
        <v>0</v>
      </c>
      <c r="AZ29" s="640"/>
      <c r="BA29" s="640" t="n">
        <f aca="false">+AY29-AZ29</f>
        <v>0</v>
      </c>
      <c r="BB29" s="641"/>
      <c r="BC29" s="636" t="n">
        <f aca="false">+EDATE(BJ29,-1)</f>
        <v>46022</v>
      </c>
      <c r="BD29" s="637"/>
      <c r="BE29" s="638" t="n">
        <f aca="false">+IFERROR(BF29/$I29,"-")</f>
        <v>0</v>
      </c>
      <c r="BF29" s="639" t="n">
        <f aca="false">+$I29*'PAYMENT RATIO_RAW'!AW$53</f>
        <v>0</v>
      </c>
      <c r="BG29" s="640"/>
      <c r="BH29" s="640" t="n">
        <f aca="false">+BF29-BG29</f>
        <v>0</v>
      </c>
      <c r="BI29" s="641"/>
      <c r="BJ29" s="636" t="n">
        <v>46053</v>
      </c>
      <c r="BK29" s="637"/>
      <c r="BL29" s="638" t="n">
        <f aca="false">+IFERROR(BM29/$I29,"-")</f>
        <v>0.5</v>
      </c>
      <c r="BM29" s="639" t="n">
        <f aca="false">+$I29*'PAYMENT RATIO_RAW'!BD$53</f>
        <v>151201600</v>
      </c>
      <c r="BN29" s="640"/>
      <c r="BO29" s="640" t="n">
        <f aca="false">+BM29-BN29</f>
        <v>151201600</v>
      </c>
      <c r="BP29" s="641"/>
      <c r="BQ29" s="644"/>
      <c r="BR29" s="645" t="n">
        <f aca="false">+P29+W29+AD29+AR29+AY29+BF29+BM29=I29</f>
        <v>1</v>
      </c>
      <c r="BS29" s="645" t="n">
        <f aca="false">+Q29+X29+AE29+AS29+AZ29+BG29+BN29=K29</f>
        <v>1</v>
      </c>
      <c r="BT29" s="645"/>
      <c r="BU29" s="621"/>
      <c r="BV29" s="621"/>
      <c r="BW29" s="621"/>
      <c r="BX29" s="621"/>
      <c r="BY29" s="621"/>
      <c r="BZ29" s="621"/>
      <c r="CA29" s="621"/>
      <c r="CB29" s="621"/>
      <c r="CC29" s="625"/>
      <c r="CD29" s="625"/>
    </row>
    <row r="30" customFormat="false" ht="12.75" hidden="false" customHeight="false" outlineLevel="0" collapsed="false">
      <c r="A30" s="628"/>
      <c r="B30" s="629"/>
      <c r="C30" s="630"/>
      <c r="D30" s="631"/>
      <c r="E30" s="631"/>
      <c r="F30" s="656" t="s">
        <v>114</v>
      </c>
      <c r="G30" s="657" t="n">
        <f aca="false">+'PAYMENT RATIO_RAW'!F54*$D$29/1000</f>
        <v>99968000</v>
      </c>
      <c r="H30" s="657"/>
      <c r="I30" s="657" t="n">
        <f aca="false">SUM(G30:H30)</f>
        <v>99968000</v>
      </c>
      <c r="J30" s="656" t="n">
        <f aca="false">+IFERROR(K30/I30,"-")</f>
        <v>0.897003040973111</v>
      </c>
      <c r="K30" s="639" t="n">
        <f aca="false">+IFERROR(Q30+X30+AE30+AS30+AZ30+BG30+BN30,"-")</f>
        <v>89671600</v>
      </c>
      <c r="L30" s="639" t="n">
        <f aca="false">+I30-K30</f>
        <v>10296400</v>
      </c>
      <c r="M30" s="658" t="n">
        <v>45900</v>
      </c>
      <c r="N30" s="658" t="n">
        <v>45845</v>
      </c>
      <c r="O30" s="659" t="n">
        <f aca="false">+IFERROR(P30/$I30,"-")</f>
        <v>0.7</v>
      </c>
      <c r="P30" s="639" t="n">
        <f aca="false">+$I30*'PAYMENT RATIO_RAW'!G$54</f>
        <v>69977600</v>
      </c>
      <c r="Q30" s="639" t="n">
        <v>69678000</v>
      </c>
      <c r="R30" s="639" t="n">
        <f aca="false">+P30-Q30</f>
        <v>299600</v>
      </c>
      <c r="S30" s="660"/>
      <c r="T30" s="658" t="n">
        <v>45943</v>
      </c>
      <c r="U30" s="658"/>
      <c r="V30" s="659" t="n">
        <f aca="false">+IFERROR(W30/$I30,"-")</f>
        <v>0.2</v>
      </c>
      <c r="W30" s="639" t="n">
        <f aca="false">+$I30*'PAYMENT RATIO_RAW'!N$54</f>
        <v>19993600</v>
      </c>
      <c r="X30" s="639" t="n">
        <f aca="false">+W30</f>
        <v>19993600</v>
      </c>
      <c r="Y30" s="639" t="n">
        <f aca="false">+W30-X30</f>
        <v>0</v>
      </c>
      <c r="Z30" s="721"/>
      <c r="AA30" s="658"/>
      <c r="AB30" s="658"/>
      <c r="AC30" s="659" t="n">
        <f aca="false">+IFERROR(AD30/$I30,"-")</f>
        <v>0</v>
      </c>
      <c r="AD30" s="639" t="n">
        <f aca="false">+$I30*'PAYMENT RATIO_RAW'!U$54</f>
        <v>0</v>
      </c>
      <c r="AE30" s="639"/>
      <c r="AF30" s="639" t="n">
        <f aca="false">+AD30-AE30</f>
        <v>0</v>
      </c>
      <c r="AG30" s="660"/>
      <c r="AH30" s="658"/>
      <c r="AI30" s="658"/>
      <c r="AJ30" s="659" t="n">
        <f aca="false">+IFERROR(AK30/$I30,"-")</f>
        <v>0</v>
      </c>
      <c r="AK30" s="639"/>
      <c r="AL30" s="639"/>
      <c r="AM30" s="639" t="n">
        <f aca="false">+AK30-AL30</f>
        <v>0</v>
      </c>
      <c r="AN30" s="660"/>
      <c r="AO30" s="658"/>
      <c r="AP30" s="658"/>
      <c r="AQ30" s="659"/>
      <c r="AR30" s="639" t="n">
        <f aca="false">+$I30*'PAYMENT RATIO_RAW'!AI$54</f>
        <v>0</v>
      </c>
      <c r="AS30" s="639"/>
      <c r="AT30" s="639" t="n">
        <f aca="false">+AR30-AS30</f>
        <v>0</v>
      </c>
      <c r="AU30" s="660"/>
      <c r="AV30" s="658"/>
      <c r="AW30" s="658"/>
      <c r="AX30" s="659"/>
      <c r="AY30" s="639" t="n">
        <f aca="false">+$I30*'PAYMENT RATIO_RAW'!AP$54</f>
        <v>0</v>
      </c>
      <c r="AZ30" s="639"/>
      <c r="BA30" s="639" t="n">
        <f aca="false">+AY30-AZ30</f>
        <v>0</v>
      </c>
      <c r="BB30" s="660"/>
      <c r="BC30" s="658"/>
      <c r="BD30" s="658"/>
      <c r="BE30" s="659" t="n">
        <f aca="false">+IFERROR(BF30/$I30,"-")</f>
        <v>0</v>
      </c>
      <c r="BF30" s="639" t="n">
        <f aca="false">+$I30*'PAYMENT RATIO_RAW'!AW$54</f>
        <v>0</v>
      </c>
      <c r="BG30" s="639"/>
      <c r="BH30" s="640" t="n">
        <f aca="false">+BF30-BG30</f>
        <v>0</v>
      </c>
      <c r="BI30" s="660"/>
      <c r="BJ30" s="658" t="n">
        <v>46053</v>
      </c>
      <c r="BK30" s="658"/>
      <c r="BL30" s="659" t="n">
        <f aca="false">+IFERROR(BM30/$I30,"-")</f>
        <v>0.1</v>
      </c>
      <c r="BM30" s="639" t="n">
        <f aca="false">+$I30*'PAYMENT RATIO_RAW'!BD$54</f>
        <v>9996800</v>
      </c>
      <c r="BN30" s="639"/>
      <c r="BO30" s="639" t="n">
        <f aca="false">+BM30-BN30</f>
        <v>9996800</v>
      </c>
      <c r="BP30" s="660"/>
      <c r="BQ30" s="644"/>
      <c r="BR30" s="645" t="n">
        <f aca="false">+BM30+BF30+AY30+AR30+AD30+W30+P30=I30</f>
        <v>1</v>
      </c>
      <c r="BS30" s="645" t="n">
        <f aca="false">+Q30+X30+AE30+AS30+AZ30+BG30+BN30=K30</f>
        <v>1</v>
      </c>
      <c r="BT30" s="645" t="n">
        <f aca="false">+BF30+BF32+AY30+AY32+AR30+AR32+AD30+AD32+W30+W32+P30+P32+BM30+BM32=('PAYMENT RATIO_RAW'!$F$54+'PAYMENT RATIO_RAW'!$F$56)*D29*1.1/1000</f>
        <v>0</v>
      </c>
      <c r="BU30" s="621"/>
      <c r="BV30" s="621"/>
      <c r="BW30" s="621"/>
      <c r="BX30" s="621"/>
      <c r="BY30" s="621"/>
      <c r="BZ30" s="621"/>
      <c r="CA30" s="621"/>
      <c r="CB30" s="621"/>
      <c r="CC30" s="625"/>
      <c r="CD30" s="625"/>
    </row>
    <row r="31" customFormat="false" ht="12.75" hidden="false" customHeight="false" outlineLevel="0" collapsed="false">
      <c r="A31" s="628"/>
      <c r="B31" s="629"/>
      <c r="C31" s="630"/>
      <c r="D31" s="631"/>
      <c r="E31" s="631"/>
      <c r="F31" s="656" t="s">
        <v>404</v>
      </c>
      <c r="G31" s="657" t="n">
        <f aca="false">+$D$29*'PAYMENT RATIO_RAW'!F$55/1000</f>
        <v>0</v>
      </c>
      <c r="H31" s="657" t="n">
        <f aca="false">+G31*10%</f>
        <v>0</v>
      </c>
      <c r="I31" s="657" t="n">
        <f aca="false">SUM(G31:H31)</f>
        <v>0</v>
      </c>
      <c r="J31" s="656" t="str">
        <f aca="false">+IFERROR(K31/I31,"-")</f>
        <v>-</v>
      </c>
      <c r="K31" s="639" t="n">
        <f aca="false">+IFERROR(Q31+X31+AE31+AS31+AZ31+BG31+BN31,"-")</f>
        <v>0</v>
      </c>
      <c r="L31" s="639" t="n">
        <f aca="false">+I31-K31</f>
        <v>0</v>
      </c>
      <c r="M31" s="658" t="n">
        <v>45900</v>
      </c>
      <c r="N31" s="658"/>
      <c r="O31" s="659" t="str">
        <f aca="false">+IFERROR(P31/$I31,"-")</f>
        <v>-</v>
      </c>
      <c r="P31" s="639" t="n">
        <f aca="false">+$I31*'PAYMENT RATIO_RAW'!G$55</f>
        <v>0</v>
      </c>
      <c r="Q31" s="639"/>
      <c r="R31" s="639" t="n">
        <f aca="false">+P31-Q31</f>
        <v>0</v>
      </c>
      <c r="S31" s="660"/>
      <c r="T31" s="658"/>
      <c r="U31" s="658"/>
      <c r="V31" s="659" t="str">
        <f aca="false">+IFERROR(W31/$I31,"-")</f>
        <v>-</v>
      </c>
      <c r="W31" s="639" t="n">
        <f aca="false">+$I31*'PAYMENT RATIO_RAW'!N$55</f>
        <v>0</v>
      </c>
      <c r="X31" s="639"/>
      <c r="Y31" s="639" t="n">
        <f aca="false">+W31-X31</f>
        <v>0</v>
      </c>
      <c r="Z31" s="660"/>
      <c r="AA31" s="658"/>
      <c r="AB31" s="658"/>
      <c r="AC31" s="659" t="str">
        <f aca="false">+IFERROR(AD31/$I31,"-")</f>
        <v>-</v>
      </c>
      <c r="AD31" s="639" t="n">
        <f aca="false">+$I31*'PAYMENT RATIO_RAW'!U$55</f>
        <v>0</v>
      </c>
      <c r="AE31" s="639"/>
      <c r="AF31" s="639" t="n">
        <f aca="false">+AD31-AE31</f>
        <v>0</v>
      </c>
      <c r="AG31" s="660"/>
      <c r="AH31" s="658"/>
      <c r="AI31" s="658"/>
      <c r="AJ31" s="659" t="str">
        <f aca="false">+IFERROR(AK31/$I31,"-")</f>
        <v>-</v>
      </c>
      <c r="AK31" s="639"/>
      <c r="AL31" s="639"/>
      <c r="AM31" s="639" t="n">
        <f aca="false">+AK31-AL31</f>
        <v>0</v>
      </c>
      <c r="AN31" s="660"/>
      <c r="AO31" s="658"/>
      <c r="AP31" s="658"/>
      <c r="AQ31" s="659"/>
      <c r="AR31" s="639" t="n">
        <f aca="false">+$I31*'PAYMENT RATIO_RAW'!AI$55</f>
        <v>0</v>
      </c>
      <c r="AS31" s="639"/>
      <c r="AT31" s="639" t="n">
        <f aca="false">+AR31-AS31</f>
        <v>0</v>
      </c>
      <c r="AU31" s="660"/>
      <c r="AV31" s="658"/>
      <c r="AW31" s="658"/>
      <c r="AX31" s="659"/>
      <c r="AY31" s="639" t="n">
        <f aca="false">+$I31*'PAYMENT RATIO_RAW'!AP$55</f>
        <v>0</v>
      </c>
      <c r="AZ31" s="639"/>
      <c r="BA31" s="639" t="n">
        <f aca="false">+AY31-AZ31</f>
        <v>0</v>
      </c>
      <c r="BB31" s="660"/>
      <c r="BC31" s="658"/>
      <c r="BD31" s="658"/>
      <c r="BE31" s="659" t="str">
        <f aca="false">+IFERROR(BF31/$I31,"-")</f>
        <v>-</v>
      </c>
      <c r="BF31" s="639" t="n">
        <f aca="false">+$I31*'PAYMENT RATIO_RAW'!AW$55</f>
        <v>0</v>
      </c>
      <c r="BG31" s="639"/>
      <c r="BH31" s="640" t="n">
        <f aca="false">+BF31-BG31</f>
        <v>0</v>
      </c>
      <c r="BI31" s="660"/>
      <c r="BJ31" s="658"/>
      <c r="BK31" s="658"/>
      <c r="BL31" s="659" t="str">
        <f aca="false">+IFERROR(BM31/$I31,"-")</f>
        <v>-</v>
      </c>
      <c r="BM31" s="639" t="n">
        <f aca="false">+$I31*'PAYMENT RATIO_RAW'!BD$55</f>
        <v>0</v>
      </c>
      <c r="BN31" s="639"/>
      <c r="BO31" s="639" t="n">
        <f aca="false">+BM31-BN31</f>
        <v>0</v>
      </c>
      <c r="BP31" s="660"/>
      <c r="BQ31" s="644"/>
      <c r="BR31" s="645" t="n">
        <f aca="false">+P31+W31+AD31+AR31+AY31+BF31+BM31=I31</f>
        <v>1</v>
      </c>
      <c r="BS31" s="645" t="n">
        <f aca="false">+Q31+X31+AE31+AS31+AZ31+BG31+BN31=K31</f>
        <v>1</v>
      </c>
      <c r="BT31" s="645"/>
      <c r="BU31" s="621"/>
      <c r="BV31" s="621"/>
      <c r="BW31" s="621"/>
      <c r="BX31" s="621"/>
      <c r="BY31" s="621"/>
      <c r="BZ31" s="621"/>
      <c r="CA31" s="621"/>
      <c r="CB31" s="621"/>
      <c r="CC31" s="625"/>
      <c r="CD31" s="625"/>
    </row>
    <row r="32" customFormat="false" ht="12.75" hidden="false" customHeight="false" outlineLevel="0" collapsed="false">
      <c r="A32" s="628"/>
      <c r="B32" s="629"/>
      <c r="C32" s="630"/>
      <c r="D32" s="631"/>
      <c r="E32" s="631"/>
      <c r="F32" s="656" t="s">
        <v>507</v>
      </c>
      <c r="G32" s="657" t="n">
        <f aca="false">+$D$29*'PAYMENT RATIO_RAW'!F$56/1000</f>
        <v>0</v>
      </c>
      <c r="H32" s="661" t="n">
        <f aca="false">+G32*10%</f>
        <v>0</v>
      </c>
      <c r="I32" s="661" t="n">
        <f aca="false">SUM(G32:H32)</f>
        <v>0</v>
      </c>
      <c r="J32" s="656" t="str">
        <f aca="false">+IFERROR(K32/I32,"-")</f>
        <v>-</v>
      </c>
      <c r="K32" s="639" t="n">
        <f aca="false">+IFERROR(Q32+X32+AE32+AS32+AZ32+BG32+BN32,"-")</f>
        <v>0</v>
      </c>
      <c r="L32" s="639" t="n">
        <f aca="false">+I32-K32</f>
        <v>0</v>
      </c>
      <c r="M32" s="658" t="n">
        <v>45900</v>
      </c>
      <c r="N32" s="642"/>
      <c r="O32" s="659" t="str">
        <f aca="false">+IFERROR(P32/$I32,"-")</f>
        <v>-</v>
      </c>
      <c r="P32" s="639" t="n">
        <f aca="false">+$I32*'PAYMENT RATIO_RAW'!G$56</f>
        <v>0</v>
      </c>
      <c r="Q32" s="639"/>
      <c r="R32" s="639" t="n">
        <f aca="false">+P32-Q32</f>
        <v>0</v>
      </c>
      <c r="S32" s="660"/>
      <c r="T32" s="658"/>
      <c r="U32" s="642"/>
      <c r="V32" s="659" t="str">
        <f aca="false">+IFERROR(W32/$I32,"-")</f>
        <v>-</v>
      </c>
      <c r="W32" s="639" t="n">
        <f aca="false">+$I32*'PAYMENT RATIO_RAW'!N$56</f>
        <v>0</v>
      </c>
      <c r="X32" s="639"/>
      <c r="Y32" s="639" t="n">
        <f aca="false">+W32-X32</f>
        <v>0</v>
      </c>
      <c r="Z32" s="660"/>
      <c r="AA32" s="658"/>
      <c r="AB32" s="642"/>
      <c r="AC32" s="659" t="str">
        <f aca="false">+IFERROR(AD32/$I32,"-")</f>
        <v>-</v>
      </c>
      <c r="AD32" s="639" t="n">
        <f aca="false">+$I32*'PAYMENT RATIO_RAW'!U$56</f>
        <v>0</v>
      </c>
      <c r="AE32" s="639"/>
      <c r="AF32" s="639" t="n">
        <f aca="false">+AD32-AE32</f>
        <v>0</v>
      </c>
      <c r="AG32" s="660"/>
      <c r="AH32" s="642"/>
      <c r="AI32" s="642"/>
      <c r="AJ32" s="659" t="str">
        <f aca="false">+IFERROR(AK32/$I32,"-")</f>
        <v>-</v>
      </c>
      <c r="AK32" s="639"/>
      <c r="AL32" s="639"/>
      <c r="AM32" s="639" t="n">
        <f aca="false">+AK32-AL32</f>
        <v>0</v>
      </c>
      <c r="AN32" s="660"/>
      <c r="AO32" s="658"/>
      <c r="AP32" s="642"/>
      <c r="AQ32" s="659"/>
      <c r="AR32" s="639" t="n">
        <f aca="false">+$I32*'PAYMENT RATIO_RAW'!AI$56</f>
        <v>0</v>
      </c>
      <c r="AS32" s="639"/>
      <c r="AT32" s="639" t="n">
        <f aca="false">+AR32-AS32</f>
        <v>0</v>
      </c>
      <c r="AU32" s="660"/>
      <c r="AV32" s="658"/>
      <c r="AW32" s="642"/>
      <c r="AX32" s="659"/>
      <c r="AY32" s="639" t="n">
        <f aca="false">+$I32*'PAYMENT RATIO_RAW'!AP$56</f>
        <v>0</v>
      </c>
      <c r="AZ32" s="639"/>
      <c r="BA32" s="639" t="n">
        <f aca="false">+AY32-AZ32</f>
        <v>0</v>
      </c>
      <c r="BB32" s="660"/>
      <c r="BC32" s="658"/>
      <c r="BD32" s="642"/>
      <c r="BE32" s="659" t="str">
        <f aca="false">+IFERROR(BF32/$I32,"-")</f>
        <v>-</v>
      </c>
      <c r="BF32" s="639" t="n">
        <f aca="false">+$I32*'PAYMENT RATIO_RAW'!AW$56</f>
        <v>0</v>
      </c>
      <c r="BG32" s="639"/>
      <c r="BH32" s="640" t="n">
        <f aca="false">+BF32-BG32</f>
        <v>0</v>
      </c>
      <c r="BI32" s="660"/>
      <c r="BJ32" s="658"/>
      <c r="BK32" s="642"/>
      <c r="BL32" s="659" t="str">
        <f aca="false">+IFERROR(BM32/$I32,"-")</f>
        <v>-</v>
      </c>
      <c r="BM32" s="639" t="n">
        <f aca="false">+$I32*'PAYMENT RATIO_RAW'!BD$56</f>
        <v>0</v>
      </c>
      <c r="BN32" s="639"/>
      <c r="BO32" s="639" t="n">
        <f aca="false">+BM32-BN32</f>
        <v>0</v>
      </c>
      <c r="BP32" s="660"/>
      <c r="BQ32" s="644"/>
      <c r="BR32" s="645" t="n">
        <f aca="false">+P32+W32+AD32+AR32+AY32+BF32+BM32=I32</f>
        <v>1</v>
      </c>
      <c r="BS32" s="645" t="n">
        <f aca="false">+Q32+X32+AE32+AS32+AZ32+BG32+BN32=K32</f>
        <v>1</v>
      </c>
      <c r="BT32" s="645"/>
      <c r="BU32" s="621"/>
      <c r="BV32" s="621"/>
      <c r="BW32" s="621"/>
      <c r="BX32" s="621"/>
      <c r="BY32" s="621"/>
      <c r="BZ32" s="621"/>
      <c r="CA32" s="621"/>
      <c r="CB32" s="621"/>
      <c r="CC32" s="625"/>
      <c r="CD32" s="625"/>
    </row>
    <row r="33" customFormat="false" ht="12.75" hidden="false" customHeight="false" outlineLevel="0" collapsed="false">
      <c r="A33" s="628"/>
      <c r="B33" s="629"/>
      <c r="C33" s="630"/>
      <c r="D33" s="631"/>
      <c r="E33" s="631"/>
      <c r="F33" s="679" t="s">
        <v>508</v>
      </c>
      <c r="G33" s="661" t="n">
        <f aca="false">+'PAYMENT RATIO_RAW'!F57*D29/1000</f>
        <v>33739200</v>
      </c>
      <c r="H33" s="661" t="n">
        <f aca="false">+G33*10%</f>
        <v>3373920</v>
      </c>
      <c r="I33" s="661" t="n">
        <f aca="false">SUM(G33:H33)</f>
        <v>37113120</v>
      </c>
      <c r="J33" s="679" t="n">
        <f aca="false">+IFERROR(K33/I33,"-")</f>
        <v>0</v>
      </c>
      <c r="K33" s="681" t="n">
        <f aca="false">+IFERROR(Q33+X33+AE33+AS33+AZ33+BG33+BN33,"-")</f>
        <v>0</v>
      </c>
      <c r="L33" s="681" t="n">
        <f aca="false">+I33-K33</f>
        <v>37113120</v>
      </c>
      <c r="M33" s="662"/>
      <c r="N33" s="662"/>
      <c r="O33" s="665"/>
      <c r="P33" s="639" t="n">
        <f aca="false">+$I33*'PAYMENT RATIO_RAW'!G$57</f>
        <v>0</v>
      </c>
      <c r="Q33" s="663"/>
      <c r="R33" s="663" t="n">
        <f aca="false">+P33-Q33</f>
        <v>0</v>
      </c>
      <c r="S33" s="662"/>
      <c r="T33" s="664"/>
      <c r="U33" s="662"/>
      <c r="V33" s="665"/>
      <c r="W33" s="639" t="n">
        <f aca="false">+$I33*'PAYMENT RATIO_RAW'!N$57</f>
        <v>0</v>
      </c>
      <c r="X33" s="663"/>
      <c r="Y33" s="663" t="n">
        <f aca="false">+W33-X33</f>
        <v>0</v>
      </c>
      <c r="Z33" s="662"/>
      <c r="AA33" s="664"/>
      <c r="AB33" s="662"/>
      <c r="AC33" s="665"/>
      <c r="AD33" s="639" t="n">
        <f aca="false">+$I33*'PAYMENT RATIO_RAW'!U$57</f>
        <v>0</v>
      </c>
      <c r="AE33" s="663"/>
      <c r="AF33" s="663" t="n">
        <f aca="false">+AD33-AE33</f>
        <v>0</v>
      </c>
      <c r="AG33" s="662"/>
      <c r="AH33" s="664"/>
      <c r="AI33" s="662"/>
      <c r="AJ33" s="665"/>
      <c r="AK33" s="663"/>
      <c r="AL33" s="663"/>
      <c r="AM33" s="663"/>
      <c r="AN33" s="662"/>
      <c r="AO33" s="664"/>
      <c r="AP33" s="662"/>
      <c r="AQ33" s="665"/>
      <c r="AR33" s="639" t="n">
        <f aca="false">+$I33*'PAYMENT RATIO_RAW'!AI$57</f>
        <v>0</v>
      </c>
      <c r="AS33" s="663"/>
      <c r="AT33" s="663"/>
      <c r="AU33" s="662"/>
      <c r="AV33" s="664"/>
      <c r="AW33" s="662"/>
      <c r="AX33" s="665"/>
      <c r="AY33" s="639" t="n">
        <f aca="false">+$I33*'PAYMENT RATIO_RAW'!AP$57</f>
        <v>0</v>
      </c>
      <c r="AZ33" s="663"/>
      <c r="BA33" s="663"/>
      <c r="BB33" s="662"/>
      <c r="BC33" s="664"/>
      <c r="BD33" s="662"/>
      <c r="BE33" s="665" t="n">
        <f aca="false">+IFERROR(BF33/$I33,"-")</f>
        <v>0</v>
      </c>
      <c r="BF33" s="639" t="n">
        <f aca="false">+$I33*'PAYMENT RATIO_RAW'!AW$57</f>
        <v>0</v>
      </c>
      <c r="BG33" s="663"/>
      <c r="BH33" s="640" t="n">
        <f aca="false">+BF33-BG33</f>
        <v>0</v>
      </c>
      <c r="BI33" s="662"/>
      <c r="BJ33" s="658" t="n">
        <v>46053</v>
      </c>
      <c r="BK33" s="662"/>
      <c r="BL33" s="665" t="n">
        <f aca="false">+IFERROR(BM33/$I33,"-")</f>
        <v>1</v>
      </c>
      <c r="BM33" s="639" t="n">
        <f aca="false">+$I33*'PAYMENT RATIO_RAW'!BD$57</f>
        <v>37113120</v>
      </c>
      <c r="BN33" s="663"/>
      <c r="BO33" s="663" t="n">
        <f aca="false">+BM33-BN33</f>
        <v>37113120</v>
      </c>
      <c r="BP33" s="662"/>
      <c r="BQ33" s="666"/>
      <c r="BR33" s="667" t="n">
        <f aca="false">+P33+W33+AD33+AR33+AY33+BF33+BM33=I33</f>
        <v>1</v>
      </c>
      <c r="BS33" s="668" t="n">
        <f aca="false">+Q33+X33+AE33+AS33+AZ33+BG33+BN33=K33</f>
        <v>1</v>
      </c>
      <c r="BT33" s="668"/>
      <c r="BU33" s="621"/>
      <c r="BV33" s="621"/>
      <c r="BW33" s="621"/>
      <c r="BX33" s="621"/>
      <c r="BY33" s="621"/>
      <c r="BZ33" s="621"/>
      <c r="CA33" s="621"/>
      <c r="CB33" s="621"/>
      <c r="CC33" s="625"/>
      <c r="CD33" s="625"/>
    </row>
    <row r="34" customFormat="false" ht="12.75" hidden="false" customHeight="false" outlineLevel="0" collapsed="false">
      <c r="A34" s="628"/>
      <c r="B34" s="629"/>
      <c r="C34" s="630"/>
      <c r="D34" s="631"/>
      <c r="E34" s="631"/>
      <c r="F34" s="669" t="s">
        <v>109</v>
      </c>
      <c r="G34" s="670" t="n">
        <f aca="false">SUM(G29:G33)</f>
        <v>408619200</v>
      </c>
      <c r="H34" s="670" t="n">
        <f aca="false">SUM(H29:H33)</f>
        <v>30865120</v>
      </c>
      <c r="I34" s="670" t="n">
        <f aca="false">SUM(I29:I33)</f>
        <v>439484320</v>
      </c>
      <c r="J34" s="669" t="n">
        <f aca="false">+IFERROR(K34/I34,"-")</f>
        <v>0.204038223707276</v>
      </c>
      <c r="K34" s="670" t="n">
        <f aca="false">SUM(K29:K33)</f>
        <v>89671600</v>
      </c>
      <c r="L34" s="670" t="n">
        <f aca="false">SUM(L29:L33)</f>
        <v>349812720</v>
      </c>
      <c r="M34" s="669"/>
      <c r="N34" s="669"/>
      <c r="O34" s="672" t="n">
        <f aca="false">+IFERROR(P34/$I34,"-")</f>
        <v>0.159226613591129</v>
      </c>
      <c r="P34" s="670" t="n">
        <f aca="false">SUM(P29:P33)</f>
        <v>69977600</v>
      </c>
      <c r="Q34" s="670" t="n">
        <f aca="false">SUM(Q29:Q33)</f>
        <v>69678000</v>
      </c>
      <c r="R34" s="673" t="n">
        <f aca="false">+P34-Q34</f>
        <v>299600</v>
      </c>
      <c r="S34" s="669"/>
      <c r="T34" s="671"/>
      <c r="U34" s="669"/>
      <c r="V34" s="672" t="n">
        <f aca="false">+IFERROR(W34/$I34,"-")</f>
        <v>0.0454933181688939</v>
      </c>
      <c r="W34" s="670" t="n">
        <f aca="false">SUM(W29:W33)</f>
        <v>19993600</v>
      </c>
      <c r="X34" s="670" t="n">
        <f aca="false">SUM(X29:X33)</f>
        <v>19993600</v>
      </c>
      <c r="Y34" s="673" t="n">
        <f aca="false">+W34-X34</f>
        <v>0</v>
      </c>
      <c r="Z34" s="669"/>
      <c r="AA34" s="671"/>
      <c r="AB34" s="669"/>
      <c r="AC34" s="672" t="n">
        <f aca="false">+IFERROR(AD34/$I34,"-")</f>
        <v>0.34404321865226</v>
      </c>
      <c r="AD34" s="670" t="n">
        <f aca="false">SUM(AD29:AD33)</f>
        <v>151201600</v>
      </c>
      <c r="AE34" s="670" t="n">
        <f aca="false">SUM(AE29:AE33)</f>
        <v>0</v>
      </c>
      <c r="AF34" s="673" t="n">
        <f aca="false">+AD34-AE34</f>
        <v>151201600</v>
      </c>
      <c r="AG34" s="669"/>
      <c r="AH34" s="671"/>
      <c r="AI34" s="669"/>
      <c r="AJ34" s="672" t="n">
        <f aca="false">+IFERROR(AK34/$I34,"-")</f>
        <v>0</v>
      </c>
      <c r="AK34" s="670" t="n">
        <f aca="false">SUM(AK29:AK33)</f>
        <v>0</v>
      </c>
      <c r="AL34" s="670" t="n">
        <f aca="false">SUM(AL29:AL33)</f>
        <v>0</v>
      </c>
      <c r="AM34" s="673" t="n">
        <f aca="false">+AK34-AL34</f>
        <v>0</v>
      </c>
      <c r="AN34" s="669"/>
      <c r="AO34" s="671"/>
      <c r="AP34" s="669"/>
      <c r="AQ34" s="672" t="n">
        <f aca="false">+IFERROR(AR34/$I34,"-")</f>
        <v>0</v>
      </c>
      <c r="AR34" s="670" t="n">
        <f aca="false">SUM(AR29:AR33)</f>
        <v>0</v>
      </c>
      <c r="AS34" s="670" t="n">
        <f aca="false">SUM(AS29:AS33)</f>
        <v>0</v>
      </c>
      <c r="AT34" s="673" t="n">
        <f aca="false">+AR34-AS34</f>
        <v>0</v>
      </c>
      <c r="AU34" s="669"/>
      <c r="AV34" s="671"/>
      <c r="AW34" s="669"/>
      <c r="AX34" s="672" t="n">
        <f aca="false">+IFERROR(AY34/$I34,"-")</f>
        <v>0</v>
      </c>
      <c r="AY34" s="670" t="n">
        <f aca="false">SUM(AY29:AY33)</f>
        <v>0</v>
      </c>
      <c r="AZ34" s="670" t="n">
        <f aca="false">SUM(AZ29:AZ33)</f>
        <v>0</v>
      </c>
      <c r="BA34" s="673" t="n">
        <f aca="false">+AY34-AZ34</f>
        <v>0</v>
      </c>
      <c r="BB34" s="669"/>
      <c r="BC34" s="671"/>
      <c r="BD34" s="669"/>
      <c r="BE34" s="672" t="n">
        <f aca="false">+IFERROR(BF34/$I34,"-")</f>
        <v>0</v>
      </c>
      <c r="BF34" s="670" t="n">
        <f aca="false">SUM(BF29:BF33)</f>
        <v>0</v>
      </c>
      <c r="BG34" s="670" t="n">
        <f aca="false">SUM(BG29:BG33)</f>
        <v>0</v>
      </c>
      <c r="BH34" s="673" t="n">
        <f aca="false">+BF34-BG34</f>
        <v>0</v>
      </c>
      <c r="BI34" s="669"/>
      <c r="BJ34" s="671"/>
      <c r="BK34" s="669"/>
      <c r="BL34" s="672" t="n">
        <f aca="false">+IFERROR(BM34/$I34,"-")</f>
        <v>0.451236849587717</v>
      </c>
      <c r="BM34" s="670" t="n">
        <f aca="false">SUM(BM29:BM33)</f>
        <v>198311520</v>
      </c>
      <c r="BN34" s="670" t="n">
        <f aca="false">SUM(BN29:BN33)</f>
        <v>0</v>
      </c>
      <c r="BO34" s="673" t="n">
        <f aca="false">+BM34-BN34</f>
        <v>198311520</v>
      </c>
      <c r="BP34" s="669"/>
      <c r="BQ34" s="666"/>
      <c r="BR34" s="674"/>
      <c r="BS34" s="675"/>
      <c r="BT34" s="675"/>
      <c r="BU34" s="621"/>
      <c r="BV34" s="621"/>
      <c r="BW34" s="621"/>
      <c r="BX34" s="621"/>
      <c r="BY34" s="621"/>
      <c r="BZ34" s="621"/>
      <c r="CA34" s="621"/>
      <c r="CB34" s="621"/>
      <c r="CC34" s="625"/>
      <c r="CD34" s="625"/>
    </row>
    <row r="35" customFormat="false" ht="16.5" hidden="false" customHeight="true" outlineLevel="0" collapsed="false">
      <c r="A35" s="628"/>
      <c r="B35" s="685" t="s">
        <v>109</v>
      </c>
      <c r="C35" s="685"/>
      <c r="D35" s="686" t="n">
        <f aca="false">+SUM(D11:D34)</f>
        <v>1543.54</v>
      </c>
      <c r="E35" s="687"/>
      <c r="F35" s="688" t="s">
        <v>112</v>
      </c>
      <c r="G35" s="689" t="n">
        <f aca="false">+G11+G17+G23+G29</f>
        <v>1697894000</v>
      </c>
      <c r="H35" s="689" t="n">
        <f aca="false">+H11+H17+H23+H29</f>
        <v>169789400</v>
      </c>
      <c r="I35" s="689" t="n">
        <f aca="false">SUM(G35:H35)</f>
        <v>1867683400</v>
      </c>
      <c r="J35" s="688" t="n">
        <f aca="false">+IFERROR(K35/I35,"-")</f>
        <v>0</v>
      </c>
      <c r="K35" s="689" t="n">
        <f aca="false">+K11+K17+K23+K29</f>
        <v>0</v>
      </c>
      <c r="L35" s="689" t="n">
        <f aca="false">+L11+L17+L23+L29</f>
        <v>1867683400</v>
      </c>
      <c r="M35" s="690"/>
      <c r="N35" s="690"/>
      <c r="O35" s="691" t="n">
        <f aca="false">+IFERROR(P35/$I35,"-")</f>
        <v>0</v>
      </c>
      <c r="P35" s="689" t="n">
        <f aca="false">+P11+P17+P23+P29</f>
        <v>0</v>
      </c>
      <c r="Q35" s="689" t="n">
        <f aca="false">+Q11+Q17+Q23+Q29</f>
        <v>0</v>
      </c>
      <c r="R35" s="689" t="n">
        <f aca="false">+R11+R17+R23+R29</f>
        <v>0</v>
      </c>
      <c r="S35" s="692"/>
      <c r="T35" s="690"/>
      <c r="U35" s="690"/>
      <c r="V35" s="691" t="n">
        <f aca="false">+IFERROR(W35/$I35,"-")</f>
        <v>0</v>
      </c>
      <c r="W35" s="689" t="n">
        <f aca="false">+W11+W17+W23+W29</f>
        <v>0</v>
      </c>
      <c r="X35" s="689" t="n">
        <f aca="false">+X11+X17+X23+X29</f>
        <v>0</v>
      </c>
      <c r="Y35" s="689" t="n">
        <f aca="false">+Y11+Y17+Y23+Y29</f>
        <v>0</v>
      </c>
      <c r="Z35" s="692"/>
      <c r="AA35" s="690" t="n">
        <v>45950</v>
      </c>
      <c r="AB35" s="690"/>
      <c r="AC35" s="691" t="n">
        <f aca="false">+IFERROR(AD35/$I35,"-")</f>
        <v>0.5</v>
      </c>
      <c r="AD35" s="689" t="n">
        <f aca="false">+AD11+AD17+AD23+AD29</f>
        <v>933841700</v>
      </c>
      <c r="AE35" s="689" t="n">
        <f aca="false">+AE11+AE17+AE23+AE29</f>
        <v>0</v>
      </c>
      <c r="AF35" s="689" t="n">
        <f aca="false">+AF11+AF17+AF23+AF29</f>
        <v>933841700</v>
      </c>
      <c r="AG35" s="692"/>
      <c r="AH35" s="690"/>
      <c r="AI35" s="690"/>
      <c r="AJ35" s="691" t="n">
        <f aca="false">+IFERROR(AK35/$I35,"-")</f>
        <v>0</v>
      </c>
      <c r="AK35" s="689" t="n">
        <f aca="false">+AK11+AK17+AK23+AK29</f>
        <v>0</v>
      </c>
      <c r="AL35" s="689" t="n">
        <f aca="false">+AL11+AL17+AL23+AL29</f>
        <v>0</v>
      </c>
      <c r="AM35" s="689" t="n">
        <f aca="false">+AK35-AL35</f>
        <v>0</v>
      </c>
      <c r="AN35" s="692"/>
      <c r="AO35" s="690"/>
      <c r="AP35" s="690"/>
      <c r="AQ35" s="691" t="n">
        <f aca="false">+IFERROR(AR35/$I35,"-")</f>
        <v>0</v>
      </c>
      <c r="AR35" s="689" t="n">
        <f aca="false">+AR11+AR17+AR23+AR29</f>
        <v>0</v>
      </c>
      <c r="AS35" s="689" t="n">
        <f aca="false">+AS11+AS17+AS23+AS29</f>
        <v>0</v>
      </c>
      <c r="AT35" s="689" t="n">
        <f aca="false">+AT11+AT17+AT23+AT29</f>
        <v>0</v>
      </c>
      <c r="AU35" s="692"/>
      <c r="AV35" s="690"/>
      <c r="AW35" s="690"/>
      <c r="AX35" s="691" t="n">
        <f aca="false">+IFERROR(AY35/$I35,"-")</f>
        <v>0</v>
      </c>
      <c r="AY35" s="689" t="n">
        <f aca="false">+AY11+AY17+AY23+AY29</f>
        <v>0</v>
      </c>
      <c r="AZ35" s="689" t="n">
        <f aca="false">+AZ11+AZ17+AZ23+AZ29</f>
        <v>0</v>
      </c>
      <c r="BA35" s="689" t="n">
        <f aca="false">+BA11+BA17+BA23+BA29</f>
        <v>0</v>
      </c>
      <c r="BB35" s="692"/>
      <c r="BC35" s="690"/>
      <c r="BD35" s="690"/>
      <c r="BE35" s="691" t="n">
        <f aca="false">+IFERROR(BF35/$I35,"-")</f>
        <v>0</v>
      </c>
      <c r="BF35" s="689" t="n">
        <f aca="false">+BF11+BF17+BF23+BF29</f>
        <v>0</v>
      </c>
      <c r="BG35" s="689" t="n">
        <f aca="false">+BG11+BG17+BG23+BG29</f>
        <v>0</v>
      </c>
      <c r="BH35" s="689" t="n">
        <f aca="false">+BH11+BH17+BH23+BH29</f>
        <v>0</v>
      </c>
      <c r="BI35" s="692"/>
      <c r="BJ35" s="690" t="n">
        <v>46053</v>
      </c>
      <c r="BK35" s="690"/>
      <c r="BL35" s="691" t="n">
        <f aca="false">+IFERROR(BM35/$I35,"-")</f>
        <v>0.5</v>
      </c>
      <c r="BM35" s="689" t="n">
        <f aca="false">+BM11+BM17+BM23+BM29</f>
        <v>933841700</v>
      </c>
      <c r="BN35" s="689" t="n">
        <f aca="false">+BN11+BN17+BN23+BN29</f>
        <v>0</v>
      </c>
      <c r="BO35" s="689" t="n">
        <f aca="false">+BO11+BO17+BO23+BO29</f>
        <v>933841700</v>
      </c>
      <c r="BP35" s="692"/>
      <c r="BQ35" s="644"/>
      <c r="BR35" s="693" t="n">
        <f aca="false">+P35+W35+AD35+AR35+AY35+BF35+BM35=I35</f>
        <v>1</v>
      </c>
      <c r="BS35" s="693" t="n">
        <f aca="false">+Q35+X35+AE35+AS35+AZ35+BG35+BN35=K35</f>
        <v>1</v>
      </c>
      <c r="BT35" s="693"/>
      <c r="BU35" s="621"/>
      <c r="BV35" s="621"/>
      <c r="BW35" s="621"/>
      <c r="BX35" s="621"/>
      <c r="BY35" s="621"/>
      <c r="BZ35" s="621"/>
      <c r="CA35" s="621"/>
      <c r="CB35" s="621"/>
      <c r="CC35" s="625"/>
      <c r="CD35" s="625"/>
    </row>
    <row r="36" customFormat="false" ht="12.75" hidden="false" customHeight="false" outlineLevel="0" collapsed="false">
      <c r="A36" s="628"/>
      <c r="B36" s="685"/>
      <c r="C36" s="685"/>
      <c r="D36" s="686"/>
      <c r="E36" s="687"/>
      <c r="F36" s="695" t="s">
        <v>114</v>
      </c>
      <c r="G36" s="689" t="n">
        <f aca="false">+G12+G18+G24+G30</f>
        <v>617416000</v>
      </c>
      <c r="H36" s="689" t="n">
        <f aca="false">+H12+H18+H24+H30</f>
        <v>0</v>
      </c>
      <c r="I36" s="689" t="n">
        <f aca="false">SUM(G36:H36)</f>
        <v>617416000</v>
      </c>
      <c r="J36" s="695" t="n">
        <f aca="false">+IFERROR(K36/I36,"-")</f>
        <v>0.899981859880534</v>
      </c>
      <c r="K36" s="689" t="n">
        <f aca="false">+K12+K18+K24+K30</f>
        <v>555663200</v>
      </c>
      <c r="L36" s="689" t="n">
        <f aca="false">+L12+L18+L24+L30</f>
        <v>61752800</v>
      </c>
      <c r="M36" s="697"/>
      <c r="N36" s="697"/>
      <c r="O36" s="698" t="n">
        <f aca="false">+IFERROR(P36/$I36,"-")</f>
        <v>0.7</v>
      </c>
      <c r="P36" s="689" t="n">
        <f aca="false">+P12+P18+P24+P30</f>
        <v>432191200</v>
      </c>
      <c r="Q36" s="689" t="n">
        <f aca="false">+Q12+Q18+Q24+Q30</f>
        <v>432180000</v>
      </c>
      <c r="R36" s="689" t="n">
        <f aca="false">+R12+R18+R24+R30</f>
        <v>11200</v>
      </c>
      <c r="S36" s="699"/>
      <c r="T36" s="697"/>
      <c r="U36" s="697"/>
      <c r="V36" s="698" t="n">
        <f aca="false">+IFERROR(W36/$I36,"-")</f>
        <v>0.2</v>
      </c>
      <c r="W36" s="689" t="n">
        <f aca="false">+W12+W18+W24+W30</f>
        <v>123483200</v>
      </c>
      <c r="X36" s="689" t="n">
        <f aca="false">+X12+X18+X24+X30</f>
        <v>123483200</v>
      </c>
      <c r="Y36" s="689" t="n">
        <f aca="false">+Y12+Y18+Y24+Y30</f>
        <v>0</v>
      </c>
      <c r="Z36" s="699"/>
      <c r="AA36" s="697"/>
      <c r="AB36" s="697"/>
      <c r="AC36" s="698" t="n">
        <f aca="false">+IFERROR(AD36/$I36,"-")</f>
        <v>0</v>
      </c>
      <c r="AD36" s="689" t="n">
        <f aca="false">+AD12+AD18+AD24+AD30</f>
        <v>0</v>
      </c>
      <c r="AE36" s="689" t="n">
        <f aca="false">+AE12+AE18+AE24+AE30</f>
        <v>0</v>
      </c>
      <c r="AF36" s="689" t="n">
        <f aca="false">+AF12+AF18+AF24+AF30</f>
        <v>0</v>
      </c>
      <c r="AG36" s="699"/>
      <c r="AH36" s="697"/>
      <c r="AI36" s="697"/>
      <c r="AJ36" s="698" t="n">
        <f aca="false">+IFERROR(AK36/$I36,"-")</f>
        <v>0</v>
      </c>
      <c r="AK36" s="689" t="n">
        <f aca="false">+AK12+AK18+AK24+AK30</f>
        <v>0</v>
      </c>
      <c r="AL36" s="689" t="n">
        <f aca="false">+AL12+AL18+AL24+AL30</f>
        <v>0</v>
      </c>
      <c r="AM36" s="696" t="n">
        <f aca="false">+AK36-AL36</f>
        <v>0</v>
      </c>
      <c r="AN36" s="699"/>
      <c r="AO36" s="697"/>
      <c r="AP36" s="697"/>
      <c r="AQ36" s="698" t="n">
        <f aca="false">+IFERROR(AR36/$I36,"-")</f>
        <v>0</v>
      </c>
      <c r="AR36" s="689" t="n">
        <f aca="false">+AR12+AR18+AR24+AR30</f>
        <v>0</v>
      </c>
      <c r="AS36" s="689" t="n">
        <f aca="false">+AS12+AS18+AS24+AS30</f>
        <v>0</v>
      </c>
      <c r="AT36" s="689" t="n">
        <f aca="false">+AT12+AT18+AT24+AT30</f>
        <v>0</v>
      </c>
      <c r="AU36" s="699"/>
      <c r="AV36" s="697"/>
      <c r="AW36" s="697"/>
      <c r="AX36" s="698" t="n">
        <f aca="false">+IFERROR(AY36/$I36,"-")</f>
        <v>0</v>
      </c>
      <c r="AY36" s="689" t="n">
        <f aca="false">+AY12+AY18+AY24+AY30</f>
        <v>0</v>
      </c>
      <c r="AZ36" s="689" t="n">
        <f aca="false">+AZ12+AZ18+AZ24+AZ30</f>
        <v>0</v>
      </c>
      <c r="BA36" s="689" t="n">
        <f aca="false">+BA12+BA18+BA24+BA30</f>
        <v>0</v>
      </c>
      <c r="BB36" s="699"/>
      <c r="BC36" s="697"/>
      <c r="BD36" s="697"/>
      <c r="BE36" s="698" t="n">
        <f aca="false">+IFERROR(BF36/$I36,"-")</f>
        <v>0</v>
      </c>
      <c r="BF36" s="689" t="n">
        <f aca="false">+BF12+BF18+BF24+BF30</f>
        <v>0</v>
      </c>
      <c r="BG36" s="689" t="n">
        <f aca="false">+BG12+BG18+BG24+BG30</f>
        <v>0</v>
      </c>
      <c r="BH36" s="689" t="n">
        <f aca="false">+BH12+BH18+BH24+BH30</f>
        <v>0</v>
      </c>
      <c r="BI36" s="699"/>
      <c r="BJ36" s="697" t="n">
        <v>46053</v>
      </c>
      <c r="BK36" s="697"/>
      <c r="BL36" s="698" t="n">
        <f aca="false">+IFERROR(BM36/$I36,"-")</f>
        <v>0.1</v>
      </c>
      <c r="BM36" s="689" t="n">
        <f aca="false">+BM12+BM18+BM24+BM30</f>
        <v>61741600</v>
      </c>
      <c r="BN36" s="689" t="n">
        <f aca="false">+BN12+BN18+BN24+BN30</f>
        <v>0</v>
      </c>
      <c r="BO36" s="689" t="n">
        <f aca="false">+BO12+BO18+BO24+BO30</f>
        <v>61741600</v>
      </c>
      <c r="BP36" s="699"/>
      <c r="BQ36" s="644"/>
      <c r="BR36" s="693" t="n">
        <f aca="false">+P36+W36+AD36+AR36+AY36+BF36+BM36=I36</f>
        <v>1</v>
      </c>
      <c r="BS36" s="693" t="n">
        <f aca="false">+Q36+X36+AE36+AS36+AZ36+BG36+BN36=K36</f>
        <v>1</v>
      </c>
      <c r="BT36" s="693"/>
      <c r="BU36" s="621"/>
      <c r="BV36" s="621"/>
      <c r="BW36" s="621"/>
      <c r="BX36" s="621"/>
      <c r="BY36" s="621"/>
      <c r="BZ36" s="621"/>
      <c r="CA36" s="621"/>
      <c r="CB36" s="621"/>
      <c r="CC36" s="625"/>
      <c r="CD36" s="625"/>
    </row>
    <row r="37" customFormat="false" ht="12.75" hidden="false" customHeight="false" outlineLevel="0" collapsed="false">
      <c r="A37" s="628"/>
      <c r="B37" s="685"/>
      <c r="C37" s="685"/>
      <c r="D37" s="686"/>
      <c r="E37" s="687"/>
      <c r="F37" s="695" t="s">
        <v>404</v>
      </c>
      <c r="G37" s="689" t="n">
        <f aca="false">+G13+G19+G25+G31</f>
        <v>0</v>
      </c>
      <c r="H37" s="689" t="n">
        <f aca="false">+H13+H19+H25+H31</f>
        <v>0</v>
      </c>
      <c r="I37" s="689" t="n">
        <f aca="false">SUM(G37:H37)</f>
        <v>0</v>
      </c>
      <c r="J37" s="695" t="str">
        <f aca="false">+IFERROR(K37/I37,"-")</f>
        <v>-</v>
      </c>
      <c r="K37" s="689" t="n">
        <f aca="false">+K13+K19+K25+K31</f>
        <v>0</v>
      </c>
      <c r="L37" s="689" t="n">
        <f aca="false">+L13+L19+L25+L31</f>
        <v>0</v>
      </c>
      <c r="M37" s="697"/>
      <c r="N37" s="697"/>
      <c r="O37" s="698" t="str">
        <f aca="false">+IFERROR(P37/$I37,"-")</f>
        <v>-</v>
      </c>
      <c r="P37" s="689" t="n">
        <f aca="false">+P13+P19+P25+P31</f>
        <v>0</v>
      </c>
      <c r="Q37" s="689" t="n">
        <f aca="false">+Q13+Q19+Q25+Q31</f>
        <v>0</v>
      </c>
      <c r="R37" s="689" t="n">
        <f aca="false">+R13+R19+R25+R31</f>
        <v>0</v>
      </c>
      <c r="S37" s="699"/>
      <c r="T37" s="697"/>
      <c r="U37" s="697"/>
      <c r="V37" s="698" t="str">
        <f aca="false">+IFERROR(W37/$I37,"-")</f>
        <v>-</v>
      </c>
      <c r="W37" s="689" t="n">
        <f aca="false">+W13+W19+W25+W31</f>
        <v>0</v>
      </c>
      <c r="X37" s="689" t="n">
        <f aca="false">+X13+X19+X25+X31</f>
        <v>0</v>
      </c>
      <c r="Y37" s="689" t="n">
        <f aca="false">+Y13+Y19+Y25+Y31</f>
        <v>0</v>
      </c>
      <c r="Z37" s="699"/>
      <c r="AA37" s="697"/>
      <c r="AB37" s="697"/>
      <c r="AC37" s="698" t="str">
        <f aca="false">+IFERROR(AD37/$I37,"-")</f>
        <v>-</v>
      </c>
      <c r="AD37" s="689" t="n">
        <f aca="false">+AD13+AD19+AD25+AD31</f>
        <v>0</v>
      </c>
      <c r="AE37" s="689" t="n">
        <f aca="false">+AE13+AE19+AE25+AE31</f>
        <v>0</v>
      </c>
      <c r="AF37" s="689" t="n">
        <f aca="false">+AF13+AF19+AF25+AF31</f>
        <v>0</v>
      </c>
      <c r="AG37" s="699"/>
      <c r="AH37" s="697"/>
      <c r="AI37" s="697"/>
      <c r="AJ37" s="698" t="str">
        <f aca="false">+IFERROR(AK37/$I37,"-")</f>
        <v>-</v>
      </c>
      <c r="AK37" s="689" t="n">
        <f aca="false">+AK13+AK19+AK25+AK31</f>
        <v>0</v>
      </c>
      <c r="AL37" s="689" t="n">
        <f aca="false">+AL13+AL19+AL25+AL31</f>
        <v>0</v>
      </c>
      <c r="AM37" s="696" t="n">
        <f aca="false">+AK37-AL37</f>
        <v>0</v>
      </c>
      <c r="AN37" s="699"/>
      <c r="AO37" s="697"/>
      <c r="AP37" s="697"/>
      <c r="AQ37" s="698" t="str">
        <f aca="false">+IFERROR(AR37/$I37,"-")</f>
        <v>-</v>
      </c>
      <c r="AR37" s="689" t="n">
        <f aca="false">+AR13+AR19+AR25+AR31</f>
        <v>0</v>
      </c>
      <c r="AS37" s="689" t="n">
        <f aca="false">+AS13+AS19+AS25+AS31</f>
        <v>0</v>
      </c>
      <c r="AT37" s="689" t="n">
        <f aca="false">+AT13+AT19+AT25+AT31</f>
        <v>0</v>
      </c>
      <c r="AU37" s="699"/>
      <c r="AV37" s="697"/>
      <c r="AW37" s="697"/>
      <c r="AX37" s="698" t="str">
        <f aca="false">+IFERROR(AY37/$I37,"-")</f>
        <v>-</v>
      </c>
      <c r="AY37" s="689" t="n">
        <f aca="false">+AY13+AY19+AY25+AY31</f>
        <v>0</v>
      </c>
      <c r="AZ37" s="689" t="n">
        <f aca="false">+AZ13+AZ19+AZ25+AZ31</f>
        <v>0</v>
      </c>
      <c r="BA37" s="689" t="n">
        <f aca="false">+BA13+BA19+BA25+BA31</f>
        <v>0</v>
      </c>
      <c r="BB37" s="699"/>
      <c r="BC37" s="697"/>
      <c r="BD37" s="697"/>
      <c r="BE37" s="698" t="str">
        <f aca="false">+IFERROR(BF37/$I37,"-")</f>
        <v>-</v>
      </c>
      <c r="BF37" s="689" t="n">
        <f aca="false">+BF13+BF19+BF25+BF31</f>
        <v>0</v>
      </c>
      <c r="BG37" s="689" t="n">
        <f aca="false">+BG13+BG19+BG25+BG31</f>
        <v>0</v>
      </c>
      <c r="BH37" s="689" t="n">
        <f aca="false">+BH13+BH19+BH25+BH31</f>
        <v>0</v>
      </c>
      <c r="BI37" s="699"/>
      <c r="BJ37" s="697" t="n">
        <v>46053</v>
      </c>
      <c r="BK37" s="697"/>
      <c r="BL37" s="698" t="str">
        <f aca="false">+IFERROR(BM37/$I37,"-")</f>
        <v>-</v>
      </c>
      <c r="BM37" s="689" t="n">
        <f aca="false">+BM13+BM19+BM25+BM31</f>
        <v>0</v>
      </c>
      <c r="BN37" s="689" t="n">
        <f aca="false">+BN13+BN19+BN25+BN31</f>
        <v>0</v>
      </c>
      <c r="BO37" s="689" t="n">
        <f aca="false">+BO13+BO19+BO25+BO31</f>
        <v>0</v>
      </c>
      <c r="BP37" s="699"/>
      <c r="BQ37" s="644"/>
      <c r="BR37" s="693" t="n">
        <f aca="false">+P37+W37+AD37+AR37+AY37+BF37+BM37=I37</f>
        <v>1</v>
      </c>
      <c r="BS37" s="693" t="n">
        <f aca="false">+Q37+X37+AE37+AS37+AZ37+BG37+BN37=K37</f>
        <v>1</v>
      </c>
      <c r="BT37" s="693"/>
      <c r="BU37" s="621"/>
      <c r="BV37" s="621"/>
      <c r="BW37" s="621"/>
      <c r="BX37" s="621"/>
      <c r="BY37" s="621"/>
      <c r="BZ37" s="621"/>
      <c r="CA37" s="621"/>
      <c r="CB37" s="621"/>
      <c r="CC37" s="625"/>
      <c r="CD37" s="625"/>
    </row>
    <row r="38" customFormat="false" ht="16.5" hidden="false" customHeight="true" outlineLevel="0" collapsed="false">
      <c r="A38" s="628"/>
      <c r="B38" s="685"/>
      <c r="C38" s="685"/>
      <c r="D38" s="686"/>
      <c r="E38" s="687"/>
      <c r="F38" s="695" t="s">
        <v>507</v>
      </c>
      <c r="G38" s="689" t="n">
        <f aca="false">+G14+G20+G26+G32</f>
        <v>0</v>
      </c>
      <c r="H38" s="689" t="n">
        <f aca="false">+H14+H20+H26+H32</f>
        <v>0</v>
      </c>
      <c r="I38" s="689" t="n">
        <f aca="false">SUM(G38:H38)</f>
        <v>0</v>
      </c>
      <c r="J38" s="695" t="str">
        <f aca="false">+IFERROR(K38/I38,"-")</f>
        <v>-</v>
      </c>
      <c r="K38" s="689" t="n">
        <f aca="false">+K14+K20+K26+K32</f>
        <v>0</v>
      </c>
      <c r="L38" s="689" t="n">
        <f aca="false">+L14+L20+L26+L32</f>
        <v>0</v>
      </c>
      <c r="M38" s="697"/>
      <c r="N38" s="697"/>
      <c r="O38" s="698" t="str">
        <f aca="false">+IFERROR(P38/$I38,"-")</f>
        <v>-</v>
      </c>
      <c r="P38" s="689" t="n">
        <f aca="false">+P14+P20+P26+P32</f>
        <v>0</v>
      </c>
      <c r="Q38" s="689" t="n">
        <f aca="false">+Q14+Q20+Q26+Q32</f>
        <v>0</v>
      </c>
      <c r="R38" s="689" t="n">
        <f aca="false">+R14+R20+R26+R32</f>
        <v>0</v>
      </c>
      <c r="S38" s="699"/>
      <c r="T38" s="697"/>
      <c r="U38" s="697"/>
      <c r="V38" s="698" t="str">
        <f aca="false">+IFERROR(W38/$I38,"-")</f>
        <v>-</v>
      </c>
      <c r="W38" s="689" t="n">
        <f aca="false">+W14+W20+W26+W32</f>
        <v>0</v>
      </c>
      <c r="X38" s="689" t="n">
        <f aca="false">+X14+X20+X26+X32</f>
        <v>0</v>
      </c>
      <c r="Y38" s="689" t="n">
        <f aca="false">+Y14+Y20+Y26+Y32</f>
        <v>0</v>
      </c>
      <c r="Z38" s="699"/>
      <c r="AA38" s="697"/>
      <c r="AB38" s="697"/>
      <c r="AC38" s="698" t="str">
        <f aca="false">+IFERROR(AD38/$I38,"-")</f>
        <v>-</v>
      </c>
      <c r="AD38" s="689" t="n">
        <f aca="false">+AD14+AD20+AD26+AD32</f>
        <v>0</v>
      </c>
      <c r="AE38" s="689" t="n">
        <f aca="false">+AE14+AE20+AE26+AE32</f>
        <v>0</v>
      </c>
      <c r="AF38" s="689" t="n">
        <f aca="false">+AF14+AF20+AF26+AF32</f>
        <v>0</v>
      </c>
      <c r="AG38" s="699"/>
      <c r="AH38" s="697"/>
      <c r="AI38" s="697"/>
      <c r="AJ38" s="698" t="str">
        <f aca="false">+IFERROR(AK38/$I38,"-")</f>
        <v>-</v>
      </c>
      <c r="AK38" s="689" t="n">
        <f aca="false">+AK14+AK20+AK26+AK32</f>
        <v>0</v>
      </c>
      <c r="AL38" s="689" t="n">
        <f aca="false">+AL14+AL20+AL26+AL32</f>
        <v>0</v>
      </c>
      <c r="AM38" s="696" t="n">
        <f aca="false">+AK38-AL38</f>
        <v>0</v>
      </c>
      <c r="AN38" s="699"/>
      <c r="AO38" s="697"/>
      <c r="AP38" s="697"/>
      <c r="AQ38" s="698" t="str">
        <f aca="false">+IFERROR(AR38/$I38,"-")</f>
        <v>-</v>
      </c>
      <c r="AR38" s="689" t="n">
        <f aca="false">+AR14+AR20+AR26+AR32</f>
        <v>0</v>
      </c>
      <c r="AS38" s="689" t="n">
        <f aca="false">+AS14+AS20+AS26+AS32</f>
        <v>0</v>
      </c>
      <c r="AT38" s="689" t="n">
        <f aca="false">+AT14+AT20+AT26+AT32</f>
        <v>0</v>
      </c>
      <c r="AU38" s="699"/>
      <c r="AV38" s="697"/>
      <c r="AW38" s="697"/>
      <c r="AX38" s="698" t="str">
        <f aca="false">+IFERROR(AY38/$I38,"-")</f>
        <v>-</v>
      </c>
      <c r="AY38" s="689" t="n">
        <f aca="false">+AY14+AY20+AY26+AY32</f>
        <v>0</v>
      </c>
      <c r="AZ38" s="689" t="n">
        <f aca="false">+AZ14+AZ20+AZ26+AZ32</f>
        <v>0</v>
      </c>
      <c r="BA38" s="689" t="n">
        <f aca="false">+BA14+BA20+BA26+BA32</f>
        <v>0</v>
      </c>
      <c r="BB38" s="699"/>
      <c r="BC38" s="697"/>
      <c r="BD38" s="697"/>
      <c r="BE38" s="698" t="str">
        <f aca="false">+IFERROR(BF38/$I38,"-")</f>
        <v>-</v>
      </c>
      <c r="BF38" s="689" t="n">
        <f aca="false">+BF14+BF20+BF26+BF32</f>
        <v>0</v>
      </c>
      <c r="BG38" s="689" t="n">
        <f aca="false">+BG14+BG20+BG26+BG32</f>
        <v>0</v>
      </c>
      <c r="BH38" s="689" t="n">
        <f aca="false">+BH14+BH20+BH26+BH32</f>
        <v>0</v>
      </c>
      <c r="BI38" s="699"/>
      <c r="BJ38" s="697" t="n">
        <v>46053</v>
      </c>
      <c r="BK38" s="697"/>
      <c r="BL38" s="698" t="str">
        <f aca="false">+IFERROR(BM38/$I38,"-")</f>
        <v>-</v>
      </c>
      <c r="BM38" s="689" t="n">
        <f aca="false">+BM14+BM20+BM26+BM32</f>
        <v>0</v>
      </c>
      <c r="BN38" s="689" t="n">
        <f aca="false">+BN14+BN20+BN26+BN32</f>
        <v>0</v>
      </c>
      <c r="BO38" s="689" t="n">
        <f aca="false">+BO14+BO20+BO26+BO32</f>
        <v>0</v>
      </c>
      <c r="BP38" s="699"/>
      <c r="BQ38" s="644"/>
      <c r="BR38" s="693" t="n">
        <f aca="false">+P38+W38+AD38+AR38+AY38+BF38+BM38=I38</f>
        <v>1</v>
      </c>
      <c r="BS38" s="693" t="n">
        <f aca="false">+Q38+X38+AE38+AS38+AZ38+BG38+BN38=K38</f>
        <v>1</v>
      </c>
      <c r="BT38" s="693"/>
      <c r="BU38" s="621"/>
      <c r="BV38" s="621"/>
      <c r="BW38" s="621"/>
      <c r="BX38" s="621"/>
      <c r="BY38" s="621"/>
      <c r="BZ38" s="621"/>
      <c r="CA38" s="621"/>
      <c r="CB38" s="621"/>
      <c r="CC38" s="625"/>
      <c r="CD38" s="625"/>
    </row>
    <row r="39" customFormat="false" ht="16.5" hidden="false" customHeight="true" outlineLevel="0" collapsed="false">
      <c r="A39" s="628"/>
      <c r="B39" s="685"/>
      <c r="C39" s="685"/>
      <c r="D39" s="686"/>
      <c r="E39" s="687"/>
      <c r="F39" s="700" t="s">
        <v>508</v>
      </c>
      <c r="G39" s="689" t="n">
        <f aca="false">+G15+G21+G27+G33</f>
        <v>208377900</v>
      </c>
      <c r="H39" s="689" t="n">
        <f aca="false">+H15+H21+H27+H33</f>
        <v>20837790</v>
      </c>
      <c r="I39" s="689" t="n">
        <f aca="false">SUM(G39:H39)</f>
        <v>229215690</v>
      </c>
      <c r="J39" s="700" t="n">
        <f aca="false">+IFERROR(K39/I39,"-")</f>
        <v>0.0365704808427381</v>
      </c>
      <c r="K39" s="689" t="n">
        <f aca="false">+K15+K21+K27+K33</f>
        <v>8382528</v>
      </c>
      <c r="L39" s="689" t="n">
        <f aca="false">+L15+L21+L27+L33</f>
        <v>220833162</v>
      </c>
      <c r="M39" s="700"/>
      <c r="N39" s="700"/>
      <c r="O39" s="702" t="n">
        <f aca="false">+IFERROR(P39/$I39,"-")</f>
        <v>0</v>
      </c>
      <c r="P39" s="689" t="n">
        <f aca="false">+P15+P21+P27+P33</f>
        <v>0</v>
      </c>
      <c r="Q39" s="689" t="n">
        <f aca="false">+Q15+Q21+Q27+Q33</f>
        <v>8382528</v>
      </c>
      <c r="R39" s="689" t="n">
        <f aca="false">+R15+R21+R27+R33</f>
        <v>-8382528</v>
      </c>
      <c r="S39" s="700"/>
      <c r="T39" s="700"/>
      <c r="U39" s="700"/>
      <c r="V39" s="702" t="n">
        <f aca="false">+IFERROR(W39/$I39,"-")</f>
        <v>0</v>
      </c>
      <c r="W39" s="689" t="n">
        <f aca="false">+W15+W21+W27+W33</f>
        <v>0</v>
      </c>
      <c r="X39" s="689" t="n">
        <f aca="false">+X15+X21+X27+X33</f>
        <v>0</v>
      </c>
      <c r="Y39" s="689" t="n">
        <f aca="false">+Y15+Y21+Y27+Y33</f>
        <v>0</v>
      </c>
      <c r="Z39" s="700"/>
      <c r="AA39" s="700"/>
      <c r="AB39" s="700"/>
      <c r="AC39" s="702" t="n">
        <f aca="false">+IFERROR(AD39/$I39,"-")</f>
        <v>0</v>
      </c>
      <c r="AD39" s="689" t="n">
        <f aca="false">+AD15+AD21+AD27+AD33</f>
        <v>0</v>
      </c>
      <c r="AE39" s="689" t="n">
        <f aca="false">+AE15+AE21+AE27+AE33</f>
        <v>0</v>
      </c>
      <c r="AF39" s="689" t="n">
        <f aca="false">+AF15+AF21+AF27+AF33</f>
        <v>0</v>
      </c>
      <c r="AG39" s="700"/>
      <c r="AH39" s="700"/>
      <c r="AI39" s="700"/>
      <c r="AJ39" s="702" t="n">
        <f aca="false">+IFERROR(AK39/$I39,"-")</f>
        <v>0</v>
      </c>
      <c r="AK39" s="689" t="n">
        <f aca="false">+AK15+AK21+AK27+AK33</f>
        <v>0</v>
      </c>
      <c r="AL39" s="689" t="n">
        <f aca="false">+AL15+AL21+AL27+AL33</f>
        <v>0</v>
      </c>
      <c r="AM39" s="701" t="n">
        <f aca="false">+AK39-AL39</f>
        <v>0</v>
      </c>
      <c r="AN39" s="700"/>
      <c r="AO39" s="700"/>
      <c r="AP39" s="700"/>
      <c r="AQ39" s="702" t="n">
        <f aca="false">+IFERROR(AR39/$I39,"-")</f>
        <v>0</v>
      </c>
      <c r="AR39" s="689" t="n">
        <f aca="false">+AR15+AR21+AR27+AR33</f>
        <v>0</v>
      </c>
      <c r="AS39" s="689" t="n">
        <f aca="false">+AS15+AS21+AS27+AS33</f>
        <v>0</v>
      </c>
      <c r="AT39" s="689" t="n">
        <f aca="false">+AT15+AT21+AT27+AT33</f>
        <v>0</v>
      </c>
      <c r="AU39" s="700"/>
      <c r="AV39" s="700"/>
      <c r="AW39" s="700"/>
      <c r="AX39" s="702" t="n">
        <f aca="false">+IFERROR(AY39/$I39,"-")</f>
        <v>0</v>
      </c>
      <c r="AY39" s="689" t="n">
        <f aca="false">+AY15+AY21+AY27+AY33</f>
        <v>0</v>
      </c>
      <c r="AZ39" s="689" t="n">
        <f aca="false">+AZ15+AZ21+AZ27+AZ33</f>
        <v>0</v>
      </c>
      <c r="BA39" s="689" t="n">
        <f aca="false">+BA15+BA21+BA27+BA33</f>
        <v>0</v>
      </c>
      <c r="BB39" s="700"/>
      <c r="BC39" s="700"/>
      <c r="BD39" s="700"/>
      <c r="BE39" s="702" t="n">
        <f aca="false">+IFERROR(BF39/$I39,"-")</f>
        <v>0</v>
      </c>
      <c r="BF39" s="689" t="n">
        <f aca="false">+BF15+BF21+BF27+BF33</f>
        <v>0</v>
      </c>
      <c r="BG39" s="689" t="n">
        <f aca="false">+BG15+BG21+BG27+BG33</f>
        <v>0</v>
      </c>
      <c r="BH39" s="689" t="n">
        <f aca="false">+BH15+BH21+BH27+BH33</f>
        <v>0</v>
      </c>
      <c r="BI39" s="700"/>
      <c r="BJ39" s="764" t="n">
        <v>46053</v>
      </c>
      <c r="BK39" s="700"/>
      <c r="BL39" s="702" t="n">
        <f aca="false">+IFERROR(BM39/$I39,"-")</f>
        <v>1</v>
      </c>
      <c r="BM39" s="689" t="n">
        <f aca="false">+BM15+BM21+BM27+BM33</f>
        <v>229215690</v>
      </c>
      <c r="BN39" s="689" t="n">
        <f aca="false">+BN15+BN21+BN27+BN33</f>
        <v>0</v>
      </c>
      <c r="BO39" s="689" t="n">
        <f aca="false">+BO15+BO21+BO27+BO33</f>
        <v>229215690</v>
      </c>
      <c r="BP39" s="700"/>
      <c r="BQ39" s="666"/>
      <c r="BR39" s="703" t="n">
        <f aca="false">+P39+W39+AD39+AR39+AY39+BF39+BM39=I39</f>
        <v>1</v>
      </c>
      <c r="BS39" s="704" t="n">
        <f aca="false">+Q39+X39+AE39+AS39+AZ39+BG39+BN39=K39</f>
        <v>1</v>
      </c>
      <c r="BT39" s="704"/>
      <c r="BU39" s="621"/>
      <c r="BV39" s="621"/>
      <c r="BW39" s="621"/>
      <c r="BX39" s="621"/>
      <c r="BY39" s="621"/>
      <c r="BZ39" s="621"/>
      <c r="CA39" s="621"/>
      <c r="CB39" s="621"/>
      <c r="CC39" s="625"/>
      <c r="CD39" s="625"/>
    </row>
    <row r="40" customFormat="false" ht="12.75" hidden="false" customHeight="false" outlineLevel="0" collapsed="false">
      <c r="A40" s="628"/>
      <c r="B40" s="685"/>
      <c r="C40" s="685"/>
      <c r="D40" s="686"/>
      <c r="E40" s="686"/>
      <c r="F40" s="705" t="s">
        <v>109</v>
      </c>
      <c r="G40" s="706" t="n">
        <f aca="false">SUM(G35:G39)</f>
        <v>2523687900</v>
      </c>
      <c r="H40" s="706" t="n">
        <f aca="false">SUM(H35:H39)</f>
        <v>190627190</v>
      </c>
      <c r="I40" s="706" t="n">
        <f aca="false">SUM(I35:I39)</f>
        <v>2714315090</v>
      </c>
      <c r="J40" s="705" t="n">
        <f aca="false">+IFERROR(K40/I40,"-")</f>
        <v>0.207804071855195</v>
      </c>
      <c r="K40" s="706" t="n">
        <f aca="false">SUM(K35:K39)</f>
        <v>564045728</v>
      </c>
      <c r="L40" s="706" t="n">
        <f aca="false">SUM(L35:L39)</f>
        <v>2150269362</v>
      </c>
      <c r="M40" s="707"/>
      <c r="N40" s="705"/>
      <c r="O40" s="708" t="n">
        <f aca="false">+IFERROR(P40/$I40,"-")</f>
        <v>0.159226613591129</v>
      </c>
      <c r="P40" s="706" t="n">
        <f aca="false">SUM(P35:P39)</f>
        <v>432191200</v>
      </c>
      <c r="Q40" s="706" t="n">
        <f aca="false">SUM(Q35:Q39)</f>
        <v>440562528</v>
      </c>
      <c r="R40" s="709" t="n">
        <f aca="false">+P40-Q40</f>
        <v>-8371328</v>
      </c>
      <c r="S40" s="705"/>
      <c r="T40" s="707"/>
      <c r="U40" s="705"/>
      <c r="V40" s="708" t="n">
        <f aca="false">+IFERROR(W40/$I40,"-")</f>
        <v>0.0454933181688939</v>
      </c>
      <c r="W40" s="706" t="n">
        <f aca="false">SUM(W35:W39)</f>
        <v>123483200</v>
      </c>
      <c r="X40" s="706" t="n">
        <f aca="false">SUM(X35:X39)</f>
        <v>123483200</v>
      </c>
      <c r="Y40" s="709" t="n">
        <f aca="false">+W40-X40</f>
        <v>0</v>
      </c>
      <c r="Z40" s="705"/>
      <c r="AA40" s="707"/>
      <c r="AB40" s="705"/>
      <c r="AC40" s="708" t="n">
        <f aca="false">+IFERROR(AD40/$I40,"-")</f>
        <v>0.34404321865226</v>
      </c>
      <c r="AD40" s="706" t="n">
        <f aca="false">SUM(AD35:AD39)</f>
        <v>933841700</v>
      </c>
      <c r="AE40" s="706" t="n">
        <f aca="false">SUM(AE35:AE39)</f>
        <v>0</v>
      </c>
      <c r="AF40" s="709" t="n">
        <f aca="false">+AD40-AE40</f>
        <v>933841700</v>
      </c>
      <c r="AG40" s="705"/>
      <c r="AH40" s="707"/>
      <c r="AI40" s="705"/>
      <c r="AJ40" s="708" t="n">
        <f aca="false">+IFERROR(AK40/$I40,"-")</f>
        <v>0</v>
      </c>
      <c r="AK40" s="706" t="n">
        <f aca="false">SUM(AK35:AK39)</f>
        <v>0</v>
      </c>
      <c r="AL40" s="706" t="n">
        <f aca="false">SUM(AL35:AL39)</f>
        <v>0</v>
      </c>
      <c r="AM40" s="709" t="n">
        <f aca="false">+AK40-AL40</f>
        <v>0</v>
      </c>
      <c r="AN40" s="705"/>
      <c r="AO40" s="707"/>
      <c r="AP40" s="705"/>
      <c r="AQ40" s="708" t="n">
        <f aca="false">+IFERROR(AR40/$I40,"-")</f>
        <v>0</v>
      </c>
      <c r="AR40" s="706" t="n">
        <f aca="false">SUM(AR35:AR39)</f>
        <v>0</v>
      </c>
      <c r="AS40" s="706" t="n">
        <f aca="false">SUM(AS35:AS39)</f>
        <v>0</v>
      </c>
      <c r="AT40" s="709" t="n">
        <f aca="false">+AR40-AS40</f>
        <v>0</v>
      </c>
      <c r="AU40" s="705"/>
      <c r="AV40" s="707"/>
      <c r="AW40" s="705"/>
      <c r="AX40" s="708" t="n">
        <f aca="false">+IFERROR(AY40/$I40,"-")</f>
        <v>0</v>
      </c>
      <c r="AY40" s="706" t="n">
        <f aca="false">SUM(AY35:AY39)</f>
        <v>0</v>
      </c>
      <c r="AZ40" s="706" t="n">
        <f aca="false">SUM(AZ35:AZ39)</f>
        <v>0</v>
      </c>
      <c r="BA40" s="709" t="n">
        <f aca="false">+AY40-AZ40</f>
        <v>0</v>
      </c>
      <c r="BB40" s="705"/>
      <c r="BC40" s="707"/>
      <c r="BD40" s="705"/>
      <c r="BE40" s="708" t="n">
        <f aca="false">+IFERROR(BF40/$I40,"-")</f>
        <v>0</v>
      </c>
      <c r="BF40" s="706" t="n">
        <f aca="false">SUM(BF35:BF39)</f>
        <v>0</v>
      </c>
      <c r="BG40" s="706" t="n">
        <f aca="false">SUM(BG35:BG39)</f>
        <v>0</v>
      </c>
      <c r="BH40" s="709" t="n">
        <f aca="false">+BF40-BG40</f>
        <v>0</v>
      </c>
      <c r="BI40" s="705"/>
      <c r="BJ40" s="707"/>
      <c r="BK40" s="705"/>
      <c r="BL40" s="708" t="n">
        <f aca="false">+IFERROR(BM40/$I40,"-")</f>
        <v>0.451236849587717</v>
      </c>
      <c r="BM40" s="706" t="n">
        <f aca="false">SUM(BM35:BM39)</f>
        <v>1224798990</v>
      </c>
      <c r="BN40" s="706" t="n">
        <f aca="false">SUM(BN35:BN39)</f>
        <v>0</v>
      </c>
      <c r="BO40" s="709" t="n">
        <f aca="false">+BM40-BN40</f>
        <v>1224798990</v>
      </c>
      <c r="BP40" s="705"/>
      <c r="BQ40" s="666"/>
      <c r="BR40" s="710"/>
      <c r="BS40" s="711"/>
      <c r="BT40" s="711"/>
      <c r="BU40" s="621"/>
      <c r="BV40" s="621"/>
      <c r="BW40" s="621"/>
      <c r="BX40" s="621"/>
      <c r="BY40" s="621"/>
      <c r="BZ40" s="621"/>
      <c r="CA40" s="621"/>
      <c r="CB40" s="621"/>
      <c r="CC40" s="625"/>
      <c r="CD40" s="625"/>
    </row>
    <row r="41" customFormat="false" ht="16.5" hidden="true" customHeight="true" outlineLevel="0" collapsed="false">
      <c r="D41" s="716"/>
      <c r="E41" s="716"/>
      <c r="F41" s="716"/>
      <c r="G41" s="716"/>
      <c r="H41" s="716"/>
      <c r="I41" s="716"/>
      <c r="J41" s="716"/>
      <c r="K41" s="716"/>
    </row>
    <row r="42" customFormat="false" ht="12.75" hidden="true" customHeight="false" outlineLevel="0" collapsed="false">
      <c r="D42" s="716"/>
      <c r="E42" s="716"/>
      <c r="F42" s="716"/>
      <c r="G42" s="716" t="n">
        <v>1050000000</v>
      </c>
      <c r="H42" s="716"/>
      <c r="I42" s="716"/>
      <c r="J42" s="716"/>
      <c r="K42" s="716"/>
    </row>
    <row r="43" customFormat="false" ht="12.75" hidden="true" customHeight="false" outlineLevel="0" collapsed="false">
      <c r="C43" s="40" t="s">
        <v>520</v>
      </c>
      <c r="D43" s="716" t="n">
        <v>288296967</v>
      </c>
      <c r="E43" s="716"/>
      <c r="F43" s="716"/>
      <c r="G43" s="716" t="n">
        <f aca="false">+G42*D35/1000</f>
        <v>1620717000</v>
      </c>
      <c r="H43" s="716"/>
      <c r="I43" s="716"/>
      <c r="J43" s="716"/>
      <c r="K43" s="716"/>
    </row>
    <row r="44" customFormat="false" ht="12.75" hidden="true" customHeight="false" outlineLevel="0" collapsed="false">
      <c r="C44" s="40" t="s">
        <v>521</v>
      </c>
      <c r="D44" s="716" t="n">
        <v>46492230</v>
      </c>
      <c r="E44" s="716"/>
      <c r="F44" s="716"/>
      <c r="G44" s="716"/>
      <c r="H44" s="716"/>
      <c r="I44" s="716"/>
      <c r="J44" s="716"/>
      <c r="K44" s="716"/>
    </row>
    <row r="45" customFormat="false" ht="12.75" hidden="true" customHeight="false" outlineLevel="0" collapsed="false">
      <c r="C45" s="40" t="s">
        <v>522</v>
      </c>
      <c r="D45" s="716" t="n">
        <v>56584737</v>
      </c>
      <c r="E45" s="716"/>
      <c r="F45" s="716" t="n">
        <f aca="false">+D35*400000000/1000</f>
        <v>617416000</v>
      </c>
      <c r="G45" s="716"/>
      <c r="H45" s="716"/>
      <c r="I45" s="716"/>
      <c r="J45" s="716"/>
      <c r="K45" s="716"/>
    </row>
    <row r="46" customFormat="false" ht="12.75" hidden="true" customHeight="false" outlineLevel="0" collapsed="false">
      <c r="D46" s="716"/>
      <c r="E46" s="765" t="s">
        <v>523</v>
      </c>
      <c r="F46" s="714" t="n">
        <f aca="false">+F45-D48</f>
        <v>432196000</v>
      </c>
      <c r="G46" s="716"/>
      <c r="H46" s="716"/>
      <c r="I46" s="716"/>
      <c r="J46" s="716"/>
      <c r="K46" s="716"/>
    </row>
    <row r="47" customFormat="false" ht="12.75" hidden="true" customHeight="false" outlineLevel="0" collapsed="false">
      <c r="D47" s="716"/>
      <c r="E47" s="716"/>
      <c r="F47" s="716" t="n">
        <f aca="false">+F45*20%</f>
        <v>123483200</v>
      </c>
      <c r="G47" s="716"/>
      <c r="H47" s="716"/>
      <c r="I47" s="716"/>
      <c r="J47" s="716"/>
      <c r="K47" s="716"/>
      <c r="W47" s="716"/>
      <c r="Y47" s="716"/>
      <c r="AD47" s="716"/>
      <c r="AF47" s="716"/>
      <c r="AK47" s="716"/>
      <c r="AM47" s="716"/>
      <c r="AR47" s="716"/>
      <c r="AT47" s="716"/>
      <c r="AY47" s="716"/>
      <c r="BA47" s="716"/>
      <c r="BF47" s="716"/>
      <c r="BH47" s="716"/>
      <c r="BM47" s="716"/>
      <c r="BO47" s="716"/>
      <c r="BU47" s="716"/>
      <c r="BV47" s="716"/>
      <c r="BY47" s="716"/>
    </row>
    <row r="48" customFormat="false" ht="12.75" hidden="true" customHeight="false" outlineLevel="0" collapsed="false">
      <c r="C48" s="40" t="s">
        <v>524</v>
      </c>
      <c r="D48" s="716" t="n">
        <v>185220000</v>
      </c>
      <c r="E48" s="716"/>
      <c r="F48" s="716" t="n">
        <f aca="false">+F45*10%</f>
        <v>61741600</v>
      </c>
      <c r="G48" s="716"/>
      <c r="H48" s="716"/>
      <c r="I48" s="716"/>
      <c r="J48" s="716"/>
      <c r="K48" s="716"/>
    </row>
    <row r="49" customFormat="false" ht="13.4" hidden="true" customHeight="false" outlineLevel="0" collapsed="false">
      <c r="C49" s="40" t="s">
        <v>525</v>
      </c>
      <c r="D49" s="716" t="n">
        <v>123480000</v>
      </c>
      <c r="E49" s="766" t="s">
        <v>526</v>
      </c>
      <c r="F49" s="716"/>
      <c r="G49" s="716"/>
      <c r="H49" s="716"/>
      <c r="I49" s="716"/>
      <c r="J49" s="716"/>
      <c r="K49" s="716"/>
    </row>
    <row r="50" customFormat="false" ht="12.75" hidden="true" customHeight="false" outlineLevel="0" collapsed="false">
      <c r="C50" s="767" t="s">
        <v>527</v>
      </c>
      <c r="D50" s="716" t="n">
        <v>61740000</v>
      </c>
      <c r="E50" s="766" t="s">
        <v>526</v>
      </c>
      <c r="F50" s="716"/>
      <c r="G50" s="716"/>
      <c r="H50" s="716"/>
      <c r="I50" s="716"/>
      <c r="J50" s="716"/>
      <c r="K50" s="716"/>
    </row>
    <row r="51" customFormat="false" ht="12.75" hidden="true" customHeight="false" outlineLevel="0" collapsed="false">
      <c r="D51" s="40" t="s">
        <v>528</v>
      </c>
      <c r="E51" s="716"/>
      <c r="F51" s="716" t="n">
        <f aca="false">56584737+46492230</f>
        <v>103076967</v>
      </c>
      <c r="G51" s="716"/>
      <c r="H51" s="716"/>
      <c r="I51" s="716"/>
      <c r="J51" s="716"/>
      <c r="K51" s="716"/>
    </row>
    <row r="52" customFormat="false" ht="12.75" hidden="true" customHeight="false" outlineLevel="0" collapsed="false">
      <c r="D52" s="716" t="n">
        <v>44000000</v>
      </c>
      <c r="E52" s="716"/>
      <c r="F52" s="716" t="n">
        <v>103128930</v>
      </c>
      <c r="G52" s="716"/>
      <c r="H52" s="716"/>
      <c r="I52" s="716"/>
      <c r="J52" s="716"/>
      <c r="K52" s="716"/>
    </row>
    <row r="53" customFormat="false" ht="12.75" hidden="true" customHeight="false" outlineLevel="0" collapsed="false">
      <c r="C53" s="768" t="n">
        <f aca="false">+D11</f>
        <v>340.8</v>
      </c>
      <c r="D53" s="716" t="n">
        <f aca="false">+ROUND(C53/$C$57*$D$52,)</f>
        <v>9714811</v>
      </c>
      <c r="E53" s="716"/>
      <c r="F53" s="716" t="n">
        <f aca="false">+F51-F52</f>
        <v>-51963</v>
      </c>
      <c r="G53" s="716"/>
      <c r="H53" s="716"/>
      <c r="I53" s="716"/>
      <c r="J53" s="716"/>
      <c r="K53" s="716"/>
    </row>
    <row r="54" customFormat="false" ht="12.75" hidden="true" customHeight="false" outlineLevel="0" collapsed="false">
      <c r="C54" s="768" t="n">
        <f aca="false">+D17</f>
        <v>144.84</v>
      </c>
      <c r="D54" s="716" t="n">
        <f aca="false">+ROUND(C54/$C$57*$D$52,)</f>
        <v>4128795</v>
      </c>
      <c r="E54" s="716"/>
      <c r="F54" s="716"/>
      <c r="G54" s="716"/>
      <c r="H54" s="716"/>
      <c r="I54" s="716"/>
      <c r="J54" s="716"/>
      <c r="K54" s="716"/>
    </row>
    <row r="55" customFormat="false" ht="12.75" hidden="true" customHeight="false" outlineLevel="0" collapsed="false">
      <c r="C55" s="768" t="n">
        <f aca="false">+D23</f>
        <v>807.98</v>
      </c>
      <c r="D55" s="716" t="n">
        <f aca="false">+ROUND(C55/$C$57*$D$52,)</f>
        <v>23032199</v>
      </c>
      <c r="E55" s="716"/>
      <c r="F55" s="716"/>
      <c r="G55" s="716"/>
      <c r="H55" s="716"/>
      <c r="I55" s="716"/>
      <c r="J55" s="716"/>
      <c r="K55" s="716"/>
    </row>
    <row r="56" customFormat="false" ht="12.75" hidden="true" customHeight="false" outlineLevel="0" collapsed="false">
      <c r="C56" s="768" t="n">
        <f aca="false">+D29</f>
        <v>249.92</v>
      </c>
      <c r="D56" s="716" t="n">
        <f aca="false">+ROUND(C56/$C$57*$D$52,)</f>
        <v>7124195</v>
      </c>
      <c r="E56" s="716"/>
      <c r="F56" s="716"/>
      <c r="G56" s="716"/>
      <c r="H56" s="716"/>
      <c r="I56" s="716"/>
      <c r="J56" s="716"/>
      <c r="K56" s="716"/>
    </row>
    <row r="57" customFormat="false" ht="12.75" hidden="true" customHeight="false" outlineLevel="0" collapsed="false">
      <c r="C57" s="768" t="n">
        <f aca="false">SUM(C53:C56)</f>
        <v>1543.54</v>
      </c>
      <c r="D57" s="714" t="n">
        <f aca="false">SUM(D53:D56)</f>
        <v>44000000</v>
      </c>
      <c r="E57" s="716"/>
      <c r="F57" s="716"/>
      <c r="G57" s="716"/>
      <c r="H57" s="716"/>
      <c r="I57" s="716"/>
      <c r="J57" s="716"/>
      <c r="K57" s="716"/>
    </row>
    <row r="58" customFormat="false" ht="12.75" hidden="true" customHeight="false" outlineLevel="0" collapsed="false">
      <c r="D58" s="716"/>
      <c r="E58" s="716"/>
      <c r="F58" s="716"/>
      <c r="G58" s="716"/>
      <c r="H58" s="716"/>
      <c r="I58" s="716"/>
      <c r="J58" s="716"/>
      <c r="K58" s="716"/>
    </row>
    <row r="59" customFormat="false" ht="14.9" hidden="true" customHeight="false" outlineLevel="0" collapsed="false">
      <c r="D59" s="716"/>
      <c r="E59" s="716"/>
      <c r="F59" s="716"/>
      <c r="G59" s="716"/>
      <c r="H59" s="716"/>
      <c r="I59" s="716"/>
      <c r="J59" s="716"/>
      <c r="K59" s="716"/>
      <c r="S59" s="40" t="s">
        <v>529</v>
      </c>
    </row>
    <row r="60" customFormat="false" ht="12.75" hidden="true" customHeight="false" outlineLevel="0" collapsed="false">
      <c r="D60" s="716"/>
      <c r="E60" s="716"/>
      <c r="F60" s="716"/>
      <c r="G60" s="716"/>
      <c r="H60" s="716"/>
      <c r="I60" s="716"/>
      <c r="J60" s="716"/>
      <c r="K60" s="716"/>
    </row>
    <row r="61" customFormat="false" ht="14.9" hidden="false" customHeight="false" outlineLevel="0" collapsed="false">
      <c r="S61" s="769" t="s">
        <v>530</v>
      </c>
    </row>
    <row r="62" customFormat="false" ht="14.9" hidden="false" customHeight="false" outlineLevel="0" collapsed="false">
      <c r="S62" s="767" t="s">
        <v>531</v>
      </c>
    </row>
    <row r="63" customFormat="false" ht="14.9" hidden="false" customHeight="false" outlineLevel="0" collapsed="false">
      <c r="S63" s="767" t="s">
        <v>532</v>
      </c>
    </row>
  </sheetData>
  <mergeCells count="38">
    <mergeCell ref="B8:C8"/>
    <mergeCell ref="B9:B10"/>
    <mergeCell ref="C9:C10"/>
    <mergeCell ref="D9:D10"/>
    <mergeCell ref="E9:E10"/>
    <mergeCell ref="F9:F10"/>
    <mergeCell ref="G9:G10"/>
    <mergeCell ref="H9:H10"/>
    <mergeCell ref="I9:I10"/>
    <mergeCell ref="J9:L9"/>
    <mergeCell ref="M9:S9"/>
    <mergeCell ref="T9:Z9"/>
    <mergeCell ref="AA9:AG9"/>
    <mergeCell ref="AH9:AN9"/>
    <mergeCell ref="AO9:AU9"/>
    <mergeCell ref="AV9:BB9"/>
    <mergeCell ref="BC9:BI9"/>
    <mergeCell ref="BJ9:BP9"/>
    <mergeCell ref="BR9:BT10"/>
    <mergeCell ref="B11:B16"/>
    <mergeCell ref="C11:C16"/>
    <mergeCell ref="D11:D16"/>
    <mergeCell ref="E11:E16"/>
    <mergeCell ref="B17:B22"/>
    <mergeCell ref="C17:C22"/>
    <mergeCell ref="D17:D22"/>
    <mergeCell ref="E17:E22"/>
    <mergeCell ref="B23:B28"/>
    <mergeCell ref="C23:C28"/>
    <mergeCell ref="D23:D28"/>
    <mergeCell ref="E23:E28"/>
    <mergeCell ref="B29:B34"/>
    <mergeCell ref="C29:C34"/>
    <mergeCell ref="D29:D34"/>
    <mergeCell ref="E29:E34"/>
    <mergeCell ref="B35:C40"/>
    <mergeCell ref="D35:D40"/>
    <mergeCell ref="E35:E40"/>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Z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9" defaultRowHeight="12.75" zeroHeight="false" outlineLevelRow="0" outlineLevelCol="1"/>
  <cols>
    <col collapsed="false" customWidth="true" hidden="false" outlineLevel="0" max="1" min="1" style="107" width="1.63"/>
    <col collapsed="false" customWidth="true" hidden="false" outlineLevel="0" max="2" min="2" style="107" width="12.12"/>
    <col collapsed="false" customWidth="false" hidden="false" outlineLevel="0" max="4" min="3" style="107" width="9"/>
    <col collapsed="false" customWidth="true" hidden="false" outlineLevel="0" max="6" min="5" style="107" width="28.25"/>
    <col collapsed="false" customWidth="true" hidden="false" outlineLevel="0" max="7" min="7" style="107" width="9.37"/>
    <col collapsed="false" customWidth="true" hidden="true" outlineLevel="1" max="13" min="8" style="107" width="9.77"/>
    <col collapsed="false" customWidth="true" hidden="false" outlineLevel="0" max="14" min="14" style="107" width="9.37"/>
    <col collapsed="false" customWidth="true" hidden="true" outlineLevel="1" max="20" min="15" style="107" width="9.25"/>
    <col collapsed="false" customWidth="true" hidden="false" outlineLevel="0" max="21" min="21" style="107" width="9.37"/>
    <col collapsed="false" customWidth="true" hidden="true" outlineLevel="1" max="27" min="22" style="107" width="9.37"/>
    <col collapsed="false" customWidth="true" hidden="false" outlineLevel="0" max="28" min="28" style="107" width="9.37"/>
    <col collapsed="false" customWidth="true" hidden="true" outlineLevel="1" max="34" min="29" style="107" width="9.25"/>
    <col collapsed="false" customWidth="true" hidden="false" outlineLevel="0" max="35" min="35" style="107" width="10.37"/>
    <col collapsed="false" customWidth="true" hidden="true" outlineLevel="1" max="41" min="36" style="107" width="10.25"/>
    <col collapsed="false" customWidth="true" hidden="false" outlineLevel="0" max="42" min="42" style="107" width="10.37"/>
    <col collapsed="false" customWidth="true" hidden="true" outlineLevel="1" max="48" min="43" style="107" width="10.25"/>
    <col collapsed="false" customWidth="true" hidden="false" outlineLevel="0" max="49" min="49" style="107" width="10.25"/>
    <col collapsed="false" customWidth="true" hidden="true" outlineLevel="1" max="55" min="50" style="107" width="10.25"/>
    <col collapsed="false" customWidth="true" hidden="false" outlineLevel="0" max="56" min="56" style="107" width="10.25"/>
    <col collapsed="false" customWidth="true" hidden="false" outlineLevel="0" max="57" min="57" style="107" width="9.12"/>
    <col collapsed="false" customWidth="false" hidden="false" outlineLevel="0" max="58" min="58" style="107" width="9"/>
    <col collapsed="false" customWidth="true" hidden="false" outlineLevel="0" max="59" min="59" style="107" width="12.62"/>
    <col collapsed="false" customWidth="true" hidden="false" outlineLevel="0" max="63" min="60" style="107" width="11.5"/>
    <col collapsed="false" customWidth="false" hidden="false" outlineLevel="0" max="77" min="64" style="107" width="9"/>
    <col collapsed="false" customWidth="true" hidden="false" outlineLevel="0" max="78" min="78" style="107" width="10.5"/>
    <col collapsed="false" customWidth="false" hidden="false" outlineLevel="0" max="16384" min="79" style="107" width="9"/>
  </cols>
  <sheetData>
    <row r="1" customFormat="false" ht="12.75" hidden="false" customHeight="false" outlineLevel="0" collapsed="false">
      <c r="U1" s="770" t="n">
        <v>0.5</v>
      </c>
      <c r="AB1" s="770"/>
      <c r="AW1" s="770" t="n">
        <v>0.45</v>
      </c>
      <c r="BD1" s="770" t="n">
        <v>0.05</v>
      </c>
    </row>
    <row r="2" customFormat="false" ht="14.9" hidden="false" customHeight="false" outlineLevel="0" collapsed="false">
      <c r="F2" s="771" t="n">
        <f aca="false">+'GM Batch1'!D11*F6/1000</f>
        <v>549769000</v>
      </c>
      <c r="U2" s="109" t="s">
        <v>533</v>
      </c>
      <c r="AW2" s="772" t="s">
        <v>534</v>
      </c>
      <c r="BD2" s="109" t="s">
        <v>535</v>
      </c>
    </row>
    <row r="3" customFormat="false" ht="13.4" hidden="false" customHeight="false" outlineLevel="0" collapsed="false">
      <c r="B3" s="107" t="s">
        <v>536</v>
      </c>
      <c r="U3" s="107" t="n">
        <v>8</v>
      </c>
      <c r="AB3" s="107" t="n">
        <v>9</v>
      </c>
      <c r="AI3" s="107" t="n">
        <v>10</v>
      </c>
      <c r="AP3" s="107" t="n">
        <v>11</v>
      </c>
      <c r="AW3" s="107" t="n">
        <v>12</v>
      </c>
    </row>
    <row r="4" s="40" customFormat="true" ht="14.9" hidden="false" customHeight="false" outlineLevel="0" collapsed="false">
      <c r="B4" s="773" t="s">
        <v>48</v>
      </c>
      <c r="C4" s="773"/>
      <c r="D4" s="773"/>
      <c r="E4" s="773"/>
      <c r="F4" s="774" t="s">
        <v>537</v>
      </c>
      <c r="G4" s="775" t="s">
        <v>538</v>
      </c>
      <c r="H4" s="774"/>
      <c r="I4" s="774"/>
      <c r="J4" s="774"/>
      <c r="K4" s="774"/>
      <c r="L4" s="774"/>
      <c r="M4" s="774"/>
      <c r="N4" s="775" t="s">
        <v>539</v>
      </c>
      <c r="O4" s="774"/>
      <c r="P4" s="774"/>
      <c r="Q4" s="774"/>
      <c r="R4" s="774"/>
      <c r="S4" s="774"/>
      <c r="T4" s="774"/>
      <c r="U4" s="775" t="s">
        <v>540</v>
      </c>
      <c r="V4" s="774"/>
      <c r="W4" s="774"/>
      <c r="X4" s="774"/>
      <c r="Y4" s="774"/>
      <c r="Z4" s="774"/>
      <c r="AA4" s="774"/>
      <c r="AB4" s="775" t="s">
        <v>541</v>
      </c>
      <c r="AC4" s="774"/>
      <c r="AD4" s="774"/>
      <c r="AE4" s="774"/>
      <c r="AF4" s="774"/>
      <c r="AG4" s="774"/>
      <c r="AH4" s="774"/>
      <c r="AI4" s="775" t="s">
        <v>542</v>
      </c>
      <c r="AJ4" s="776"/>
      <c r="AK4" s="776"/>
      <c r="AL4" s="776"/>
      <c r="AM4" s="776"/>
      <c r="AN4" s="776"/>
      <c r="AO4" s="776"/>
      <c r="AP4" s="777" t="s">
        <v>543</v>
      </c>
      <c r="AQ4" s="776"/>
      <c r="AR4" s="776"/>
      <c r="AS4" s="776"/>
      <c r="AT4" s="776"/>
      <c r="AU4" s="776"/>
      <c r="AV4" s="776"/>
      <c r="AW4" s="777" t="s">
        <v>544</v>
      </c>
      <c r="AX4" s="777" t="s">
        <v>545</v>
      </c>
      <c r="AY4" s="777" t="s">
        <v>546</v>
      </c>
      <c r="AZ4" s="777" t="s">
        <v>547</v>
      </c>
      <c r="BA4" s="777" t="s">
        <v>548</v>
      </c>
      <c r="BB4" s="777" t="s">
        <v>549</v>
      </c>
      <c r="BC4" s="777" t="s">
        <v>550</v>
      </c>
      <c r="BD4" s="777" t="s">
        <v>545</v>
      </c>
      <c r="BE4" s="778" t="s">
        <v>58</v>
      </c>
      <c r="BN4" s="107"/>
      <c r="BO4" s="107"/>
      <c r="BP4" s="107"/>
      <c r="BQ4" s="107"/>
    </row>
    <row r="5" s="40" customFormat="true" ht="12.75" hidden="false" customHeight="false" outlineLevel="0" collapsed="false">
      <c r="B5" s="779" t="s">
        <v>551</v>
      </c>
      <c r="C5" s="780" t="s">
        <v>255</v>
      </c>
      <c r="D5" s="780"/>
      <c r="E5" s="669" t="s">
        <v>112</v>
      </c>
      <c r="F5" s="673" t="n">
        <v>1050000000</v>
      </c>
      <c r="G5" s="781"/>
      <c r="H5" s="781"/>
      <c r="I5" s="781"/>
      <c r="J5" s="781"/>
      <c r="K5" s="781"/>
      <c r="L5" s="781"/>
      <c r="M5" s="781"/>
      <c r="N5" s="781"/>
      <c r="O5" s="781"/>
      <c r="P5" s="781"/>
      <c r="Q5" s="781"/>
      <c r="R5" s="781"/>
      <c r="S5" s="781"/>
      <c r="T5" s="781"/>
      <c r="U5" s="781" t="n">
        <v>0.3</v>
      </c>
      <c r="V5" s="781"/>
      <c r="W5" s="781"/>
      <c r="X5" s="781"/>
      <c r="Y5" s="781"/>
      <c r="Z5" s="781"/>
      <c r="AA5" s="781"/>
      <c r="AB5" s="781"/>
      <c r="AC5" s="781"/>
      <c r="AD5" s="781"/>
      <c r="AE5" s="781"/>
      <c r="AF5" s="781"/>
      <c r="AG5" s="781"/>
      <c r="AH5" s="781"/>
      <c r="AI5" s="781" t="n">
        <v>0.4</v>
      </c>
      <c r="AJ5" s="781"/>
      <c r="AK5" s="781"/>
      <c r="AL5" s="781"/>
      <c r="AM5" s="781"/>
      <c r="AN5" s="781"/>
      <c r="AO5" s="781"/>
      <c r="AP5" s="781"/>
      <c r="AQ5" s="782"/>
      <c r="AR5" s="782"/>
      <c r="AS5" s="782"/>
      <c r="AT5" s="782"/>
      <c r="AU5" s="782"/>
      <c r="AV5" s="782"/>
      <c r="AW5" s="781" t="n">
        <v>0.25</v>
      </c>
      <c r="AX5" s="782"/>
      <c r="AY5" s="782"/>
      <c r="AZ5" s="782"/>
      <c r="BA5" s="782"/>
      <c r="BB5" s="782"/>
      <c r="BC5" s="782"/>
      <c r="BD5" s="781" t="n">
        <v>0.05</v>
      </c>
      <c r="BE5" s="783" t="n">
        <f aca="false">SUM(G5:BD5)</f>
        <v>1</v>
      </c>
      <c r="BN5" s="107"/>
      <c r="BO5" s="107"/>
      <c r="BP5" s="107"/>
      <c r="BQ5" s="107"/>
    </row>
    <row r="6" s="40" customFormat="true" ht="12.75" hidden="false" customHeight="false" outlineLevel="0" collapsed="false">
      <c r="B6" s="779"/>
      <c r="C6" s="780"/>
      <c r="D6" s="780"/>
      <c r="E6" s="669" t="s">
        <v>114</v>
      </c>
      <c r="F6" s="673" t="n">
        <v>550000000</v>
      </c>
      <c r="G6" s="781" t="n">
        <v>0.55</v>
      </c>
      <c r="H6" s="781"/>
      <c r="I6" s="781"/>
      <c r="J6" s="781"/>
      <c r="K6" s="781"/>
      <c r="L6" s="781"/>
      <c r="M6" s="781"/>
      <c r="N6" s="781" t="n">
        <v>0.15</v>
      </c>
      <c r="O6" s="781"/>
      <c r="P6" s="781"/>
      <c r="Q6" s="781"/>
      <c r="R6" s="781"/>
      <c r="S6" s="781"/>
      <c r="T6" s="781"/>
      <c r="U6" s="781"/>
      <c r="V6" s="784"/>
      <c r="W6" s="784"/>
      <c r="X6" s="784"/>
      <c r="Y6" s="784"/>
      <c r="Z6" s="784"/>
      <c r="AA6" s="784"/>
      <c r="AB6" s="784"/>
      <c r="AC6" s="784"/>
      <c r="AD6" s="784"/>
      <c r="AE6" s="784"/>
      <c r="AF6" s="784"/>
      <c r="AG6" s="784"/>
      <c r="AH6" s="784"/>
      <c r="AI6" s="45"/>
      <c r="AJ6" s="45"/>
      <c r="AK6" s="45"/>
      <c r="AL6" s="45"/>
      <c r="AM6" s="45"/>
      <c r="AN6" s="45"/>
      <c r="AO6" s="45"/>
      <c r="AP6" s="45"/>
      <c r="AQ6" s="785"/>
      <c r="AR6" s="785"/>
      <c r="AS6" s="785"/>
      <c r="AT6" s="785"/>
      <c r="AU6" s="785"/>
      <c r="AV6" s="785"/>
      <c r="AW6" s="785"/>
      <c r="AX6" s="785"/>
      <c r="AY6" s="785"/>
      <c r="AZ6" s="785"/>
      <c r="BA6" s="785"/>
      <c r="BB6" s="785"/>
      <c r="BC6" s="785"/>
      <c r="BD6" s="781" t="n">
        <v>0.3</v>
      </c>
      <c r="BE6" s="783" t="n">
        <f aca="false">SUM(G6:BD6)</f>
        <v>1</v>
      </c>
      <c r="BI6" s="40" t="n">
        <v>1050000000</v>
      </c>
      <c r="BN6" s="107"/>
      <c r="BO6" s="107"/>
      <c r="BP6" s="107"/>
      <c r="BQ6" s="107"/>
    </row>
    <row r="7" s="40" customFormat="true" ht="13.4" hidden="false" customHeight="false" outlineLevel="0" collapsed="false">
      <c r="B7" s="779"/>
      <c r="C7" s="780"/>
      <c r="D7" s="780"/>
      <c r="E7" s="786" t="s">
        <v>552</v>
      </c>
      <c r="F7" s="673"/>
      <c r="G7" s="781"/>
      <c r="H7" s="781"/>
      <c r="I7" s="781"/>
      <c r="J7" s="781"/>
      <c r="K7" s="781"/>
      <c r="L7" s="781"/>
      <c r="M7" s="781"/>
      <c r="N7" s="781"/>
      <c r="O7" s="781"/>
      <c r="P7" s="781"/>
      <c r="Q7" s="781"/>
      <c r="R7" s="781"/>
      <c r="S7" s="781"/>
      <c r="T7" s="781"/>
      <c r="U7" s="781"/>
      <c r="V7" s="45"/>
      <c r="W7" s="45"/>
      <c r="X7" s="45"/>
      <c r="Y7" s="45"/>
      <c r="Z7" s="45"/>
      <c r="AA7" s="45"/>
      <c r="AB7" s="45"/>
      <c r="AC7" s="45"/>
      <c r="AD7" s="45"/>
      <c r="AE7" s="45"/>
      <c r="AF7" s="45"/>
      <c r="AG7" s="45"/>
      <c r="AH7" s="45"/>
      <c r="AI7" s="45"/>
      <c r="AJ7" s="45"/>
      <c r="AK7" s="45"/>
      <c r="AL7" s="45"/>
      <c r="AM7" s="45"/>
      <c r="AN7" s="45"/>
      <c r="AO7" s="45"/>
      <c r="AP7" s="45"/>
      <c r="AQ7" s="785"/>
      <c r="AR7" s="785"/>
      <c r="AS7" s="785"/>
      <c r="AT7" s="785"/>
      <c r="AU7" s="785"/>
      <c r="AV7" s="785"/>
      <c r="AW7" s="785"/>
      <c r="AX7" s="785"/>
      <c r="AY7" s="785"/>
      <c r="AZ7" s="785"/>
      <c r="BA7" s="785"/>
      <c r="BB7" s="785"/>
      <c r="BC7" s="785"/>
      <c r="BD7" s="787"/>
      <c r="BE7" s="783" t="n">
        <f aca="false">SUM(G7:BD7)</f>
        <v>0</v>
      </c>
      <c r="BN7" s="107"/>
      <c r="BO7" s="107"/>
      <c r="BP7" s="107"/>
      <c r="BQ7" s="107"/>
      <c r="BZ7" s="788" t="n">
        <v>45473</v>
      </c>
    </row>
    <row r="8" s="40" customFormat="true" ht="12.75" hidden="false" customHeight="false" outlineLevel="0" collapsed="false">
      <c r="B8" s="779"/>
      <c r="C8" s="780"/>
      <c r="D8" s="780"/>
      <c r="E8" s="669" t="s">
        <v>553</v>
      </c>
      <c r="F8" s="673"/>
      <c r="G8" s="781"/>
      <c r="H8" s="781"/>
      <c r="I8" s="781"/>
      <c r="J8" s="781"/>
      <c r="K8" s="781"/>
      <c r="L8" s="781"/>
      <c r="M8" s="781"/>
      <c r="N8" s="781"/>
      <c r="O8" s="781"/>
      <c r="P8" s="781"/>
      <c r="Q8" s="781"/>
      <c r="R8" s="781"/>
      <c r="S8" s="781"/>
      <c r="T8" s="781"/>
      <c r="U8" s="781"/>
      <c r="V8" s="784"/>
      <c r="W8" s="784"/>
      <c r="X8" s="784"/>
      <c r="Y8" s="784"/>
      <c r="Z8" s="784"/>
      <c r="AA8" s="784"/>
      <c r="AB8" s="784"/>
      <c r="AC8" s="784"/>
      <c r="AD8" s="784"/>
      <c r="AE8" s="784"/>
      <c r="AF8" s="784"/>
      <c r="AG8" s="784"/>
      <c r="AH8" s="784"/>
      <c r="AI8" s="45"/>
      <c r="AJ8" s="45"/>
      <c r="AK8" s="45"/>
      <c r="AL8" s="45"/>
      <c r="AM8" s="45"/>
      <c r="AN8" s="45"/>
      <c r="AO8" s="45"/>
      <c r="AP8" s="45"/>
      <c r="AQ8" s="785"/>
      <c r="AR8" s="785"/>
      <c r="AS8" s="785"/>
      <c r="AT8" s="785"/>
      <c r="AU8" s="785"/>
      <c r="AV8" s="785"/>
      <c r="AW8" s="785"/>
      <c r="AX8" s="785"/>
      <c r="AY8" s="785"/>
      <c r="AZ8" s="785"/>
      <c r="BA8" s="785"/>
      <c r="BB8" s="785"/>
      <c r="BC8" s="785"/>
      <c r="BD8" s="781"/>
      <c r="BE8" s="783" t="n">
        <f aca="false">SUM(G8:BD8)</f>
        <v>0</v>
      </c>
      <c r="BN8" s="107"/>
      <c r="BO8" s="107"/>
      <c r="BP8" s="107"/>
      <c r="BQ8" s="107"/>
    </row>
    <row r="9" s="40" customFormat="true" ht="13.4" hidden="false" customHeight="false" outlineLevel="0" collapsed="false">
      <c r="B9" s="779"/>
      <c r="C9" s="780"/>
      <c r="D9" s="780"/>
      <c r="E9" s="789" t="s">
        <v>554</v>
      </c>
      <c r="F9" s="790"/>
      <c r="G9" s="791"/>
      <c r="H9" s="791"/>
      <c r="I9" s="791"/>
      <c r="J9" s="791"/>
      <c r="K9" s="791"/>
      <c r="L9" s="791"/>
      <c r="M9" s="791"/>
      <c r="N9" s="791"/>
      <c r="O9" s="791"/>
      <c r="P9" s="791"/>
      <c r="Q9" s="791"/>
      <c r="R9" s="791"/>
      <c r="S9" s="791"/>
      <c r="T9" s="791"/>
      <c r="U9" s="791"/>
      <c r="V9" s="791"/>
      <c r="W9" s="791"/>
      <c r="X9" s="791"/>
      <c r="Y9" s="791"/>
      <c r="Z9" s="791"/>
      <c r="AA9" s="791"/>
      <c r="AB9" s="791"/>
      <c r="AC9" s="791"/>
      <c r="AD9" s="791"/>
      <c r="AE9" s="791"/>
      <c r="AF9" s="791"/>
      <c r="AG9" s="791"/>
      <c r="AH9" s="791"/>
      <c r="AI9" s="791"/>
      <c r="AJ9" s="791"/>
      <c r="AK9" s="791"/>
      <c r="AL9" s="791"/>
      <c r="AM9" s="791"/>
      <c r="AN9" s="791"/>
      <c r="AO9" s="791"/>
      <c r="AP9" s="792"/>
      <c r="AQ9" s="793"/>
      <c r="AR9" s="793"/>
      <c r="AS9" s="793"/>
      <c r="AT9" s="793"/>
      <c r="AU9" s="793"/>
      <c r="AV9" s="793"/>
      <c r="AW9" s="793"/>
      <c r="AX9" s="793"/>
      <c r="AY9" s="793"/>
      <c r="AZ9" s="793"/>
      <c r="BA9" s="793"/>
      <c r="BB9" s="793"/>
      <c r="BC9" s="793"/>
      <c r="BD9" s="791"/>
      <c r="BE9" s="794" t="n">
        <f aca="false">SUM(G9:BD9)</f>
        <v>0</v>
      </c>
      <c r="BN9" s="107"/>
      <c r="BO9" s="107"/>
      <c r="BP9" s="107"/>
      <c r="BQ9" s="107"/>
    </row>
    <row r="10" customFormat="false" ht="12.75" hidden="false" customHeight="false" outlineLevel="0" collapsed="false">
      <c r="B10" s="795" t="s">
        <v>555</v>
      </c>
      <c r="C10" s="796" t="s">
        <v>556</v>
      </c>
      <c r="D10" s="797" t="s">
        <v>557</v>
      </c>
      <c r="E10" s="798" t="s">
        <v>112</v>
      </c>
      <c r="F10" s="799" t="n">
        <v>1050000000</v>
      </c>
      <c r="G10" s="800"/>
      <c r="H10" s="800"/>
      <c r="I10" s="800"/>
      <c r="J10" s="800"/>
      <c r="K10" s="800"/>
      <c r="L10" s="800"/>
      <c r="M10" s="800"/>
      <c r="N10" s="800"/>
      <c r="O10" s="800"/>
      <c r="P10" s="800"/>
      <c r="Q10" s="800"/>
      <c r="R10" s="800"/>
      <c r="S10" s="800"/>
      <c r="T10" s="800"/>
      <c r="U10" s="800" t="n">
        <v>0.3</v>
      </c>
      <c r="V10" s="800"/>
      <c r="W10" s="800"/>
      <c r="X10" s="800"/>
      <c r="Y10" s="800"/>
      <c r="Z10" s="800"/>
      <c r="AA10" s="800"/>
      <c r="AB10" s="800" t="n">
        <v>0.4</v>
      </c>
      <c r="AC10" s="800"/>
      <c r="AD10" s="800"/>
      <c r="AE10" s="800"/>
      <c r="AF10" s="800"/>
      <c r="AG10" s="800"/>
      <c r="AH10" s="800"/>
      <c r="AI10" s="800"/>
      <c r="AJ10" s="800"/>
      <c r="AK10" s="800"/>
      <c r="AL10" s="800"/>
      <c r="AM10" s="800"/>
      <c r="AN10" s="800"/>
      <c r="AO10" s="800"/>
      <c r="AP10" s="800"/>
      <c r="AQ10" s="801"/>
      <c r="AR10" s="801"/>
      <c r="AS10" s="801"/>
      <c r="AT10" s="801"/>
      <c r="AU10" s="801"/>
      <c r="AV10" s="801"/>
      <c r="AW10" s="800"/>
      <c r="AX10" s="801"/>
      <c r="AY10" s="801"/>
      <c r="AZ10" s="801"/>
      <c r="BA10" s="801"/>
      <c r="BB10" s="801"/>
      <c r="BC10" s="801"/>
      <c r="BD10" s="800" t="n">
        <v>0.3</v>
      </c>
      <c r="BE10" s="802" t="n">
        <f aca="false">SUM(G10:BD10)</f>
        <v>1</v>
      </c>
      <c r="BF10" s="716"/>
    </row>
    <row r="11" customFormat="false" ht="16.5" hidden="false" customHeight="true" outlineLevel="0" collapsed="false">
      <c r="B11" s="795"/>
      <c r="C11" s="796"/>
      <c r="D11" s="796"/>
      <c r="E11" s="669" t="s">
        <v>114</v>
      </c>
      <c r="F11" s="673" t="n">
        <v>350000000</v>
      </c>
      <c r="G11" s="781" t="n">
        <v>0.4</v>
      </c>
      <c r="H11" s="781"/>
      <c r="I11" s="781"/>
      <c r="J11" s="781"/>
      <c r="K11" s="781"/>
      <c r="L11" s="781"/>
      <c r="M11" s="781"/>
      <c r="N11" s="781" t="n">
        <v>0.2</v>
      </c>
      <c r="O11" s="781"/>
      <c r="P11" s="781"/>
      <c r="Q11" s="781"/>
      <c r="R11" s="781"/>
      <c r="S11" s="781"/>
      <c r="T11" s="781"/>
      <c r="U11" s="781" t="n">
        <v>0.3</v>
      </c>
      <c r="V11" s="784"/>
      <c r="W11" s="784"/>
      <c r="X11" s="784"/>
      <c r="Y11" s="784"/>
      <c r="Z11" s="784"/>
      <c r="AA11" s="784"/>
      <c r="AB11" s="784"/>
      <c r="AC11" s="784"/>
      <c r="AD11" s="784"/>
      <c r="AE11" s="784"/>
      <c r="AF11" s="784"/>
      <c r="AG11" s="784"/>
      <c r="AH11" s="784"/>
      <c r="AI11" s="45"/>
      <c r="AJ11" s="45"/>
      <c r="AK11" s="45"/>
      <c r="AL11" s="45"/>
      <c r="AM11" s="45"/>
      <c r="AN11" s="45"/>
      <c r="AO11" s="45"/>
      <c r="AP11" s="45"/>
      <c r="AQ11" s="785"/>
      <c r="AR11" s="785"/>
      <c r="AS11" s="785"/>
      <c r="AT11" s="785"/>
      <c r="AU11" s="785"/>
      <c r="AV11" s="785"/>
      <c r="AW11" s="785"/>
      <c r="AX11" s="785"/>
      <c r="AY11" s="785"/>
      <c r="AZ11" s="785"/>
      <c r="BA11" s="785"/>
      <c r="BB11" s="785"/>
      <c r="BC11" s="785"/>
      <c r="BD11" s="781" t="n">
        <v>0.1</v>
      </c>
      <c r="BE11" s="783" t="n">
        <f aca="false">SUM(G11:BD11)</f>
        <v>1</v>
      </c>
      <c r="BF11" s="716"/>
    </row>
    <row r="12" customFormat="false" ht="16.5" hidden="false" customHeight="true" outlineLevel="0" collapsed="false">
      <c r="B12" s="795"/>
      <c r="C12" s="796"/>
      <c r="D12" s="796"/>
      <c r="E12" s="669" t="s">
        <v>404</v>
      </c>
      <c r="F12" s="673" t="n">
        <v>300000000</v>
      </c>
      <c r="G12" s="781" t="n">
        <v>0.4</v>
      </c>
      <c r="H12" s="781"/>
      <c r="I12" s="781"/>
      <c r="J12" s="781"/>
      <c r="K12" s="781"/>
      <c r="L12" s="781"/>
      <c r="M12" s="781"/>
      <c r="N12" s="781" t="n">
        <v>0.2</v>
      </c>
      <c r="O12" s="781"/>
      <c r="P12" s="781"/>
      <c r="Q12" s="781"/>
      <c r="R12" s="781"/>
      <c r="S12" s="781"/>
      <c r="T12" s="781"/>
      <c r="U12" s="781" t="n">
        <v>0.3</v>
      </c>
      <c r="V12" s="784"/>
      <c r="W12" s="784"/>
      <c r="X12" s="784"/>
      <c r="Y12" s="784"/>
      <c r="Z12" s="784"/>
      <c r="AA12" s="784"/>
      <c r="AB12" s="784"/>
      <c r="AC12" s="784"/>
      <c r="AD12" s="784"/>
      <c r="AE12" s="784"/>
      <c r="AF12" s="784"/>
      <c r="AG12" s="784"/>
      <c r="AH12" s="784"/>
      <c r="AI12" s="45"/>
      <c r="AJ12" s="45"/>
      <c r="AK12" s="45"/>
      <c r="AL12" s="45"/>
      <c r="AM12" s="45"/>
      <c r="AN12" s="45"/>
      <c r="AO12" s="45"/>
      <c r="AP12" s="45"/>
      <c r="AQ12" s="785"/>
      <c r="AR12" s="785"/>
      <c r="AS12" s="785"/>
      <c r="AT12" s="785"/>
      <c r="AU12" s="785"/>
      <c r="AV12" s="785"/>
      <c r="AW12" s="785"/>
      <c r="AX12" s="785"/>
      <c r="AY12" s="785"/>
      <c r="AZ12" s="785"/>
      <c r="BA12" s="785"/>
      <c r="BB12" s="785"/>
      <c r="BC12" s="785"/>
      <c r="BD12" s="781" t="n">
        <v>0.1</v>
      </c>
      <c r="BE12" s="783" t="n">
        <f aca="false">SUM(G12:BD12)</f>
        <v>1</v>
      </c>
      <c r="BF12" s="716"/>
    </row>
    <row r="13" customFormat="false" ht="16.5" hidden="false" customHeight="true" outlineLevel="0" collapsed="false">
      <c r="B13" s="795"/>
      <c r="C13" s="796"/>
      <c r="D13" s="796"/>
      <c r="E13" s="669" t="s">
        <v>507</v>
      </c>
      <c r="F13" s="673" t="n">
        <v>200000000</v>
      </c>
      <c r="G13" s="781"/>
      <c r="H13" s="781"/>
      <c r="I13" s="781"/>
      <c r="J13" s="781"/>
      <c r="K13" s="781"/>
      <c r="L13" s="781"/>
      <c r="M13" s="781"/>
      <c r="N13" s="781"/>
      <c r="O13" s="781"/>
      <c r="P13" s="781"/>
      <c r="Q13" s="781"/>
      <c r="R13" s="781"/>
      <c r="S13" s="781"/>
      <c r="T13" s="781"/>
      <c r="U13" s="781"/>
      <c r="V13" s="784"/>
      <c r="W13" s="784"/>
      <c r="X13" s="784"/>
      <c r="Y13" s="784"/>
      <c r="Z13" s="784"/>
      <c r="AA13" s="784"/>
      <c r="AB13" s="784"/>
      <c r="AC13" s="784"/>
      <c r="AD13" s="784"/>
      <c r="AE13" s="784"/>
      <c r="AF13" s="784"/>
      <c r="AG13" s="784"/>
      <c r="AH13" s="784"/>
      <c r="AI13" s="45"/>
      <c r="AJ13" s="45"/>
      <c r="AK13" s="45"/>
      <c r="AL13" s="45"/>
      <c r="AM13" s="45"/>
      <c r="AN13" s="45"/>
      <c r="AO13" s="45"/>
      <c r="AP13" s="45"/>
      <c r="AQ13" s="785"/>
      <c r="AR13" s="785"/>
      <c r="AS13" s="785"/>
      <c r="AT13" s="785"/>
      <c r="AU13" s="785"/>
      <c r="AV13" s="785"/>
      <c r="AW13" s="782"/>
      <c r="AX13" s="785"/>
      <c r="AY13" s="785"/>
      <c r="AZ13" s="785"/>
      <c r="BA13" s="785"/>
      <c r="BB13" s="785"/>
      <c r="BC13" s="785"/>
      <c r="BD13" s="781" t="n">
        <v>1</v>
      </c>
      <c r="BE13" s="783" t="n">
        <f aca="false">SUM(G13:BD13)</f>
        <v>1</v>
      </c>
      <c r="BF13" s="716"/>
    </row>
    <row r="14" customFormat="false" ht="17.25" hidden="false" customHeight="true" outlineLevel="0" collapsed="false">
      <c r="B14" s="795"/>
      <c r="C14" s="796"/>
      <c r="D14" s="797"/>
      <c r="E14" s="803" t="s">
        <v>508</v>
      </c>
      <c r="F14" s="790"/>
      <c r="G14" s="791"/>
      <c r="H14" s="791"/>
      <c r="I14" s="791"/>
      <c r="J14" s="791"/>
      <c r="K14" s="791"/>
      <c r="L14" s="791"/>
      <c r="M14" s="791"/>
      <c r="N14" s="791"/>
      <c r="O14" s="791"/>
      <c r="P14" s="791"/>
      <c r="Q14" s="791"/>
      <c r="R14" s="791"/>
      <c r="S14" s="791"/>
      <c r="T14" s="791"/>
      <c r="U14" s="791"/>
      <c r="V14" s="791"/>
      <c r="W14" s="791"/>
      <c r="X14" s="791"/>
      <c r="Y14" s="791"/>
      <c r="Z14" s="791"/>
      <c r="AA14" s="791"/>
      <c r="AB14" s="791"/>
      <c r="AC14" s="791"/>
      <c r="AD14" s="791"/>
      <c r="AE14" s="791"/>
      <c r="AF14" s="791"/>
      <c r="AG14" s="791"/>
      <c r="AH14" s="791"/>
      <c r="AI14" s="791"/>
      <c r="AJ14" s="791"/>
      <c r="AK14" s="791"/>
      <c r="AL14" s="791"/>
      <c r="AM14" s="791"/>
      <c r="AN14" s="791"/>
      <c r="AO14" s="791"/>
      <c r="AP14" s="792"/>
      <c r="AQ14" s="793"/>
      <c r="AR14" s="793"/>
      <c r="AS14" s="793"/>
      <c r="AT14" s="793"/>
      <c r="AU14" s="793"/>
      <c r="AV14" s="793"/>
      <c r="AW14" s="793"/>
      <c r="AX14" s="793"/>
      <c r="AY14" s="793"/>
      <c r="AZ14" s="793"/>
      <c r="BA14" s="793"/>
      <c r="BB14" s="793"/>
      <c r="BC14" s="793"/>
      <c r="BD14" s="791"/>
      <c r="BE14" s="794" t="n">
        <f aca="false">SUM(G14:BD14)</f>
        <v>0</v>
      </c>
      <c r="BF14" s="716"/>
    </row>
    <row r="15" customFormat="false" ht="12.75" hidden="false" customHeight="true" outlineLevel="0" collapsed="false">
      <c r="B15" s="779" t="s">
        <v>558</v>
      </c>
      <c r="C15" s="796"/>
      <c r="D15" s="796" t="s">
        <v>559</v>
      </c>
      <c r="E15" s="669" t="s">
        <v>112</v>
      </c>
      <c r="F15" s="673" t="n">
        <v>1050000000</v>
      </c>
      <c r="G15" s="781"/>
      <c r="H15" s="781"/>
      <c r="I15" s="781"/>
      <c r="J15" s="781"/>
      <c r="K15" s="781"/>
      <c r="L15" s="781"/>
      <c r="M15" s="781"/>
      <c r="N15" s="781"/>
      <c r="O15" s="781"/>
      <c r="P15" s="781"/>
      <c r="Q15" s="781"/>
      <c r="R15" s="781"/>
      <c r="S15" s="781"/>
      <c r="T15" s="781"/>
      <c r="U15" s="800" t="n">
        <v>0.3</v>
      </c>
      <c r="V15" s="800"/>
      <c r="W15" s="800"/>
      <c r="X15" s="800"/>
      <c r="Y15" s="800"/>
      <c r="Z15" s="800"/>
      <c r="AA15" s="800"/>
      <c r="AB15" s="800" t="n">
        <v>0.4</v>
      </c>
      <c r="AC15" s="800"/>
      <c r="AD15" s="800"/>
      <c r="AE15" s="800"/>
      <c r="AF15" s="800"/>
      <c r="AG15" s="800"/>
      <c r="AH15" s="800"/>
      <c r="AI15" s="800"/>
      <c r="AJ15" s="800"/>
      <c r="AK15" s="800"/>
      <c r="AL15" s="800"/>
      <c r="AM15" s="800"/>
      <c r="AN15" s="800"/>
      <c r="AO15" s="800"/>
      <c r="AP15" s="800"/>
      <c r="AQ15" s="801"/>
      <c r="AR15" s="801"/>
      <c r="AS15" s="801"/>
      <c r="AT15" s="801"/>
      <c r="AU15" s="801"/>
      <c r="AV15" s="801"/>
      <c r="AW15" s="800"/>
      <c r="AX15" s="801"/>
      <c r="AY15" s="801"/>
      <c r="AZ15" s="801"/>
      <c r="BA15" s="801"/>
      <c r="BB15" s="801"/>
      <c r="BC15" s="801"/>
      <c r="BD15" s="800" t="n">
        <v>0.3</v>
      </c>
      <c r="BE15" s="783" t="n">
        <f aca="false">SUM(G15:BD15)</f>
        <v>1</v>
      </c>
      <c r="BF15" s="716"/>
    </row>
    <row r="16" customFormat="false" ht="16.5" hidden="false" customHeight="true" outlineLevel="0" collapsed="false">
      <c r="B16" s="779"/>
      <c r="C16" s="796"/>
      <c r="D16" s="796"/>
      <c r="E16" s="669" t="s">
        <v>114</v>
      </c>
      <c r="F16" s="673" t="n">
        <v>150000000</v>
      </c>
      <c r="G16" s="784" t="n">
        <v>1</v>
      </c>
      <c r="H16" s="784"/>
      <c r="I16" s="784"/>
      <c r="J16" s="784"/>
      <c r="K16" s="784"/>
      <c r="L16" s="784"/>
      <c r="M16" s="784"/>
      <c r="N16" s="784"/>
      <c r="O16" s="784"/>
      <c r="P16" s="784"/>
      <c r="Q16" s="784"/>
      <c r="R16" s="784"/>
      <c r="S16" s="784"/>
      <c r="T16" s="784"/>
      <c r="U16" s="784"/>
      <c r="V16" s="784"/>
      <c r="W16" s="784"/>
      <c r="X16" s="784"/>
      <c r="Y16" s="784"/>
      <c r="Z16" s="784"/>
      <c r="AA16" s="784"/>
      <c r="AB16" s="784"/>
      <c r="AC16" s="784"/>
      <c r="AD16" s="784"/>
      <c r="AE16" s="784"/>
      <c r="AF16" s="784"/>
      <c r="AG16" s="784"/>
      <c r="AH16" s="784"/>
      <c r="AI16" s="45"/>
      <c r="AJ16" s="45"/>
      <c r="AK16" s="45"/>
      <c r="AL16" s="45"/>
      <c r="AM16" s="45"/>
      <c r="AN16" s="45"/>
      <c r="AO16" s="45"/>
      <c r="AP16" s="45"/>
      <c r="AQ16" s="785"/>
      <c r="AR16" s="785"/>
      <c r="AS16" s="785"/>
      <c r="AT16" s="785"/>
      <c r="AU16" s="785"/>
      <c r="AV16" s="785"/>
      <c r="AW16" s="785"/>
      <c r="AX16" s="785"/>
      <c r="AY16" s="785"/>
      <c r="AZ16" s="785"/>
      <c r="BA16" s="785"/>
      <c r="BB16" s="785"/>
      <c r="BC16" s="785"/>
      <c r="BD16" s="784"/>
      <c r="BE16" s="783" t="n">
        <f aca="false">SUM(G16:BD16)</f>
        <v>1</v>
      </c>
      <c r="BF16" s="716"/>
    </row>
    <row r="17" customFormat="false" ht="16.5" hidden="false" customHeight="true" outlineLevel="0" collapsed="false">
      <c r="B17" s="779"/>
      <c r="C17" s="796"/>
      <c r="D17" s="796"/>
      <c r="E17" s="669" t="s">
        <v>404</v>
      </c>
      <c r="F17" s="673" t="n">
        <v>300000000</v>
      </c>
      <c r="G17" s="784" t="n">
        <v>1</v>
      </c>
      <c r="H17" s="45"/>
      <c r="I17" s="45"/>
      <c r="J17" s="45"/>
      <c r="K17" s="45"/>
      <c r="L17" s="45"/>
      <c r="M17" s="45"/>
      <c r="N17" s="784"/>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785"/>
      <c r="AR17" s="785"/>
      <c r="AS17" s="785"/>
      <c r="AT17" s="785"/>
      <c r="AU17" s="785"/>
      <c r="AV17" s="785"/>
      <c r="AW17" s="785"/>
      <c r="AX17" s="785"/>
      <c r="AY17" s="785"/>
      <c r="AZ17" s="785"/>
      <c r="BA17" s="785"/>
      <c r="BB17" s="785"/>
      <c r="BC17" s="785"/>
      <c r="BD17" s="784"/>
      <c r="BE17" s="783" t="n">
        <f aca="false">SUM(G17:BD17)</f>
        <v>1</v>
      </c>
      <c r="BF17" s="716"/>
    </row>
    <row r="18" customFormat="false" ht="16.5" hidden="false" customHeight="true" outlineLevel="0" collapsed="false">
      <c r="B18" s="779"/>
      <c r="C18" s="796"/>
      <c r="D18" s="796"/>
      <c r="E18" s="669" t="s">
        <v>507</v>
      </c>
      <c r="F18" s="673" t="n">
        <v>200000000</v>
      </c>
      <c r="G18" s="784" t="n">
        <v>1</v>
      </c>
      <c r="H18" s="45"/>
      <c r="I18" s="45"/>
      <c r="J18" s="45"/>
      <c r="K18" s="45"/>
      <c r="L18" s="45"/>
      <c r="M18" s="45"/>
      <c r="N18" s="784"/>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785"/>
      <c r="AR18" s="785"/>
      <c r="AS18" s="785"/>
      <c r="AT18" s="785"/>
      <c r="AU18" s="785"/>
      <c r="AV18" s="785"/>
      <c r="AW18" s="785"/>
      <c r="AX18" s="785"/>
      <c r="AY18" s="785"/>
      <c r="AZ18" s="785"/>
      <c r="BA18" s="785"/>
      <c r="BB18" s="785"/>
      <c r="BC18" s="785"/>
      <c r="BD18" s="784"/>
      <c r="BE18" s="783" t="n">
        <f aca="false">SUM(G18:BD18)</f>
        <v>1</v>
      </c>
      <c r="BF18" s="716"/>
    </row>
    <row r="19" customFormat="false" ht="17.25" hidden="false" customHeight="true" outlineLevel="0" collapsed="false">
      <c r="B19" s="779"/>
      <c r="C19" s="796"/>
      <c r="D19" s="796"/>
      <c r="E19" s="803" t="s">
        <v>508</v>
      </c>
      <c r="F19" s="790"/>
      <c r="G19" s="791"/>
      <c r="H19" s="791"/>
      <c r="I19" s="791"/>
      <c r="J19" s="791"/>
      <c r="K19" s="791"/>
      <c r="L19" s="791"/>
      <c r="M19" s="791"/>
      <c r="N19" s="791"/>
      <c r="O19" s="791"/>
      <c r="P19" s="791"/>
      <c r="Q19" s="791"/>
      <c r="R19" s="791"/>
      <c r="S19" s="791"/>
      <c r="T19" s="791"/>
      <c r="U19" s="791"/>
      <c r="V19" s="791"/>
      <c r="W19" s="791"/>
      <c r="X19" s="791"/>
      <c r="Y19" s="791"/>
      <c r="Z19" s="791"/>
      <c r="AA19" s="791"/>
      <c r="AB19" s="791"/>
      <c r="AC19" s="791"/>
      <c r="AD19" s="791"/>
      <c r="AE19" s="791"/>
      <c r="AF19" s="791"/>
      <c r="AG19" s="791"/>
      <c r="AH19" s="791"/>
      <c r="AI19" s="791"/>
      <c r="AJ19" s="791"/>
      <c r="AK19" s="791"/>
      <c r="AL19" s="791"/>
      <c r="AM19" s="791"/>
      <c r="AN19" s="791"/>
      <c r="AO19" s="791"/>
      <c r="AP19" s="792"/>
      <c r="AQ19" s="793"/>
      <c r="AR19" s="793"/>
      <c r="AS19" s="793"/>
      <c r="AT19" s="793"/>
      <c r="AU19" s="793"/>
      <c r="AV19" s="793"/>
      <c r="AW19" s="793"/>
      <c r="AX19" s="793"/>
      <c r="AY19" s="793"/>
      <c r="AZ19" s="793"/>
      <c r="BA19" s="793"/>
      <c r="BB19" s="793"/>
      <c r="BC19" s="793"/>
      <c r="BD19" s="793"/>
      <c r="BE19" s="794" t="n">
        <f aca="false">SUM(G19:BD19)</f>
        <v>0</v>
      </c>
      <c r="BF19" s="716"/>
    </row>
    <row r="20" customFormat="false" ht="12.75" hidden="true" customHeight="false" outlineLevel="0" collapsed="false">
      <c r="B20" s="779" t="s">
        <v>558</v>
      </c>
      <c r="C20" s="796" t="s">
        <v>560</v>
      </c>
      <c r="D20" s="804" t="s">
        <v>561</v>
      </c>
      <c r="E20" s="669" t="s">
        <v>112</v>
      </c>
      <c r="F20" s="673" t="n">
        <v>1050000000</v>
      </c>
      <c r="G20" s="781"/>
      <c r="H20" s="781"/>
      <c r="I20" s="781"/>
      <c r="J20" s="781"/>
      <c r="K20" s="781"/>
      <c r="L20" s="781"/>
      <c r="M20" s="781"/>
      <c r="N20" s="781"/>
      <c r="O20" s="781"/>
      <c r="P20" s="781"/>
      <c r="Q20" s="781"/>
      <c r="R20" s="781"/>
      <c r="S20" s="781"/>
      <c r="T20" s="781"/>
      <c r="U20" s="781" t="n">
        <v>0.1</v>
      </c>
      <c r="V20" s="781"/>
      <c r="W20" s="781"/>
      <c r="X20" s="781"/>
      <c r="Y20" s="781"/>
      <c r="Z20" s="781"/>
      <c r="AA20" s="781"/>
      <c r="AB20" s="781"/>
      <c r="AC20" s="781"/>
      <c r="AD20" s="781"/>
      <c r="AE20" s="781"/>
      <c r="AF20" s="781"/>
      <c r="AG20" s="781"/>
      <c r="AH20" s="781"/>
      <c r="AI20" s="781" t="n">
        <v>0.2</v>
      </c>
      <c r="AJ20" s="781"/>
      <c r="AK20" s="781"/>
      <c r="AL20" s="781"/>
      <c r="AM20" s="781"/>
      <c r="AN20" s="781"/>
      <c r="AO20" s="781"/>
      <c r="AP20" s="781" t="n">
        <v>0.4</v>
      </c>
      <c r="AQ20" s="782"/>
      <c r="AR20" s="782"/>
      <c r="AS20" s="782"/>
      <c r="AT20" s="782"/>
      <c r="AU20" s="782"/>
      <c r="AV20" s="782"/>
      <c r="AW20" s="781" t="n">
        <v>0.25</v>
      </c>
      <c r="AX20" s="782"/>
      <c r="AY20" s="782"/>
      <c r="AZ20" s="782"/>
      <c r="BA20" s="782"/>
      <c r="BB20" s="782"/>
      <c r="BC20" s="782"/>
      <c r="BD20" s="781" t="n">
        <v>0.05</v>
      </c>
      <c r="BE20" s="783" t="n">
        <f aca="false">SUM(G20:BD20)</f>
        <v>1</v>
      </c>
      <c r="BF20" s="716"/>
    </row>
    <row r="21" customFormat="false" ht="12.75" hidden="true" customHeight="false" outlineLevel="0" collapsed="false">
      <c r="B21" s="779"/>
      <c r="C21" s="796"/>
      <c r="D21" s="796"/>
      <c r="E21" s="669" t="s">
        <v>114</v>
      </c>
      <c r="F21" s="673" t="n">
        <v>300000000</v>
      </c>
      <c r="G21" s="781" t="n">
        <v>0.2</v>
      </c>
      <c r="H21" s="781"/>
      <c r="I21" s="781"/>
      <c r="J21" s="781"/>
      <c r="K21" s="781"/>
      <c r="L21" s="781"/>
      <c r="M21" s="781"/>
      <c r="N21" s="781" t="n">
        <v>0.2</v>
      </c>
      <c r="O21" s="781"/>
      <c r="P21" s="781"/>
      <c r="Q21" s="781"/>
      <c r="R21" s="781"/>
      <c r="S21" s="781"/>
      <c r="T21" s="781"/>
      <c r="U21" s="781" t="n">
        <v>0.5</v>
      </c>
      <c r="V21" s="781"/>
      <c r="W21" s="781"/>
      <c r="X21" s="781"/>
      <c r="Y21" s="781"/>
      <c r="Z21" s="781"/>
      <c r="AA21" s="781"/>
      <c r="AB21" s="781"/>
      <c r="AC21" s="781"/>
      <c r="AD21" s="781"/>
      <c r="AE21" s="781"/>
      <c r="AF21" s="781"/>
      <c r="AG21" s="781"/>
      <c r="AH21" s="781"/>
      <c r="AJ21" s="781"/>
      <c r="AK21" s="781"/>
      <c r="AL21" s="781"/>
      <c r="AM21" s="781"/>
      <c r="AN21" s="781"/>
      <c r="AO21" s="781"/>
      <c r="AP21" s="781"/>
      <c r="AQ21" s="787"/>
      <c r="AR21" s="787"/>
      <c r="AS21" s="787"/>
      <c r="AT21" s="787"/>
      <c r="AU21" s="787"/>
      <c r="AV21" s="787"/>
      <c r="AW21" s="787"/>
      <c r="AX21" s="787"/>
      <c r="AY21" s="787"/>
      <c r="AZ21" s="787"/>
      <c r="BA21" s="787"/>
      <c r="BB21" s="787"/>
      <c r="BC21" s="787"/>
      <c r="BD21" s="781" t="n">
        <v>0.1</v>
      </c>
      <c r="BE21" s="783" t="n">
        <f aca="false">SUM(G21:BD21)</f>
        <v>1</v>
      </c>
    </row>
    <row r="22" customFormat="false" ht="12.75" hidden="true" customHeight="false" outlineLevel="0" collapsed="false">
      <c r="B22" s="779"/>
      <c r="C22" s="796"/>
      <c r="D22" s="796"/>
      <c r="E22" s="669" t="s">
        <v>507</v>
      </c>
      <c r="F22" s="673" t="n">
        <v>200000000</v>
      </c>
      <c r="G22" s="781" t="n">
        <v>0.2</v>
      </c>
      <c r="H22" s="781"/>
      <c r="I22" s="781"/>
      <c r="J22" s="781"/>
      <c r="K22" s="781"/>
      <c r="L22" s="781"/>
      <c r="M22" s="781"/>
      <c r="N22" s="781" t="n">
        <v>0.2</v>
      </c>
      <c r="O22" s="781"/>
      <c r="P22" s="781"/>
      <c r="Q22" s="781"/>
      <c r="R22" s="781"/>
      <c r="S22" s="781"/>
      <c r="T22" s="781"/>
      <c r="U22" s="781" t="n">
        <v>0.5</v>
      </c>
      <c r="V22" s="781"/>
      <c r="W22" s="781"/>
      <c r="X22" s="781"/>
      <c r="Y22" s="781"/>
      <c r="Z22" s="781"/>
      <c r="AA22" s="781"/>
      <c r="AB22" s="781"/>
      <c r="AC22" s="781"/>
      <c r="AD22" s="781"/>
      <c r="AE22" s="781"/>
      <c r="AF22" s="781"/>
      <c r="AG22" s="781"/>
      <c r="AH22" s="781"/>
      <c r="AJ22" s="781"/>
      <c r="AK22" s="781"/>
      <c r="AL22" s="781"/>
      <c r="AM22" s="781"/>
      <c r="AN22" s="781"/>
      <c r="AO22" s="781"/>
      <c r="AP22" s="781"/>
      <c r="AQ22" s="787"/>
      <c r="AR22" s="787"/>
      <c r="AS22" s="787"/>
      <c r="AT22" s="787"/>
      <c r="AU22" s="787"/>
      <c r="AV22" s="787"/>
      <c r="AW22" s="787"/>
      <c r="AX22" s="787"/>
      <c r="AY22" s="787"/>
      <c r="AZ22" s="787"/>
      <c r="BA22" s="787"/>
      <c r="BB22" s="787"/>
      <c r="BC22" s="787"/>
      <c r="BD22" s="781" t="n">
        <v>0.1</v>
      </c>
      <c r="BE22" s="783" t="n">
        <f aca="false">SUM(G22:BD22)</f>
        <v>1</v>
      </c>
    </row>
    <row r="23" customFormat="false" ht="12.75" hidden="true" customHeight="false" outlineLevel="0" collapsed="false">
      <c r="B23" s="779"/>
      <c r="C23" s="796"/>
      <c r="D23" s="804"/>
      <c r="E23" s="803" t="s">
        <v>508</v>
      </c>
      <c r="F23" s="790" t="n">
        <f aca="false">40000000*5</f>
        <v>200000000</v>
      </c>
      <c r="G23" s="805"/>
      <c r="H23" s="805"/>
      <c r="I23" s="805"/>
      <c r="J23" s="805"/>
      <c r="K23" s="805"/>
      <c r="L23" s="805"/>
      <c r="M23" s="805"/>
      <c r="N23" s="805"/>
      <c r="O23" s="805"/>
      <c r="P23" s="805"/>
      <c r="Q23" s="805"/>
      <c r="R23" s="805"/>
      <c r="S23" s="805"/>
      <c r="T23" s="805"/>
      <c r="U23" s="805"/>
      <c r="V23" s="805"/>
      <c r="W23" s="805"/>
      <c r="X23" s="805"/>
      <c r="Y23" s="805"/>
      <c r="Z23" s="805"/>
      <c r="AA23" s="805"/>
      <c r="AB23" s="805"/>
      <c r="AC23" s="805"/>
      <c r="AD23" s="805"/>
      <c r="AE23" s="805"/>
      <c r="AF23" s="805"/>
      <c r="AG23" s="805"/>
      <c r="AH23" s="805"/>
      <c r="AI23" s="805"/>
      <c r="AJ23" s="805"/>
      <c r="AK23" s="805"/>
      <c r="AL23" s="805"/>
      <c r="AM23" s="805"/>
      <c r="AN23" s="805"/>
      <c r="AO23" s="805"/>
      <c r="AP23" s="806"/>
      <c r="AQ23" s="807"/>
      <c r="AR23" s="807"/>
      <c r="AS23" s="807"/>
      <c r="AT23" s="807"/>
      <c r="AU23" s="807"/>
      <c r="AV23" s="807"/>
      <c r="AW23" s="807"/>
      <c r="AX23" s="807"/>
      <c r="AY23" s="807"/>
      <c r="AZ23" s="807"/>
      <c r="BA23" s="807"/>
      <c r="BB23" s="807"/>
      <c r="BC23" s="807"/>
      <c r="BD23" s="805" t="n">
        <v>1</v>
      </c>
      <c r="BE23" s="794" t="n">
        <f aca="false">SUM(G23:BD23)</f>
        <v>1</v>
      </c>
    </row>
    <row r="24" customFormat="false" ht="12.75" hidden="true" customHeight="false" outlineLevel="0" collapsed="false">
      <c r="B24" s="779" t="s">
        <v>562</v>
      </c>
      <c r="C24" s="796"/>
      <c r="D24" s="804" t="s">
        <v>561</v>
      </c>
      <c r="E24" s="669" t="s">
        <v>112</v>
      </c>
      <c r="F24" s="673" t="n">
        <v>1050000000</v>
      </c>
      <c r="G24" s="781"/>
      <c r="H24" s="781"/>
      <c r="I24" s="781"/>
      <c r="J24" s="781"/>
      <c r="K24" s="781"/>
      <c r="L24" s="781"/>
      <c r="M24" s="781"/>
      <c r="N24" s="781"/>
      <c r="O24" s="781"/>
      <c r="P24" s="781"/>
      <c r="Q24" s="781"/>
      <c r="R24" s="781"/>
      <c r="S24" s="781"/>
      <c r="T24" s="781"/>
      <c r="U24" s="781" t="n">
        <v>0.1</v>
      </c>
      <c r="V24" s="781"/>
      <c r="W24" s="781"/>
      <c r="X24" s="781"/>
      <c r="Y24" s="781"/>
      <c r="Z24" s="781"/>
      <c r="AA24" s="781"/>
      <c r="AB24" s="781"/>
      <c r="AC24" s="781"/>
      <c r="AD24" s="781"/>
      <c r="AE24" s="781"/>
      <c r="AF24" s="781"/>
      <c r="AG24" s="781"/>
      <c r="AH24" s="781"/>
      <c r="AI24" s="781" t="n">
        <v>0.2</v>
      </c>
      <c r="AJ24" s="781"/>
      <c r="AK24" s="781"/>
      <c r="AL24" s="781"/>
      <c r="AM24" s="781"/>
      <c r="AN24" s="781"/>
      <c r="AO24" s="781"/>
      <c r="AP24" s="781" t="n">
        <v>0.4</v>
      </c>
      <c r="AQ24" s="782"/>
      <c r="AR24" s="782"/>
      <c r="AS24" s="782"/>
      <c r="AT24" s="782"/>
      <c r="AU24" s="782"/>
      <c r="AV24" s="782"/>
      <c r="AW24" s="781" t="n">
        <v>0.25</v>
      </c>
      <c r="AX24" s="782"/>
      <c r="AY24" s="782"/>
      <c r="AZ24" s="782"/>
      <c r="BA24" s="782"/>
      <c r="BB24" s="782"/>
      <c r="BC24" s="782"/>
      <c r="BD24" s="781" t="n">
        <v>0.05</v>
      </c>
      <c r="BE24" s="783" t="n">
        <f aca="false">SUM(G24:BD24)</f>
        <v>1</v>
      </c>
    </row>
    <row r="25" customFormat="false" ht="12.75" hidden="true" customHeight="false" outlineLevel="0" collapsed="false">
      <c r="B25" s="779"/>
      <c r="C25" s="796"/>
      <c r="D25" s="796"/>
      <c r="E25" s="669" t="s">
        <v>114</v>
      </c>
      <c r="F25" s="673" t="n">
        <v>300000000</v>
      </c>
      <c r="G25" s="781" t="n">
        <v>0.2</v>
      </c>
      <c r="H25" s="781"/>
      <c r="I25" s="781"/>
      <c r="J25" s="781"/>
      <c r="K25" s="781"/>
      <c r="L25" s="781"/>
      <c r="M25" s="781"/>
      <c r="N25" s="781" t="n">
        <v>0.2</v>
      </c>
      <c r="O25" s="781"/>
      <c r="P25" s="781"/>
      <c r="Q25" s="781"/>
      <c r="R25" s="781"/>
      <c r="S25" s="781"/>
      <c r="T25" s="781"/>
      <c r="U25" s="781" t="n">
        <v>0.5</v>
      </c>
      <c r="V25" s="781"/>
      <c r="W25" s="781"/>
      <c r="X25" s="781"/>
      <c r="Y25" s="781"/>
      <c r="Z25" s="781"/>
      <c r="AA25" s="781"/>
      <c r="AB25" s="781"/>
      <c r="AC25" s="781"/>
      <c r="AD25" s="781"/>
      <c r="AE25" s="781"/>
      <c r="AF25" s="781"/>
      <c r="AG25" s="781"/>
      <c r="AH25" s="781"/>
      <c r="AJ25" s="781"/>
      <c r="AK25" s="781"/>
      <c r="AL25" s="781"/>
      <c r="AM25" s="781"/>
      <c r="AN25" s="781"/>
      <c r="AO25" s="781"/>
      <c r="AP25" s="781"/>
      <c r="AQ25" s="787"/>
      <c r="AR25" s="787"/>
      <c r="AS25" s="787"/>
      <c r="AT25" s="787"/>
      <c r="AU25" s="787"/>
      <c r="AV25" s="787"/>
      <c r="AW25" s="787"/>
      <c r="AX25" s="787"/>
      <c r="AY25" s="787"/>
      <c r="AZ25" s="787"/>
      <c r="BA25" s="787"/>
      <c r="BB25" s="787"/>
      <c r="BC25" s="787"/>
      <c r="BD25" s="781" t="n">
        <v>0.1</v>
      </c>
      <c r="BE25" s="783" t="n">
        <f aca="false">SUM(G25:BD25)</f>
        <v>1</v>
      </c>
    </row>
    <row r="26" customFormat="false" ht="12.75" hidden="true" customHeight="false" outlineLevel="0" collapsed="false">
      <c r="B26" s="779"/>
      <c r="C26" s="796"/>
      <c r="D26" s="796"/>
      <c r="E26" s="669" t="s">
        <v>507</v>
      </c>
      <c r="F26" s="673" t="n">
        <v>200000000</v>
      </c>
      <c r="G26" s="781" t="n">
        <v>0.2</v>
      </c>
      <c r="H26" s="781"/>
      <c r="I26" s="781"/>
      <c r="J26" s="781"/>
      <c r="K26" s="781"/>
      <c r="L26" s="781"/>
      <c r="M26" s="781"/>
      <c r="N26" s="781" t="n">
        <v>0.2</v>
      </c>
      <c r="O26" s="781"/>
      <c r="P26" s="781"/>
      <c r="Q26" s="781"/>
      <c r="R26" s="781"/>
      <c r="S26" s="781"/>
      <c r="T26" s="781"/>
      <c r="U26" s="781" t="n">
        <v>0.5</v>
      </c>
      <c r="V26" s="781"/>
      <c r="W26" s="781"/>
      <c r="X26" s="781"/>
      <c r="Y26" s="781"/>
      <c r="Z26" s="781"/>
      <c r="AA26" s="781"/>
      <c r="AB26" s="781"/>
      <c r="AC26" s="781"/>
      <c r="AD26" s="781"/>
      <c r="AE26" s="781"/>
      <c r="AF26" s="781"/>
      <c r="AG26" s="781"/>
      <c r="AH26" s="781"/>
      <c r="AJ26" s="781"/>
      <c r="AK26" s="781"/>
      <c r="AL26" s="781"/>
      <c r="AM26" s="781"/>
      <c r="AN26" s="781"/>
      <c r="AO26" s="781"/>
      <c r="AP26" s="781"/>
      <c r="AQ26" s="787"/>
      <c r="AR26" s="787"/>
      <c r="AS26" s="787"/>
      <c r="AT26" s="787"/>
      <c r="AU26" s="787"/>
      <c r="AV26" s="787"/>
      <c r="AW26" s="787"/>
      <c r="AX26" s="787"/>
      <c r="AY26" s="787"/>
      <c r="AZ26" s="787"/>
      <c r="BA26" s="787"/>
      <c r="BB26" s="787"/>
      <c r="BC26" s="787"/>
      <c r="BD26" s="781" t="n">
        <v>0.1</v>
      </c>
      <c r="BE26" s="783" t="n">
        <f aca="false">SUM(G26:BD26)</f>
        <v>1</v>
      </c>
    </row>
    <row r="27" customFormat="false" ht="12.75" hidden="true" customHeight="false" outlineLevel="0" collapsed="false">
      <c r="B27" s="779"/>
      <c r="C27" s="796"/>
      <c r="D27" s="804"/>
      <c r="E27" s="803" t="s">
        <v>508</v>
      </c>
      <c r="F27" s="790" t="n">
        <f aca="false">40000000*7</f>
        <v>280000000</v>
      </c>
      <c r="G27" s="805"/>
      <c r="H27" s="805"/>
      <c r="I27" s="805"/>
      <c r="J27" s="805"/>
      <c r="K27" s="805"/>
      <c r="L27" s="805"/>
      <c r="M27" s="805"/>
      <c r="N27" s="805"/>
      <c r="O27" s="805"/>
      <c r="P27" s="805"/>
      <c r="Q27" s="805"/>
      <c r="R27" s="805"/>
      <c r="S27" s="805"/>
      <c r="T27" s="805"/>
      <c r="U27" s="805"/>
      <c r="V27" s="805"/>
      <c r="W27" s="805"/>
      <c r="X27" s="805"/>
      <c r="Y27" s="805"/>
      <c r="Z27" s="805"/>
      <c r="AA27" s="805"/>
      <c r="AB27" s="805"/>
      <c r="AC27" s="805"/>
      <c r="AD27" s="805"/>
      <c r="AE27" s="805"/>
      <c r="AF27" s="805"/>
      <c r="AG27" s="805"/>
      <c r="AH27" s="805"/>
      <c r="AI27" s="805"/>
      <c r="AJ27" s="805"/>
      <c r="AK27" s="805"/>
      <c r="AL27" s="805"/>
      <c r="AM27" s="805"/>
      <c r="AN27" s="805"/>
      <c r="AO27" s="805"/>
      <c r="AP27" s="806"/>
      <c r="AQ27" s="807"/>
      <c r="AR27" s="807"/>
      <c r="AS27" s="807"/>
      <c r="AT27" s="807"/>
      <c r="AU27" s="807"/>
      <c r="AV27" s="807"/>
      <c r="AW27" s="807"/>
      <c r="AX27" s="807"/>
      <c r="AY27" s="807"/>
      <c r="AZ27" s="807"/>
      <c r="BA27" s="807"/>
      <c r="BB27" s="807"/>
      <c r="BC27" s="807"/>
      <c r="BD27" s="805" t="n">
        <v>1</v>
      </c>
      <c r="BE27" s="794" t="n">
        <f aca="false">SUM(G27:BD27)</f>
        <v>1</v>
      </c>
    </row>
    <row r="28" customFormat="false" ht="12.75" hidden="true" customHeight="false" outlineLevel="0" collapsed="false">
      <c r="B28" s="779" t="s">
        <v>563</v>
      </c>
      <c r="C28" s="796"/>
      <c r="D28" s="804" t="s">
        <v>564</v>
      </c>
      <c r="E28" s="669" t="s">
        <v>112</v>
      </c>
      <c r="F28" s="673" t="n">
        <v>1050000000</v>
      </c>
      <c r="G28" s="781" t="n">
        <v>0.1</v>
      </c>
      <c r="H28" s="781"/>
      <c r="I28" s="781"/>
      <c r="J28" s="781"/>
      <c r="K28" s="781"/>
      <c r="L28" s="781"/>
      <c r="M28" s="781"/>
      <c r="N28" s="781" t="n">
        <v>0.2</v>
      </c>
      <c r="O28" s="781"/>
      <c r="P28" s="781"/>
      <c r="Q28" s="781"/>
      <c r="R28" s="781"/>
      <c r="S28" s="781"/>
      <c r="T28" s="781"/>
      <c r="U28" s="781" t="n">
        <v>0.4</v>
      </c>
      <c r="V28" s="781"/>
      <c r="W28" s="781"/>
      <c r="X28" s="781"/>
      <c r="Y28" s="781"/>
      <c r="Z28" s="781"/>
      <c r="AA28" s="781"/>
      <c r="AB28" s="781"/>
      <c r="AC28" s="781"/>
      <c r="AD28" s="781"/>
      <c r="AE28" s="781"/>
      <c r="AF28" s="781"/>
      <c r="AG28" s="781"/>
      <c r="AH28" s="781"/>
      <c r="AI28" s="781" t="n">
        <v>0.25</v>
      </c>
      <c r="AJ28" s="781"/>
      <c r="AK28" s="781"/>
      <c r="AL28" s="781"/>
      <c r="AM28" s="781"/>
      <c r="AN28" s="781"/>
      <c r="AO28" s="781"/>
      <c r="AP28" s="781" t="n">
        <v>0.05</v>
      </c>
      <c r="AQ28" s="782"/>
      <c r="AR28" s="782"/>
      <c r="AS28" s="782"/>
      <c r="AT28" s="782"/>
      <c r="AU28" s="782"/>
      <c r="AV28" s="782"/>
      <c r="AW28" s="782"/>
      <c r="AX28" s="782"/>
      <c r="AY28" s="782"/>
      <c r="AZ28" s="782"/>
      <c r="BA28" s="782"/>
      <c r="BB28" s="782"/>
      <c r="BC28" s="782"/>
      <c r="BD28" s="782"/>
      <c r="BE28" s="783" t="n">
        <f aca="false">SUM(G28:AW28)</f>
        <v>1</v>
      </c>
      <c r="BF28" s="716"/>
    </row>
    <row r="29" customFormat="false" ht="12.75" hidden="true" customHeight="false" outlineLevel="0" collapsed="false">
      <c r="B29" s="779"/>
      <c r="C29" s="796"/>
      <c r="D29" s="796"/>
      <c r="E29" s="669" t="s">
        <v>114</v>
      </c>
      <c r="F29" s="673" t="n">
        <v>300000000</v>
      </c>
      <c r="G29" s="781" t="n">
        <v>0.2</v>
      </c>
      <c r="H29" s="781"/>
      <c r="I29" s="781"/>
      <c r="J29" s="781"/>
      <c r="K29" s="781"/>
      <c r="L29" s="781"/>
      <c r="M29" s="781"/>
      <c r="N29" s="781" t="n">
        <v>0.2</v>
      </c>
      <c r="O29" s="781"/>
      <c r="P29" s="781"/>
      <c r="Q29" s="781"/>
      <c r="R29" s="781"/>
      <c r="S29" s="781"/>
      <c r="T29" s="781"/>
      <c r="U29" s="781" t="n">
        <v>0.5</v>
      </c>
      <c r="V29" s="781"/>
      <c r="W29" s="781"/>
      <c r="X29" s="781"/>
      <c r="Y29" s="781"/>
      <c r="Z29" s="781"/>
      <c r="AA29" s="781"/>
      <c r="AB29" s="781"/>
      <c r="AC29" s="781"/>
      <c r="AD29" s="781"/>
      <c r="AE29" s="781"/>
      <c r="AF29" s="781"/>
      <c r="AG29" s="781"/>
      <c r="AH29" s="781"/>
      <c r="AI29" s="781" t="n">
        <v>0.1</v>
      </c>
      <c r="AJ29" s="781"/>
      <c r="AK29" s="781"/>
      <c r="AL29" s="781"/>
      <c r="AM29" s="781"/>
      <c r="AN29" s="781"/>
      <c r="AO29" s="781"/>
      <c r="AP29" s="781"/>
      <c r="AQ29" s="787"/>
      <c r="AR29" s="787"/>
      <c r="AS29" s="787"/>
      <c r="AT29" s="787"/>
      <c r="AU29" s="787"/>
      <c r="AV29" s="787"/>
      <c r="AW29" s="787"/>
      <c r="AX29" s="787"/>
      <c r="AY29" s="787"/>
      <c r="AZ29" s="787"/>
      <c r="BA29" s="787"/>
      <c r="BB29" s="787"/>
      <c r="BC29" s="787"/>
      <c r="BD29" s="787"/>
      <c r="BE29" s="783" t="n">
        <f aca="false">SUM(G29:AW29)</f>
        <v>1</v>
      </c>
    </row>
    <row r="30" customFormat="false" ht="12.75" hidden="true" customHeight="false" outlineLevel="0" collapsed="false">
      <c r="B30" s="779"/>
      <c r="C30" s="796"/>
      <c r="D30" s="796"/>
      <c r="E30" s="669" t="s">
        <v>507</v>
      </c>
      <c r="F30" s="673" t="n">
        <v>200000000</v>
      </c>
      <c r="G30" s="781" t="n">
        <v>0.2</v>
      </c>
      <c r="H30" s="781"/>
      <c r="I30" s="781"/>
      <c r="J30" s="781"/>
      <c r="K30" s="781"/>
      <c r="L30" s="781"/>
      <c r="M30" s="781"/>
      <c r="N30" s="781" t="n">
        <v>0.2</v>
      </c>
      <c r="O30" s="781"/>
      <c r="P30" s="781"/>
      <c r="Q30" s="781"/>
      <c r="R30" s="781"/>
      <c r="S30" s="781"/>
      <c r="T30" s="781"/>
      <c r="U30" s="781" t="n">
        <v>0.5</v>
      </c>
      <c r="V30" s="781"/>
      <c r="W30" s="781"/>
      <c r="X30" s="781"/>
      <c r="Y30" s="781"/>
      <c r="Z30" s="781"/>
      <c r="AA30" s="781"/>
      <c r="AB30" s="781"/>
      <c r="AC30" s="781"/>
      <c r="AD30" s="781"/>
      <c r="AE30" s="781"/>
      <c r="AF30" s="781"/>
      <c r="AG30" s="781"/>
      <c r="AH30" s="781"/>
      <c r="AI30" s="781" t="n">
        <v>0.1</v>
      </c>
      <c r="AJ30" s="781"/>
      <c r="AK30" s="781"/>
      <c r="AL30" s="781"/>
      <c r="AM30" s="781"/>
      <c r="AN30" s="781"/>
      <c r="AO30" s="781"/>
      <c r="AP30" s="781"/>
      <c r="AQ30" s="787"/>
      <c r="AR30" s="787"/>
      <c r="AS30" s="787"/>
      <c r="AT30" s="787"/>
      <c r="AU30" s="787"/>
      <c r="AV30" s="787"/>
      <c r="AW30" s="787"/>
      <c r="AX30" s="787"/>
      <c r="AY30" s="787"/>
      <c r="AZ30" s="787"/>
      <c r="BA30" s="787"/>
      <c r="BB30" s="787"/>
      <c r="BC30" s="787"/>
      <c r="BD30" s="787"/>
      <c r="BE30" s="783" t="n">
        <f aca="false">SUM(G30:AW30)</f>
        <v>1</v>
      </c>
    </row>
    <row r="31" customFormat="false" ht="12.75" hidden="true" customHeight="false" outlineLevel="0" collapsed="false">
      <c r="B31" s="779"/>
      <c r="C31" s="796"/>
      <c r="D31" s="796"/>
      <c r="E31" s="803" t="s">
        <v>508</v>
      </c>
      <c r="F31" s="790"/>
      <c r="G31" s="805" t="n">
        <v>0.2</v>
      </c>
      <c r="H31" s="805"/>
      <c r="I31" s="805"/>
      <c r="J31" s="805"/>
      <c r="K31" s="805"/>
      <c r="L31" s="805"/>
      <c r="M31" s="805"/>
      <c r="N31" s="805" t="n">
        <v>0.2</v>
      </c>
      <c r="O31" s="805"/>
      <c r="P31" s="805"/>
      <c r="Q31" s="805"/>
      <c r="R31" s="805"/>
      <c r="S31" s="805"/>
      <c r="T31" s="805"/>
      <c r="U31" s="805" t="n">
        <v>0.5</v>
      </c>
      <c r="V31" s="805"/>
      <c r="W31" s="805"/>
      <c r="X31" s="805"/>
      <c r="Y31" s="805"/>
      <c r="Z31" s="805"/>
      <c r="AA31" s="805"/>
      <c r="AB31" s="805"/>
      <c r="AC31" s="805"/>
      <c r="AD31" s="805"/>
      <c r="AE31" s="805"/>
      <c r="AF31" s="805"/>
      <c r="AG31" s="805"/>
      <c r="AH31" s="805"/>
      <c r="AI31" s="805" t="n">
        <v>0.1</v>
      </c>
      <c r="AJ31" s="805"/>
      <c r="AK31" s="805"/>
      <c r="AL31" s="805"/>
      <c r="AM31" s="805"/>
      <c r="AN31" s="805"/>
      <c r="AO31" s="805"/>
      <c r="AP31" s="806"/>
      <c r="AQ31" s="807"/>
      <c r="AR31" s="807"/>
      <c r="AS31" s="807"/>
      <c r="AT31" s="807"/>
      <c r="AU31" s="807"/>
      <c r="AV31" s="807"/>
      <c r="AW31" s="807"/>
      <c r="AX31" s="807"/>
      <c r="AY31" s="807"/>
      <c r="AZ31" s="807"/>
      <c r="BA31" s="807"/>
      <c r="BB31" s="807"/>
      <c r="BC31" s="807"/>
      <c r="BD31" s="807"/>
      <c r="BE31" s="794" t="n">
        <f aca="false">SUM(G31:AW31)</f>
        <v>1</v>
      </c>
    </row>
    <row r="32" customFormat="false" ht="19.5" hidden="true" customHeight="true" outlineLevel="0" collapsed="false"/>
    <row r="33" customFormat="false" ht="19.5" hidden="true" customHeight="true" outlineLevel="0" collapsed="false">
      <c r="B33" s="773" t="s">
        <v>48</v>
      </c>
      <c r="C33" s="773"/>
      <c r="D33" s="773"/>
      <c r="E33" s="773"/>
      <c r="F33" s="774" t="s">
        <v>537</v>
      </c>
      <c r="G33" s="775" t="s">
        <v>538</v>
      </c>
      <c r="H33" s="774"/>
      <c r="I33" s="774"/>
      <c r="J33" s="774"/>
      <c r="K33" s="774"/>
      <c r="L33" s="774"/>
      <c r="M33" s="774"/>
      <c r="N33" s="775" t="s">
        <v>539</v>
      </c>
      <c r="O33" s="774"/>
      <c r="P33" s="774"/>
      <c r="Q33" s="774"/>
      <c r="R33" s="774"/>
      <c r="S33" s="774"/>
      <c r="T33" s="774"/>
      <c r="U33" s="775" t="s">
        <v>540</v>
      </c>
      <c r="V33" s="774"/>
      <c r="W33" s="774"/>
      <c r="X33" s="774"/>
      <c r="Y33" s="774"/>
      <c r="Z33" s="774"/>
      <c r="AA33" s="774"/>
      <c r="AB33" s="775" t="s">
        <v>541</v>
      </c>
      <c r="AC33" s="774"/>
      <c r="AD33" s="774"/>
      <c r="AE33" s="774"/>
      <c r="AF33" s="774"/>
      <c r="AG33" s="774"/>
      <c r="AH33" s="774"/>
      <c r="AI33" s="775" t="s">
        <v>542</v>
      </c>
      <c r="AJ33" s="776"/>
      <c r="AK33" s="776"/>
      <c r="AL33" s="776"/>
      <c r="AM33" s="776"/>
      <c r="AN33" s="776"/>
      <c r="AO33" s="776"/>
      <c r="AP33" s="777" t="s">
        <v>543</v>
      </c>
      <c r="AQ33" s="776"/>
      <c r="AR33" s="776"/>
      <c r="AS33" s="776"/>
      <c r="AT33" s="776"/>
      <c r="AU33" s="776"/>
      <c r="AV33" s="776"/>
      <c r="AW33" s="777" t="s">
        <v>544</v>
      </c>
      <c r="AX33" s="777" t="s">
        <v>545</v>
      </c>
      <c r="AY33" s="777" t="s">
        <v>546</v>
      </c>
      <c r="AZ33" s="777" t="s">
        <v>547</v>
      </c>
      <c r="BA33" s="777" t="s">
        <v>548</v>
      </c>
      <c r="BB33" s="777" t="s">
        <v>549</v>
      </c>
      <c r="BC33" s="777" t="s">
        <v>550</v>
      </c>
      <c r="BD33" s="777" t="s">
        <v>545</v>
      </c>
      <c r="BE33" s="778" t="s">
        <v>58</v>
      </c>
    </row>
    <row r="34" customFormat="false" ht="12.75" hidden="true" customHeight="false" outlineLevel="0" collapsed="false">
      <c r="B34" s="779" t="s">
        <v>565</v>
      </c>
      <c r="C34" s="780" t="s">
        <v>560</v>
      </c>
      <c r="D34" s="808" t="s">
        <v>566</v>
      </c>
      <c r="E34" s="669" t="s">
        <v>112</v>
      </c>
      <c r="F34" s="673" t="n">
        <v>1050000000</v>
      </c>
      <c r="G34" s="781"/>
      <c r="H34" s="781"/>
      <c r="I34" s="781"/>
      <c r="J34" s="781"/>
      <c r="K34" s="781"/>
      <c r="L34" s="781"/>
      <c r="M34" s="781"/>
      <c r="N34" s="781"/>
      <c r="O34" s="781"/>
      <c r="P34" s="781"/>
      <c r="Q34" s="781"/>
      <c r="R34" s="781"/>
      <c r="S34" s="781"/>
      <c r="T34" s="781"/>
      <c r="U34" s="781" t="n">
        <v>0.1</v>
      </c>
      <c r="V34" s="781"/>
      <c r="W34" s="781"/>
      <c r="X34" s="781"/>
      <c r="Y34" s="781"/>
      <c r="Z34" s="781"/>
      <c r="AA34" s="781"/>
      <c r="AB34" s="781"/>
      <c r="AC34" s="781"/>
      <c r="AD34" s="781"/>
      <c r="AE34" s="781"/>
      <c r="AF34" s="781"/>
      <c r="AG34" s="781"/>
      <c r="AH34" s="781"/>
      <c r="AI34" s="781" t="n">
        <v>0.2</v>
      </c>
      <c r="AJ34" s="781"/>
      <c r="AK34" s="781"/>
      <c r="AL34" s="781"/>
      <c r="AM34" s="781"/>
      <c r="AN34" s="781"/>
      <c r="AO34" s="781"/>
      <c r="AP34" s="781" t="n">
        <v>0.4</v>
      </c>
      <c r="AQ34" s="781"/>
      <c r="AR34" s="781"/>
      <c r="AS34" s="781"/>
      <c r="AT34" s="781"/>
      <c r="AU34" s="781"/>
      <c r="AV34" s="781"/>
      <c r="AW34" s="781" t="n">
        <v>0.25</v>
      </c>
      <c r="AX34" s="781"/>
      <c r="AY34" s="781"/>
      <c r="AZ34" s="781"/>
      <c r="BA34" s="781"/>
      <c r="BB34" s="781"/>
      <c r="BC34" s="781"/>
      <c r="BD34" s="781" t="n">
        <v>0.05</v>
      </c>
      <c r="BE34" s="783" t="n">
        <f aca="false">SUM(G34:BD34)</f>
        <v>1</v>
      </c>
    </row>
    <row r="35" customFormat="false" ht="16.5" hidden="true" customHeight="true" outlineLevel="0" collapsed="false">
      <c r="B35" s="779"/>
      <c r="C35" s="780"/>
      <c r="D35" s="780"/>
      <c r="E35" s="669" t="s">
        <v>114</v>
      </c>
      <c r="F35" s="673" t="n">
        <v>300000000</v>
      </c>
      <c r="G35" s="781" t="n">
        <v>0.3</v>
      </c>
      <c r="H35" s="781"/>
      <c r="I35" s="781"/>
      <c r="J35" s="781"/>
      <c r="K35" s="781"/>
      <c r="L35" s="781"/>
      <c r="M35" s="781"/>
      <c r="N35" s="781" t="n">
        <v>0.1</v>
      </c>
      <c r="O35" s="781"/>
      <c r="P35" s="781"/>
      <c r="Q35" s="781"/>
      <c r="R35" s="781"/>
      <c r="S35" s="781"/>
      <c r="T35" s="781"/>
      <c r="U35" s="781" t="n">
        <v>0.5</v>
      </c>
      <c r="V35" s="781"/>
      <c r="W35" s="781"/>
      <c r="X35" s="781"/>
      <c r="Y35" s="781"/>
      <c r="Z35" s="781"/>
      <c r="AA35" s="781"/>
      <c r="AB35" s="781"/>
      <c r="AC35" s="781"/>
      <c r="AD35" s="781"/>
      <c r="AE35" s="781"/>
      <c r="AF35" s="781"/>
      <c r="AG35" s="781"/>
      <c r="AH35" s="781"/>
      <c r="AI35" s="781"/>
      <c r="AJ35" s="781"/>
      <c r="AK35" s="781"/>
      <c r="AL35" s="781"/>
      <c r="AM35" s="781"/>
      <c r="AN35" s="781"/>
      <c r="AO35" s="781"/>
      <c r="AP35" s="781"/>
      <c r="AQ35" s="787"/>
      <c r="AR35" s="787"/>
      <c r="AS35" s="787"/>
      <c r="AT35" s="787"/>
      <c r="AU35" s="787"/>
      <c r="AV35" s="787"/>
      <c r="AW35" s="787"/>
      <c r="AX35" s="787"/>
      <c r="AY35" s="787"/>
      <c r="AZ35" s="787"/>
      <c r="BA35" s="787"/>
      <c r="BB35" s="787"/>
      <c r="BC35" s="787"/>
      <c r="BD35" s="781" t="n">
        <v>0.1</v>
      </c>
      <c r="BE35" s="783" t="n">
        <f aca="false">SUM(G35:BD35)</f>
        <v>1</v>
      </c>
    </row>
    <row r="36" customFormat="false" ht="16.5" hidden="true" customHeight="true" outlineLevel="0" collapsed="false">
      <c r="B36" s="779"/>
      <c r="C36" s="780"/>
      <c r="D36" s="780"/>
      <c r="E36" s="669" t="s">
        <v>553</v>
      </c>
      <c r="F36" s="673" t="n">
        <v>50000000</v>
      </c>
      <c r="G36" s="781" t="n">
        <v>0.3</v>
      </c>
      <c r="H36" s="781"/>
      <c r="I36" s="781"/>
      <c r="J36" s="781"/>
      <c r="K36" s="781"/>
      <c r="L36" s="781"/>
      <c r="M36" s="781"/>
      <c r="N36" s="781" t="n">
        <v>0.1</v>
      </c>
      <c r="O36" s="781"/>
      <c r="P36" s="781"/>
      <c r="Q36" s="781"/>
      <c r="R36" s="781"/>
      <c r="S36" s="781"/>
      <c r="T36" s="781"/>
      <c r="U36" s="781" t="n">
        <v>0.5</v>
      </c>
      <c r="V36" s="781"/>
      <c r="W36" s="781"/>
      <c r="X36" s="781"/>
      <c r="Y36" s="781"/>
      <c r="Z36" s="781"/>
      <c r="AA36" s="781"/>
      <c r="AB36" s="781"/>
      <c r="AC36" s="781"/>
      <c r="AD36" s="781"/>
      <c r="AE36" s="781"/>
      <c r="AF36" s="781"/>
      <c r="AG36" s="781"/>
      <c r="AH36" s="781"/>
      <c r="AI36" s="781"/>
      <c r="AJ36" s="781"/>
      <c r="AK36" s="781"/>
      <c r="AL36" s="781"/>
      <c r="AM36" s="781"/>
      <c r="AN36" s="781"/>
      <c r="AO36" s="781"/>
      <c r="AP36" s="781"/>
      <c r="AQ36" s="787"/>
      <c r="AR36" s="787"/>
      <c r="AS36" s="787"/>
      <c r="AT36" s="787"/>
      <c r="AU36" s="787"/>
      <c r="AV36" s="787"/>
      <c r="AW36" s="787"/>
      <c r="AX36" s="787"/>
      <c r="AY36" s="787"/>
      <c r="AZ36" s="787"/>
      <c r="BA36" s="787"/>
      <c r="BB36" s="787"/>
      <c r="BC36" s="787"/>
      <c r="BD36" s="781" t="n">
        <v>0.1</v>
      </c>
      <c r="BE36" s="783" t="n">
        <f aca="false">SUM(G36:BD36)</f>
        <v>1</v>
      </c>
    </row>
    <row r="37" customFormat="false" ht="17.25" hidden="true" customHeight="true" outlineLevel="0" collapsed="false">
      <c r="B37" s="779"/>
      <c r="C37" s="780"/>
      <c r="D37" s="808"/>
      <c r="E37" s="789" t="s">
        <v>554</v>
      </c>
      <c r="F37" s="790" t="n">
        <f aca="false">35000000*5</f>
        <v>175000000</v>
      </c>
      <c r="G37" s="805"/>
      <c r="H37" s="805"/>
      <c r="I37" s="805"/>
      <c r="J37" s="805"/>
      <c r="K37" s="805"/>
      <c r="L37" s="805"/>
      <c r="M37" s="805"/>
      <c r="N37" s="805"/>
      <c r="O37" s="805"/>
      <c r="P37" s="805"/>
      <c r="Q37" s="805"/>
      <c r="R37" s="805"/>
      <c r="S37" s="805"/>
      <c r="T37" s="805"/>
      <c r="U37" s="805"/>
      <c r="V37" s="805"/>
      <c r="W37" s="805"/>
      <c r="X37" s="805"/>
      <c r="Y37" s="805"/>
      <c r="Z37" s="805"/>
      <c r="AA37" s="805"/>
      <c r="AB37" s="805"/>
      <c r="AC37" s="805"/>
      <c r="AD37" s="805"/>
      <c r="AE37" s="805"/>
      <c r="AF37" s="805"/>
      <c r="AG37" s="805"/>
      <c r="AH37" s="805"/>
      <c r="AI37" s="805"/>
      <c r="AJ37" s="805"/>
      <c r="AK37" s="805"/>
      <c r="AL37" s="805"/>
      <c r="AM37" s="805"/>
      <c r="AN37" s="805"/>
      <c r="AO37" s="805"/>
      <c r="AP37" s="806"/>
      <c r="AQ37" s="807"/>
      <c r="AR37" s="807"/>
      <c r="AS37" s="807"/>
      <c r="AT37" s="807"/>
      <c r="AU37" s="807"/>
      <c r="AV37" s="807"/>
      <c r="AW37" s="807"/>
      <c r="AX37" s="807"/>
      <c r="AY37" s="807"/>
      <c r="AZ37" s="807"/>
      <c r="BA37" s="807"/>
      <c r="BB37" s="807"/>
      <c r="BC37" s="807"/>
      <c r="BD37" s="805" t="n">
        <v>1</v>
      </c>
      <c r="BE37" s="794" t="n">
        <f aca="false">SUM(G37:BD37)</f>
        <v>1</v>
      </c>
    </row>
    <row r="38" customFormat="false" ht="16.5" hidden="true" customHeight="true" outlineLevel="0" collapsed="false">
      <c r="B38" s="779" t="s">
        <v>567</v>
      </c>
      <c r="C38" s="780"/>
      <c r="D38" s="804" t="s">
        <v>566</v>
      </c>
      <c r="E38" s="669" t="s">
        <v>112</v>
      </c>
      <c r="F38" s="673" t="n">
        <v>1050000000</v>
      </c>
      <c r="G38" s="781"/>
      <c r="H38" s="781"/>
      <c r="I38" s="781"/>
      <c r="J38" s="781"/>
      <c r="K38" s="781"/>
      <c r="L38" s="781"/>
      <c r="M38" s="781"/>
      <c r="N38" s="781"/>
      <c r="O38" s="781"/>
      <c r="P38" s="781"/>
      <c r="Q38" s="781"/>
      <c r="R38" s="781"/>
      <c r="S38" s="781"/>
      <c r="T38" s="781"/>
      <c r="U38" s="781" t="n">
        <v>0.1</v>
      </c>
      <c r="V38" s="781"/>
      <c r="W38" s="781"/>
      <c r="X38" s="781"/>
      <c r="Y38" s="781"/>
      <c r="Z38" s="781"/>
      <c r="AA38" s="781"/>
      <c r="AB38" s="781"/>
      <c r="AC38" s="781"/>
      <c r="AD38" s="781"/>
      <c r="AE38" s="781"/>
      <c r="AF38" s="781"/>
      <c r="AG38" s="781"/>
      <c r="AH38" s="781"/>
      <c r="AI38" s="781" t="n">
        <v>0.2</v>
      </c>
      <c r="AJ38" s="781"/>
      <c r="AK38" s="781"/>
      <c r="AL38" s="781"/>
      <c r="AM38" s="781"/>
      <c r="AN38" s="781"/>
      <c r="AO38" s="781"/>
      <c r="AP38" s="781" t="n">
        <v>0.4</v>
      </c>
      <c r="AQ38" s="781"/>
      <c r="AR38" s="781"/>
      <c r="AS38" s="781"/>
      <c r="AT38" s="781"/>
      <c r="AU38" s="781"/>
      <c r="AV38" s="781"/>
      <c r="AW38" s="781" t="n">
        <v>0.25</v>
      </c>
      <c r="AX38" s="781"/>
      <c r="AY38" s="781"/>
      <c r="AZ38" s="781"/>
      <c r="BA38" s="781"/>
      <c r="BB38" s="781"/>
      <c r="BC38" s="781"/>
      <c r="BD38" s="781" t="n">
        <v>0.05</v>
      </c>
      <c r="BE38" s="783" t="n">
        <f aca="false">SUM(G38:BD38)</f>
        <v>1</v>
      </c>
    </row>
    <row r="39" customFormat="false" ht="16.5" hidden="true" customHeight="true" outlineLevel="0" collapsed="false">
      <c r="B39" s="779"/>
      <c r="C39" s="780"/>
      <c r="D39" s="780"/>
      <c r="E39" s="669" t="s">
        <v>114</v>
      </c>
      <c r="F39" s="673" t="n">
        <v>300000000</v>
      </c>
      <c r="G39" s="781" t="n">
        <v>0.3</v>
      </c>
      <c r="H39" s="781"/>
      <c r="I39" s="781"/>
      <c r="J39" s="781"/>
      <c r="K39" s="781"/>
      <c r="L39" s="781"/>
      <c r="M39" s="781"/>
      <c r="N39" s="781" t="n">
        <v>0.1</v>
      </c>
      <c r="O39" s="781"/>
      <c r="P39" s="781"/>
      <c r="Q39" s="781"/>
      <c r="R39" s="781"/>
      <c r="S39" s="781"/>
      <c r="T39" s="781"/>
      <c r="U39" s="781" t="n">
        <v>0.5</v>
      </c>
      <c r="V39" s="781"/>
      <c r="W39" s="781"/>
      <c r="X39" s="781"/>
      <c r="Y39" s="781"/>
      <c r="Z39" s="781"/>
      <c r="AA39" s="781"/>
      <c r="AB39" s="781"/>
      <c r="AC39" s="781"/>
      <c r="AD39" s="781"/>
      <c r="AE39" s="781"/>
      <c r="AF39" s="781"/>
      <c r="AG39" s="781"/>
      <c r="AH39" s="781"/>
      <c r="AI39" s="781"/>
      <c r="AJ39" s="781"/>
      <c r="AK39" s="781"/>
      <c r="AL39" s="781"/>
      <c r="AM39" s="781"/>
      <c r="AN39" s="781"/>
      <c r="AO39" s="781"/>
      <c r="AP39" s="781"/>
      <c r="AQ39" s="787"/>
      <c r="AR39" s="787"/>
      <c r="AS39" s="787"/>
      <c r="AT39" s="787"/>
      <c r="AU39" s="787"/>
      <c r="AV39" s="787"/>
      <c r="AW39" s="787"/>
      <c r="AX39" s="787"/>
      <c r="AY39" s="787"/>
      <c r="AZ39" s="787"/>
      <c r="BA39" s="787"/>
      <c r="BB39" s="787"/>
      <c r="BC39" s="787"/>
      <c r="BD39" s="781" t="n">
        <v>0.1</v>
      </c>
      <c r="BE39" s="783" t="n">
        <f aca="false">SUM(G39:BD39)</f>
        <v>1</v>
      </c>
    </row>
    <row r="40" customFormat="false" ht="16.5" hidden="true" customHeight="true" outlineLevel="0" collapsed="false">
      <c r="B40" s="779"/>
      <c r="C40" s="780"/>
      <c r="D40" s="780"/>
      <c r="E40" s="669" t="s">
        <v>507</v>
      </c>
      <c r="F40" s="673" t="n">
        <v>150000000</v>
      </c>
      <c r="G40" s="781" t="n">
        <v>0.3</v>
      </c>
      <c r="H40" s="781"/>
      <c r="I40" s="781"/>
      <c r="J40" s="781"/>
      <c r="K40" s="781"/>
      <c r="L40" s="781"/>
      <c r="M40" s="781"/>
      <c r="N40" s="781" t="n">
        <v>0.1</v>
      </c>
      <c r="O40" s="781"/>
      <c r="P40" s="781"/>
      <c r="Q40" s="781"/>
      <c r="R40" s="781"/>
      <c r="S40" s="781"/>
      <c r="T40" s="781"/>
      <c r="U40" s="781" t="n">
        <v>0.5</v>
      </c>
      <c r="V40" s="781"/>
      <c r="W40" s="781"/>
      <c r="X40" s="781"/>
      <c r="Y40" s="781"/>
      <c r="Z40" s="781"/>
      <c r="AA40" s="781"/>
      <c r="AB40" s="781"/>
      <c r="AC40" s="781"/>
      <c r="AD40" s="781"/>
      <c r="AE40" s="781"/>
      <c r="AF40" s="781"/>
      <c r="AG40" s="781"/>
      <c r="AH40" s="781"/>
      <c r="AI40" s="781"/>
      <c r="AJ40" s="781"/>
      <c r="AK40" s="781"/>
      <c r="AL40" s="781"/>
      <c r="AM40" s="781"/>
      <c r="AN40" s="781"/>
      <c r="AO40" s="781"/>
      <c r="AP40" s="781"/>
      <c r="AQ40" s="787"/>
      <c r="AR40" s="787"/>
      <c r="AS40" s="787"/>
      <c r="AT40" s="787"/>
      <c r="AU40" s="787"/>
      <c r="AV40" s="787"/>
      <c r="AW40" s="787"/>
      <c r="AX40" s="787"/>
      <c r="AY40" s="787"/>
      <c r="AZ40" s="787"/>
      <c r="BA40" s="787"/>
      <c r="BB40" s="787"/>
      <c r="BC40" s="787"/>
      <c r="BD40" s="781" t="n">
        <v>0.1</v>
      </c>
      <c r="BE40" s="783" t="n">
        <f aca="false">SUM(G40:BD40)</f>
        <v>1</v>
      </c>
    </row>
    <row r="41" customFormat="false" ht="17.25" hidden="true" customHeight="true" outlineLevel="0" collapsed="false">
      <c r="B41" s="779"/>
      <c r="C41" s="780"/>
      <c r="D41" s="804"/>
      <c r="E41" s="803" t="s">
        <v>508</v>
      </c>
      <c r="F41" s="790" t="n">
        <f aca="false">35000000*5</f>
        <v>175000000</v>
      </c>
      <c r="G41" s="805"/>
      <c r="H41" s="805"/>
      <c r="I41" s="805"/>
      <c r="J41" s="805"/>
      <c r="K41" s="805"/>
      <c r="L41" s="805"/>
      <c r="M41" s="805"/>
      <c r="N41" s="805"/>
      <c r="O41" s="805"/>
      <c r="P41" s="805"/>
      <c r="Q41" s="805"/>
      <c r="R41" s="805"/>
      <c r="S41" s="805"/>
      <c r="T41" s="805"/>
      <c r="U41" s="805"/>
      <c r="V41" s="805"/>
      <c r="W41" s="805"/>
      <c r="X41" s="805"/>
      <c r="Y41" s="805"/>
      <c r="Z41" s="805"/>
      <c r="AA41" s="805"/>
      <c r="AB41" s="805"/>
      <c r="AC41" s="805"/>
      <c r="AD41" s="805"/>
      <c r="AE41" s="805"/>
      <c r="AF41" s="805"/>
      <c r="AG41" s="805"/>
      <c r="AH41" s="805"/>
      <c r="AI41" s="805"/>
      <c r="AJ41" s="805"/>
      <c r="AK41" s="805"/>
      <c r="AL41" s="805"/>
      <c r="AM41" s="805"/>
      <c r="AN41" s="805"/>
      <c r="AO41" s="805"/>
      <c r="AP41" s="806"/>
      <c r="AQ41" s="807"/>
      <c r="AR41" s="807"/>
      <c r="AS41" s="807"/>
      <c r="AT41" s="807"/>
      <c r="AU41" s="807"/>
      <c r="AV41" s="807"/>
      <c r="AW41" s="807"/>
      <c r="AX41" s="807"/>
      <c r="AY41" s="807"/>
      <c r="AZ41" s="807"/>
      <c r="BA41" s="807"/>
      <c r="BB41" s="807"/>
      <c r="BC41" s="807"/>
      <c r="BD41" s="805" t="n">
        <v>1</v>
      </c>
      <c r="BE41" s="794" t="n">
        <f aca="false">SUM(G41:BD41)</f>
        <v>1</v>
      </c>
    </row>
    <row r="42" customFormat="false" ht="16.5" hidden="true" customHeight="true" outlineLevel="0" collapsed="false">
      <c r="B42" s="779" t="s">
        <v>568</v>
      </c>
      <c r="C42" s="780"/>
      <c r="D42" s="804" t="s">
        <v>566</v>
      </c>
      <c r="E42" s="669" t="s">
        <v>112</v>
      </c>
      <c r="F42" s="673" t="n">
        <v>1050000000</v>
      </c>
      <c r="G42" s="781"/>
      <c r="H42" s="781"/>
      <c r="I42" s="781"/>
      <c r="J42" s="781"/>
      <c r="K42" s="781"/>
      <c r="L42" s="781"/>
      <c r="M42" s="781"/>
      <c r="N42" s="781"/>
      <c r="O42" s="781"/>
      <c r="P42" s="781"/>
      <c r="Q42" s="781"/>
      <c r="R42" s="781"/>
      <c r="S42" s="781"/>
      <c r="T42" s="781"/>
      <c r="U42" s="781" t="n">
        <v>0.1</v>
      </c>
      <c r="V42" s="781"/>
      <c r="W42" s="781"/>
      <c r="X42" s="781"/>
      <c r="Y42" s="781"/>
      <c r="Z42" s="781"/>
      <c r="AA42" s="781"/>
      <c r="AB42" s="781"/>
      <c r="AC42" s="781"/>
      <c r="AD42" s="781"/>
      <c r="AE42" s="781"/>
      <c r="AF42" s="781"/>
      <c r="AG42" s="781"/>
      <c r="AH42" s="781"/>
      <c r="AI42" s="781" t="n">
        <v>0.2</v>
      </c>
      <c r="AJ42" s="781"/>
      <c r="AK42" s="781"/>
      <c r="AL42" s="781"/>
      <c r="AM42" s="781"/>
      <c r="AN42" s="781"/>
      <c r="AO42" s="781"/>
      <c r="AP42" s="781" t="n">
        <v>0.4</v>
      </c>
      <c r="AQ42" s="781"/>
      <c r="AR42" s="781"/>
      <c r="AS42" s="781"/>
      <c r="AT42" s="781"/>
      <c r="AU42" s="781"/>
      <c r="AV42" s="781"/>
      <c r="AW42" s="781" t="n">
        <v>0.25</v>
      </c>
      <c r="AX42" s="781"/>
      <c r="AY42" s="781"/>
      <c r="AZ42" s="781"/>
      <c r="BA42" s="781"/>
      <c r="BB42" s="781"/>
      <c r="BC42" s="781"/>
      <c r="BD42" s="781" t="n">
        <v>0.05</v>
      </c>
      <c r="BE42" s="783" t="n">
        <f aca="false">SUM(G42:BD42)</f>
        <v>1</v>
      </c>
    </row>
    <row r="43" customFormat="false" ht="16.5" hidden="true" customHeight="true" outlineLevel="0" collapsed="false">
      <c r="B43" s="779"/>
      <c r="C43" s="780"/>
      <c r="D43" s="780"/>
      <c r="E43" s="669" t="s">
        <v>114</v>
      </c>
      <c r="F43" s="673" t="n">
        <v>300000000</v>
      </c>
      <c r="G43" s="781" t="n">
        <v>0.3</v>
      </c>
      <c r="H43" s="781"/>
      <c r="I43" s="781"/>
      <c r="J43" s="781"/>
      <c r="K43" s="781"/>
      <c r="L43" s="781"/>
      <c r="M43" s="781"/>
      <c r="N43" s="781" t="n">
        <v>0.1</v>
      </c>
      <c r="O43" s="781"/>
      <c r="P43" s="781"/>
      <c r="Q43" s="781"/>
      <c r="R43" s="781"/>
      <c r="S43" s="781"/>
      <c r="T43" s="781"/>
      <c r="U43" s="781" t="n">
        <v>0.5</v>
      </c>
      <c r="V43" s="781"/>
      <c r="W43" s="781"/>
      <c r="X43" s="781"/>
      <c r="Y43" s="781"/>
      <c r="Z43" s="781"/>
      <c r="AA43" s="781"/>
      <c r="AB43" s="781"/>
      <c r="AC43" s="781"/>
      <c r="AD43" s="781"/>
      <c r="AE43" s="781"/>
      <c r="AF43" s="781"/>
      <c r="AG43" s="781"/>
      <c r="AH43" s="781"/>
      <c r="AI43" s="781"/>
      <c r="AJ43" s="781"/>
      <c r="AK43" s="781"/>
      <c r="AL43" s="781"/>
      <c r="AM43" s="781"/>
      <c r="AN43" s="781"/>
      <c r="AO43" s="781"/>
      <c r="AP43" s="781"/>
      <c r="AQ43" s="787"/>
      <c r="AR43" s="787"/>
      <c r="AS43" s="787"/>
      <c r="AT43" s="787"/>
      <c r="AU43" s="787"/>
      <c r="AV43" s="787"/>
      <c r="AW43" s="787"/>
      <c r="AX43" s="787"/>
      <c r="AY43" s="787"/>
      <c r="AZ43" s="787"/>
      <c r="BA43" s="787"/>
      <c r="BB43" s="787"/>
      <c r="BC43" s="787"/>
      <c r="BD43" s="781" t="n">
        <v>0.1</v>
      </c>
      <c r="BE43" s="783" t="n">
        <f aca="false">SUM(G43:BD43)</f>
        <v>1</v>
      </c>
    </row>
    <row r="44" customFormat="false" ht="16.5" hidden="true" customHeight="true" outlineLevel="0" collapsed="false">
      <c r="B44" s="779"/>
      <c r="C44" s="780"/>
      <c r="D44" s="780"/>
      <c r="E44" s="669" t="s">
        <v>507</v>
      </c>
      <c r="F44" s="673" t="n">
        <v>150000000</v>
      </c>
      <c r="G44" s="781" t="n">
        <v>0.3</v>
      </c>
      <c r="H44" s="781"/>
      <c r="I44" s="781"/>
      <c r="J44" s="781"/>
      <c r="K44" s="781"/>
      <c r="L44" s="781"/>
      <c r="M44" s="781"/>
      <c r="N44" s="781" t="n">
        <v>0.1</v>
      </c>
      <c r="O44" s="781"/>
      <c r="P44" s="781"/>
      <c r="Q44" s="781"/>
      <c r="R44" s="781"/>
      <c r="S44" s="781"/>
      <c r="T44" s="781"/>
      <c r="U44" s="781" t="n">
        <v>0.5</v>
      </c>
      <c r="V44" s="781"/>
      <c r="W44" s="781"/>
      <c r="X44" s="781"/>
      <c r="Y44" s="781"/>
      <c r="Z44" s="781"/>
      <c r="AA44" s="781"/>
      <c r="AB44" s="781"/>
      <c r="AC44" s="781"/>
      <c r="AD44" s="781"/>
      <c r="AE44" s="781"/>
      <c r="AF44" s="781"/>
      <c r="AG44" s="781"/>
      <c r="AH44" s="781"/>
      <c r="AI44" s="781"/>
      <c r="AJ44" s="781"/>
      <c r="AK44" s="781"/>
      <c r="AL44" s="781"/>
      <c r="AM44" s="781"/>
      <c r="AN44" s="781"/>
      <c r="AO44" s="781"/>
      <c r="AP44" s="781"/>
      <c r="AQ44" s="787"/>
      <c r="AR44" s="787"/>
      <c r="AS44" s="787"/>
      <c r="AT44" s="787"/>
      <c r="AU44" s="787"/>
      <c r="AV44" s="787"/>
      <c r="AW44" s="787"/>
      <c r="AX44" s="787"/>
      <c r="AY44" s="787"/>
      <c r="AZ44" s="787"/>
      <c r="BA44" s="787"/>
      <c r="BB44" s="787"/>
      <c r="BC44" s="787"/>
      <c r="BD44" s="781" t="n">
        <v>0.1</v>
      </c>
      <c r="BE44" s="783" t="n">
        <f aca="false">SUM(G44:BD44)</f>
        <v>1</v>
      </c>
    </row>
    <row r="45" customFormat="false" ht="17.25" hidden="true" customHeight="true" outlineLevel="0" collapsed="false">
      <c r="B45" s="779"/>
      <c r="C45" s="780"/>
      <c r="D45" s="780"/>
      <c r="E45" s="803" t="s">
        <v>508</v>
      </c>
      <c r="F45" s="790" t="n">
        <f aca="false">40000000*5</f>
        <v>200000000</v>
      </c>
      <c r="G45" s="805"/>
      <c r="H45" s="805"/>
      <c r="I45" s="805"/>
      <c r="J45" s="805"/>
      <c r="K45" s="805"/>
      <c r="L45" s="805"/>
      <c r="M45" s="805"/>
      <c r="N45" s="805"/>
      <c r="O45" s="805"/>
      <c r="P45" s="805"/>
      <c r="Q45" s="805"/>
      <c r="R45" s="805"/>
      <c r="S45" s="805"/>
      <c r="T45" s="805"/>
      <c r="U45" s="805"/>
      <c r="V45" s="805"/>
      <c r="W45" s="805"/>
      <c r="X45" s="805"/>
      <c r="Y45" s="805"/>
      <c r="Z45" s="805"/>
      <c r="AA45" s="805"/>
      <c r="AB45" s="805"/>
      <c r="AC45" s="805"/>
      <c r="AD45" s="805"/>
      <c r="AE45" s="805"/>
      <c r="AF45" s="805"/>
      <c r="AG45" s="805"/>
      <c r="AH45" s="805"/>
      <c r="AI45" s="805"/>
      <c r="AJ45" s="805"/>
      <c r="AK45" s="805"/>
      <c r="AL45" s="805"/>
      <c r="AM45" s="805"/>
      <c r="AN45" s="805"/>
      <c r="AO45" s="805"/>
      <c r="AP45" s="806"/>
      <c r="AQ45" s="807"/>
      <c r="AR45" s="807"/>
      <c r="AS45" s="807"/>
      <c r="AT45" s="807"/>
      <c r="AU45" s="807"/>
      <c r="AV45" s="807"/>
      <c r="AW45" s="807"/>
      <c r="AX45" s="807"/>
      <c r="AY45" s="807"/>
      <c r="AZ45" s="807"/>
      <c r="BA45" s="807"/>
      <c r="BB45" s="807"/>
      <c r="BC45" s="807"/>
      <c r="BD45" s="805" t="n">
        <v>1</v>
      </c>
      <c r="BE45" s="794" t="n">
        <f aca="false">SUM(G45:BD45)</f>
        <v>1</v>
      </c>
    </row>
    <row r="46" customFormat="false" ht="12.75" hidden="true" customHeight="false" outlineLevel="0" collapsed="false">
      <c r="B46" s="779" t="s">
        <v>562</v>
      </c>
      <c r="C46" s="809"/>
      <c r="D46" s="809"/>
      <c r="E46" s="669" t="s">
        <v>112</v>
      </c>
      <c r="F46" s="669"/>
      <c r="G46" s="784" t="n">
        <v>0.1</v>
      </c>
      <c r="H46" s="784"/>
      <c r="I46" s="784"/>
      <c r="J46" s="784"/>
      <c r="K46" s="784"/>
      <c r="L46" s="784"/>
      <c r="M46" s="784"/>
      <c r="N46" s="784" t="n">
        <v>0.2</v>
      </c>
      <c r="O46" s="784"/>
      <c r="P46" s="784"/>
      <c r="Q46" s="784"/>
      <c r="R46" s="784"/>
      <c r="S46" s="784"/>
      <c r="T46" s="784"/>
      <c r="U46" s="784" t="n">
        <v>0.4</v>
      </c>
      <c r="V46" s="784"/>
      <c r="W46" s="784"/>
      <c r="X46" s="784"/>
      <c r="Y46" s="784"/>
      <c r="Z46" s="784"/>
      <c r="AA46" s="784"/>
      <c r="AB46" s="784"/>
      <c r="AC46" s="784"/>
      <c r="AD46" s="784"/>
      <c r="AE46" s="784"/>
      <c r="AF46" s="784"/>
      <c r="AG46" s="784"/>
      <c r="AH46" s="784"/>
      <c r="AI46" s="784" t="n">
        <v>0.25</v>
      </c>
      <c r="AJ46" s="784"/>
      <c r="AK46" s="784"/>
      <c r="AL46" s="784"/>
      <c r="AM46" s="784"/>
      <c r="AN46" s="784"/>
      <c r="AO46" s="784"/>
      <c r="AP46" s="784" t="n">
        <v>0.05</v>
      </c>
      <c r="AQ46" s="782"/>
      <c r="AR46" s="782"/>
      <c r="AS46" s="782"/>
      <c r="AT46" s="782"/>
      <c r="AU46" s="782"/>
      <c r="AV46" s="782"/>
      <c r="AW46" s="782"/>
      <c r="AX46" s="782"/>
      <c r="AY46" s="782"/>
      <c r="AZ46" s="782"/>
      <c r="BA46" s="782"/>
      <c r="BB46" s="782"/>
      <c r="BC46" s="782"/>
      <c r="BD46" s="782"/>
      <c r="BE46" s="783" t="n">
        <f aca="false">SUM(G46:AW46)</f>
        <v>1</v>
      </c>
    </row>
    <row r="47" customFormat="false" ht="12.75" hidden="true" customHeight="false" outlineLevel="0" collapsed="false">
      <c r="B47" s="779"/>
      <c r="C47" s="810"/>
      <c r="D47" s="810"/>
      <c r="E47" s="669" t="s">
        <v>114</v>
      </c>
      <c r="F47" s="669"/>
      <c r="G47" s="784" t="n">
        <v>0.55</v>
      </c>
      <c r="H47" s="784"/>
      <c r="I47" s="784"/>
      <c r="J47" s="784"/>
      <c r="K47" s="784"/>
      <c r="L47" s="784"/>
      <c r="M47" s="784"/>
      <c r="N47" s="784" t="n">
        <v>0.15</v>
      </c>
      <c r="O47" s="784"/>
      <c r="P47" s="784"/>
      <c r="Q47" s="784"/>
      <c r="R47" s="784"/>
      <c r="S47" s="784"/>
      <c r="T47" s="784"/>
      <c r="U47" s="784" t="n">
        <v>0.3</v>
      </c>
      <c r="V47" s="784"/>
      <c r="W47" s="784"/>
      <c r="X47" s="784"/>
      <c r="Y47" s="784"/>
      <c r="Z47" s="784"/>
      <c r="AA47" s="784"/>
      <c r="AB47" s="784"/>
      <c r="AC47" s="784"/>
      <c r="AD47" s="784"/>
      <c r="AE47" s="784"/>
      <c r="AF47" s="784"/>
      <c r="AG47" s="784"/>
      <c r="AH47" s="784"/>
      <c r="AI47" s="45"/>
      <c r="AJ47" s="45"/>
      <c r="AK47" s="45"/>
      <c r="AL47" s="45"/>
      <c r="AM47" s="45"/>
      <c r="AN47" s="45"/>
      <c r="AO47" s="45"/>
      <c r="AP47" s="45"/>
      <c r="AQ47" s="785"/>
      <c r="AR47" s="785"/>
      <c r="AS47" s="785"/>
      <c r="AT47" s="785"/>
      <c r="AU47" s="785"/>
      <c r="AV47" s="785"/>
      <c r="AW47" s="785"/>
      <c r="AX47" s="785"/>
      <c r="AY47" s="785"/>
      <c r="AZ47" s="785"/>
      <c r="BA47" s="785"/>
      <c r="BB47" s="785"/>
      <c r="BC47" s="785"/>
      <c r="BD47" s="785"/>
      <c r="BE47" s="783" t="n">
        <f aca="false">SUM(G47:AW47)</f>
        <v>1</v>
      </c>
    </row>
    <row r="48" customFormat="false" ht="12.75" hidden="true" customHeight="false" outlineLevel="0" collapsed="false">
      <c r="B48" s="779"/>
      <c r="C48" s="810"/>
      <c r="D48" s="810"/>
      <c r="E48" s="669" t="s">
        <v>404</v>
      </c>
      <c r="F48" s="669"/>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785"/>
      <c r="AR48" s="785"/>
      <c r="AS48" s="785"/>
      <c r="AT48" s="785"/>
      <c r="AU48" s="785"/>
      <c r="AV48" s="785"/>
      <c r="AW48" s="785"/>
      <c r="AX48" s="785"/>
      <c r="AY48" s="785"/>
      <c r="AZ48" s="785"/>
      <c r="BA48" s="785"/>
      <c r="BB48" s="785"/>
      <c r="BC48" s="785"/>
      <c r="BD48" s="785"/>
      <c r="BE48" s="783" t="n">
        <f aca="false">SUM(G48:AW48)</f>
        <v>0</v>
      </c>
    </row>
    <row r="49" customFormat="false" ht="12.75" hidden="true" customHeight="false" outlineLevel="0" collapsed="false">
      <c r="B49" s="779"/>
      <c r="C49" s="810"/>
      <c r="D49" s="810"/>
      <c r="E49" s="669" t="s">
        <v>507</v>
      </c>
      <c r="F49" s="669"/>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785"/>
      <c r="AR49" s="785"/>
      <c r="AS49" s="785"/>
      <c r="AT49" s="785"/>
      <c r="AU49" s="785"/>
      <c r="AV49" s="785"/>
      <c r="AW49" s="785"/>
      <c r="AX49" s="785"/>
      <c r="AY49" s="785"/>
      <c r="AZ49" s="785"/>
      <c r="BA49" s="785"/>
      <c r="BB49" s="785"/>
      <c r="BC49" s="785"/>
      <c r="BD49" s="785"/>
      <c r="BE49" s="783" t="n">
        <f aca="false">SUM(G49:AW49)</f>
        <v>0</v>
      </c>
    </row>
    <row r="50" customFormat="false" ht="12.75" hidden="true" customHeight="false" outlineLevel="0" collapsed="false">
      <c r="B50" s="779"/>
      <c r="C50" s="811"/>
      <c r="D50" s="811"/>
      <c r="E50" s="803" t="s">
        <v>508</v>
      </c>
      <c r="F50" s="803"/>
      <c r="G50" s="791" t="n">
        <v>1</v>
      </c>
      <c r="H50" s="791"/>
      <c r="I50" s="791"/>
      <c r="J50" s="791"/>
      <c r="K50" s="791"/>
      <c r="L50" s="791"/>
      <c r="M50" s="791"/>
      <c r="N50" s="791"/>
      <c r="O50" s="791"/>
      <c r="P50" s="791"/>
      <c r="Q50" s="791"/>
      <c r="R50" s="791"/>
      <c r="S50" s="791"/>
      <c r="T50" s="791"/>
      <c r="U50" s="791"/>
      <c r="V50" s="791"/>
      <c r="W50" s="791"/>
      <c r="X50" s="791"/>
      <c r="Y50" s="791"/>
      <c r="Z50" s="791"/>
      <c r="AA50" s="791"/>
      <c r="AB50" s="791"/>
      <c r="AC50" s="791"/>
      <c r="AD50" s="791"/>
      <c r="AE50" s="791"/>
      <c r="AF50" s="791"/>
      <c r="AG50" s="791"/>
      <c r="AH50" s="791"/>
      <c r="AI50" s="791"/>
      <c r="AJ50" s="791"/>
      <c r="AK50" s="791"/>
      <c r="AL50" s="791"/>
      <c r="AM50" s="791"/>
      <c r="AN50" s="791"/>
      <c r="AO50" s="791"/>
      <c r="AP50" s="792"/>
      <c r="AQ50" s="793"/>
      <c r="AR50" s="793"/>
      <c r="AS50" s="793"/>
      <c r="AT50" s="793"/>
      <c r="AU50" s="793"/>
      <c r="AV50" s="793"/>
      <c r="AW50" s="793"/>
      <c r="AX50" s="793"/>
      <c r="AY50" s="793"/>
      <c r="AZ50" s="793"/>
      <c r="BA50" s="793"/>
      <c r="BB50" s="793"/>
      <c r="BC50" s="793"/>
      <c r="BD50" s="793"/>
      <c r="BE50" s="794" t="n">
        <f aca="false">SUM(G50:AW50)</f>
        <v>1</v>
      </c>
    </row>
    <row r="51" customFormat="false" ht="17.25" hidden="false" customHeight="true" outlineLevel="0" collapsed="false">
      <c r="BG51" s="812" t="s">
        <v>48</v>
      </c>
      <c r="BH51" s="812" t="s">
        <v>569</v>
      </c>
      <c r="BI51" s="812" t="s">
        <v>570</v>
      </c>
      <c r="BJ51" s="813" t="s">
        <v>571</v>
      </c>
      <c r="BK51" s="813" t="s">
        <v>572</v>
      </c>
    </row>
    <row r="52" customFormat="false" ht="14.9" hidden="false" customHeight="false" outlineLevel="0" collapsed="false">
      <c r="B52" s="773" t="s">
        <v>48</v>
      </c>
      <c r="C52" s="773"/>
      <c r="D52" s="773"/>
      <c r="E52" s="773"/>
      <c r="F52" s="774" t="s">
        <v>537</v>
      </c>
      <c r="G52" s="775" t="s">
        <v>538</v>
      </c>
      <c r="H52" s="774"/>
      <c r="I52" s="774"/>
      <c r="J52" s="774"/>
      <c r="K52" s="774"/>
      <c r="L52" s="774"/>
      <c r="M52" s="774"/>
      <c r="N52" s="775" t="s">
        <v>539</v>
      </c>
      <c r="O52" s="774"/>
      <c r="P52" s="774"/>
      <c r="Q52" s="774"/>
      <c r="R52" s="774"/>
      <c r="S52" s="774"/>
      <c r="T52" s="774"/>
      <c r="U52" s="775" t="s">
        <v>573</v>
      </c>
      <c r="V52" s="774"/>
      <c r="W52" s="774"/>
      <c r="X52" s="774"/>
      <c r="Y52" s="774"/>
      <c r="Z52" s="774"/>
      <c r="AA52" s="774"/>
      <c r="AB52" s="775" t="s">
        <v>541</v>
      </c>
      <c r="AC52" s="774"/>
      <c r="AD52" s="774"/>
      <c r="AE52" s="774"/>
      <c r="AF52" s="774"/>
      <c r="AG52" s="774"/>
      <c r="AH52" s="774"/>
      <c r="AI52" s="775" t="s">
        <v>542</v>
      </c>
      <c r="AJ52" s="776"/>
      <c r="AK52" s="776"/>
      <c r="AL52" s="776"/>
      <c r="AM52" s="776"/>
      <c r="AN52" s="776"/>
      <c r="AO52" s="776"/>
      <c r="AP52" s="777" t="s">
        <v>543</v>
      </c>
      <c r="AQ52" s="776"/>
      <c r="AR52" s="776"/>
      <c r="AS52" s="776"/>
      <c r="AT52" s="776"/>
      <c r="AU52" s="776"/>
      <c r="AV52" s="776"/>
      <c r="AW52" s="777" t="s">
        <v>544</v>
      </c>
      <c r="AX52" s="777" t="s">
        <v>545</v>
      </c>
      <c r="AY52" s="777" t="s">
        <v>546</v>
      </c>
      <c r="AZ52" s="777" t="s">
        <v>547</v>
      </c>
      <c r="BA52" s="777" t="s">
        <v>548</v>
      </c>
      <c r="BB52" s="777" t="s">
        <v>549</v>
      </c>
      <c r="BC52" s="777" t="s">
        <v>550</v>
      </c>
      <c r="BD52" s="777" t="s">
        <v>574</v>
      </c>
      <c r="BE52" s="778" t="s">
        <v>58</v>
      </c>
      <c r="BG52" s="812"/>
      <c r="BH52" s="812"/>
      <c r="BI52" s="814" t="n">
        <v>40000000</v>
      </c>
      <c r="BJ52" s="814" t="n">
        <v>1100000000</v>
      </c>
      <c r="BK52" s="813"/>
    </row>
    <row r="53" customFormat="false" ht="12.75" hidden="false" customHeight="false" outlineLevel="0" collapsed="false">
      <c r="B53" s="815" t="s">
        <v>575</v>
      </c>
      <c r="C53" s="780" t="s">
        <v>576</v>
      </c>
      <c r="D53" s="808" t="s">
        <v>566</v>
      </c>
      <c r="E53" s="669" t="s">
        <v>112</v>
      </c>
      <c r="F53" s="673" t="n">
        <v>1100000000</v>
      </c>
      <c r="G53" s="781"/>
      <c r="H53" s="781"/>
      <c r="I53" s="781"/>
      <c r="J53" s="781"/>
      <c r="K53" s="781"/>
      <c r="L53" s="781"/>
      <c r="M53" s="781"/>
      <c r="N53" s="781"/>
      <c r="O53" s="781"/>
      <c r="P53" s="781"/>
      <c r="Q53" s="781"/>
      <c r="R53" s="781"/>
      <c r="S53" s="781"/>
      <c r="T53" s="781"/>
      <c r="U53" s="781" t="n">
        <v>0.5</v>
      </c>
      <c r="V53" s="781"/>
      <c r="W53" s="781"/>
      <c r="X53" s="781"/>
      <c r="Y53" s="781"/>
      <c r="Z53" s="781"/>
      <c r="AA53" s="781"/>
      <c r="AB53" s="781"/>
      <c r="AC53" s="781"/>
      <c r="AD53" s="781"/>
      <c r="AE53" s="781"/>
      <c r="AF53" s="781"/>
      <c r="AG53" s="781"/>
      <c r="AH53" s="781"/>
      <c r="AI53" s="781"/>
      <c r="AJ53" s="781"/>
      <c r="AK53" s="781"/>
      <c r="AL53" s="781"/>
      <c r="AM53" s="781"/>
      <c r="AN53" s="781"/>
      <c r="AO53" s="781"/>
      <c r="AP53" s="781"/>
      <c r="AQ53" s="781"/>
      <c r="AR53" s="781"/>
      <c r="AS53" s="781"/>
      <c r="AT53" s="781"/>
      <c r="AU53" s="781"/>
      <c r="AV53" s="781"/>
      <c r="AW53" s="781"/>
      <c r="AX53" s="781"/>
      <c r="AY53" s="781"/>
      <c r="AZ53" s="781"/>
      <c r="BA53" s="781"/>
      <c r="BB53" s="781"/>
      <c r="BC53" s="781"/>
      <c r="BD53" s="781" t="n">
        <v>0.5</v>
      </c>
      <c r="BE53" s="783" t="n">
        <f aca="false">SUM(G53:BD53)</f>
        <v>1</v>
      </c>
      <c r="BG53" s="124" t="s">
        <v>577</v>
      </c>
      <c r="BH53" s="124" t="n">
        <v>362.88</v>
      </c>
      <c r="BI53" s="138" t="n">
        <f aca="false">+ROUND($BI$52*(BH53/$BH$57),)</f>
        <v>9404082</v>
      </c>
      <c r="BJ53" s="138" t="n">
        <f aca="false">+$BJ$52*BH53/1000+BI53</f>
        <v>408572082</v>
      </c>
      <c r="BK53" s="138" t="n">
        <f aca="false">+BJ53/BH53*1000</f>
        <v>1125915128.96825</v>
      </c>
    </row>
    <row r="54" customFormat="false" ht="12.75" hidden="false" customHeight="false" outlineLevel="0" collapsed="false">
      <c r="B54" s="815"/>
      <c r="C54" s="780"/>
      <c r="D54" s="780"/>
      <c r="E54" s="669" t="s">
        <v>114</v>
      </c>
      <c r="F54" s="673" t="n">
        <v>400000000</v>
      </c>
      <c r="G54" s="781" t="n">
        <v>0.7</v>
      </c>
      <c r="H54" s="781"/>
      <c r="I54" s="781"/>
      <c r="J54" s="781"/>
      <c r="K54" s="781"/>
      <c r="L54" s="781"/>
      <c r="M54" s="781"/>
      <c r="N54" s="781" t="n">
        <v>0.2</v>
      </c>
      <c r="O54" s="781"/>
      <c r="P54" s="781"/>
      <c r="Q54" s="781"/>
      <c r="R54" s="781"/>
      <c r="S54" s="781"/>
      <c r="T54" s="781"/>
      <c r="U54" s="781"/>
      <c r="V54" s="781"/>
      <c r="W54" s="781"/>
      <c r="X54" s="781"/>
      <c r="Y54" s="781"/>
      <c r="Z54" s="781"/>
      <c r="AA54" s="781"/>
      <c r="AB54" s="781"/>
      <c r="AC54" s="781"/>
      <c r="AD54" s="781"/>
      <c r="AE54" s="781"/>
      <c r="AF54" s="781"/>
      <c r="AG54" s="781"/>
      <c r="AH54" s="781"/>
      <c r="AI54" s="781"/>
      <c r="AJ54" s="781"/>
      <c r="AK54" s="781"/>
      <c r="AL54" s="781"/>
      <c r="AM54" s="781"/>
      <c r="AN54" s="781"/>
      <c r="AO54" s="781"/>
      <c r="AP54" s="781"/>
      <c r="AQ54" s="787"/>
      <c r="AR54" s="787"/>
      <c r="AS54" s="787"/>
      <c r="AT54" s="787"/>
      <c r="AU54" s="787"/>
      <c r="AV54" s="787"/>
      <c r="AW54" s="787"/>
      <c r="AX54" s="787"/>
      <c r="AY54" s="787"/>
      <c r="AZ54" s="787"/>
      <c r="BA54" s="787"/>
      <c r="BB54" s="787"/>
      <c r="BC54" s="787"/>
      <c r="BD54" s="781" t="n">
        <v>0.1</v>
      </c>
      <c r="BE54" s="783" t="n">
        <f aca="false">SUM(G54:BD54)</f>
        <v>1</v>
      </c>
      <c r="BG54" s="124" t="s">
        <v>578</v>
      </c>
      <c r="BH54" s="124" t="n">
        <v>141.12</v>
      </c>
      <c r="BI54" s="138" t="n">
        <f aca="false">+ROUND($BI$52*(BH54/$BH$57),)</f>
        <v>3657143</v>
      </c>
      <c r="BJ54" s="138" t="n">
        <f aca="false">+$BJ$52*BH54/1000+BI54</f>
        <v>158889143</v>
      </c>
      <c r="BK54" s="138" t="n">
        <f aca="false">+BJ54/BH54*1000</f>
        <v>1125915128.96825</v>
      </c>
    </row>
    <row r="55" customFormat="false" ht="12.75" hidden="false" customHeight="false" outlineLevel="0" collapsed="false">
      <c r="B55" s="815"/>
      <c r="C55" s="780"/>
      <c r="D55" s="780"/>
      <c r="E55" s="656" t="s">
        <v>404</v>
      </c>
      <c r="F55" s="656"/>
      <c r="G55" s="781"/>
      <c r="H55" s="781"/>
      <c r="I55" s="781"/>
      <c r="J55" s="781"/>
      <c r="K55" s="781"/>
      <c r="L55" s="781"/>
      <c r="M55" s="781"/>
      <c r="N55" s="781"/>
      <c r="O55" s="781"/>
      <c r="P55" s="781"/>
      <c r="Q55" s="781"/>
      <c r="R55" s="781"/>
      <c r="S55" s="781"/>
      <c r="T55" s="781"/>
      <c r="U55" s="781"/>
      <c r="V55" s="781"/>
      <c r="W55" s="781"/>
      <c r="X55" s="781"/>
      <c r="Y55" s="781"/>
      <c r="Z55" s="781"/>
      <c r="AA55" s="781"/>
      <c r="AB55" s="781"/>
      <c r="AC55" s="781"/>
      <c r="AD55" s="781"/>
      <c r="AE55" s="781"/>
      <c r="AF55" s="781"/>
      <c r="AG55" s="781"/>
      <c r="AH55" s="781"/>
      <c r="AI55" s="781"/>
      <c r="AJ55" s="781"/>
      <c r="AK55" s="781"/>
      <c r="AL55" s="781"/>
      <c r="AM55" s="781"/>
      <c r="AN55" s="781"/>
      <c r="AO55" s="781"/>
      <c r="AP55" s="781"/>
      <c r="AQ55" s="787"/>
      <c r="AR55" s="787"/>
      <c r="AS55" s="787"/>
      <c r="AT55" s="787"/>
      <c r="AU55" s="787"/>
      <c r="AV55" s="787"/>
      <c r="AW55" s="787"/>
      <c r="AX55" s="787"/>
      <c r="AY55" s="787"/>
      <c r="AZ55" s="787"/>
      <c r="BA55" s="787"/>
      <c r="BB55" s="787"/>
      <c r="BC55" s="787"/>
      <c r="BD55" s="781"/>
      <c r="BE55" s="783"/>
      <c r="BG55" s="124" t="s">
        <v>579</v>
      </c>
      <c r="BH55" s="124" t="n">
        <v>790.65</v>
      </c>
      <c r="BI55" s="138" t="n">
        <f aca="false">+ROUND($BI$52*(BH55/$BH$57),)-1</f>
        <v>20489795</v>
      </c>
      <c r="BJ55" s="138" t="n">
        <f aca="false">+$BJ$52*BH55/1000+BI55</f>
        <v>890204795</v>
      </c>
      <c r="BK55" s="138" t="n">
        <f aca="false">+BJ55/BH55*1000</f>
        <v>1125915126.79441</v>
      </c>
    </row>
    <row r="56" customFormat="false" ht="12.75" hidden="false" customHeight="false" outlineLevel="0" collapsed="false">
      <c r="B56" s="815"/>
      <c r="C56" s="780"/>
      <c r="D56" s="780"/>
      <c r="E56" s="669" t="s">
        <v>553</v>
      </c>
      <c r="F56" s="669"/>
      <c r="G56" s="781"/>
      <c r="H56" s="781"/>
      <c r="I56" s="781"/>
      <c r="J56" s="781"/>
      <c r="K56" s="781"/>
      <c r="L56" s="781"/>
      <c r="M56" s="781"/>
      <c r="N56" s="781"/>
      <c r="O56" s="781"/>
      <c r="P56" s="781"/>
      <c r="Q56" s="781"/>
      <c r="R56" s="781"/>
      <c r="S56" s="781"/>
      <c r="T56" s="781"/>
      <c r="U56" s="781"/>
      <c r="V56" s="781"/>
      <c r="W56" s="781"/>
      <c r="X56" s="781"/>
      <c r="Y56" s="781"/>
      <c r="Z56" s="781"/>
      <c r="AA56" s="781"/>
      <c r="AB56" s="781"/>
      <c r="AC56" s="781"/>
      <c r="AD56" s="781"/>
      <c r="AE56" s="781"/>
      <c r="AF56" s="781"/>
      <c r="AG56" s="781"/>
      <c r="AH56" s="781"/>
      <c r="AI56" s="781"/>
      <c r="AJ56" s="781"/>
      <c r="AK56" s="781"/>
      <c r="AL56" s="781"/>
      <c r="AM56" s="781"/>
      <c r="AN56" s="781"/>
      <c r="AO56" s="781"/>
      <c r="AP56" s="781"/>
      <c r="AQ56" s="787"/>
      <c r="AR56" s="787"/>
      <c r="AS56" s="787"/>
      <c r="AT56" s="787"/>
      <c r="AU56" s="787"/>
      <c r="AV56" s="787"/>
      <c r="AW56" s="787"/>
      <c r="AX56" s="787"/>
      <c r="AY56" s="787"/>
      <c r="AZ56" s="787"/>
      <c r="BA56" s="787"/>
      <c r="BB56" s="787"/>
      <c r="BC56" s="787"/>
      <c r="BD56" s="781"/>
      <c r="BE56" s="783" t="n">
        <f aca="false">SUM(G56:BD56)</f>
        <v>0</v>
      </c>
      <c r="BG56" s="124" t="s">
        <v>580</v>
      </c>
      <c r="BH56" s="124" t="n">
        <v>248.85</v>
      </c>
      <c r="BI56" s="138" t="n">
        <f aca="false">+ROUND($BI$52*(BH56/$BH$57),)</f>
        <v>6448980</v>
      </c>
      <c r="BJ56" s="138" t="n">
        <f aca="false">+$BJ$52*BH56/1000+BI56</f>
        <v>280183980</v>
      </c>
      <c r="BK56" s="138" t="n">
        <f aca="false">+BJ56/BH56*1000</f>
        <v>1125915129.59614</v>
      </c>
    </row>
    <row r="57" customFormat="false" ht="13.4" hidden="false" customHeight="false" outlineLevel="0" collapsed="false">
      <c r="B57" s="815"/>
      <c r="C57" s="780"/>
      <c r="D57" s="780"/>
      <c r="E57" s="789" t="s">
        <v>554</v>
      </c>
      <c r="F57" s="790" t="n">
        <f aca="false">30000000*90%*5</f>
        <v>135000000</v>
      </c>
      <c r="G57" s="805"/>
      <c r="H57" s="805"/>
      <c r="I57" s="805"/>
      <c r="J57" s="805"/>
      <c r="K57" s="805"/>
      <c r="L57" s="805"/>
      <c r="M57" s="805"/>
      <c r="N57" s="805"/>
      <c r="O57" s="805"/>
      <c r="P57" s="805"/>
      <c r="Q57" s="805"/>
      <c r="R57" s="805"/>
      <c r="S57" s="805"/>
      <c r="T57" s="805"/>
      <c r="U57" s="805"/>
      <c r="V57" s="805"/>
      <c r="W57" s="805"/>
      <c r="X57" s="805"/>
      <c r="Y57" s="805"/>
      <c r="Z57" s="805"/>
      <c r="AA57" s="805"/>
      <c r="AB57" s="805"/>
      <c r="AC57" s="805"/>
      <c r="AD57" s="805"/>
      <c r="AE57" s="805"/>
      <c r="AF57" s="805"/>
      <c r="AG57" s="805"/>
      <c r="AH57" s="805"/>
      <c r="AI57" s="805"/>
      <c r="AJ57" s="805"/>
      <c r="AK57" s="805"/>
      <c r="AL57" s="805"/>
      <c r="AM57" s="805"/>
      <c r="AN57" s="805"/>
      <c r="AO57" s="805"/>
      <c r="AP57" s="806"/>
      <c r="AQ57" s="807"/>
      <c r="AR57" s="807"/>
      <c r="AS57" s="807"/>
      <c r="AT57" s="807"/>
      <c r="AU57" s="807"/>
      <c r="AV57" s="807"/>
      <c r="AW57" s="807"/>
      <c r="AX57" s="807"/>
      <c r="AY57" s="807"/>
      <c r="AZ57" s="807"/>
      <c r="BA57" s="807"/>
      <c r="BB57" s="807"/>
      <c r="BC57" s="807"/>
      <c r="BD57" s="805" t="n">
        <v>1</v>
      </c>
      <c r="BE57" s="794" t="n">
        <f aca="false">SUM(G57:BD57)</f>
        <v>1</v>
      </c>
      <c r="BG57" s="124" t="s">
        <v>109</v>
      </c>
      <c r="BH57" s="124" t="n">
        <f aca="false">+SUM(BH53:BH56)</f>
        <v>1543.5</v>
      </c>
      <c r="BI57" s="138" t="n">
        <f aca="false">+SUM(BI53:BI56)</f>
        <v>40000000</v>
      </c>
      <c r="BJ57" s="138" t="n">
        <f aca="false">+SUM(BJ53:BJ56)</f>
        <v>1737850000</v>
      </c>
      <c r="BK57" s="138"/>
    </row>
    <row r="59" s="40" customFormat="true" ht="14.9" hidden="false" customHeight="false" outlineLevel="0" collapsed="false">
      <c r="B59" s="773" t="s">
        <v>48</v>
      </c>
      <c r="C59" s="773"/>
      <c r="D59" s="773"/>
      <c r="E59" s="773"/>
      <c r="F59" s="774" t="s">
        <v>537</v>
      </c>
      <c r="G59" s="775" t="s">
        <v>538</v>
      </c>
      <c r="H59" s="774"/>
      <c r="I59" s="774"/>
      <c r="J59" s="774"/>
      <c r="K59" s="774"/>
      <c r="L59" s="774"/>
      <c r="M59" s="774"/>
      <c r="N59" s="775" t="s">
        <v>539</v>
      </c>
      <c r="O59" s="774"/>
      <c r="P59" s="774"/>
      <c r="Q59" s="774"/>
      <c r="R59" s="774"/>
      <c r="S59" s="774"/>
      <c r="T59" s="774"/>
      <c r="U59" s="775" t="s">
        <v>540</v>
      </c>
      <c r="V59" s="774"/>
      <c r="W59" s="774"/>
      <c r="X59" s="774"/>
      <c r="Y59" s="774"/>
      <c r="Z59" s="774"/>
      <c r="AA59" s="774"/>
      <c r="AB59" s="775" t="s">
        <v>541</v>
      </c>
      <c r="AC59" s="774"/>
      <c r="AD59" s="774"/>
      <c r="AE59" s="774"/>
      <c r="AF59" s="774"/>
      <c r="AG59" s="774"/>
      <c r="AH59" s="774"/>
      <c r="AI59" s="775" t="s">
        <v>542</v>
      </c>
      <c r="AJ59" s="776"/>
      <c r="AK59" s="776"/>
      <c r="AL59" s="776"/>
      <c r="AM59" s="776"/>
      <c r="AN59" s="776"/>
      <c r="AO59" s="776"/>
      <c r="AP59" s="777" t="s">
        <v>543</v>
      </c>
      <c r="AQ59" s="776"/>
      <c r="AR59" s="776"/>
      <c r="AS59" s="776"/>
      <c r="AT59" s="776"/>
      <c r="AU59" s="776"/>
      <c r="AV59" s="776"/>
      <c r="AW59" s="777" t="s">
        <v>544</v>
      </c>
      <c r="AX59" s="777" t="s">
        <v>545</v>
      </c>
      <c r="AY59" s="777" t="s">
        <v>546</v>
      </c>
      <c r="AZ59" s="777" t="s">
        <v>547</v>
      </c>
      <c r="BA59" s="777" t="s">
        <v>548</v>
      </c>
      <c r="BB59" s="777" t="s">
        <v>549</v>
      </c>
      <c r="BC59" s="777" t="s">
        <v>550</v>
      </c>
      <c r="BD59" s="777" t="s">
        <v>545</v>
      </c>
      <c r="BE59" s="778" t="s">
        <v>58</v>
      </c>
      <c r="BG59" s="767" t="s">
        <v>581</v>
      </c>
      <c r="BH59" s="716" t="n">
        <f aca="false">+BJ57*1.1</f>
        <v>1911635000</v>
      </c>
      <c r="BI59" s="716"/>
      <c r="BN59" s="107"/>
      <c r="BO59" s="107"/>
      <c r="BP59" s="107"/>
      <c r="BQ59" s="107"/>
    </row>
    <row r="60" s="40" customFormat="true" ht="14.9" hidden="false" customHeight="false" outlineLevel="0" collapsed="false">
      <c r="B60" s="779" t="s">
        <v>551</v>
      </c>
      <c r="C60" s="780" t="s">
        <v>255</v>
      </c>
      <c r="D60" s="816" t="s">
        <v>582</v>
      </c>
      <c r="E60" s="669" t="s">
        <v>112</v>
      </c>
      <c r="F60" s="673" t="n">
        <v>1050000000</v>
      </c>
      <c r="G60" s="781"/>
      <c r="H60" s="781"/>
      <c r="I60" s="781"/>
      <c r="J60" s="781"/>
      <c r="K60" s="781"/>
      <c r="L60" s="781"/>
      <c r="M60" s="781"/>
      <c r="N60" s="781"/>
      <c r="O60" s="781"/>
      <c r="P60" s="781"/>
      <c r="Q60" s="781"/>
      <c r="R60" s="781"/>
      <c r="S60" s="781"/>
      <c r="T60" s="781"/>
      <c r="U60" s="781" t="n">
        <v>0.2</v>
      </c>
      <c r="V60" s="781"/>
      <c r="W60" s="781"/>
      <c r="X60" s="781"/>
      <c r="Y60" s="781"/>
      <c r="Z60" s="781"/>
      <c r="AA60" s="781"/>
      <c r="AB60" s="781"/>
      <c r="AC60" s="781"/>
      <c r="AD60" s="781"/>
      <c r="AE60" s="781"/>
      <c r="AF60" s="781"/>
      <c r="AG60" s="781"/>
      <c r="AH60" s="781"/>
      <c r="AI60" s="781" t="n">
        <v>0.5</v>
      </c>
      <c r="AJ60" s="781"/>
      <c r="AK60" s="781"/>
      <c r="AL60" s="781"/>
      <c r="AM60" s="781"/>
      <c r="AN60" s="781"/>
      <c r="AO60" s="781"/>
      <c r="AP60" s="781"/>
      <c r="AQ60" s="782"/>
      <c r="AR60" s="782"/>
      <c r="AS60" s="782"/>
      <c r="AT60" s="782"/>
      <c r="AU60" s="782"/>
      <c r="AV60" s="782"/>
      <c r="AW60" s="781" t="n">
        <v>0.25</v>
      </c>
      <c r="AX60" s="782"/>
      <c r="AY60" s="782"/>
      <c r="AZ60" s="782"/>
      <c r="BA60" s="782"/>
      <c r="BB60" s="782"/>
      <c r="BC60" s="782"/>
      <c r="BD60" s="781" t="n">
        <v>0.05</v>
      </c>
      <c r="BE60" s="783" t="n">
        <f aca="false">SUM(G60:BD60)</f>
        <v>1</v>
      </c>
      <c r="BG60" s="767" t="s">
        <v>583</v>
      </c>
      <c r="BH60" s="716" t="n">
        <v>8382528</v>
      </c>
      <c r="BN60" s="107"/>
      <c r="BO60" s="107"/>
      <c r="BP60" s="107"/>
      <c r="BQ60" s="107"/>
    </row>
    <row r="61" s="40" customFormat="true" ht="12.75" hidden="false" customHeight="false" outlineLevel="0" collapsed="false">
      <c r="B61" s="779"/>
      <c r="C61" s="780"/>
      <c r="D61" s="780"/>
      <c r="E61" s="669" t="s">
        <v>114</v>
      </c>
      <c r="F61" s="673" t="n">
        <v>550000000</v>
      </c>
      <c r="G61" s="781" t="n">
        <v>0.55</v>
      </c>
      <c r="H61" s="781"/>
      <c r="I61" s="781"/>
      <c r="J61" s="781"/>
      <c r="K61" s="781"/>
      <c r="L61" s="781"/>
      <c r="M61" s="781"/>
      <c r="N61" s="781" t="n">
        <v>0.15</v>
      </c>
      <c r="O61" s="781"/>
      <c r="P61" s="781"/>
      <c r="Q61" s="781"/>
      <c r="R61" s="781"/>
      <c r="S61" s="781"/>
      <c r="T61" s="781"/>
      <c r="U61" s="781"/>
      <c r="V61" s="784"/>
      <c r="W61" s="784"/>
      <c r="X61" s="784"/>
      <c r="Y61" s="784"/>
      <c r="Z61" s="784"/>
      <c r="AA61" s="784"/>
      <c r="AB61" s="784"/>
      <c r="AC61" s="784"/>
      <c r="AD61" s="784"/>
      <c r="AE61" s="784"/>
      <c r="AF61" s="784"/>
      <c r="AG61" s="784"/>
      <c r="AH61" s="784"/>
      <c r="AI61" s="784"/>
      <c r="AJ61" s="45"/>
      <c r="AK61" s="45"/>
      <c r="AL61" s="45"/>
      <c r="AM61" s="45"/>
      <c r="AN61" s="45"/>
      <c r="AO61" s="45"/>
      <c r="AP61" s="45"/>
      <c r="AQ61" s="785"/>
      <c r="AR61" s="785"/>
      <c r="AS61" s="785"/>
      <c r="AT61" s="785"/>
      <c r="AU61" s="785"/>
      <c r="AV61" s="785"/>
      <c r="AW61" s="785"/>
      <c r="AX61" s="785"/>
      <c r="AY61" s="785"/>
      <c r="AZ61" s="785"/>
      <c r="BA61" s="785"/>
      <c r="BB61" s="785"/>
      <c r="BC61" s="785"/>
      <c r="BD61" s="781" t="n">
        <v>0.3</v>
      </c>
      <c r="BE61" s="783" t="n">
        <f aca="false">SUM(G61:BD61)</f>
        <v>1</v>
      </c>
      <c r="BG61" s="40" t="s">
        <v>58</v>
      </c>
      <c r="BH61" s="714" t="n">
        <f aca="false">+BH59+BH60</f>
        <v>1920017528</v>
      </c>
      <c r="BN61" s="107"/>
      <c r="BO61" s="107"/>
      <c r="BP61" s="107"/>
      <c r="BQ61" s="107"/>
    </row>
    <row r="62" s="40" customFormat="true" ht="13.4" hidden="false" customHeight="false" outlineLevel="0" collapsed="false">
      <c r="B62" s="779"/>
      <c r="C62" s="780"/>
      <c r="D62" s="780"/>
      <c r="E62" s="786" t="s">
        <v>552</v>
      </c>
      <c r="F62" s="673"/>
      <c r="G62" s="781"/>
      <c r="H62" s="781"/>
      <c r="I62" s="781"/>
      <c r="J62" s="781"/>
      <c r="K62" s="781"/>
      <c r="L62" s="781"/>
      <c r="M62" s="781"/>
      <c r="N62" s="781"/>
      <c r="O62" s="781"/>
      <c r="P62" s="781"/>
      <c r="Q62" s="781"/>
      <c r="R62" s="781"/>
      <c r="S62" s="781"/>
      <c r="T62" s="781"/>
      <c r="U62" s="781"/>
      <c r="V62" s="45"/>
      <c r="W62" s="45"/>
      <c r="X62" s="45"/>
      <c r="Y62" s="45"/>
      <c r="Z62" s="45"/>
      <c r="AA62" s="45"/>
      <c r="AB62" s="45"/>
      <c r="AC62" s="45"/>
      <c r="AD62" s="45"/>
      <c r="AE62" s="45"/>
      <c r="AF62" s="45"/>
      <c r="AG62" s="45"/>
      <c r="AH62" s="45"/>
      <c r="AI62" s="45"/>
      <c r="AJ62" s="45"/>
      <c r="AK62" s="45"/>
      <c r="AL62" s="45"/>
      <c r="AM62" s="45"/>
      <c r="AN62" s="45"/>
      <c r="AO62" s="45"/>
      <c r="AP62" s="45"/>
      <c r="AQ62" s="785"/>
      <c r="AR62" s="785"/>
      <c r="AS62" s="785"/>
      <c r="AT62" s="785"/>
      <c r="AU62" s="785"/>
      <c r="AV62" s="785"/>
      <c r="AW62" s="785"/>
      <c r="AX62" s="785"/>
      <c r="AY62" s="785"/>
      <c r="AZ62" s="785"/>
      <c r="BA62" s="785"/>
      <c r="BB62" s="785"/>
      <c r="BC62" s="785"/>
      <c r="BD62" s="787"/>
      <c r="BE62" s="783" t="n">
        <f aca="false">SUM(G62:BD62)</f>
        <v>0</v>
      </c>
      <c r="BN62" s="107"/>
      <c r="BO62" s="107"/>
      <c r="BP62" s="107"/>
      <c r="BQ62" s="107"/>
      <c r="BZ62" s="788" t="n">
        <v>45473</v>
      </c>
    </row>
    <row r="63" s="40" customFormat="true" ht="12.75" hidden="false" customHeight="false" outlineLevel="0" collapsed="false">
      <c r="B63" s="779"/>
      <c r="C63" s="780"/>
      <c r="D63" s="780"/>
      <c r="E63" s="669" t="s">
        <v>553</v>
      </c>
      <c r="F63" s="673"/>
      <c r="G63" s="781"/>
      <c r="H63" s="781"/>
      <c r="I63" s="781"/>
      <c r="J63" s="781"/>
      <c r="K63" s="781"/>
      <c r="L63" s="781"/>
      <c r="M63" s="781"/>
      <c r="N63" s="781"/>
      <c r="O63" s="781"/>
      <c r="P63" s="781"/>
      <c r="Q63" s="781"/>
      <c r="R63" s="781"/>
      <c r="S63" s="781"/>
      <c r="T63" s="781"/>
      <c r="U63" s="781"/>
      <c r="V63" s="784"/>
      <c r="W63" s="784"/>
      <c r="X63" s="784"/>
      <c r="Y63" s="784"/>
      <c r="Z63" s="784"/>
      <c r="AA63" s="784"/>
      <c r="AB63" s="784"/>
      <c r="AC63" s="784"/>
      <c r="AD63" s="784"/>
      <c r="AE63" s="784"/>
      <c r="AF63" s="784"/>
      <c r="AG63" s="784"/>
      <c r="AH63" s="784"/>
      <c r="AI63" s="784"/>
      <c r="AJ63" s="45"/>
      <c r="AK63" s="45"/>
      <c r="AL63" s="45"/>
      <c r="AM63" s="45"/>
      <c r="AN63" s="45"/>
      <c r="AO63" s="45"/>
      <c r="AP63" s="45"/>
      <c r="AQ63" s="785"/>
      <c r="AR63" s="785"/>
      <c r="AS63" s="785"/>
      <c r="AT63" s="785"/>
      <c r="AU63" s="785"/>
      <c r="AV63" s="785"/>
      <c r="AW63" s="785"/>
      <c r="AX63" s="785"/>
      <c r="AY63" s="785"/>
      <c r="AZ63" s="785"/>
      <c r="BA63" s="785"/>
      <c r="BB63" s="785"/>
      <c r="BC63" s="785"/>
      <c r="BD63" s="781"/>
      <c r="BE63" s="783" t="n">
        <f aca="false">SUM(G63:BD63)</f>
        <v>0</v>
      </c>
      <c r="BN63" s="107"/>
      <c r="BO63" s="107"/>
      <c r="BP63" s="107"/>
      <c r="BQ63" s="107"/>
    </row>
    <row r="64" s="40" customFormat="true" ht="13.4" hidden="false" customHeight="false" outlineLevel="0" collapsed="false">
      <c r="B64" s="779"/>
      <c r="C64" s="780"/>
      <c r="D64" s="780"/>
      <c r="E64" s="789" t="s">
        <v>554</v>
      </c>
      <c r="F64" s="790"/>
      <c r="G64" s="791"/>
      <c r="H64" s="791"/>
      <c r="I64" s="791"/>
      <c r="J64" s="791"/>
      <c r="K64" s="791"/>
      <c r="L64" s="791"/>
      <c r="M64" s="791"/>
      <c r="N64" s="791"/>
      <c r="O64" s="791"/>
      <c r="P64" s="791"/>
      <c r="Q64" s="791"/>
      <c r="R64" s="791"/>
      <c r="S64" s="791"/>
      <c r="T64" s="791"/>
      <c r="U64" s="791"/>
      <c r="V64" s="791"/>
      <c r="W64" s="791"/>
      <c r="X64" s="791"/>
      <c r="Y64" s="791"/>
      <c r="Z64" s="791"/>
      <c r="AA64" s="791"/>
      <c r="AB64" s="791"/>
      <c r="AC64" s="791"/>
      <c r="AD64" s="791"/>
      <c r="AE64" s="791"/>
      <c r="AF64" s="791"/>
      <c r="AG64" s="791"/>
      <c r="AH64" s="791"/>
      <c r="AI64" s="791"/>
      <c r="AJ64" s="791"/>
      <c r="AK64" s="791"/>
      <c r="AL64" s="791"/>
      <c r="AM64" s="791"/>
      <c r="AN64" s="791"/>
      <c r="AO64" s="791"/>
      <c r="AP64" s="792"/>
      <c r="AQ64" s="793"/>
      <c r="AR64" s="793"/>
      <c r="AS64" s="793"/>
      <c r="AT64" s="793"/>
      <c r="AU64" s="793"/>
      <c r="AV64" s="793"/>
      <c r="AW64" s="793"/>
      <c r="AX64" s="793"/>
      <c r="AY64" s="793"/>
      <c r="AZ64" s="793"/>
      <c r="BA64" s="793"/>
      <c r="BB64" s="793"/>
      <c r="BC64" s="793"/>
      <c r="BD64" s="791"/>
      <c r="BE64" s="794" t="n">
        <f aca="false">SUM(G64:BD64)</f>
        <v>0</v>
      </c>
      <c r="BN64" s="107"/>
      <c r="BO64" s="107"/>
      <c r="BP64" s="107"/>
      <c r="BQ64" s="107"/>
    </row>
    <row r="65" s="40" customFormat="true" ht="12.75" hidden="false" customHeight="false" outlineLevel="0" collapsed="false">
      <c r="B65" s="779" t="s">
        <v>551</v>
      </c>
      <c r="C65" s="780" t="s">
        <v>255</v>
      </c>
      <c r="D65" s="816" t="s">
        <v>584</v>
      </c>
      <c r="E65" s="669" t="s">
        <v>112</v>
      </c>
      <c r="F65" s="673" t="n">
        <v>1050000000</v>
      </c>
      <c r="G65" s="781"/>
      <c r="H65" s="781"/>
      <c r="I65" s="781"/>
      <c r="J65" s="781"/>
      <c r="K65" s="781"/>
      <c r="L65" s="781"/>
      <c r="M65" s="781"/>
      <c r="N65" s="781"/>
      <c r="O65" s="781"/>
      <c r="P65" s="781"/>
      <c r="Q65" s="781"/>
      <c r="R65" s="781"/>
      <c r="S65" s="781"/>
      <c r="T65" s="781"/>
      <c r="U65" s="781" t="n">
        <v>0.3</v>
      </c>
      <c r="V65" s="781"/>
      <c r="W65" s="781"/>
      <c r="X65" s="781"/>
      <c r="Y65" s="781"/>
      <c r="Z65" s="781"/>
      <c r="AA65" s="781"/>
      <c r="AB65" s="781"/>
      <c r="AC65" s="781"/>
      <c r="AD65" s="781"/>
      <c r="AE65" s="781"/>
      <c r="AF65" s="781"/>
      <c r="AG65" s="781"/>
      <c r="AH65" s="781"/>
      <c r="AI65" s="781" t="n">
        <v>0.4</v>
      </c>
      <c r="AJ65" s="781"/>
      <c r="AK65" s="781"/>
      <c r="AL65" s="781"/>
      <c r="AM65" s="781"/>
      <c r="AN65" s="781"/>
      <c r="AO65" s="781"/>
      <c r="AP65" s="781"/>
      <c r="AQ65" s="782"/>
      <c r="AR65" s="782"/>
      <c r="AS65" s="782"/>
      <c r="AT65" s="782"/>
      <c r="AU65" s="782"/>
      <c r="AV65" s="782"/>
      <c r="AW65" s="781" t="n">
        <v>0.25</v>
      </c>
      <c r="AX65" s="782"/>
      <c r="AY65" s="782"/>
      <c r="AZ65" s="782"/>
      <c r="BA65" s="782"/>
      <c r="BB65" s="782"/>
      <c r="BC65" s="782"/>
      <c r="BD65" s="781" t="n">
        <v>0.05</v>
      </c>
      <c r="BE65" s="783" t="n">
        <f aca="false">SUM(G65:BD65)</f>
        <v>1</v>
      </c>
      <c r="BN65" s="107"/>
      <c r="BO65" s="107"/>
      <c r="BP65" s="107"/>
      <c r="BQ65" s="107"/>
    </row>
    <row r="66" s="40" customFormat="true" ht="12.75" hidden="false" customHeight="false" outlineLevel="0" collapsed="false">
      <c r="B66" s="779"/>
      <c r="C66" s="780"/>
      <c r="D66" s="780"/>
      <c r="E66" s="669" t="s">
        <v>114</v>
      </c>
      <c r="F66" s="673" t="n">
        <v>550000000</v>
      </c>
      <c r="G66" s="781" t="n">
        <v>0.55</v>
      </c>
      <c r="H66" s="781"/>
      <c r="I66" s="781"/>
      <c r="J66" s="781"/>
      <c r="K66" s="781"/>
      <c r="L66" s="781"/>
      <c r="M66" s="781"/>
      <c r="N66" s="781" t="n">
        <v>0.15</v>
      </c>
      <c r="O66" s="781"/>
      <c r="P66" s="781"/>
      <c r="Q66" s="781"/>
      <c r="R66" s="781"/>
      <c r="S66" s="781"/>
      <c r="T66" s="781"/>
      <c r="U66" s="781"/>
      <c r="V66" s="784"/>
      <c r="W66" s="784"/>
      <c r="X66" s="784"/>
      <c r="Y66" s="784"/>
      <c r="Z66" s="784"/>
      <c r="AA66" s="784"/>
      <c r="AB66" s="784"/>
      <c r="AC66" s="784"/>
      <c r="AD66" s="784"/>
      <c r="AE66" s="784"/>
      <c r="AF66" s="784"/>
      <c r="AG66" s="784"/>
      <c r="AH66" s="784"/>
      <c r="AI66" s="784"/>
      <c r="AJ66" s="45"/>
      <c r="AK66" s="45"/>
      <c r="AL66" s="45"/>
      <c r="AM66" s="45"/>
      <c r="AN66" s="45"/>
      <c r="AO66" s="45"/>
      <c r="AP66" s="45"/>
      <c r="AQ66" s="785"/>
      <c r="AR66" s="785"/>
      <c r="AS66" s="785"/>
      <c r="AT66" s="785"/>
      <c r="AU66" s="785"/>
      <c r="AV66" s="785"/>
      <c r="AW66" s="785"/>
      <c r="AX66" s="785"/>
      <c r="AY66" s="785"/>
      <c r="AZ66" s="785"/>
      <c r="BA66" s="785"/>
      <c r="BB66" s="785"/>
      <c r="BC66" s="785"/>
      <c r="BD66" s="781" t="n">
        <v>0.3</v>
      </c>
      <c r="BE66" s="783" t="n">
        <f aca="false">SUM(G66:BD66)</f>
        <v>1</v>
      </c>
      <c r="BN66" s="107"/>
      <c r="BO66" s="107"/>
      <c r="BP66" s="107"/>
      <c r="BQ66" s="107"/>
    </row>
    <row r="67" s="40" customFormat="true" ht="13.4" hidden="false" customHeight="false" outlineLevel="0" collapsed="false">
      <c r="B67" s="779"/>
      <c r="C67" s="780"/>
      <c r="D67" s="780"/>
      <c r="E67" s="786" t="s">
        <v>552</v>
      </c>
      <c r="F67" s="673"/>
      <c r="G67" s="781"/>
      <c r="H67" s="781"/>
      <c r="I67" s="781"/>
      <c r="J67" s="781"/>
      <c r="K67" s="781"/>
      <c r="L67" s="781"/>
      <c r="M67" s="781"/>
      <c r="N67" s="781"/>
      <c r="O67" s="781"/>
      <c r="P67" s="781"/>
      <c r="Q67" s="781"/>
      <c r="R67" s="781"/>
      <c r="S67" s="781"/>
      <c r="T67" s="781"/>
      <c r="U67" s="781"/>
      <c r="V67" s="45"/>
      <c r="W67" s="45"/>
      <c r="X67" s="45"/>
      <c r="Y67" s="45"/>
      <c r="Z67" s="45"/>
      <c r="AA67" s="45"/>
      <c r="AB67" s="45"/>
      <c r="AC67" s="45"/>
      <c r="AD67" s="45"/>
      <c r="AE67" s="45"/>
      <c r="AF67" s="45"/>
      <c r="AG67" s="45"/>
      <c r="AH67" s="45"/>
      <c r="AI67" s="45"/>
      <c r="AJ67" s="45"/>
      <c r="AK67" s="45"/>
      <c r="AL67" s="45"/>
      <c r="AM67" s="45"/>
      <c r="AN67" s="45"/>
      <c r="AO67" s="45"/>
      <c r="AP67" s="45"/>
      <c r="AQ67" s="785"/>
      <c r="AR67" s="785"/>
      <c r="AS67" s="785"/>
      <c r="AT67" s="785"/>
      <c r="AU67" s="785"/>
      <c r="AV67" s="785"/>
      <c r="AW67" s="785"/>
      <c r="AX67" s="785"/>
      <c r="AY67" s="785"/>
      <c r="AZ67" s="785"/>
      <c r="BA67" s="785"/>
      <c r="BB67" s="785"/>
      <c r="BC67" s="785"/>
      <c r="BD67" s="787"/>
      <c r="BE67" s="783" t="n">
        <f aca="false">SUM(G67:BD67)</f>
        <v>0</v>
      </c>
      <c r="BN67" s="107"/>
      <c r="BO67" s="107"/>
      <c r="BP67" s="107"/>
      <c r="BQ67" s="107"/>
      <c r="BZ67" s="788" t="n">
        <v>45473</v>
      </c>
    </row>
    <row r="68" s="40" customFormat="true" ht="12.75" hidden="false" customHeight="false" outlineLevel="0" collapsed="false">
      <c r="B68" s="779"/>
      <c r="C68" s="780"/>
      <c r="D68" s="780"/>
      <c r="E68" s="669" t="s">
        <v>553</v>
      </c>
      <c r="F68" s="673"/>
      <c r="G68" s="781"/>
      <c r="H68" s="781"/>
      <c r="I68" s="781"/>
      <c r="J68" s="781"/>
      <c r="K68" s="781"/>
      <c r="L68" s="781"/>
      <c r="M68" s="781"/>
      <c r="N68" s="781"/>
      <c r="O68" s="781"/>
      <c r="P68" s="781"/>
      <c r="Q68" s="781"/>
      <c r="R68" s="781"/>
      <c r="S68" s="781"/>
      <c r="T68" s="781"/>
      <c r="U68" s="781"/>
      <c r="V68" s="784"/>
      <c r="W68" s="784"/>
      <c r="X68" s="784"/>
      <c r="Y68" s="784"/>
      <c r="Z68" s="784"/>
      <c r="AA68" s="784"/>
      <c r="AB68" s="784"/>
      <c r="AC68" s="784"/>
      <c r="AD68" s="784"/>
      <c r="AE68" s="784"/>
      <c r="AF68" s="784"/>
      <c r="AG68" s="784"/>
      <c r="AH68" s="784"/>
      <c r="AI68" s="784"/>
      <c r="AJ68" s="45"/>
      <c r="AK68" s="45"/>
      <c r="AL68" s="45"/>
      <c r="AM68" s="45"/>
      <c r="AN68" s="45"/>
      <c r="AO68" s="45"/>
      <c r="AP68" s="45"/>
      <c r="AQ68" s="785"/>
      <c r="AR68" s="785"/>
      <c r="AS68" s="785"/>
      <c r="AT68" s="785"/>
      <c r="AU68" s="785"/>
      <c r="AV68" s="785"/>
      <c r="AW68" s="785"/>
      <c r="AX68" s="785"/>
      <c r="AY68" s="785"/>
      <c r="AZ68" s="785"/>
      <c r="BA68" s="785"/>
      <c r="BB68" s="785"/>
      <c r="BC68" s="785"/>
      <c r="BD68" s="781"/>
      <c r="BE68" s="783" t="n">
        <f aca="false">SUM(G68:BD68)</f>
        <v>0</v>
      </c>
      <c r="BN68" s="107"/>
      <c r="BO68" s="107"/>
      <c r="BP68" s="107"/>
      <c r="BQ68" s="107"/>
    </row>
    <row r="69" s="40" customFormat="true" ht="13.4" hidden="false" customHeight="false" outlineLevel="0" collapsed="false">
      <c r="B69" s="779"/>
      <c r="C69" s="780"/>
      <c r="D69" s="780"/>
      <c r="E69" s="789" t="s">
        <v>554</v>
      </c>
      <c r="F69" s="790"/>
      <c r="G69" s="791"/>
      <c r="H69" s="791"/>
      <c r="I69" s="791"/>
      <c r="J69" s="791"/>
      <c r="K69" s="791"/>
      <c r="L69" s="791"/>
      <c r="M69" s="791"/>
      <c r="N69" s="791"/>
      <c r="O69" s="791"/>
      <c r="P69" s="791"/>
      <c r="Q69" s="791"/>
      <c r="R69" s="791"/>
      <c r="S69" s="791"/>
      <c r="T69" s="791"/>
      <c r="U69" s="791"/>
      <c r="V69" s="791"/>
      <c r="W69" s="791"/>
      <c r="X69" s="791"/>
      <c r="Y69" s="791"/>
      <c r="Z69" s="791"/>
      <c r="AA69" s="791"/>
      <c r="AB69" s="791"/>
      <c r="AC69" s="791"/>
      <c r="AD69" s="791"/>
      <c r="AE69" s="791"/>
      <c r="AF69" s="791"/>
      <c r="AG69" s="791"/>
      <c r="AH69" s="791"/>
      <c r="AI69" s="791"/>
      <c r="AJ69" s="791"/>
      <c r="AK69" s="791"/>
      <c r="AL69" s="791"/>
      <c r="AM69" s="791"/>
      <c r="AN69" s="791"/>
      <c r="AO69" s="791"/>
      <c r="AP69" s="792"/>
      <c r="AQ69" s="793"/>
      <c r="AR69" s="793"/>
      <c r="AS69" s="793"/>
      <c r="AT69" s="793"/>
      <c r="AU69" s="793"/>
      <c r="AV69" s="793"/>
      <c r="AW69" s="793"/>
      <c r="AX69" s="793"/>
      <c r="AY69" s="793"/>
      <c r="AZ69" s="793"/>
      <c r="BA69" s="793"/>
      <c r="BB69" s="793"/>
      <c r="BC69" s="793"/>
      <c r="BD69" s="791"/>
      <c r="BE69" s="794" t="n">
        <f aca="false">SUM(G69:BD69)</f>
        <v>0</v>
      </c>
      <c r="BN69" s="107"/>
      <c r="BO69" s="107"/>
      <c r="BP69" s="107"/>
      <c r="BQ69" s="107"/>
    </row>
    <row r="70" s="40" customFormat="true" ht="12.75" hidden="false" customHeight="false" outlineLevel="0" collapsed="false">
      <c r="B70" s="779" t="s">
        <v>551</v>
      </c>
      <c r="C70" s="780" t="s">
        <v>255</v>
      </c>
      <c r="D70" s="816" t="s">
        <v>585</v>
      </c>
      <c r="E70" s="669" t="s">
        <v>112</v>
      </c>
      <c r="F70" s="673" t="n">
        <v>1050000000</v>
      </c>
      <c r="G70" s="781"/>
      <c r="H70" s="781"/>
      <c r="I70" s="781"/>
      <c r="J70" s="781"/>
      <c r="K70" s="781"/>
      <c r="L70" s="781"/>
      <c r="M70" s="781"/>
      <c r="N70" s="781"/>
      <c r="O70" s="781"/>
      <c r="P70" s="781"/>
      <c r="Q70" s="781"/>
      <c r="R70" s="781"/>
      <c r="S70" s="781"/>
      <c r="T70" s="781"/>
      <c r="U70" s="781" t="n">
        <v>0.3</v>
      </c>
      <c r="V70" s="781"/>
      <c r="W70" s="781"/>
      <c r="X70" s="781"/>
      <c r="Y70" s="781"/>
      <c r="Z70" s="781"/>
      <c r="AA70" s="781"/>
      <c r="AB70" s="781"/>
      <c r="AC70" s="781"/>
      <c r="AD70" s="781"/>
      <c r="AE70" s="781"/>
      <c r="AF70" s="781"/>
      <c r="AG70" s="781"/>
      <c r="AH70" s="781"/>
      <c r="AI70" s="781" t="n">
        <v>0.4</v>
      </c>
      <c r="AJ70" s="781"/>
      <c r="AK70" s="781"/>
      <c r="AL70" s="781"/>
      <c r="AM70" s="781"/>
      <c r="AN70" s="781"/>
      <c r="AO70" s="781"/>
      <c r="AP70" s="781"/>
      <c r="AQ70" s="782"/>
      <c r="AR70" s="782"/>
      <c r="AS70" s="782"/>
      <c r="AT70" s="782"/>
      <c r="AU70" s="782"/>
      <c r="AV70" s="782"/>
      <c r="AW70" s="781" t="n">
        <v>0.25</v>
      </c>
      <c r="AX70" s="782"/>
      <c r="AY70" s="782"/>
      <c r="AZ70" s="782"/>
      <c r="BA70" s="782"/>
      <c r="BB70" s="782"/>
      <c r="BC70" s="782"/>
      <c r="BD70" s="781" t="n">
        <v>0.05</v>
      </c>
      <c r="BE70" s="783" t="n">
        <f aca="false">SUM(G70:BD70)</f>
        <v>1</v>
      </c>
      <c r="BN70" s="107"/>
      <c r="BO70" s="107"/>
      <c r="BP70" s="107"/>
      <c r="BQ70" s="107"/>
    </row>
    <row r="71" s="40" customFormat="true" ht="12.75" hidden="false" customHeight="false" outlineLevel="0" collapsed="false">
      <c r="B71" s="779"/>
      <c r="C71" s="780"/>
      <c r="D71" s="780"/>
      <c r="E71" s="669" t="s">
        <v>114</v>
      </c>
      <c r="F71" s="673" t="n">
        <v>550000000</v>
      </c>
      <c r="G71" s="781" t="n">
        <v>0.55</v>
      </c>
      <c r="H71" s="781"/>
      <c r="I71" s="781"/>
      <c r="J71" s="781"/>
      <c r="K71" s="781"/>
      <c r="L71" s="781"/>
      <c r="M71" s="781"/>
      <c r="N71" s="781" t="n">
        <v>0.15</v>
      </c>
      <c r="O71" s="781"/>
      <c r="P71" s="781"/>
      <c r="Q71" s="781"/>
      <c r="R71" s="781"/>
      <c r="S71" s="781"/>
      <c r="T71" s="781"/>
      <c r="U71" s="781"/>
      <c r="V71" s="784"/>
      <c r="W71" s="784"/>
      <c r="X71" s="784"/>
      <c r="Y71" s="784"/>
      <c r="Z71" s="784"/>
      <c r="AA71" s="784"/>
      <c r="AB71" s="784"/>
      <c r="AC71" s="784"/>
      <c r="AD71" s="784"/>
      <c r="AE71" s="784"/>
      <c r="AF71" s="784"/>
      <c r="AG71" s="784"/>
      <c r="AH71" s="784"/>
      <c r="AI71" s="45"/>
      <c r="AJ71" s="45"/>
      <c r="AK71" s="45"/>
      <c r="AL71" s="45"/>
      <c r="AM71" s="45"/>
      <c r="AN71" s="45"/>
      <c r="AO71" s="45"/>
      <c r="AP71" s="45"/>
      <c r="AQ71" s="785"/>
      <c r="AR71" s="785"/>
      <c r="AS71" s="785"/>
      <c r="AT71" s="785"/>
      <c r="AU71" s="785"/>
      <c r="AV71" s="785"/>
      <c r="AW71" s="785"/>
      <c r="AX71" s="785"/>
      <c r="AY71" s="785"/>
      <c r="AZ71" s="785"/>
      <c r="BA71" s="785"/>
      <c r="BB71" s="785"/>
      <c r="BC71" s="785"/>
      <c r="BD71" s="781" t="n">
        <v>0.3</v>
      </c>
      <c r="BE71" s="783" t="n">
        <f aca="false">SUM(G71:BD71)</f>
        <v>1</v>
      </c>
      <c r="BN71" s="107"/>
      <c r="BO71" s="107"/>
      <c r="BP71" s="107"/>
      <c r="BQ71" s="107"/>
    </row>
    <row r="72" s="40" customFormat="true" ht="13.4" hidden="false" customHeight="false" outlineLevel="0" collapsed="false">
      <c r="B72" s="779"/>
      <c r="C72" s="780"/>
      <c r="D72" s="780"/>
      <c r="E72" s="786" t="s">
        <v>552</v>
      </c>
      <c r="F72" s="673"/>
      <c r="G72" s="781"/>
      <c r="H72" s="781"/>
      <c r="I72" s="781"/>
      <c r="J72" s="781"/>
      <c r="K72" s="781"/>
      <c r="L72" s="781"/>
      <c r="M72" s="781"/>
      <c r="N72" s="781"/>
      <c r="O72" s="781"/>
      <c r="P72" s="781"/>
      <c r="Q72" s="781"/>
      <c r="R72" s="781"/>
      <c r="S72" s="781"/>
      <c r="T72" s="781"/>
      <c r="U72" s="781"/>
      <c r="V72" s="45"/>
      <c r="W72" s="45"/>
      <c r="X72" s="45"/>
      <c r="Y72" s="45"/>
      <c r="Z72" s="45"/>
      <c r="AA72" s="45"/>
      <c r="AB72" s="45"/>
      <c r="AC72" s="45"/>
      <c r="AD72" s="45"/>
      <c r="AE72" s="45"/>
      <c r="AF72" s="45"/>
      <c r="AG72" s="45"/>
      <c r="AH72" s="45"/>
      <c r="AI72" s="45"/>
      <c r="AJ72" s="45"/>
      <c r="AK72" s="45"/>
      <c r="AL72" s="45"/>
      <c r="AM72" s="45"/>
      <c r="AN72" s="45"/>
      <c r="AO72" s="45"/>
      <c r="AP72" s="45"/>
      <c r="AQ72" s="785"/>
      <c r="AR72" s="785"/>
      <c r="AS72" s="785"/>
      <c r="AT72" s="785"/>
      <c r="AU72" s="785"/>
      <c r="AV72" s="785"/>
      <c r="AW72" s="785"/>
      <c r="AX72" s="785"/>
      <c r="AY72" s="785"/>
      <c r="AZ72" s="785"/>
      <c r="BA72" s="785"/>
      <c r="BB72" s="785"/>
      <c r="BC72" s="785"/>
      <c r="BD72" s="787"/>
      <c r="BE72" s="783" t="n">
        <f aca="false">SUM(G72:BD72)</f>
        <v>0</v>
      </c>
      <c r="BN72" s="107"/>
      <c r="BO72" s="107"/>
      <c r="BP72" s="107"/>
      <c r="BQ72" s="107"/>
      <c r="BZ72" s="788" t="n">
        <v>45473</v>
      </c>
    </row>
    <row r="73" s="40" customFormat="true" ht="12.75" hidden="false" customHeight="false" outlineLevel="0" collapsed="false">
      <c r="B73" s="779"/>
      <c r="C73" s="780"/>
      <c r="D73" s="780"/>
      <c r="E73" s="669" t="s">
        <v>553</v>
      </c>
      <c r="F73" s="673"/>
      <c r="G73" s="781"/>
      <c r="H73" s="781"/>
      <c r="I73" s="781"/>
      <c r="J73" s="781"/>
      <c r="K73" s="781"/>
      <c r="L73" s="781"/>
      <c r="M73" s="781"/>
      <c r="N73" s="781"/>
      <c r="O73" s="781"/>
      <c r="P73" s="781"/>
      <c r="Q73" s="781"/>
      <c r="R73" s="781"/>
      <c r="S73" s="781"/>
      <c r="T73" s="781"/>
      <c r="U73" s="781"/>
      <c r="V73" s="784"/>
      <c r="W73" s="784"/>
      <c r="X73" s="784"/>
      <c r="Y73" s="784"/>
      <c r="Z73" s="784"/>
      <c r="AA73" s="784"/>
      <c r="AB73" s="784"/>
      <c r="AC73" s="784"/>
      <c r="AD73" s="784"/>
      <c r="AE73" s="784"/>
      <c r="AF73" s="784"/>
      <c r="AG73" s="784"/>
      <c r="AH73" s="784"/>
      <c r="AI73" s="45"/>
      <c r="AJ73" s="45"/>
      <c r="AK73" s="45"/>
      <c r="AL73" s="45"/>
      <c r="AM73" s="45"/>
      <c r="AN73" s="45"/>
      <c r="AO73" s="45"/>
      <c r="AP73" s="45"/>
      <c r="AQ73" s="785"/>
      <c r="AR73" s="785"/>
      <c r="AS73" s="785"/>
      <c r="AT73" s="785"/>
      <c r="AU73" s="785"/>
      <c r="AV73" s="785"/>
      <c r="AW73" s="785"/>
      <c r="AX73" s="785"/>
      <c r="AY73" s="785"/>
      <c r="AZ73" s="785"/>
      <c r="BA73" s="785"/>
      <c r="BB73" s="785"/>
      <c r="BC73" s="785"/>
      <c r="BD73" s="781"/>
      <c r="BE73" s="783" t="n">
        <f aca="false">SUM(G73:BD73)</f>
        <v>0</v>
      </c>
      <c r="BN73" s="107"/>
      <c r="BO73" s="107"/>
      <c r="BP73" s="107"/>
      <c r="BQ73" s="107"/>
    </row>
    <row r="74" s="40" customFormat="true" ht="13.4" hidden="false" customHeight="false" outlineLevel="0" collapsed="false">
      <c r="B74" s="779"/>
      <c r="C74" s="780"/>
      <c r="D74" s="780"/>
      <c r="E74" s="789" t="s">
        <v>554</v>
      </c>
      <c r="F74" s="790"/>
      <c r="G74" s="791"/>
      <c r="H74" s="791"/>
      <c r="I74" s="791"/>
      <c r="J74" s="791"/>
      <c r="K74" s="791"/>
      <c r="L74" s="791"/>
      <c r="M74" s="791"/>
      <c r="N74" s="791"/>
      <c r="O74" s="791"/>
      <c r="P74" s="791"/>
      <c r="Q74" s="791"/>
      <c r="R74" s="791"/>
      <c r="S74" s="791"/>
      <c r="T74" s="791"/>
      <c r="U74" s="791"/>
      <c r="V74" s="791"/>
      <c r="W74" s="791"/>
      <c r="X74" s="791"/>
      <c r="Y74" s="791"/>
      <c r="Z74" s="791"/>
      <c r="AA74" s="791"/>
      <c r="AB74" s="791"/>
      <c r="AC74" s="791"/>
      <c r="AD74" s="791"/>
      <c r="AE74" s="791"/>
      <c r="AF74" s="791"/>
      <c r="AG74" s="791"/>
      <c r="AH74" s="791"/>
      <c r="AI74" s="791"/>
      <c r="AJ74" s="791"/>
      <c r="AK74" s="791"/>
      <c r="AL74" s="791"/>
      <c r="AM74" s="791"/>
      <c r="AN74" s="791"/>
      <c r="AO74" s="791"/>
      <c r="AP74" s="792"/>
      <c r="AQ74" s="793"/>
      <c r="AR74" s="793"/>
      <c r="AS74" s="793"/>
      <c r="AT74" s="793"/>
      <c r="AU74" s="793"/>
      <c r="AV74" s="793"/>
      <c r="AW74" s="793"/>
      <c r="AX74" s="793"/>
      <c r="AY74" s="793"/>
      <c r="AZ74" s="793"/>
      <c r="BA74" s="793"/>
      <c r="BB74" s="793"/>
      <c r="BC74" s="793"/>
      <c r="BD74" s="791"/>
      <c r="BE74" s="794" t="n">
        <f aca="false">SUM(G74:BD74)</f>
        <v>0</v>
      </c>
      <c r="BN74" s="107"/>
      <c r="BO74" s="107"/>
      <c r="BP74" s="107"/>
      <c r="BQ74" s="107"/>
    </row>
    <row r="1048576" customFormat="false" ht="12.75" hidden="false" customHeight="false" outlineLevel="0" collapsed="false">
      <c r="BH1048576" s="107" t="n">
        <v>7</v>
      </c>
    </row>
  </sheetData>
  <mergeCells count="42">
    <mergeCell ref="B4:E4"/>
    <mergeCell ref="B5:B9"/>
    <mergeCell ref="C5:C9"/>
    <mergeCell ref="D5:D9"/>
    <mergeCell ref="B10:B14"/>
    <mergeCell ref="C10:C19"/>
    <mergeCell ref="D10:D14"/>
    <mergeCell ref="B15:B19"/>
    <mergeCell ref="D15:D19"/>
    <mergeCell ref="B20:B23"/>
    <mergeCell ref="C20:C31"/>
    <mergeCell ref="D20:D23"/>
    <mergeCell ref="B24:B27"/>
    <mergeCell ref="D24:D27"/>
    <mergeCell ref="B28:B31"/>
    <mergeCell ref="D28:D31"/>
    <mergeCell ref="B33:E33"/>
    <mergeCell ref="B34:B37"/>
    <mergeCell ref="C34:C45"/>
    <mergeCell ref="D34:D37"/>
    <mergeCell ref="B38:B41"/>
    <mergeCell ref="D38:D41"/>
    <mergeCell ref="B42:B45"/>
    <mergeCell ref="D42:D45"/>
    <mergeCell ref="B46:B50"/>
    <mergeCell ref="BG51:BG52"/>
    <mergeCell ref="BH51:BH52"/>
    <mergeCell ref="BK51:BK52"/>
    <mergeCell ref="B52:E52"/>
    <mergeCell ref="B53:B57"/>
    <mergeCell ref="C53:C57"/>
    <mergeCell ref="D53:D57"/>
    <mergeCell ref="B59:E59"/>
    <mergeCell ref="B60:B64"/>
    <mergeCell ref="C60:C64"/>
    <mergeCell ref="D60:D64"/>
    <mergeCell ref="B65:B69"/>
    <mergeCell ref="C65:C69"/>
    <mergeCell ref="D65:D69"/>
    <mergeCell ref="B70:B74"/>
    <mergeCell ref="C70:C74"/>
    <mergeCell ref="D70:D7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55" workbookViewId="0">
      <selection pane="topLeft" activeCell="D21" activeCellId="0" sqref="D21"/>
    </sheetView>
  </sheetViews>
  <sheetFormatPr defaultColWidth="9" defaultRowHeight="12.75" zeroHeight="false" outlineLevelRow="0" outlineLevelCol="0"/>
  <cols>
    <col collapsed="false" customWidth="true" hidden="false" outlineLevel="0" max="1" min="1" style="40" width="1.63"/>
    <col collapsed="false" customWidth="true" hidden="false" outlineLevel="0" max="2" min="2" style="40" width="4.88"/>
    <col collapsed="false" customWidth="true" hidden="false" outlineLevel="0" max="3" min="3" style="40" width="17.63"/>
    <col collapsed="false" customWidth="true" hidden="false" outlineLevel="0" max="4" min="4" style="40" width="12.62"/>
    <col collapsed="false" customWidth="true" hidden="false" outlineLevel="0" max="5" min="5" style="40" width="12.37"/>
    <col collapsed="false" customWidth="true" hidden="false" outlineLevel="0" max="8" min="6" style="40" width="11.62"/>
    <col collapsed="false" customWidth="true" hidden="false" outlineLevel="0" max="18" min="9" style="40" width="11.25"/>
    <col collapsed="false" customWidth="false" hidden="false" outlineLevel="0" max="16384" min="19" style="40" width="9"/>
  </cols>
  <sheetData>
    <row r="1" s="617" customFormat="true" ht="12.75" hidden="false" customHeight="false" outlineLevel="0" collapsed="false"/>
    <row r="2" s="617" customFormat="true" ht="12.75" hidden="false" customHeight="false" outlineLevel="0" collapsed="false"/>
    <row r="3" s="617" customFormat="true" ht="12.75" hidden="false" customHeight="false" outlineLevel="0" collapsed="false">
      <c r="I3" s="760" t="n">
        <v>200000000</v>
      </c>
      <c r="J3" s="760"/>
    </row>
    <row r="4" s="617" customFormat="true" ht="12.75" hidden="false" customHeight="false" outlineLevel="0" collapsed="false"/>
    <row r="5" s="617" customFormat="true" ht="12.75" hidden="false" customHeight="false" outlineLevel="0" collapsed="false"/>
    <row r="6" s="617" customFormat="true" ht="14.9" hidden="false" customHeight="false" outlineLevel="0" collapsed="false">
      <c r="B6" s="719" t="s">
        <v>586</v>
      </c>
    </row>
    <row r="7" s="617" customFormat="true" ht="12.75" hidden="false" customHeight="false" outlineLevel="0" collapsed="false"/>
    <row r="8" customFormat="false" ht="12.75" hidden="false" customHeight="false" outlineLevel="0" collapsed="false">
      <c r="A8" s="621"/>
      <c r="B8" s="622"/>
      <c r="C8" s="622"/>
      <c r="D8" s="623"/>
      <c r="E8" s="623"/>
      <c r="F8" s="624"/>
      <c r="G8" s="624"/>
      <c r="H8" s="624"/>
      <c r="I8" s="621"/>
      <c r="J8" s="621"/>
    </row>
    <row r="9" customFormat="false" ht="27.75" hidden="false" customHeight="true" outlineLevel="0" collapsed="false">
      <c r="A9" s="621"/>
      <c r="B9" s="110" t="s">
        <v>121</v>
      </c>
      <c r="C9" s="110" t="s">
        <v>122</v>
      </c>
      <c r="D9" s="111" t="s">
        <v>123</v>
      </c>
      <c r="E9" s="111" t="s">
        <v>487</v>
      </c>
      <c r="F9" s="111" t="s">
        <v>489</v>
      </c>
      <c r="G9" s="111" t="s">
        <v>509</v>
      </c>
      <c r="H9" s="111" t="s">
        <v>435</v>
      </c>
      <c r="I9" s="111"/>
      <c r="J9" s="111" t="s">
        <v>436</v>
      </c>
      <c r="K9" s="111"/>
      <c r="L9" s="111" t="s">
        <v>437</v>
      </c>
      <c r="M9" s="111"/>
      <c r="N9" s="111" t="s">
        <v>438</v>
      </c>
      <c r="O9" s="111"/>
      <c r="P9" s="111" t="s">
        <v>109</v>
      </c>
    </row>
    <row r="10" customFormat="false" ht="42" hidden="false" customHeight="true" outlineLevel="0" collapsed="false">
      <c r="A10" s="621"/>
      <c r="B10" s="110"/>
      <c r="C10" s="110"/>
      <c r="D10" s="111"/>
      <c r="E10" s="111"/>
      <c r="F10" s="111"/>
      <c r="G10" s="111"/>
      <c r="H10" s="817" t="s">
        <v>510</v>
      </c>
      <c r="I10" s="818" t="n">
        <v>0.4</v>
      </c>
      <c r="J10" s="111" t="s">
        <v>510</v>
      </c>
      <c r="K10" s="818" t="n">
        <v>0.2</v>
      </c>
      <c r="L10" s="111" t="s">
        <v>510</v>
      </c>
      <c r="M10" s="818" t="n">
        <v>0.3</v>
      </c>
      <c r="N10" s="111" t="s">
        <v>510</v>
      </c>
      <c r="O10" s="818" t="n">
        <v>0.1</v>
      </c>
      <c r="P10" s="819" t="n">
        <f aca="false">+SUM(I10:O10)</f>
        <v>1</v>
      </c>
    </row>
    <row r="11" customFormat="false" ht="14.9" hidden="false" customHeight="true" outlineLevel="0" collapsed="false">
      <c r="A11" s="628"/>
      <c r="B11" s="820" t="n">
        <v>1</v>
      </c>
      <c r="C11" s="821" t="s">
        <v>178</v>
      </c>
      <c r="D11" s="822" t="n">
        <v>999.24</v>
      </c>
      <c r="E11" s="822" t="s">
        <v>505</v>
      </c>
      <c r="F11" s="823" t="n">
        <f aca="false">+D11*$I$3/1000</f>
        <v>199848000</v>
      </c>
      <c r="G11" s="823" t="n">
        <f aca="false">SUM(F11:F11)</f>
        <v>199848000</v>
      </c>
      <c r="H11" s="824" t="s">
        <v>587</v>
      </c>
      <c r="I11" s="823" t="n">
        <f aca="false">+$G11*I$10</f>
        <v>79939200</v>
      </c>
      <c r="J11" s="825" t="s">
        <v>588</v>
      </c>
      <c r="K11" s="823" t="n">
        <f aca="false">+$G11*K$10</f>
        <v>39969600</v>
      </c>
      <c r="L11" s="825" t="s">
        <v>589</v>
      </c>
      <c r="M11" s="823" t="n">
        <f aca="false">+$G11*M$10</f>
        <v>59954400</v>
      </c>
      <c r="N11" s="826" t="s">
        <v>590</v>
      </c>
      <c r="O11" s="823" t="n">
        <f aca="false">+$G11*O$10</f>
        <v>19984800</v>
      </c>
      <c r="P11" s="823" t="n">
        <f aca="false">+SUM(I11:O11)</f>
        <v>199848000</v>
      </c>
    </row>
    <row r="12" customFormat="false" ht="17.25" hidden="false" customHeight="true" outlineLevel="0" collapsed="false">
      <c r="A12" s="628"/>
      <c r="B12" s="827" t="n">
        <v>2</v>
      </c>
      <c r="C12" s="828" t="s">
        <v>179</v>
      </c>
      <c r="D12" s="829" t="n">
        <v>399.04</v>
      </c>
      <c r="E12" s="829" t="s">
        <v>505</v>
      </c>
      <c r="F12" s="735" t="n">
        <f aca="false">+D12*$I$3/1000</f>
        <v>79808000</v>
      </c>
      <c r="G12" s="735" t="n">
        <f aca="false">SUM(F12:F12)</f>
        <v>79808000</v>
      </c>
      <c r="H12" s="824"/>
      <c r="I12" s="735" t="n">
        <f aca="false">+$G12*I$10</f>
        <v>31923200</v>
      </c>
      <c r="J12" s="830" t="s">
        <v>591</v>
      </c>
      <c r="K12" s="735" t="n">
        <f aca="false">+$G12*K$10</f>
        <v>15961600</v>
      </c>
      <c r="L12" s="830" t="s">
        <v>590</v>
      </c>
      <c r="M12" s="735" t="n">
        <f aca="false">+$G12*M$10</f>
        <v>23942400</v>
      </c>
      <c r="N12" s="642" t="s">
        <v>592</v>
      </c>
      <c r="O12" s="735" t="n">
        <f aca="false">+$G12*O$10</f>
        <v>7980800</v>
      </c>
      <c r="P12" s="735" t="n">
        <f aca="false">+SUM(I12:O12)</f>
        <v>79808000</v>
      </c>
    </row>
    <row r="13" customFormat="false" ht="17.25" hidden="false" customHeight="true" outlineLevel="0" collapsed="false">
      <c r="A13" s="683"/>
      <c r="B13" s="827" t="n">
        <v>3</v>
      </c>
      <c r="C13" s="828" t="s">
        <v>180</v>
      </c>
      <c r="D13" s="831" t="n">
        <v>499.96</v>
      </c>
      <c r="E13" s="829" t="s">
        <v>505</v>
      </c>
      <c r="F13" s="735" t="n">
        <f aca="false">+D13*$I$3/1000</f>
        <v>99992000</v>
      </c>
      <c r="G13" s="735" t="n">
        <f aca="false">SUM(F13:F13)</f>
        <v>99992000</v>
      </c>
      <c r="H13" s="824"/>
      <c r="I13" s="735" t="n">
        <f aca="false">+$G13*I$10</f>
        <v>39996800</v>
      </c>
      <c r="J13" s="830" t="n">
        <v>45839</v>
      </c>
      <c r="K13" s="735" t="n">
        <f aca="false">+$G13*K$10</f>
        <v>19998400</v>
      </c>
      <c r="L13" s="830" t="s">
        <v>593</v>
      </c>
      <c r="M13" s="735" t="n">
        <f aca="false">+$G13*M$10</f>
        <v>29997600</v>
      </c>
      <c r="N13" s="642" t="s">
        <v>594</v>
      </c>
      <c r="O13" s="735" t="n">
        <f aca="false">+$G13*O$10</f>
        <v>9999200</v>
      </c>
      <c r="P13" s="735" t="n">
        <f aca="false">+SUM(I13:O13)</f>
        <v>100037839</v>
      </c>
    </row>
    <row r="14" customFormat="false" ht="17.25" hidden="false" customHeight="true" outlineLevel="0" collapsed="false">
      <c r="A14" s="628"/>
      <c r="B14" s="827" t="n">
        <v>4</v>
      </c>
      <c r="C14" s="832" t="s">
        <v>181</v>
      </c>
      <c r="D14" s="831" t="n">
        <v>499.96</v>
      </c>
      <c r="E14" s="829" t="s">
        <v>505</v>
      </c>
      <c r="F14" s="735" t="n">
        <f aca="false">+D14*$I$3/1000</f>
        <v>99992000</v>
      </c>
      <c r="G14" s="735" t="n">
        <f aca="false">SUM(F14:F14)</f>
        <v>99992000</v>
      </c>
      <c r="H14" s="824"/>
      <c r="I14" s="735" t="n">
        <f aca="false">+$G14*I$10</f>
        <v>39996800</v>
      </c>
      <c r="J14" s="830" t="s">
        <v>165</v>
      </c>
      <c r="K14" s="735" t="n">
        <f aca="false">+$G14*K$10</f>
        <v>19998400</v>
      </c>
      <c r="L14" s="830" t="s">
        <v>593</v>
      </c>
      <c r="M14" s="735" t="n">
        <f aca="false">+$G14*M$10</f>
        <v>29997600</v>
      </c>
      <c r="N14" s="642" t="s">
        <v>594</v>
      </c>
      <c r="O14" s="735" t="n">
        <f aca="false">+$G14*O$10</f>
        <v>9999200</v>
      </c>
      <c r="P14" s="735" t="n">
        <f aca="false">+SUM(I14:O14)</f>
        <v>99992000</v>
      </c>
    </row>
    <row r="15" customFormat="false" ht="17.25" hidden="false" customHeight="true" outlineLevel="0" collapsed="false">
      <c r="A15" s="628"/>
      <c r="B15" s="827" t="n">
        <v>5</v>
      </c>
      <c r="C15" s="828" t="s">
        <v>182</v>
      </c>
      <c r="D15" s="831" t="n">
        <v>149.64</v>
      </c>
      <c r="E15" s="829" t="s">
        <v>505</v>
      </c>
      <c r="F15" s="735" t="n">
        <f aca="false">+D15*$I$3/1000</f>
        <v>29928000</v>
      </c>
      <c r="G15" s="735" t="n">
        <f aca="false">SUM(F15:F15)</f>
        <v>29928000</v>
      </c>
      <c r="H15" s="824"/>
      <c r="I15" s="735" t="n">
        <f aca="false">+$G15*I$10</f>
        <v>11971200</v>
      </c>
      <c r="J15" s="830" t="n">
        <v>45839</v>
      </c>
      <c r="K15" s="735" t="n">
        <f aca="false">+$G15*K$10</f>
        <v>5985600</v>
      </c>
      <c r="L15" s="830" t="s">
        <v>595</v>
      </c>
      <c r="M15" s="735" t="n">
        <f aca="false">+$G15*M$10</f>
        <v>8978400</v>
      </c>
      <c r="N15" s="642" t="s">
        <v>596</v>
      </c>
      <c r="O15" s="735" t="n">
        <f aca="false">+$G15*O$10</f>
        <v>2992800</v>
      </c>
      <c r="P15" s="735" t="n">
        <f aca="false">+SUM(I15:O15)</f>
        <v>29973839</v>
      </c>
    </row>
    <row r="16" customFormat="false" ht="17.25" hidden="false" customHeight="true" outlineLevel="0" collapsed="false">
      <c r="A16" s="628"/>
      <c r="B16" s="827" t="n">
        <v>6</v>
      </c>
      <c r="C16" s="828" t="s">
        <v>183</v>
      </c>
      <c r="D16" s="831" t="n">
        <v>299.28</v>
      </c>
      <c r="E16" s="829" t="s">
        <v>505</v>
      </c>
      <c r="F16" s="735" t="n">
        <f aca="false">+D16*$I$3/1000</f>
        <v>59856000</v>
      </c>
      <c r="G16" s="735" t="n">
        <f aca="false">SUM(F16:F16)</f>
        <v>59856000</v>
      </c>
      <c r="H16" s="824"/>
      <c r="I16" s="735" t="n">
        <f aca="false">+$G16*I$10</f>
        <v>23942400</v>
      </c>
      <c r="J16" s="830" t="n">
        <v>45839</v>
      </c>
      <c r="K16" s="735" t="n">
        <f aca="false">+$G16*K$10</f>
        <v>11971200</v>
      </c>
      <c r="L16" s="830" t="s">
        <v>593</v>
      </c>
      <c r="M16" s="735" t="n">
        <f aca="false">+$G16*M$10</f>
        <v>17956800</v>
      </c>
      <c r="N16" s="642" t="s">
        <v>594</v>
      </c>
      <c r="O16" s="735" t="n">
        <f aca="false">+$G16*O$10</f>
        <v>5985600</v>
      </c>
      <c r="P16" s="735" t="n">
        <f aca="false">+SUM(I16:O16)</f>
        <v>59901839</v>
      </c>
    </row>
    <row r="17" customFormat="false" ht="16.5" hidden="false" customHeight="true" outlineLevel="0" collapsed="false">
      <c r="A17" s="628"/>
      <c r="B17" s="833" t="s">
        <v>597</v>
      </c>
      <c r="C17" s="833"/>
      <c r="D17" s="834" t="n">
        <f aca="false">+SUM(D11:D16)</f>
        <v>2847.12</v>
      </c>
      <c r="E17" s="835"/>
      <c r="F17" s="753" t="n">
        <f aca="false">+SUM(F11:F16)</f>
        <v>569424000</v>
      </c>
      <c r="G17" s="753" t="n">
        <f aca="false">+SUM(G11:G16)</f>
        <v>569424000</v>
      </c>
      <c r="H17" s="753"/>
      <c r="I17" s="753" t="n">
        <f aca="false">+SUM(I11:I16)</f>
        <v>227769600</v>
      </c>
      <c r="J17" s="753"/>
      <c r="K17" s="753" t="n">
        <f aca="false">+SUM(K11:K16)</f>
        <v>113884800</v>
      </c>
      <c r="L17" s="753"/>
      <c r="M17" s="753" t="n">
        <f aca="false">+SUM(M11:M16)</f>
        <v>170827200</v>
      </c>
      <c r="N17" s="753"/>
      <c r="O17" s="753" t="n">
        <f aca="false">+SUM(O11:O16)</f>
        <v>56942400</v>
      </c>
      <c r="P17" s="753" t="n">
        <f aca="false">+SUM(P11:P16)</f>
        <v>569561517</v>
      </c>
    </row>
    <row r="18" customFormat="false" ht="27.75" hidden="false" customHeight="true" outlineLevel="0" collapsed="false">
      <c r="A18" s="621"/>
      <c r="B18" s="110" t="s">
        <v>121</v>
      </c>
      <c r="C18" s="110" t="s">
        <v>122</v>
      </c>
      <c r="D18" s="111" t="s">
        <v>123</v>
      </c>
      <c r="E18" s="111" t="s">
        <v>487</v>
      </c>
      <c r="F18" s="111" t="s">
        <v>489</v>
      </c>
      <c r="G18" s="111" t="s">
        <v>509</v>
      </c>
      <c r="H18" s="111" t="s">
        <v>435</v>
      </c>
      <c r="I18" s="111"/>
      <c r="J18" s="836"/>
      <c r="K18" s="837" t="s">
        <v>436</v>
      </c>
      <c r="L18" s="837"/>
      <c r="M18" s="837" t="s">
        <v>437</v>
      </c>
      <c r="N18" s="837"/>
      <c r="O18" s="837" t="s">
        <v>438</v>
      </c>
      <c r="P18" s="838" t="s">
        <v>109</v>
      </c>
    </row>
    <row r="19" customFormat="false" ht="42" hidden="false" customHeight="true" outlineLevel="0" collapsed="false">
      <c r="A19" s="621"/>
      <c r="B19" s="110"/>
      <c r="C19" s="110"/>
      <c r="D19" s="111"/>
      <c r="E19" s="111"/>
      <c r="F19" s="111"/>
      <c r="G19" s="111"/>
      <c r="H19" s="111" t="s">
        <v>510</v>
      </c>
      <c r="I19" s="839" t="n">
        <v>1</v>
      </c>
      <c r="J19" s="839"/>
      <c r="K19" s="839"/>
      <c r="L19" s="839"/>
      <c r="M19" s="839"/>
      <c r="N19" s="839"/>
      <c r="O19" s="839"/>
      <c r="P19" s="840" t="n">
        <f aca="false">+SUM(I19:O19)</f>
        <v>1</v>
      </c>
    </row>
    <row r="20" customFormat="false" ht="14.9" hidden="false" customHeight="true" outlineLevel="0" collapsed="false">
      <c r="A20" s="628"/>
      <c r="B20" s="820" t="n">
        <v>1</v>
      </c>
      <c r="C20" s="821" t="str">
        <f aca="false">+'[7]GM Payment(SPA)'!C11</f>
        <v>Galsan (SPA)</v>
      </c>
      <c r="D20" s="822" t="n">
        <f aca="false">+'[7]GM Payment(SPA)'!D11</f>
        <v>993.6</v>
      </c>
      <c r="E20" s="822" t="s">
        <v>505</v>
      </c>
      <c r="F20" s="823" t="n">
        <f aca="false">+D20*$I$3/1000</f>
        <v>198720000</v>
      </c>
      <c r="G20" s="823" t="n">
        <f aca="false">SUM(F20:F20)</f>
        <v>198720000</v>
      </c>
      <c r="H20" s="841" t="s">
        <v>587</v>
      </c>
      <c r="I20" s="842" t="n">
        <f aca="false">+$G20*I$19</f>
        <v>198720000</v>
      </c>
      <c r="J20" s="842"/>
      <c r="K20" s="842"/>
      <c r="L20" s="842"/>
      <c r="M20" s="842"/>
      <c r="N20" s="842"/>
      <c r="O20" s="842"/>
      <c r="P20" s="842" t="n">
        <f aca="false">+SUM(I20:O20)</f>
        <v>198720000</v>
      </c>
    </row>
    <row r="21" customFormat="false" ht="17.25" hidden="false" customHeight="true" outlineLevel="0" collapsed="false">
      <c r="A21" s="628"/>
      <c r="B21" s="827" t="n">
        <v>2</v>
      </c>
      <c r="C21" s="828" t="str">
        <f aca="false">+'[7]GM Payment(SPA)'!C17</f>
        <v>Mineuri (SPA)</v>
      </c>
      <c r="D21" s="829" t="n">
        <f aca="false">+'[7]GM Payment(SPA)'!D17</f>
        <v>993.6</v>
      </c>
      <c r="E21" s="829" t="s">
        <v>505</v>
      </c>
      <c r="F21" s="735" t="n">
        <f aca="false">+D21*$I$3/1000</f>
        <v>198720000</v>
      </c>
      <c r="G21" s="735" t="n">
        <f aca="false">SUM(F21:F21)</f>
        <v>198720000</v>
      </c>
      <c r="H21" s="841"/>
      <c r="I21" s="842" t="n">
        <f aca="false">+$G21*I$19</f>
        <v>198720000</v>
      </c>
      <c r="J21" s="842"/>
      <c r="K21" s="735"/>
      <c r="L21" s="735"/>
      <c r="M21" s="735"/>
      <c r="N21" s="735"/>
      <c r="O21" s="735"/>
      <c r="P21" s="735" t="n">
        <f aca="false">+SUM(I21:O21)</f>
        <v>198720000</v>
      </c>
    </row>
    <row r="22" customFormat="false" ht="17.25" hidden="false" customHeight="true" outlineLevel="0" collapsed="false">
      <c r="A22" s="683"/>
      <c r="B22" s="827" t="n">
        <v>3</v>
      </c>
      <c r="C22" s="828" t="str">
        <f aca="false">+'[7]GM Payment(SPA)'!C23</f>
        <v>GM Payment(SPA)</v>
      </c>
      <c r="D22" s="831" t="n">
        <f aca="false">+'[7]GM Payment(SPA)'!D23</f>
        <v>993.6</v>
      </c>
      <c r="E22" s="829" t="s">
        <v>505</v>
      </c>
      <c r="F22" s="735" t="n">
        <f aca="false">+D22*$I$3/1000</f>
        <v>198720000</v>
      </c>
      <c r="G22" s="735" t="n">
        <f aca="false">SUM(F22:F22)</f>
        <v>198720000</v>
      </c>
      <c r="H22" s="841"/>
      <c r="I22" s="842" t="n">
        <f aca="false">+$G22*I$19</f>
        <v>198720000</v>
      </c>
      <c r="J22" s="842"/>
      <c r="K22" s="735"/>
      <c r="L22" s="735"/>
      <c r="M22" s="735"/>
      <c r="N22" s="735"/>
      <c r="O22" s="735"/>
      <c r="P22" s="735" t="n">
        <f aca="false">+SUM(I22:O22)</f>
        <v>198720000</v>
      </c>
    </row>
    <row r="23" customFormat="false" ht="17.25" hidden="false" customHeight="true" outlineLevel="0" collapsed="false">
      <c r="A23" s="628"/>
      <c r="B23" s="827" t="n">
        <v>4</v>
      </c>
      <c r="C23" s="832" t="str">
        <f aca="false">+'[7]GM Payment(SPA)'!C29</f>
        <v>Jaesan (SPA)</v>
      </c>
      <c r="D23" s="831" t="n">
        <f aca="false">+'[7]GM Payment(SPA)'!D29</f>
        <v>993.6</v>
      </c>
      <c r="E23" s="829" t="s">
        <v>505</v>
      </c>
      <c r="F23" s="735" t="n">
        <f aca="false">+D23*$I$3/1000</f>
        <v>198720000</v>
      </c>
      <c r="G23" s="735" t="n">
        <f aca="false">SUM(F23:F23)</f>
        <v>198720000</v>
      </c>
      <c r="H23" s="841"/>
      <c r="I23" s="842" t="n">
        <f aca="false">+$G23*I$19</f>
        <v>198720000</v>
      </c>
      <c r="J23" s="842"/>
      <c r="K23" s="735"/>
      <c r="L23" s="735"/>
      <c r="M23" s="735"/>
      <c r="N23" s="735"/>
      <c r="O23" s="735"/>
      <c r="P23" s="735" t="n">
        <f aca="false">+SUM(I23:O23)</f>
        <v>198720000</v>
      </c>
    </row>
    <row r="24" customFormat="false" ht="16.5" hidden="false" customHeight="true" outlineLevel="0" collapsed="false">
      <c r="A24" s="628"/>
      <c r="B24" s="833" t="s">
        <v>598</v>
      </c>
      <c r="C24" s="833"/>
      <c r="D24" s="843" t="n">
        <f aca="false">+SUM(D20:D23)</f>
        <v>3974.4</v>
      </c>
      <c r="E24" s="843"/>
      <c r="F24" s="844" t="n">
        <f aca="false">+SUM(F20:F23)</f>
        <v>794880000</v>
      </c>
      <c r="G24" s="844" t="n">
        <f aca="false">+SUM(G20:G23)</f>
        <v>794880000</v>
      </c>
      <c r="H24" s="844"/>
      <c r="I24" s="844" t="n">
        <f aca="false">+SUM(I20:I23)</f>
        <v>794880000</v>
      </c>
      <c r="J24" s="844"/>
      <c r="K24" s="844"/>
      <c r="L24" s="844"/>
      <c r="M24" s="844"/>
      <c r="N24" s="844"/>
      <c r="O24" s="844"/>
      <c r="P24" s="844" t="n">
        <f aca="false">+SUM(P20:P23)</f>
        <v>794880000</v>
      </c>
    </row>
    <row r="25" customFormat="false" ht="16.5" hidden="false" customHeight="true" outlineLevel="0" collapsed="false">
      <c r="A25" s="628"/>
      <c r="B25" s="833" t="s">
        <v>599</v>
      </c>
      <c r="C25" s="833"/>
      <c r="D25" s="834" t="n">
        <f aca="false">+D17+D24</f>
        <v>6821.52</v>
      </c>
      <c r="E25" s="835"/>
      <c r="F25" s="753" t="n">
        <f aca="false">+F17+F24</f>
        <v>1364304000</v>
      </c>
      <c r="G25" s="753" t="n">
        <f aca="false">+G17+G24</f>
        <v>1364304000</v>
      </c>
      <c r="H25" s="753"/>
      <c r="I25" s="753" t="n">
        <f aca="false">+I17+I24</f>
        <v>1022649600</v>
      </c>
      <c r="J25" s="753"/>
      <c r="K25" s="753" t="n">
        <f aca="false">+K17+K24</f>
        <v>113884800</v>
      </c>
      <c r="L25" s="753"/>
      <c r="M25" s="753" t="n">
        <f aca="false">+M17+M24</f>
        <v>170827200</v>
      </c>
      <c r="N25" s="753"/>
      <c r="O25" s="753" t="n">
        <f aca="false">+O17+O24</f>
        <v>56942400</v>
      </c>
      <c r="P25" s="753" t="n">
        <f aca="false">+P17+P24</f>
        <v>1364441517</v>
      </c>
    </row>
    <row r="27" customFormat="false" ht="12.75" hidden="false" customHeight="false" outlineLevel="0" collapsed="false">
      <c r="B27" s="845" t="s">
        <v>600</v>
      </c>
      <c r="C27" s="767" t="s">
        <v>601</v>
      </c>
    </row>
  </sheetData>
  <mergeCells count="23">
    <mergeCell ref="B8:C8"/>
    <mergeCell ref="B9:B10"/>
    <mergeCell ref="C9:C10"/>
    <mergeCell ref="D9:D10"/>
    <mergeCell ref="E9:E10"/>
    <mergeCell ref="F9:F10"/>
    <mergeCell ref="G9:G10"/>
    <mergeCell ref="H9:I9"/>
    <mergeCell ref="J9:K9"/>
    <mergeCell ref="L9:M9"/>
    <mergeCell ref="N9:O9"/>
    <mergeCell ref="H11:H16"/>
    <mergeCell ref="B17:C17"/>
    <mergeCell ref="B18:B19"/>
    <mergeCell ref="C18:C19"/>
    <mergeCell ref="D18:D19"/>
    <mergeCell ref="E18:E19"/>
    <mergeCell ref="F18:F19"/>
    <mergeCell ref="G18:G19"/>
    <mergeCell ref="H18:I18"/>
    <mergeCell ref="H20:H23"/>
    <mergeCell ref="B24:C24"/>
    <mergeCell ref="B25:C25"/>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3" activeCellId="0" sqref="M23"/>
    </sheetView>
  </sheetViews>
  <sheetFormatPr defaultColWidth="8.57421875" defaultRowHeight="16.5" zeroHeight="false" outlineLevelRow="0" outlineLevelCol="0"/>
  <sheetData>
    <row r="3" customFormat="false" ht="16.5" hidden="false" customHeight="false" outlineLevel="0" collapsed="false">
      <c r="J3" s="0" t="s">
        <v>255</v>
      </c>
    </row>
    <row r="4" customFormat="false" ht="16.5" hidden="false" customHeight="false" outlineLevel="0" collapsed="false">
      <c r="J4" s="0" t="s">
        <v>602</v>
      </c>
      <c r="L4" s="0" t="s">
        <v>603</v>
      </c>
    </row>
    <row r="5" customFormat="false" ht="16.5" hidden="false" customHeight="false" outlineLevel="0" collapsed="false">
      <c r="J5" s="0" t="s">
        <v>604</v>
      </c>
      <c r="K5" s="846" t="n">
        <v>0.1</v>
      </c>
    </row>
    <row r="10" customFormat="false" ht="16.5" hidden="false" customHeight="false" outlineLevel="0" collapsed="false">
      <c r="J10" s="0" t="s">
        <v>604</v>
      </c>
      <c r="K10" s="846" t="n">
        <v>0.1</v>
      </c>
    </row>
    <row r="14" customFormat="false" ht="16.5" hidden="false" customHeight="false" outlineLevel="0" collapsed="false">
      <c r="J14" s="0" t="s">
        <v>604</v>
      </c>
      <c r="K14" s="846" t="n">
        <v>0.1</v>
      </c>
    </row>
    <row r="19" customFormat="false" ht="16.5" hidden="false" customHeight="false" outlineLevel="0" collapsed="false">
      <c r="J19" s="0" t="s">
        <v>605</v>
      </c>
      <c r="K19" s="846" t="n">
        <v>0.1</v>
      </c>
    </row>
    <row r="24" customFormat="false" ht="16.5" hidden="false" customHeight="false" outlineLevel="0" collapsed="false">
      <c r="J24" s="0" t="s">
        <v>605</v>
      </c>
      <c r="K24" s="846" t="n">
        <v>0.3</v>
      </c>
    </row>
    <row r="33" customFormat="false" ht="16.5" hidden="false" customHeight="false" outlineLevel="0" collapsed="false">
      <c r="J33" s="0" t="s">
        <v>606</v>
      </c>
      <c r="K33" s="846" t="n">
        <v>0.25</v>
      </c>
    </row>
    <row r="40" customFormat="false" ht="16.5" hidden="false" customHeight="false" outlineLevel="0" collapsed="false">
      <c r="B40" s="0" t="s">
        <v>607</v>
      </c>
      <c r="F40" s="846" t="n">
        <v>0.05</v>
      </c>
      <c r="J40" s="11" t="s">
        <v>606</v>
      </c>
      <c r="K40" s="846" t="n">
        <v>0.05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3" activeCellId="0" sqref="F33"/>
    </sheetView>
  </sheetViews>
  <sheetFormatPr defaultColWidth="8.57421875" defaultRowHeight="16.5" zeroHeight="false" outlineLevelRow="0" outlineLevelCol="0"/>
  <cols>
    <col collapsed="false" customWidth="true" hidden="false" outlineLevel="0" max="1" min="1" style="0" width="4.75"/>
    <col collapsed="false" customWidth="true" hidden="false" outlineLevel="0" max="2" min="2" style="0" width="25.75"/>
    <col collapsed="false" customWidth="true" hidden="false" outlineLevel="0" max="3" min="3" style="0" width="15.88"/>
    <col collapsed="false" customWidth="true" hidden="false" outlineLevel="0" max="4" min="4" style="0" width="18.12"/>
    <col collapsed="false" customWidth="true" hidden="false" outlineLevel="0" max="5" min="5" style="9" width="18.25"/>
    <col collapsed="false" customWidth="true" hidden="false" outlineLevel="0" max="6" min="6" style="0" width="17.51"/>
    <col collapsed="false" customWidth="true" hidden="false" outlineLevel="0" max="7" min="7" style="0" width="19.38"/>
    <col collapsed="false" customWidth="true" hidden="false" outlineLevel="0" max="8" min="8" style="0" width="19.88"/>
    <col collapsed="false" customWidth="true" hidden="false" outlineLevel="0" max="9" min="9" style="0" width="20.12"/>
    <col collapsed="false" customWidth="true" hidden="false" outlineLevel="0" max="10" min="10" style="0" width="19.88"/>
    <col collapsed="false" customWidth="true" hidden="false" outlineLevel="0" max="11" min="11" style="0" width="91"/>
    <col collapsed="false" customWidth="true" hidden="false" outlineLevel="0" max="12" min="12" style="0" width="114.25"/>
  </cols>
  <sheetData>
    <row r="1" customFormat="false" ht="19.7" hidden="false" customHeight="false" outlineLevel="0" collapsed="false">
      <c r="A1" s="847" t="s">
        <v>608</v>
      </c>
      <c r="B1" s="847"/>
      <c r="C1" s="847"/>
      <c r="D1" s="847"/>
      <c r="E1" s="847"/>
      <c r="F1" s="847"/>
      <c r="G1" s="847"/>
      <c r="H1" s="847"/>
      <c r="I1" s="847"/>
      <c r="J1" s="847"/>
      <c r="K1" s="848"/>
      <c r="L1" s="848"/>
    </row>
    <row r="2" customFormat="false" ht="20.1" hidden="false" customHeight="false" outlineLevel="0" collapsed="false">
      <c r="A2" s="849" t="s">
        <v>609</v>
      </c>
      <c r="B2" s="849" t="s">
        <v>609</v>
      </c>
      <c r="C2" s="849"/>
      <c r="D2" s="849" t="s">
        <v>609</v>
      </c>
      <c r="E2" s="850" t="s">
        <v>609</v>
      </c>
      <c r="F2" s="849" t="s">
        <v>609</v>
      </c>
      <c r="G2" s="849" t="s">
        <v>610</v>
      </c>
      <c r="H2" s="849" t="s">
        <v>611</v>
      </c>
      <c r="I2" s="849" t="s">
        <v>612</v>
      </c>
      <c r="J2" s="851" t="s">
        <v>613</v>
      </c>
      <c r="K2" s="848"/>
      <c r="L2" s="848"/>
    </row>
    <row r="3" customFormat="false" ht="17.35" hidden="false" customHeight="false" outlineLevel="0" collapsed="false">
      <c r="A3" s="852" t="s">
        <v>609</v>
      </c>
      <c r="B3" s="852" t="s">
        <v>609</v>
      </c>
      <c r="C3" s="852"/>
      <c r="D3" s="852" t="s">
        <v>609</v>
      </c>
      <c r="E3" s="853" t="s">
        <v>609</v>
      </c>
      <c r="F3" s="854" t="s">
        <v>609</v>
      </c>
      <c r="G3" s="854" t="s">
        <v>614</v>
      </c>
      <c r="H3" s="854" t="s">
        <v>615</v>
      </c>
      <c r="I3" s="855" t="n">
        <f aca="false">1850628000+J3</f>
        <v>2420052000</v>
      </c>
      <c r="J3" s="856" t="n">
        <f aca="false">200000000*E13/1000</f>
        <v>569424000</v>
      </c>
      <c r="K3" s="848"/>
      <c r="L3" s="848"/>
    </row>
    <row r="4" customFormat="false" ht="16.5" hidden="false" customHeight="false" outlineLevel="0" collapsed="false">
      <c r="A4" s="857" t="s">
        <v>24</v>
      </c>
      <c r="B4" s="857" t="s">
        <v>616</v>
      </c>
      <c r="C4" s="858"/>
      <c r="D4" s="857" t="s">
        <v>617</v>
      </c>
      <c r="E4" s="859" t="s">
        <v>618</v>
      </c>
      <c r="F4" s="857" t="s">
        <v>619</v>
      </c>
      <c r="G4" s="857"/>
      <c r="H4" s="857"/>
      <c r="I4" s="857"/>
      <c r="J4" s="857"/>
      <c r="K4" s="857" t="s">
        <v>620</v>
      </c>
      <c r="L4" s="857" t="s">
        <v>620</v>
      </c>
    </row>
    <row r="5" customFormat="false" ht="16.5" hidden="false" customHeight="false" outlineLevel="0" collapsed="false">
      <c r="A5" s="857"/>
      <c r="B5" s="857"/>
      <c r="C5" s="860" t="s">
        <v>621</v>
      </c>
      <c r="D5" s="857"/>
      <c r="E5" s="859"/>
      <c r="F5" s="861" t="s">
        <v>622</v>
      </c>
      <c r="G5" s="861" t="s">
        <v>623</v>
      </c>
      <c r="H5" s="861" t="s">
        <v>624</v>
      </c>
      <c r="I5" s="861" t="s">
        <v>625</v>
      </c>
      <c r="J5" s="861" t="s">
        <v>58</v>
      </c>
      <c r="K5" s="857"/>
      <c r="L5" s="857"/>
    </row>
    <row r="6" customFormat="false" ht="16.5" hidden="false" customHeight="false" outlineLevel="0" collapsed="false">
      <c r="A6" s="857"/>
      <c r="B6" s="857"/>
      <c r="C6" s="862"/>
      <c r="D6" s="857"/>
      <c r="E6" s="859"/>
      <c r="F6" s="863" t="n">
        <v>0.4</v>
      </c>
      <c r="G6" s="863" t="n">
        <v>0.2</v>
      </c>
      <c r="H6" s="863" t="n">
        <v>0.3</v>
      </c>
      <c r="I6" s="863" t="n">
        <v>0.1</v>
      </c>
      <c r="J6" s="863" t="n">
        <v>1</v>
      </c>
      <c r="K6" s="857"/>
      <c r="L6" s="857"/>
    </row>
    <row r="7" customFormat="false" ht="27" hidden="false" customHeight="true" outlineLevel="0" collapsed="false">
      <c r="A7" s="864" t="n">
        <v>1</v>
      </c>
      <c r="B7" s="865" t="s">
        <v>626</v>
      </c>
      <c r="C7" s="866" t="s">
        <v>627</v>
      </c>
      <c r="D7" s="865" t="s">
        <v>628</v>
      </c>
      <c r="E7" s="867" t="n">
        <v>999.24</v>
      </c>
      <c r="F7" s="868" t="s">
        <v>629</v>
      </c>
      <c r="G7" s="868" t="s">
        <v>630</v>
      </c>
      <c r="H7" s="868" t="s">
        <v>631</v>
      </c>
      <c r="I7" s="868" t="s">
        <v>632</v>
      </c>
      <c r="J7" s="868" t="s">
        <v>633</v>
      </c>
      <c r="K7" s="869" t="s">
        <v>634</v>
      </c>
      <c r="L7" s="869" t="s">
        <v>635</v>
      </c>
    </row>
    <row r="8" customFormat="false" ht="27" hidden="false" customHeight="true" outlineLevel="0" collapsed="false">
      <c r="A8" s="864" t="n">
        <v>2</v>
      </c>
      <c r="B8" s="865" t="s">
        <v>636</v>
      </c>
      <c r="C8" s="866" t="s">
        <v>637</v>
      </c>
      <c r="D8" s="865" t="s">
        <v>638</v>
      </c>
      <c r="E8" s="867" t="n">
        <v>399.04</v>
      </c>
      <c r="F8" s="868" t="s">
        <v>639</v>
      </c>
      <c r="G8" s="868" t="s">
        <v>640</v>
      </c>
      <c r="H8" s="868" t="s">
        <v>641</v>
      </c>
      <c r="I8" s="868" t="s">
        <v>642</v>
      </c>
      <c r="J8" s="868" t="s">
        <v>643</v>
      </c>
      <c r="K8" s="869"/>
      <c r="L8" s="869"/>
    </row>
    <row r="9" customFormat="false" ht="27" hidden="false" customHeight="true" outlineLevel="0" collapsed="false">
      <c r="A9" s="864" t="n">
        <v>3</v>
      </c>
      <c r="B9" s="865" t="s">
        <v>644</v>
      </c>
      <c r="C9" s="866" t="s">
        <v>627</v>
      </c>
      <c r="D9" s="865" t="s">
        <v>645</v>
      </c>
      <c r="E9" s="867" t="n">
        <v>499.96</v>
      </c>
      <c r="F9" s="868" t="s">
        <v>646</v>
      </c>
      <c r="G9" s="868" t="s">
        <v>647</v>
      </c>
      <c r="H9" s="868" t="s">
        <v>647</v>
      </c>
      <c r="I9" s="868" t="s">
        <v>647</v>
      </c>
      <c r="J9" s="868" t="s">
        <v>648</v>
      </c>
      <c r="K9" s="869"/>
      <c r="L9" s="869"/>
    </row>
    <row r="10" customFormat="false" ht="27" hidden="false" customHeight="true" outlineLevel="0" collapsed="false">
      <c r="A10" s="864" t="n">
        <v>4</v>
      </c>
      <c r="B10" s="865" t="s">
        <v>649</v>
      </c>
      <c r="C10" s="866" t="s">
        <v>627</v>
      </c>
      <c r="D10" s="865" t="s">
        <v>650</v>
      </c>
      <c r="E10" s="867" t="n">
        <v>499.96</v>
      </c>
      <c r="F10" s="868" t="s">
        <v>646</v>
      </c>
      <c r="G10" s="868" t="s">
        <v>647</v>
      </c>
      <c r="H10" s="868" t="s">
        <v>647</v>
      </c>
      <c r="I10" s="868" t="s">
        <v>647</v>
      </c>
      <c r="J10" s="868" t="s">
        <v>648</v>
      </c>
      <c r="K10" s="869"/>
      <c r="L10" s="869"/>
    </row>
    <row r="11" customFormat="false" ht="27" hidden="false" customHeight="true" outlineLevel="0" collapsed="false">
      <c r="A11" s="864" t="n">
        <v>5</v>
      </c>
      <c r="B11" s="865" t="s">
        <v>651</v>
      </c>
      <c r="C11" s="866" t="s">
        <v>627</v>
      </c>
      <c r="D11" s="865" t="s">
        <v>652</v>
      </c>
      <c r="E11" s="867" t="n">
        <v>149.64</v>
      </c>
      <c r="F11" s="868" t="s">
        <v>653</v>
      </c>
      <c r="G11" s="868" t="s">
        <v>654</v>
      </c>
      <c r="H11" s="868" t="s">
        <v>654</v>
      </c>
      <c r="I11" s="868" t="s">
        <v>654</v>
      </c>
      <c r="J11" s="868" t="s">
        <v>655</v>
      </c>
      <c r="K11" s="869"/>
      <c r="L11" s="869"/>
    </row>
    <row r="12" customFormat="false" ht="27" hidden="false" customHeight="true" outlineLevel="0" collapsed="false">
      <c r="A12" s="864" t="n">
        <v>6</v>
      </c>
      <c r="B12" s="865" t="s">
        <v>656</v>
      </c>
      <c r="C12" s="866" t="s">
        <v>637</v>
      </c>
      <c r="D12" s="865" t="s">
        <v>657</v>
      </c>
      <c r="E12" s="867" t="n">
        <v>299.28</v>
      </c>
      <c r="F12" s="868" t="s">
        <v>641</v>
      </c>
      <c r="G12" s="868" t="s">
        <v>653</v>
      </c>
      <c r="H12" s="868" t="s">
        <v>653</v>
      </c>
      <c r="I12" s="868" t="s">
        <v>653</v>
      </c>
      <c r="J12" s="868" t="s">
        <v>658</v>
      </c>
      <c r="K12" s="869"/>
      <c r="L12" s="869"/>
    </row>
    <row r="13" customFormat="false" ht="45.75" hidden="false" customHeight="true" outlineLevel="0" collapsed="false">
      <c r="A13" s="870" t="s">
        <v>659</v>
      </c>
      <c r="B13" s="870"/>
      <c r="C13" s="870"/>
      <c r="D13" s="870"/>
      <c r="E13" s="871" t="n">
        <v>2847.12</v>
      </c>
      <c r="F13" s="872" t="s">
        <v>660</v>
      </c>
      <c r="G13" s="872" t="s">
        <v>661</v>
      </c>
      <c r="H13" s="872" t="s">
        <v>662</v>
      </c>
      <c r="I13" s="872" t="s">
        <v>663</v>
      </c>
      <c r="J13" s="872" t="s">
        <v>664</v>
      </c>
      <c r="K13" s="869"/>
      <c r="L13" s="869"/>
    </row>
    <row r="14" s="878" customFormat="true" ht="27.75" hidden="false" customHeight="true" outlineLevel="0" collapsed="false">
      <c r="A14" s="873"/>
      <c r="B14" s="874"/>
      <c r="C14" s="874"/>
      <c r="D14" s="874"/>
      <c r="E14" s="875"/>
      <c r="F14" s="874"/>
      <c r="G14" s="874"/>
      <c r="H14" s="874"/>
      <c r="I14" s="874"/>
      <c r="J14" s="874"/>
      <c r="K14" s="876"/>
      <c r="L14" s="877"/>
    </row>
    <row r="15" customFormat="false" ht="16.5" hidden="true" customHeight="false" outlineLevel="0" collapsed="false">
      <c r="A15" s="879" t="s">
        <v>24</v>
      </c>
      <c r="B15" s="879" t="s">
        <v>616</v>
      </c>
      <c r="C15" s="880"/>
      <c r="D15" s="879" t="s">
        <v>617</v>
      </c>
      <c r="E15" s="881" t="s">
        <v>618</v>
      </c>
      <c r="F15" s="879" t="s">
        <v>665</v>
      </c>
      <c r="G15" s="879"/>
      <c r="H15" s="879"/>
      <c r="I15" s="879"/>
      <c r="J15" s="879"/>
      <c r="K15" s="879" t="s">
        <v>620</v>
      </c>
      <c r="L15" s="882"/>
    </row>
    <row r="16" customFormat="false" ht="16.5" hidden="true" customHeight="false" outlineLevel="0" collapsed="false">
      <c r="A16" s="879"/>
      <c r="B16" s="879"/>
      <c r="C16" s="880"/>
      <c r="D16" s="879"/>
      <c r="E16" s="881"/>
      <c r="F16" s="883" t="s">
        <v>622</v>
      </c>
      <c r="G16" s="883" t="s">
        <v>623</v>
      </c>
      <c r="H16" s="883" t="s">
        <v>624</v>
      </c>
      <c r="I16" s="883" t="s">
        <v>625</v>
      </c>
      <c r="J16" s="883" t="s">
        <v>58</v>
      </c>
      <c r="K16" s="879"/>
      <c r="L16" s="882"/>
    </row>
    <row r="17" customFormat="false" ht="16.5" hidden="true" customHeight="false" outlineLevel="0" collapsed="false">
      <c r="A17" s="879"/>
      <c r="B17" s="879"/>
      <c r="C17" s="879"/>
      <c r="D17" s="879"/>
      <c r="E17" s="881"/>
      <c r="F17" s="884" t="n">
        <v>0.4</v>
      </c>
      <c r="G17" s="884" t="n">
        <v>0.2</v>
      </c>
      <c r="H17" s="884" t="n">
        <v>0.3</v>
      </c>
      <c r="I17" s="884" t="n">
        <v>0.1</v>
      </c>
      <c r="J17" s="884" t="n">
        <v>1</v>
      </c>
      <c r="K17" s="879"/>
      <c r="L17" s="882"/>
    </row>
    <row r="18" customFormat="false" ht="21" hidden="true" customHeight="true" outlineLevel="0" collapsed="false">
      <c r="A18" s="885" t="n">
        <v>7</v>
      </c>
      <c r="B18" s="886" t="s">
        <v>666</v>
      </c>
      <c r="C18" s="886"/>
      <c r="D18" s="886" t="s">
        <v>667</v>
      </c>
      <c r="E18" s="887" t="n">
        <v>999.18</v>
      </c>
      <c r="F18" s="886" t="s">
        <v>668</v>
      </c>
      <c r="G18" s="886" t="s">
        <v>669</v>
      </c>
      <c r="H18" s="886" t="s">
        <v>670</v>
      </c>
      <c r="I18" s="886" t="s">
        <v>671</v>
      </c>
      <c r="J18" s="886" t="s">
        <v>672</v>
      </c>
      <c r="K18" s="888" t="s">
        <v>673</v>
      </c>
    </row>
    <row r="19" customFormat="false" ht="21" hidden="true" customHeight="true" outlineLevel="0" collapsed="false">
      <c r="A19" s="885" t="n">
        <v>8</v>
      </c>
      <c r="B19" s="886" t="s">
        <v>674</v>
      </c>
      <c r="C19" s="886"/>
      <c r="D19" s="886" t="s">
        <v>675</v>
      </c>
      <c r="E19" s="887" t="n">
        <v>499.59</v>
      </c>
      <c r="F19" s="886" t="s">
        <v>669</v>
      </c>
      <c r="G19" s="886" t="s">
        <v>671</v>
      </c>
      <c r="H19" s="886" t="s">
        <v>676</v>
      </c>
      <c r="I19" s="886" t="s">
        <v>677</v>
      </c>
      <c r="J19" s="886" t="s">
        <v>678</v>
      </c>
      <c r="K19" s="888"/>
      <c r="L19" s="889"/>
    </row>
    <row r="20" customFormat="false" ht="21" hidden="true" customHeight="true" outlineLevel="0" collapsed="false">
      <c r="A20" s="885" t="n">
        <v>9</v>
      </c>
      <c r="B20" s="886" t="s">
        <v>679</v>
      </c>
      <c r="C20" s="886"/>
      <c r="D20" s="886" t="s">
        <v>680</v>
      </c>
      <c r="E20" s="887" t="n">
        <v>499.96</v>
      </c>
      <c r="F20" s="886" t="s">
        <v>681</v>
      </c>
      <c r="G20" s="886" t="s">
        <v>682</v>
      </c>
      <c r="H20" s="886" t="s">
        <v>682</v>
      </c>
      <c r="I20" s="886" t="s">
        <v>682</v>
      </c>
      <c r="J20" s="886" t="s">
        <v>683</v>
      </c>
      <c r="K20" s="888"/>
      <c r="L20" s="889"/>
    </row>
    <row r="21" customFormat="false" ht="21" hidden="true" customHeight="true" outlineLevel="0" collapsed="false">
      <c r="A21" s="885" t="n">
        <v>10</v>
      </c>
      <c r="B21" s="886" t="s">
        <v>684</v>
      </c>
      <c r="C21" s="886"/>
      <c r="D21" s="886" t="s">
        <v>685</v>
      </c>
      <c r="E21" s="887" t="n">
        <v>699.48</v>
      </c>
      <c r="F21" s="886" t="s">
        <v>686</v>
      </c>
      <c r="G21" s="886" t="s">
        <v>687</v>
      </c>
      <c r="H21" s="886" t="s">
        <v>687</v>
      </c>
      <c r="I21" s="886" t="s">
        <v>687</v>
      </c>
      <c r="J21" s="886" t="s">
        <v>688</v>
      </c>
      <c r="K21" s="888"/>
      <c r="L21" s="889"/>
    </row>
    <row r="22" customFormat="false" ht="21" hidden="true" customHeight="true" outlineLevel="0" collapsed="false">
      <c r="A22" s="885" t="n">
        <v>11</v>
      </c>
      <c r="B22" s="886" t="s">
        <v>689</v>
      </c>
      <c r="C22" s="886"/>
      <c r="D22" s="886" t="s">
        <v>690</v>
      </c>
      <c r="E22" s="887" t="n">
        <v>900.14</v>
      </c>
      <c r="F22" s="886" t="s">
        <v>691</v>
      </c>
      <c r="G22" s="886" t="s">
        <v>692</v>
      </c>
      <c r="H22" s="886" t="s">
        <v>692</v>
      </c>
      <c r="I22" s="886" t="s">
        <v>692</v>
      </c>
      <c r="J22" s="886" t="s">
        <v>693</v>
      </c>
      <c r="K22" s="888"/>
      <c r="L22" s="889"/>
    </row>
    <row r="23" customFormat="false" ht="21" hidden="true" customHeight="true" outlineLevel="0" collapsed="false">
      <c r="A23" s="885" t="n">
        <v>12</v>
      </c>
      <c r="B23" s="886" t="s">
        <v>694</v>
      </c>
      <c r="C23" s="886"/>
      <c r="D23" s="886" t="s">
        <v>695</v>
      </c>
      <c r="E23" s="887" t="n">
        <v>799.24</v>
      </c>
      <c r="F23" s="886" t="s">
        <v>696</v>
      </c>
      <c r="G23" s="886" t="s">
        <v>697</v>
      </c>
      <c r="H23" s="886" t="s">
        <v>697</v>
      </c>
      <c r="I23" s="886" t="s">
        <v>697</v>
      </c>
      <c r="J23" s="886" t="s">
        <v>698</v>
      </c>
      <c r="K23" s="888"/>
      <c r="L23" s="889"/>
    </row>
    <row r="24" customFormat="false" ht="21" hidden="true" customHeight="true" outlineLevel="0" collapsed="false">
      <c r="A24" s="885" t="n">
        <v>13</v>
      </c>
      <c r="B24" s="886" t="s">
        <v>699</v>
      </c>
      <c r="C24" s="886"/>
      <c r="D24" s="886" t="s">
        <v>700</v>
      </c>
      <c r="E24" s="887" t="n">
        <v>499.96</v>
      </c>
      <c r="F24" s="886" t="s">
        <v>681</v>
      </c>
      <c r="G24" s="886" t="s">
        <v>682</v>
      </c>
      <c r="H24" s="886" t="s">
        <v>682</v>
      </c>
      <c r="I24" s="886" t="s">
        <v>682</v>
      </c>
      <c r="J24" s="886" t="s">
        <v>683</v>
      </c>
      <c r="K24" s="888"/>
      <c r="L24" s="889"/>
    </row>
    <row r="25" customFormat="false" ht="27" hidden="true" customHeight="true" outlineLevel="0" collapsed="false">
      <c r="A25" s="870" t="s">
        <v>659</v>
      </c>
      <c r="B25" s="870"/>
      <c r="C25" s="870"/>
      <c r="D25" s="870"/>
      <c r="E25" s="871" t="n">
        <v>4897.55</v>
      </c>
      <c r="F25" s="870" t="s">
        <v>701</v>
      </c>
      <c r="G25" s="870" t="s">
        <v>702</v>
      </c>
      <c r="H25" s="870" t="s">
        <v>703</v>
      </c>
      <c r="I25" s="870" t="s">
        <v>704</v>
      </c>
      <c r="J25" s="890" t="s">
        <v>705</v>
      </c>
      <c r="K25" s="888"/>
      <c r="L25" s="889"/>
    </row>
    <row r="26" customFormat="false" ht="27" hidden="true" customHeight="true" outlineLevel="0" collapsed="false">
      <c r="A26" s="873"/>
      <c r="B26" s="874"/>
      <c r="C26" s="874"/>
      <c r="D26" s="874"/>
      <c r="E26" s="875"/>
      <c r="F26" s="874" t="s">
        <v>614</v>
      </c>
      <c r="G26" s="874" t="s">
        <v>706</v>
      </c>
      <c r="H26" s="874" t="s">
        <v>707</v>
      </c>
      <c r="I26" s="874" t="s">
        <v>708</v>
      </c>
      <c r="J26" s="874" t="s">
        <v>613</v>
      </c>
      <c r="K26" s="876" t="s">
        <v>709</v>
      </c>
      <c r="L26" s="877"/>
    </row>
    <row r="27" customFormat="false" ht="16.5" hidden="false" customHeight="false" outlineLevel="0" collapsed="false">
      <c r="A27" s="879" t="s">
        <v>24</v>
      </c>
      <c r="B27" s="879" t="s">
        <v>616</v>
      </c>
      <c r="C27" s="880"/>
      <c r="D27" s="879" t="s">
        <v>617</v>
      </c>
      <c r="E27" s="881" t="s">
        <v>618</v>
      </c>
      <c r="F27" s="857" t="s">
        <v>710</v>
      </c>
      <c r="G27" s="857"/>
      <c r="H27" s="857"/>
      <c r="I27" s="857"/>
      <c r="J27" s="857"/>
      <c r="K27" s="879" t="s">
        <v>620</v>
      </c>
      <c r="L27" s="857"/>
    </row>
    <row r="28" customFormat="false" ht="16.5" hidden="false" customHeight="false" outlineLevel="0" collapsed="false">
      <c r="A28" s="879"/>
      <c r="B28" s="879"/>
      <c r="C28" s="880" t="s">
        <v>621</v>
      </c>
      <c r="D28" s="879"/>
      <c r="E28" s="881"/>
      <c r="F28" s="861" t="s">
        <v>622</v>
      </c>
      <c r="G28" s="861" t="s">
        <v>623</v>
      </c>
      <c r="H28" s="861" t="s">
        <v>624</v>
      </c>
      <c r="I28" s="861" t="s">
        <v>625</v>
      </c>
      <c r="J28" s="857" t="s">
        <v>58</v>
      </c>
      <c r="K28" s="879"/>
      <c r="L28" s="879"/>
    </row>
    <row r="29" customFormat="false" ht="16.5" hidden="false" customHeight="false" outlineLevel="0" collapsed="false">
      <c r="A29" s="879"/>
      <c r="B29" s="879"/>
      <c r="C29" s="879"/>
      <c r="D29" s="879"/>
      <c r="E29" s="881"/>
      <c r="F29" s="891" t="n">
        <v>0.8</v>
      </c>
      <c r="G29" s="892"/>
      <c r="H29" s="893"/>
      <c r="I29" s="894" t="n">
        <v>0.2</v>
      </c>
      <c r="J29" s="895" t="n">
        <v>1</v>
      </c>
      <c r="K29" s="879"/>
      <c r="L29" s="879"/>
    </row>
    <row r="30" customFormat="false" ht="21.75" hidden="false" customHeight="true" outlineLevel="0" collapsed="false">
      <c r="A30" s="896" t="n">
        <v>14</v>
      </c>
      <c r="B30" s="897" t="s">
        <v>136</v>
      </c>
      <c r="C30" s="897"/>
      <c r="D30" s="897" t="s">
        <v>711</v>
      </c>
      <c r="E30" s="898" t="n">
        <v>993.6</v>
      </c>
      <c r="F30" s="899" t="s">
        <v>712</v>
      </c>
      <c r="G30" s="899"/>
      <c r="H30" s="899"/>
      <c r="I30" s="899"/>
      <c r="J30" s="896" t="s">
        <v>712</v>
      </c>
      <c r="K30" s="900" t="s">
        <v>713</v>
      </c>
      <c r="L30" s="901" t="s">
        <v>714</v>
      </c>
    </row>
    <row r="31" customFormat="false" ht="21.75" hidden="false" customHeight="true" outlineLevel="0" collapsed="false">
      <c r="A31" s="896" t="n">
        <v>15</v>
      </c>
      <c r="B31" s="897" t="s">
        <v>137</v>
      </c>
      <c r="C31" s="897"/>
      <c r="D31" s="897" t="s">
        <v>715</v>
      </c>
      <c r="E31" s="898" t="n">
        <v>993.6</v>
      </c>
      <c r="F31" s="899" t="s">
        <v>712</v>
      </c>
      <c r="G31" s="899"/>
      <c r="H31" s="899"/>
      <c r="I31" s="899"/>
      <c r="J31" s="896" t="s">
        <v>712</v>
      </c>
      <c r="K31" s="900"/>
      <c r="L31" s="901"/>
      <c r="M31" s="11" t="s">
        <v>716</v>
      </c>
    </row>
    <row r="32" customFormat="false" ht="21.75" hidden="false" customHeight="true" outlineLevel="0" collapsed="false">
      <c r="A32" s="896" t="n">
        <v>16</v>
      </c>
      <c r="B32" s="897" t="s">
        <v>281</v>
      </c>
      <c r="C32" s="897"/>
      <c r="D32" s="897" t="s">
        <v>717</v>
      </c>
      <c r="E32" s="898" t="n">
        <v>993.6</v>
      </c>
      <c r="F32" s="899" t="s">
        <v>712</v>
      </c>
      <c r="G32" s="899"/>
      <c r="H32" s="899"/>
      <c r="I32" s="899"/>
      <c r="J32" s="896" t="s">
        <v>712</v>
      </c>
      <c r="K32" s="900"/>
      <c r="L32" s="901"/>
      <c r="M32" s="11" t="s">
        <v>718</v>
      </c>
    </row>
    <row r="33" customFormat="false" ht="21.75" hidden="false" customHeight="true" outlineLevel="0" collapsed="false">
      <c r="A33" s="896" t="n">
        <v>17</v>
      </c>
      <c r="B33" s="897" t="s">
        <v>139</v>
      </c>
      <c r="C33" s="897"/>
      <c r="D33" s="897" t="s">
        <v>719</v>
      </c>
      <c r="E33" s="898" t="n">
        <v>993.6</v>
      </c>
      <c r="F33" s="899" t="s">
        <v>712</v>
      </c>
      <c r="G33" s="899"/>
      <c r="H33" s="899"/>
      <c r="I33" s="899"/>
      <c r="J33" s="896" t="s">
        <v>712</v>
      </c>
      <c r="K33" s="900"/>
      <c r="L33" s="901"/>
      <c r="M33" s="11" t="s">
        <v>720</v>
      </c>
      <c r="S33" s="11" t="s">
        <v>721</v>
      </c>
    </row>
    <row r="34" customFormat="false" ht="53.25" hidden="false" customHeight="true" outlineLevel="0" collapsed="false">
      <c r="A34" s="870" t="s">
        <v>659</v>
      </c>
      <c r="B34" s="870"/>
      <c r="C34" s="870"/>
      <c r="D34" s="870"/>
      <c r="E34" s="871" t="n">
        <v>3974.4</v>
      </c>
      <c r="F34" s="870" t="s">
        <v>722</v>
      </c>
      <c r="G34" s="870"/>
      <c r="H34" s="870"/>
      <c r="I34" s="870"/>
      <c r="J34" s="890" t="s">
        <v>722</v>
      </c>
      <c r="K34" s="900"/>
      <c r="L34" s="901"/>
      <c r="M34" s="11" t="n">
        <f aca="false">6.5*4</f>
        <v>26</v>
      </c>
      <c r="N34" s="11" t="n">
        <f aca="false">4.5*4</f>
        <v>18</v>
      </c>
    </row>
    <row r="35" s="878" customFormat="true" ht="27.75" hidden="true" customHeight="true" outlineLevel="0" collapsed="false">
      <c r="A35" s="873"/>
      <c r="B35" s="874"/>
      <c r="C35" s="874"/>
      <c r="D35" s="874"/>
      <c r="E35" s="875"/>
      <c r="F35" s="874"/>
      <c r="G35" s="874"/>
      <c r="H35" s="874"/>
      <c r="I35" s="874"/>
      <c r="J35" s="874"/>
      <c r="K35" s="876"/>
      <c r="L35" s="877"/>
    </row>
    <row r="36" customFormat="false" ht="16.5" hidden="true" customHeight="false" outlineLevel="0" collapsed="false">
      <c r="A36" s="879" t="s">
        <v>24</v>
      </c>
      <c r="B36" s="879" t="s">
        <v>616</v>
      </c>
      <c r="C36" s="880"/>
      <c r="D36" s="879" t="s">
        <v>617</v>
      </c>
      <c r="E36" s="881" t="s">
        <v>618</v>
      </c>
      <c r="F36" s="857" t="s">
        <v>619</v>
      </c>
      <c r="G36" s="857"/>
      <c r="H36" s="857"/>
      <c r="I36" s="857"/>
      <c r="J36" s="857"/>
      <c r="K36" s="879" t="s">
        <v>620</v>
      </c>
      <c r="L36" s="882"/>
    </row>
    <row r="37" customFormat="false" ht="16.5" hidden="true" customHeight="false" outlineLevel="0" collapsed="false">
      <c r="A37" s="879"/>
      <c r="B37" s="879"/>
      <c r="C37" s="880"/>
      <c r="D37" s="879"/>
      <c r="E37" s="881"/>
      <c r="F37" s="883" t="s">
        <v>622</v>
      </c>
      <c r="G37" s="883" t="s">
        <v>623</v>
      </c>
      <c r="H37" s="883" t="s">
        <v>624</v>
      </c>
      <c r="I37" s="883" t="s">
        <v>625</v>
      </c>
      <c r="J37" s="883" t="s">
        <v>58</v>
      </c>
      <c r="K37" s="879"/>
      <c r="L37" s="882"/>
    </row>
    <row r="38" customFormat="false" ht="16.5" hidden="true" customHeight="false" outlineLevel="0" collapsed="false">
      <c r="A38" s="879"/>
      <c r="B38" s="879"/>
      <c r="C38" s="879"/>
      <c r="D38" s="879"/>
      <c r="E38" s="881"/>
      <c r="F38" s="884" t="n">
        <v>0.3</v>
      </c>
      <c r="G38" s="884" t="n">
        <v>0.3</v>
      </c>
      <c r="H38" s="884" t="n">
        <v>0.3</v>
      </c>
      <c r="I38" s="884" t="n">
        <v>0.1</v>
      </c>
      <c r="J38" s="884" t="n">
        <v>1</v>
      </c>
      <c r="K38" s="879"/>
      <c r="L38" s="882"/>
    </row>
    <row r="39" customFormat="false" ht="29.25" hidden="true" customHeight="true" outlineLevel="0" collapsed="false">
      <c r="A39" s="902" t="n">
        <v>18</v>
      </c>
      <c r="B39" s="903" t="s">
        <v>723</v>
      </c>
      <c r="C39" s="903"/>
      <c r="D39" s="903" t="s">
        <v>724</v>
      </c>
      <c r="E39" s="904" t="n">
        <v>899.25</v>
      </c>
      <c r="F39" s="903" t="s">
        <v>725</v>
      </c>
      <c r="G39" s="903" t="s">
        <v>725</v>
      </c>
      <c r="H39" s="903" t="s">
        <v>725</v>
      </c>
      <c r="I39" s="903" t="s">
        <v>726</v>
      </c>
      <c r="J39" s="903" t="s">
        <v>727</v>
      </c>
      <c r="K39" s="869" t="s">
        <v>728</v>
      </c>
      <c r="L39" s="905"/>
    </row>
    <row r="40" customFormat="false" ht="29.25" hidden="true" customHeight="true" outlineLevel="0" collapsed="false">
      <c r="A40" s="902" t="n">
        <v>19</v>
      </c>
      <c r="B40" s="903" t="s">
        <v>729</v>
      </c>
      <c r="C40" s="903"/>
      <c r="D40" s="903" t="s">
        <v>730</v>
      </c>
      <c r="E40" s="904" t="n">
        <v>778.26</v>
      </c>
      <c r="F40" s="903" t="s">
        <v>731</v>
      </c>
      <c r="G40" s="903" t="s">
        <v>731</v>
      </c>
      <c r="H40" s="903" t="s">
        <v>731</v>
      </c>
      <c r="I40" s="903" t="s">
        <v>732</v>
      </c>
      <c r="J40" s="903" t="s">
        <v>733</v>
      </c>
      <c r="K40" s="869"/>
      <c r="L40" s="905"/>
    </row>
    <row r="41" customFormat="false" ht="29.25" hidden="true" customHeight="true" outlineLevel="0" collapsed="false">
      <c r="A41" s="902" t="n">
        <v>20</v>
      </c>
      <c r="B41" s="903" t="s">
        <v>734</v>
      </c>
      <c r="C41" s="903"/>
      <c r="D41" s="903" t="s">
        <v>735</v>
      </c>
      <c r="E41" s="904" t="n">
        <v>499.2</v>
      </c>
      <c r="F41" s="903" t="s">
        <v>736</v>
      </c>
      <c r="G41" s="903" t="s">
        <v>736</v>
      </c>
      <c r="H41" s="903" t="s">
        <v>736</v>
      </c>
      <c r="I41" s="903" t="s">
        <v>736</v>
      </c>
      <c r="J41" s="903" t="s">
        <v>737</v>
      </c>
      <c r="K41" s="869"/>
      <c r="L41" s="905"/>
    </row>
    <row r="42" customFormat="false" ht="24.75" hidden="true" customHeight="true" outlineLevel="0" collapsed="false">
      <c r="A42" s="870" t="s">
        <v>659</v>
      </c>
      <c r="B42" s="870"/>
      <c r="C42" s="870"/>
      <c r="D42" s="870"/>
      <c r="E42" s="871" t="n">
        <v>2176.71</v>
      </c>
      <c r="F42" s="906" t="s">
        <v>738</v>
      </c>
      <c r="G42" s="906" t="s">
        <v>738</v>
      </c>
      <c r="H42" s="906" t="s">
        <v>738</v>
      </c>
      <c r="I42" s="906" t="s">
        <v>739</v>
      </c>
      <c r="J42" s="906" t="s">
        <v>740</v>
      </c>
      <c r="K42" s="869"/>
      <c r="L42" s="905"/>
    </row>
    <row r="44" customFormat="false" ht="16.5" hidden="false" customHeight="false" outlineLevel="0" collapsed="false">
      <c r="J44" s="0" t="n">
        <v>1000</v>
      </c>
    </row>
    <row r="46" customFormat="false" ht="16.5" hidden="false" customHeight="false" outlineLevel="0" collapsed="false">
      <c r="B46" s="32"/>
      <c r="C46" s="37"/>
      <c r="D46" s="37" t="s">
        <v>741</v>
      </c>
      <c r="E46" s="37" t="s">
        <v>742</v>
      </c>
      <c r="F46" s="37" t="s">
        <v>743</v>
      </c>
      <c r="G46" s="37" t="s">
        <v>114</v>
      </c>
      <c r="H46" s="37" t="s">
        <v>404</v>
      </c>
      <c r="I46" s="37" t="s">
        <v>744</v>
      </c>
      <c r="J46" s="37" t="s">
        <v>109</v>
      </c>
    </row>
    <row r="47" customFormat="false" ht="16.5" hidden="false" customHeight="false" outlineLevel="0" collapsed="false">
      <c r="B47" s="907" t="s">
        <v>178</v>
      </c>
      <c r="C47" s="908" t="n">
        <v>999.24</v>
      </c>
      <c r="D47" s="909" t="n">
        <v>350000000</v>
      </c>
      <c r="E47" s="909" t="n">
        <v>300000000</v>
      </c>
      <c r="F47" s="909" t="n">
        <v>200000000</v>
      </c>
      <c r="G47" s="909" t="n">
        <f aca="false">+D47*C47/$J$44</f>
        <v>349734000</v>
      </c>
      <c r="H47" s="909" t="n">
        <f aca="false">+E47*C47/$J$44</f>
        <v>299772000</v>
      </c>
      <c r="I47" s="909" t="n">
        <f aca="false">+F47*C47/$J$44</f>
        <v>199848000</v>
      </c>
      <c r="J47" s="909" t="n">
        <f aca="false">+SUM(G47:I47)</f>
        <v>849354000</v>
      </c>
    </row>
    <row r="48" customFormat="false" ht="16.5" hidden="false" customHeight="false" outlineLevel="0" collapsed="false">
      <c r="B48" s="907" t="s">
        <v>179</v>
      </c>
      <c r="C48" s="908" t="n">
        <v>399.04</v>
      </c>
      <c r="D48" s="909" t="n">
        <v>350000000</v>
      </c>
      <c r="E48" s="909" t="n">
        <v>300000000</v>
      </c>
      <c r="F48" s="909" t="n">
        <v>200000000</v>
      </c>
      <c r="G48" s="909" t="n">
        <f aca="false">+D48*C48/$J$44</f>
        <v>139664000</v>
      </c>
      <c r="H48" s="909" t="n">
        <f aca="false">+E48*C48/$J$44</f>
        <v>119712000</v>
      </c>
      <c r="I48" s="909" t="n">
        <f aca="false">+F48*C48/$J$44</f>
        <v>79808000</v>
      </c>
      <c r="J48" s="909" t="n">
        <f aca="false">+SUM(G48:I48)</f>
        <v>339184000</v>
      </c>
    </row>
    <row r="49" customFormat="false" ht="16.5" hidden="false" customHeight="false" outlineLevel="0" collapsed="false">
      <c r="B49" s="907" t="s">
        <v>180</v>
      </c>
      <c r="C49" s="908" t="n">
        <v>499.96</v>
      </c>
      <c r="D49" s="909" t="n">
        <v>350000000</v>
      </c>
      <c r="E49" s="909" t="n">
        <v>300000000</v>
      </c>
      <c r="F49" s="909" t="n">
        <v>200000000</v>
      </c>
      <c r="G49" s="909" t="n">
        <f aca="false">+D49*C49/$J$44</f>
        <v>174986000</v>
      </c>
      <c r="H49" s="909" t="n">
        <f aca="false">+E49*C49/$J$44</f>
        <v>149988000</v>
      </c>
      <c r="I49" s="909" t="n">
        <f aca="false">+F49*C49/$J$44</f>
        <v>99992000</v>
      </c>
      <c r="J49" s="909" t="n">
        <f aca="false">+SUM(G49:I49)</f>
        <v>424966000</v>
      </c>
    </row>
    <row r="50" customFormat="false" ht="16.5" hidden="false" customHeight="false" outlineLevel="0" collapsed="false">
      <c r="B50" s="907" t="s">
        <v>181</v>
      </c>
      <c r="C50" s="908" t="n">
        <v>499.96</v>
      </c>
      <c r="D50" s="909" t="n">
        <v>350000000</v>
      </c>
      <c r="E50" s="909" t="n">
        <v>300000000</v>
      </c>
      <c r="F50" s="909" t="n">
        <v>200000000</v>
      </c>
      <c r="G50" s="909" t="n">
        <f aca="false">+D50*C50/$J$44</f>
        <v>174986000</v>
      </c>
      <c r="H50" s="909" t="n">
        <f aca="false">+E50*C50/$J$44</f>
        <v>149988000</v>
      </c>
      <c r="I50" s="909" t="n">
        <f aca="false">+F50*C50/$J$44</f>
        <v>99992000</v>
      </c>
      <c r="J50" s="909" t="n">
        <f aca="false">+SUM(G50:I50)</f>
        <v>424966000</v>
      </c>
    </row>
    <row r="51" customFormat="false" ht="16.5" hidden="false" customHeight="false" outlineLevel="0" collapsed="false">
      <c r="B51" s="907" t="s">
        <v>182</v>
      </c>
      <c r="C51" s="908" t="n">
        <v>149.64</v>
      </c>
      <c r="D51" s="909" t="n">
        <v>350000000</v>
      </c>
      <c r="E51" s="909" t="n">
        <v>300000000</v>
      </c>
      <c r="F51" s="909" t="n">
        <v>200000000</v>
      </c>
      <c r="G51" s="909" t="n">
        <f aca="false">+D51*C51/$J$44</f>
        <v>52374000</v>
      </c>
      <c r="H51" s="909" t="n">
        <f aca="false">+E51*C51/$J$44</f>
        <v>44892000</v>
      </c>
      <c r="I51" s="909" t="n">
        <f aca="false">+F51*C51/$J$44</f>
        <v>29928000</v>
      </c>
      <c r="J51" s="909" t="n">
        <f aca="false">+SUM(G51:I51)</f>
        <v>127194000</v>
      </c>
    </row>
    <row r="52" customFormat="false" ht="16.5" hidden="false" customHeight="false" outlineLevel="0" collapsed="false">
      <c r="B52" s="907" t="s">
        <v>183</v>
      </c>
      <c r="C52" s="908" t="n">
        <v>299.28</v>
      </c>
      <c r="D52" s="909" t="n">
        <v>350000000</v>
      </c>
      <c r="E52" s="909" t="n">
        <v>300000000</v>
      </c>
      <c r="F52" s="909" t="n">
        <v>200000000</v>
      </c>
      <c r="G52" s="909" t="n">
        <f aca="false">+D52*C52/$J$44</f>
        <v>104748000</v>
      </c>
      <c r="H52" s="909" t="n">
        <f aca="false">+E52*C52/$J$44</f>
        <v>89784000</v>
      </c>
      <c r="I52" s="909" t="n">
        <f aca="false">+F52*C52/$J$44</f>
        <v>59856000</v>
      </c>
      <c r="J52" s="909" t="n">
        <f aca="false">+SUM(G52:I52)</f>
        <v>254388000</v>
      </c>
    </row>
    <row r="53" customFormat="false" ht="16.5" hidden="false" customHeight="false" outlineLevel="0" collapsed="false">
      <c r="B53" s="32"/>
      <c r="C53" s="37"/>
      <c r="D53" s="909"/>
      <c r="E53" s="909"/>
      <c r="F53" s="909"/>
      <c r="G53" s="909" t="n">
        <f aca="false">+D53*C53/$J$44</f>
        <v>0</v>
      </c>
      <c r="H53" s="909" t="n">
        <f aca="false">+E53*C53/$J$44</f>
        <v>0</v>
      </c>
      <c r="I53" s="909" t="n">
        <f aca="false">+F53*C53/$J$44</f>
        <v>0</v>
      </c>
      <c r="J53" s="909" t="n">
        <f aca="false">+SUM(G53:I53)</f>
        <v>0</v>
      </c>
    </row>
    <row r="54" customFormat="false" ht="16.5" hidden="false" customHeight="false" outlineLevel="0" collapsed="false">
      <c r="B54" s="897" t="s">
        <v>745</v>
      </c>
      <c r="C54" s="910" t="n">
        <v>993.6</v>
      </c>
      <c r="D54" s="909" t="n">
        <v>150000000</v>
      </c>
      <c r="E54" s="909" t="n">
        <v>300000000</v>
      </c>
      <c r="F54" s="909" t="n">
        <v>200000000</v>
      </c>
      <c r="G54" s="909" t="n">
        <f aca="false">+D54*C54/$J$44</f>
        <v>149040000</v>
      </c>
      <c r="H54" s="909" t="n">
        <f aca="false">+E54*C54/$J$44</f>
        <v>298080000</v>
      </c>
      <c r="I54" s="909" t="n">
        <f aca="false">+F54*C54/$J$44</f>
        <v>198720000</v>
      </c>
      <c r="J54" s="909" t="n">
        <f aca="false">+SUM(G54:I54)</f>
        <v>645840000</v>
      </c>
    </row>
    <row r="55" customFormat="false" ht="16.5" hidden="false" customHeight="false" outlineLevel="0" collapsed="false">
      <c r="B55" s="897" t="s">
        <v>746</v>
      </c>
      <c r="C55" s="910" t="n">
        <v>993.6</v>
      </c>
      <c r="D55" s="909" t="n">
        <v>150000000</v>
      </c>
      <c r="E55" s="909" t="n">
        <v>300000000</v>
      </c>
      <c r="F55" s="909" t="n">
        <v>200000000</v>
      </c>
      <c r="G55" s="909" t="n">
        <f aca="false">+D55*C55/$J$44</f>
        <v>149040000</v>
      </c>
      <c r="H55" s="909" t="n">
        <f aca="false">+E55*C55/$J$44</f>
        <v>298080000</v>
      </c>
      <c r="I55" s="909" t="n">
        <f aca="false">+F55*C55/$J$44</f>
        <v>198720000</v>
      </c>
      <c r="J55" s="909" t="n">
        <f aca="false">+SUM(G55:I55)</f>
        <v>645840000</v>
      </c>
    </row>
    <row r="56" customFormat="false" ht="16.5" hidden="false" customHeight="false" outlineLevel="0" collapsed="false">
      <c r="B56" s="897" t="s">
        <v>747</v>
      </c>
      <c r="C56" s="910" t="n">
        <v>993.6</v>
      </c>
      <c r="D56" s="909" t="n">
        <v>150000000</v>
      </c>
      <c r="E56" s="909" t="n">
        <v>300000000</v>
      </c>
      <c r="F56" s="909" t="n">
        <v>200000000</v>
      </c>
      <c r="G56" s="909" t="n">
        <f aca="false">+D56*C56/$J$44</f>
        <v>149040000</v>
      </c>
      <c r="H56" s="909" t="n">
        <f aca="false">+E56*C56/$J$44</f>
        <v>298080000</v>
      </c>
      <c r="I56" s="909" t="n">
        <f aca="false">+F56*C56/$J$44</f>
        <v>198720000</v>
      </c>
      <c r="J56" s="909" t="n">
        <f aca="false">+SUM(G56:I56)</f>
        <v>645840000</v>
      </c>
    </row>
    <row r="57" customFormat="false" ht="16.5" hidden="false" customHeight="false" outlineLevel="0" collapsed="false">
      <c r="B57" s="897" t="s">
        <v>748</v>
      </c>
      <c r="C57" s="910" t="n">
        <v>993.6</v>
      </c>
      <c r="D57" s="909" t="n">
        <v>150000000</v>
      </c>
      <c r="E57" s="909" t="n">
        <v>300000000</v>
      </c>
      <c r="F57" s="909" t="n">
        <v>200000000</v>
      </c>
      <c r="G57" s="909" t="n">
        <f aca="false">+D57*C57/$J$44</f>
        <v>149040000</v>
      </c>
      <c r="H57" s="909" t="n">
        <f aca="false">+E57*C57/$J$44</f>
        <v>298080000</v>
      </c>
      <c r="I57" s="909" t="n">
        <f aca="false">+F57*C57/$J$44</f>
        <v>198720000</v>
      </c>
      <c r="J57" s="909" t="n">
        <f aca="false">+SUM(G57:I57)</f>
        <v>645840000</v>
      </c>
    </row>
    <row r="58" customFormat="false" ht="16.5" hidden="false" customHeight="false" outlineLevel="0" collapsed="false">
      <c r="B58" s="32"/>
      <c r="C58" s="32"/>
      <c r="D58" s="32"/>
      <c r="E58" s="37"/>
      <c r="F58" s="32"/>
      <c r="G58" s="911" t="n">
        <f aca="false">SUM(G47:G57)</f>
        <v>1592652000</v>
      </c>
      <c r="H58" s="911" t="n">
        <f aca="false">SUM(H47:H57)</f>
        <v>2046456000</v>
      </c>
      <c r="I58" s="911" t="n">
        <f aca="false">SUM(I47:I57)</f>
        <v>1364304000</v>
      </c>
      <c r="J58" s="911" t="n">
        <f aca="false">SUM(J47:J57)</f>
        <v>5003412000</v>
      </c>
    </row>
  </sheetData>
  <mergeCells count="43">
    <mergeCell ref="A1:J1"/>
    <mergeCell ref="A4:A6"/>
    <mergeCell ref="B4:B6"/>
    <mergeCell ref="D4:D6"/>
    <mergeCell ref="E4:E6"/>
    <mergeCell ref="F4:J4"/>
    <mergeCell ref="K4:K6"/>
    <mergeCell ref="L4:L6"/>
    <mergeCell ref="K7:K13"/>
    <mergeCell ref="L7:L13"/>
    <mergeCell ref="A13:D13"/>
    <mergeCell ref="A15:A17"/>
    <mergeCell ref="B15:B17"/>
    <mergeCell ref="D15:D17"/>
    <mergeCell ref="E15:E17"/>
    <mergeCell ref="F15:J15"/>
    <mergeCell ref="K15:K17"/>
    <mergeCell ref="K18:K25"/>
    <mergeCell ref="A25:D25"/>
    <mergeCell ref="F25:I25"/>
    <mergeCell ref="A27:A29"/>
    <mergeCell ref="B27:B29"/>
    <mergeCell ref="D27:D29"/>
    <mergeCell ref="E27:E29"/>
    <mergeCell ref="F27:J27"/>
    <mergeCell ref="K27:K29"/>
    <mergeCell ref="L27:L29"/>
    <mergeCell ref="F30:I30"/>
    <mergeCell ref="K30:K34"/>
    <mergeCell ref="L30:L34"/>
    <mergeCell ref="F31:I31"/>
    <mergeCell ref="F32:I32"/>
    <mergeCell ref="F33:I33"/>
    <mergeCell ref="A34:D34"/>
    <mergeCell ref="F34:I34"/>
    <mergeCell ref="A36:A38"/>
    <mergeCell ref="B36:B38"/>
    <mergeCell ref="D36:D38"/>
    <mergeCell ref="E36:E38"/>
    <mergeCell ref="F36:J36"/>
    <mergeCell ref="K36:K38"/>
    <mergeCell ref="K39:K42"/>
    <mergeCell ref="A42:D4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AW228"/>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5" ySplit="2" topLeftCell="G81" activePane="bottomRight" state="frozen"/>
      <selection pane="topLeft" activeCell="A1" activeCellId="0" sqref="A1"/>
      <selection pane="topRight" activeCell="G1" activeCellId="0" sqref="G1"/>
      <selection pane="bottomLeft" activeCell="A81" activeCellId="0" sqref="A81"/>
      <selection pane="bottomRight" activeCell="L96" activeCellId="0" sqref="L96"/>
    </sheetView>
  </sheetViews>
  <sheetFormatPr defaultColWidth="14.25390625" defaultRowHeight="16.5" zeroHeight="false" outlineLevelRow="1" outlineLevelCol="2"/>
  <cols>
    <col collapsed="false" customWidth="true" hidden="false" outlineLevel="0" max="1" min="1" style="912" width="17.25"/>
    <col collapsed="false" customWidth="true" hidden="false" outlineLevel="0" max="2" min="2" style="913" width="32"/>
    <col collapsed="false" customWidth="true" hidden="false" outlineLevel="1" max="3" min="3" style="914" width="28.12"/>
    <col collapsed="false" customWidth="true" hidden="false" outlineLevel="1" max="4" min="4" style="915" width="26.62"/>
    <col collapsed="false" customWidth="true" hidden="false" outlineLevel="1" max="5" min="5" style="914" width="16.63"/>
    <col collapsed="false" customWidth="true" hidden="false" outlineLevel="0" max="6" min="6" style="912" width="21.63"/>
    <col collapsed="false" customWidth="true" hidden="false" outlineLevel="0" max="7" min="7" style="912" width="9.37"/>
    <col collapsed="false" customWidth="true" hidden="false" outlineLevel="0" max="10" min="8" style="912" width="8"/>
    <col collapsed="false" customWidth="true" hidden="false" outlineLevel="0" max="11" min="11" style="916" width="10.62"/>
    <col collapsed="false" customWidth="true" hidden="false" outlineLevel="0" max="12" min="12" style="917" width="5.88"/>
    <col collapsed="false" customWidth="true" hidden="false" outlineLevel="0" max="13" min="13" style="918" width="5.12"/>
    <col collapsed="false" customWidth="true" hidden="false" outlineLevel="1" max="14" min="14" style="912" width="12.12"/>
    <col collapsed="false" customWidth="true" hidden="false" outlineLevel="0" max="15" min="15" style="919" width="9.88"/>
    <col collapsed="false" customWidth="true" hidden="true" outlineLevel="0" max="16" min="16" style="920" width="8.63"/>
    <col collapsed="false" customWidth="true" hidden="false" outlineLevel="0" max="17" min="17" style="920" width="10.12"/>
    <col collapsed="false" customWidth="true" hidden="true" outlineLevel="2" max="18" min="18" style="912" width="9.62"/>
    <col collapsed="false" customWidth="true" hidden="true" outlineLevel="2" max="19" min="19" style="912" width="8.88"/>
    <col collapsed="true" customWidth="true" hidden="true" outlineLevel="1" max="20" min="20" style="912" width="10.75"/>
    <col collapsed="false" customWidth="true" hidden="false" outlineLevel="0" max="21" min="21" style="920" width="4"/>
    <col collapsed="false" customWidth="true" hidden="false" outlineLevel="0" max="22" min="22" style="921" width="12.75"/>
    <col collapsed="false" customWidth="true" hidden="false" outlineLevel="0" max="23" min="23" style="912" width="6.12"/>
    <col collapsed="false" customWidth="true" hidden="false" outlineLevel="1" max="24" min="24" style="922" width="17.88"/>
    <col collapsed="false" customWidth="true" hidden="false" outlineLevel="0" max="25" min="25" style="923" width="18.63"/>
    <col collapsed="false" customWidth="true" hidden="false" outlineLevel="0" max="28" min="26" style="912" width="9.62"/>
    <col collapsed="false" customWidth="true" hidden="false" outlineLevel="0" max="29" min="29" style="924" width="29.25"/>
    <col collapsed="false" customWidth="true" hidden="false" outlineLevel="0" max="30" min="30" style="925" width="10.12"/>
    <col collapsed="false" customWidth="true" hidden="true" outlineLevel="1" max="31" min="31" style="912" width="11.62"/>
    <col collapsed="false" customWidth="true" hidden="false" outlineLevel="0" max="32" min="32" style="925" width="11"/>
    <col collapsed="false" customWidth="true" hidden="false" outlineLevel="0" max="33" min="33" style="925" width="10.25"/>
    <col collapsed="false" customWidth="true" hidden="false" outlineLevel="0" max="34" min="34" style="926" width="10.62"/>
    <col collapsed="false" customWidth="true" hidden="false" outlineLevel="0" max="35" min="35" style="927" width="13.5"/>
    <col collapsed="false" customWidth="true" hidden="false" outlineLevel="0" max="37" min="36" style="925" width="13.5"/>
    <col collapsed="false" customWidth="true" hidden="false" outlineLevel="0" max="38" min="38" style="925" width="14.88"/>
    <col collapsed="false" customWidth="true" hidden="false" outlineLevel="0" max="39" min="39" style="928" width="93"/>
    <col collapsed="false" customWidth="true" hidden="false" outlineLevel="0" max="40" min="40" style="914" width="55.37"/>
    <col collapsed="false" customWidth="true" hidden="false" outlineLevel="0" max="41" min="41" style="929" width="15.37"/>
    <col collapsed="false" customWidth="false" hidden="false" outlineLevel="0" max="16384" min="42" style="914" width="14.25"/>
  </cols>
  <sheetData>
    <row r="1" customFormat="false" ht="41.25" hidden="false" customHeight="true" outlineLevel="0" collapsed="false">
      <c r="A1" s="930" t="s">
        <v>749</v>
      </c>
      <c r="B1" s="931"/>
      <c r="C1" s="932"/>
      <c r="D1" s="933"/>
      <c r="E1" s="932"/>
      <c r="F1" s="934"/>
      <c r="G1" s="934"/>
      <c r="H1" s="934"/>
      <c r="I1" s="934"/>
      <c r="J1" s="934"/>
      <c r="K1" s="935"/>
      <c r="L1" s="936"/>
      <c r="M1" s="937"/>
      <c r="N1" s="934" t="s">
        <v>71</v>
      </c>
      <c r="O1" s="938"/>
      <c r="P1" s="939"/>
      <c r="Q1" s="940"/>
      <c r="R1" s="940"/>
      <c r="S1" s="940"/>
      <c r="T1" s="941"/>
      <c r="U1" s="934"/>
      <c r="V1" s="942" t="s">
        <v>750</v>
      </c>
      <c r="W1" s="943"/>
      <c r="X1" s="944"/>
      <c r="Y1" s="945" t="s">
        <v>751</v>
      </c>
      <c r="Z1" s="946" t="s">
        <v>752</v>
      </c>
      <c r="AA1" s="947" t="s">
        <v>753</v>
      </c>
      <c r="AB1" s="948"/>
      <c r="AC1" s="949"/>
      <c r="AD1" s="950"/>
      <c r="AE1" s="951"/>
      <c r="AF1" s="952" t="s">
        <v>754</v>
      </c>
      <c r="AG1" s="952"/>
      <c r="AH1" s="952"/>
      <c r="AI1" s="952"/>
      <c r="AJ1" s="952"/>
      <c r="AK1" s="952"/>
      <c r="AL1" s="952"/>
      <c r="AM1" s="953"/>
    </row>
    <row r="2" s="962" customFormat="true" ht="48.75" hidden="false" customHeight="true" outlineLevel="0" collapsed="false">
      <c r="A2" s="954" t="s">
        <v>755</v>
      </c>
      <c r="B2" s="955" t="s">
        <v>756</v>
      </c>
      <c r="C2" s="955" t="s">
        <v>757</v>
      </c>
      <c r="D2" s="955" t="s">
        <v>758</v>
      </c>
      <c r="E2" s="955" t="s">
        <v>759</v>
      </c>
      <c r="F2" s="955" t="s">
        <v>96</v>
      </c>
      <c r="G2" s="955" t="s">
        <v>760</v>
      </c>
      <c r="H2" s="955" t="s">
        <v>761</v>
      </c>
      <c r="I2" s="955" t="s">
        <v>762</v>
      </c>
      <c r="J2" s="955" t="s">
        <v>763</v>
      </c>
      <c r="K2" s="955" t="s">
        <v>764</v>
      </c>
      <c r="L2" s="955" t="s">
        <v>765</v>
      </c>
      <c r="M2" s="955"/>
      <c r="N2" s="956" t="s">
        <v>766</v>
      </c>
      <c r="O2" s="957" t="s">
        <v>767</v>
      </c>
      <c r="P2" s="955" t="s">
        <v>768</v>
      </c>
      <c r="Q2" s="955" t="s">
        <v>769</v>
      </c>
      <c r="R2" s="958" t="s">
        <v>770</v>
      </c>
      <c r="S2" s="958" t="s">
        <v>771</v>
      </c>
      <c r="T2" s="955" t="s">
        <v>772</v>
      </c>
      <c r="U2" s="955" t="s">
        <v>773</v>
      </c>
      <c r="V2" s="959" t="s">
        <v>774</v>
      </c>
      <c r="W2" s="960" t="s">
        <v>775</v>
      </c>
      <c r="X2" s="955" t="s">
        <v>776</v>
      </c>
      <c r="Y2" s="955" t="s">
        <v>777</v>
      </c>
      <c r="Z2" s="955" t="s">
        <v>778</v>
      </c>
      <c r="AA2" s="955" t="s">
        <v>779</v>
      </c>
      <c r="AB2" s="955" t="s">
        <v>780</v>
      </c>
      <c r="AC2" s="955" t="s">
        <v>781</v>
      </c>
      <c r="AD2" s="955" t="s">
        <v>487</v>
      </c>
      <c r="AE2" s="955" t="s">
        <v>782</v>
      </c>
      <c r="AF2" s="955" t="s">
        <v>783</v>
      </c>
      <c r="AG2" s="955" t="s">
        <v>784</v>
      </c>
      <c r="AH2" s="955" t="s">
        <v>785</v>
      </c>
      <c r="AI2" s="955" t="s">
        <v>508</v>
      </c>
      <c r="AJ2" s="955" t="s">
        <v>786</v>
      </c>
      <c r="AK2" s="955" t="s">
        <v>787</v>
      </c>
      <c r="AL2" s="955" t="s">
        <v>571</v>
      </c>
      <c r="AM2" s="961" t="s">
        <v>216</v>
      </c>
      <c r="AN2" s="914"/>
      <c r="AO2" s="929"/>
      <c r="AP2" s="914"/>
      <c r="AQ2" s="914"/>
      <c r="AR2" s="914"/>
      <c r="AS2" s="914"/>
      <c r="AT2" s="914"/>
      <c r="AU2" s="914"/>
      <c r="AV2" s="914"/>
      <c r="AW2" s="914"/>
    </row>
    <row r="3" customFormat="false" ht="16.5" hidden="false" customHeight="true" outlineLevel="0" collapsed="false">
      <c r="A3" s="963"/>
      <c r="B3" s="964" t="s">
        <v>788</v>
      </c>
      <c r="C3" s="965" t="s">
        <v>789</v>
      </c>
      <c r="D3" s="966" t="s">
        <v>790</v>
      </c>
      <c r="E3" s="967" t="s">
        <v>791</v>
      </c>
      <c r="F3" s="968" t="s">
        <v>792</v>
      </c>
      <c r="G3" s="969" t="s">
        <v>793</v>
      </c>
      <c r="H3" s="970" t="n">
        <v>0.0897</v>
      </c>
      <c r="I3" s="970" t="n">
        <v>0.092</v>
      </c>
      <c r="J3" s="970" t="n">
        <v>0.093</v>
      </c>
      <c r="K3" s="971" t="n">
        <v>425.22</v>
      </c>
      <c r="L3" s="972" t="n">
        <v>1405</v>
      </c>
      <c r="M3" s="973" t="n">
        <f aca="false">L3/365</f>
        <v>3.84931506849315</v>
      </c>
      <c r="N3" s="974" t="n">
        <v>45623</v>
      </c>
      <c r="O3" s="975" t="n">
        <v>319.2</v>
      </c>
      <c r="P3" s="976"/>
      <c r="Q3" s="977" t="n">
        <v>45816</v>
      </c>
      <c r="R3" s="976"/>
      <c r="S3" s="978"/>
      <c r="T3" s="977" t="n">
        <f aca="false">+EDATE(Q3,6)</f>
        <v>45999</v>
      </c>
      <c r="U3" s="979" t="n">
        <v>1</v>
      </c>
      <c r="V3" s="980" t="n">
        <f aca="false">+O3*40000000/1000</f>
        <v>12768000</v>
      </c>
      <c r="W3" s="981" t="n">
        <v>6</v>
      </c>
      <c r="X3" s="968" t="s">
        <v>794</v>
      </c>
      <c r="Y3" s="982" t="s">
        <v>795</v>
      </c>
      <c r="Z3" s="983" t="n">
        <v>46258</v>
      </c>
      <c r="AA3" s="979" t="s">
        <v>795</v>
      </c>
      <c r="AB3" s="983" t="n">
        <v>46310</v>
      </c>
      <c r="AC3" s="984" t="s">
        <v>796</v>
      </c>
      <c r="AD3" s="985" t="s">
        <v>505</v>
      </c>
      <c r="AE3" s="986" t="n">
        <v>1700</v>
      </c>
      <c r="AF3" s="987" t="n">
        <v>40000</v>
      </c>
      <c r="AG3" s="988" t="n">
        <f aca="false">40000000*O3/1000</f>
        <v>12768000</v>
      </c>
      <c r="AH3" s="989" t="n">
        <v>7</v>
      </c>
      <c r="AI3" s="990" t="n">
        <f aca="false">AG3*AH3</f>
        <v>89376000</v>
      </c>
      <c r="AJ3" s="988" t="n">
        <f aca="false">200000000*O3/1000</f>
        <v>63840000</v>
      </c>
      <c r="AK3" s="988" t="n">
        <f aca="false">300000000*O3/1000</f>
        <v>95760000</v>
      </c>
      <c r="AL3" s="988" t="n">
        <f aca="false">1050000000*O3/1000</f>
        <v>335160000</v>
      </c>
      <c r="AM3" s="991" t="s">
        <v>797</v>
      </c>
      <c r="AO3" s="929" t="n">
        <f aca="false">(AJ3/O3)*1000</f>
        <v>200000000</v>
      </c>
    </row>
    <row r="4" customFormat="false" ht="17.25" hidden="false" customHeight="true" outlineLevel="0" collapsed="false">
      <c r="A4" s="992"/>
      <c r="B4" s="993" t="s">
        <v>798</v>
      </c>
      <c r="C4" s="965" t="s">
        <v>799</v>
      </c>
      <c r="D4" s="966" t="s">
        <v>800</v>
      </c>
      <c r="E4" s="967" t="s">
        <v>801</v>
      </c>
      <c r="F4" s="968" t="s">
        <v>792</v>
      </c>
      <c r="G4" s="994" t="s">
        <v>802</v>
      </c>
      <c r="H4" s="970" t="n">
        <v>0.0891</v>
      </c>
      <c r="I4" s="970" t="n">
        <v>0.092</v>
      </c>
      <c r="J4" s="970" t="n">
        <v>0.093</v>
      </c>
      <c r="K4" s="995" t="n">
        <v>768.88</v>
      </c>
      <c r="L4" s="972" t="n">
        <v>1408</v>
      </c>
      <c r="M4" s="973" t="n">
        <f aca="false">L4/365</f>
        <v>3.85753424657534</v>
      </c>
      <c r="N4" s="974" t="n">
        <v>45670</v>
      </c>
      <c r="O4" s="996" t="n">
        <v>515.62</v>
      </c>
      <c r="P4" s="976"/>
      <c r="Q4" s="977" t="n">
        <v>45816</v>
      </c>
      <c r="R4" s="976"/>
      <c r="S4" s="978"/>
      <c r="T4" s="977" t="n">
        <f aca="false">+EDATE(Q4,6)</f>
        <v>45999</v>
      </c>
      <c r="U4" s="979" t="n">
        <v>1</v>
      </c>
      <c r="V4" s="980" t="n">
        <f aca="false">+O4*40000000/1000</f>
        <v>20624800</v>
      </c>
      <c r="W4" s="981" t="n">
        <v>6</v>
      </c>
      <c r="X4" s="968" t="s">
        <v>302</v>
      </c>
      <c r="Y4" s="982" t="s">
        <v>795</v>
      </c>
      <c r="Z4" s="983" t="n">
        <v>46316</v>
      </c>
      <c r="AA4" s="979" t="s">
        <v>362</v>
      </c>
      <c r="AB4" s="979" t="s">
        <v>362</v>
      </c>
      <c r="AC4" s="984" t="s">
        <v>803</v>
      </c>
      <c r="AD4" s="985" t="s">
        <v>505</v>
      </c>
      <c r="AE4" s="986" t="n">
        <v>4086</v>
      </c>
      <c r="AF4" s="987" t="n">
        <v>40000</v>
      </c>
      <c r="AG4" s="988" t="n">
        <f aca="false">40000000*O4/1000</f>
        <v>20624800</v>
      </c>
      <c r="AH4" s="997" t="n">
        <v>5</v>
      </c>
      <c r="AI4" s="990" t="n">
        <f aca="false">AG4*AH4</f>
        <v>103124000</v>
      </c>
      <c r="AJ4" s="988" t="n">
        <f aca="false">200000000*O4/1000</f>
        <v>103124000</v>
      </c>
      <c r="AK4" s="988" t="n">
        <f aca="false">300000000*O4/1000</f>
        <v>154686000</v>
      </c>
      <c r="AL4" s="988" t="n">
        <f aca="false">1050000000*O4/1000</f>
        <v>541401000</v>
      </c>
      <c r="AM4" s="991" t="s">
        <v>804</v>
      </c>
      <c r="AO4" s="929" t="n">
        <f aca="false">(AJ4/O4)*1000</f>
        <v>200000000</v>
      </c>
    </row>
    <row r="5" customFormat="false" ht="17.25" hidden="false" customHeight="true" outlineLevel="0" collapsed="false">
      <c r="A5" s="992"/>
      <c r="B5" s="993" t="s">
        <v>805</v>
      </c>
      <c r="C5" s="965" t="s">
        <v>806</v>
      </c>
      <c r="D5" s="998" t="s">
        <v>807</v>
      </c>
      <c r="E5" s="967" t="s">
        <v>808</v>
      </c>
      <c r="F5" s="968" t="s">
        <v>792</v>
      </c>
      <c r="G5" s="994" t="s">
        <v>809</v>
      </c>
      <c r="H5" s="970" t="n">
        <v>0.0963</v>
      </c>
      <c r="I5" s="970" t="n">
        <v>0.092</v>
      </c>
      <c r="J5" s="970" t="n">
        <v>0.093</v>
      </c>
      <c r="K5" s="995" t="n">
        <v>220.62</v>
      </c>
      <c r="L5" s="972" t="n">
        <v>1448</v>
      </c>
      <c r="M5" s="973" t="n">
        <f aca="false">L5/365</f>
        <v>3.96712328767123</v>
      </c>
      <c r="N5" s="974" t="n">
        <v>45674</v>
      </c>
      <c r="O5" s="996" t="n">
        <v>148.59</v>
      </c>
      <c r="P5" s="976"/>
      <c r="Q5" s="977" t="n">
        <v>45816</v>
      </c>
      <c r="R5" s="976"/>
      <c r="S5" s="978"/>
      <c r="T5" s="977" t="n">
        <f aca="false">+EDATE(Q5,6)</f>
        <v>45999</v>
      </c>
      <c r="U5" s="979" t="n">
        <v>1</v>
      </c>
      <c r="V5" s="980" t="n">
        <f aca="false">+O5*40000000/1000</f>
        <v>5943600</v>
      </c>
      <c r="W5" s="981" t="n">
        <v>6</v>
      </c>
      <c r="X5" s="968" t="s">
        <v>810</v>
      </c>
      <c r="Y5" s="999" t="s">
        <v>795</v>
      </c>
      <c r="Z5" s="983" t="n">
        <v>46296</v>
      </c>
      <c r="AA5" s="979" t="s">
        <v>362</v>
      </c>
      <c r="AB5" s="979" t="s">
        <v>362</v>
      </c>
      <c r="AC5" s="984" t="s">
        <v>811</v>
      </c>
      <c r="AD5" s="985" t="s">
        <v>505</v>
      </c>
      <c r="AE5" s="986" t="n">
        <v>654</v>
      </c>
      <c r="AF5" s="987" t="n">
        <v>40000</v>
      </c>
      <c r="AG5" s="988" t="n">
        <f aca="false">40000000*O5/1000</f>
        <v>5943600</v>
      </c>
      <c r="AH5" s="997" t="n">
        <v>5</v>
      </c>
      <c r="AI5" s="990" t="n">
        <f aca="false">AG5*AH5</f>
        <v>29718000</v>
      </c>
      <c r="AJ5" s="988" t="n">
        <f aca="false">200000000*O5/1000</f>
        <v>29718000</v>
      </c>
      <c r="AK5" s="988" t="n">
        <f aca="false">300000000*O5/1000</f>
        <v>44577000</v>
      </c>
      <c r="AL5" s="988" t="n">
        <f aca="false">1050000000*O5/1000</f>
        <v>156019500</v>
      </c>
      <c r="AM5" s="991" t="s">
        <v>812</v>
      </c>
      <c r="AO5" s="929" t="n">
        <f aca="false">(AJ5/O5)*1000</f>
        <v>200000000</v>
      </c>
    </row>
    <row r="6" customFormat="false" ht="17.25" hidden="false" customHeight="true" outlineLevel="0" collapsed="false">
      <c r="A6" s="992"/>
      <c r="B6" s="993" t="s">
        <v>813</v>
      </c>
      <c r="C6" s="965" t="s">
        <v>814</v>
      </c>
      <c r="D6" s="1000" t="s">
        <v>815</v>
      </c>
      <c r="E6" s="967" t="s">
        <v>816</v>
      </c>
      <c r="F6" s="968" t="s">
        <v>792</v>
      </c>
      <c r="G6" s="994" t="s">
        <v>809</v>
      </c>
      <c r="H6" s="970" t="n">
        <v>0.0865</v>
      </c>
      <c r="I6" s="970" t="n">
        <v>0.092</v>
      </c>
      <c r="J6" s="970" t="n">
        <v>0.093</v>
      </c>
      <c r="K6" s="995" t="n">
        <v>156.56</v>
      </c>
      <c r="L6" s="972" t="n">
        <v>1431</v>
      </c>
      <c r="M6" s="973" t="n">
        <f aca="false">L6/365</f>
        <v>3.92054794520548</v>
      </c>
      <c r="N6" s="974" t="n">
        <v>45674</v>
      </c>
      <c r="O6" s="975" t="n">
        <v>110.08</v>
      </c>
      <c r="P6" s="976"/>
      <c r="Q6" s="977" t="n">
        <v>45848</v>
      </c>
      <c r="R6" s="976"/>
      <c r="S6" s="978"/>
      <c r="T6" s="977" t="n">
        <f aca="false">+EDATE(Q6,6)</f>
        <v>46032</v>
      </c>
      <c r="U6" s="979" t="n">
        <v>1</v>
      </c>
      <c r="V6" s="980" t="n">
        <f aca="false">+O6*40000000/1000</f>
        <v>4403200</v>
      </c>
      <c r="W6" s="981" t="n">
        <v>6</v>
      </c>
      <c r="X6" s="968" t="s">
        <v>817</v>
      </c>
      <c r="Y6" s="982" t="s">
        <v>795</v>
      </c>
      <c r="Z6" s="1001" t="s">
        <v>818</v>
      </c>
      <c r="AA6" s="979" t="s">
        <v>362</v>
      </c>
      <c r="AB6" s="979" t="s">
        <v>362</v>
      </c>
      <c r="AC6" s="984" t="s">
        <v>819</v>
      </c>
      <c r="AD6" s="985" t="s">
        <v>505</v>
      </c>
      <c r="AE6" s="986" t="n">
        <f aca="false">334.44+495</f>
        <v>829.44</v>
      </c>
      <c r="AF6" s="987" t="n">
        <v>40000</v>
      </c>
      <c r="AG6" s="988" t="n">
        <f aca="false">40000000*O6/1000</f>
        <v>4403200</v>
      </c>
      <c r="AH6" s="997" t="n">
        <v>5</v>
      </c>
      <c r="AI6" s="990" t="n">
        <f aca="false">AG6*AH6</f>
        <v>22016000</v>
      </c>
      <c r="AJ6" s="988" t="n">
        <f aca="false">200000000*O6/1000</f>
        <v>22016000</v>
      </c>
      <c r="AK6" s="988" t="n">
        <f aca="false">300000000*O6/1000</f>
        <v>33024000</v>
      </c>
      <c r="AL6" s="988" t="n">
        <f aca="false">1050000000*O6/1000</f>
        <v>115584000</v>
      </c>
      <c r="AM6" s="1002" t="s">
        <v>820</v>
      </c>
      <c r="AO6" s="929" t="n">
        <f aca="false">(AJ6/O6)*1000</f>
        <v>200000000</v>
      </c>
    </row>
    <row r="7" customFormat="false" ht="17.25" hidden="false" customHeight="true" outlineLevel="0" collapsed="false">
      <c r="A7" s="992"/>
      <c r="B7" s="993" t="s">
        <v>821</v>
      </c>
      <c r="C7" s="965" t="s">
        <v>822</v>
      </c>
      <c r="D7" s="1003" t="s">
        <v>823</v>
      </c>
      <c r="E7" s="967" t="s">
        <v>824</v>
      </c>
      <c r="F7" s="968" t="s">
        <v>825</v>
      </c>
      <c r="G7" s="994" t="s">
        <v>826</v>
      </c>
      <c r="H7" s="970" t="n">
        <v>0.0914</v>
      </c>
      <c r="I7" s="970" t="n">
        <v>0.092</v>
      </c>
      <c r="J7" s="970" t="n">
        <v>0.093</v>
      </c>
      <c r="K7" s="995" t="n">
        <v>200.252</v>
      </c>
      <c r="L7" s="972" t="n">
        <v>1394</v>
      </c>
      <c r="M7" s="973" t="n">
        <f aca="false">L7/365</f>
        <v>3.81917808219178</v>
      </c>
      <c r="N7" s="974" t="n">
        <v>45615</v>
      </c>
      <c r="O7" s="975" t="n">
        <v>144.15</v>
      </c>
      <c r="P7" s="1001"/>
      <c r="Q7" s="977" t="n">
        <v>45848</v>
      </c>
      <c r="R7" s="1001"/>
      <c r="S7" s="978"/>
      <c r="T7" s="977" t="n">
        <f aca="false">+EDATE(Q7,6)</f>
        <v>46032</v>
      </c>
      <c r="U7" s="979" t="n">
        <v>1</v>
      </c>
      <c r="V7" s="980" t="n">
        <f aca="false">+O7*40000000/1000</f>
        <v>5766000</v>
      </c>
      <c r="W7" s="981" t="n">
        <v>6</v>
      </c>
      <c r="X7" s="968" t="s">
        <v>302</v>
      </c>
      <c r="Y7" s="982" t="s">
        <v>795</v>
      </c>
      <c r="Z7" s="979" t="s">
        <v>362</v>
      </c>
      <c r="AA7" s="979" t="s">
        <v>362</v>
      </c>
      <c r="AB7" s="979" t="s">
        <v>362</v>
      </c>
      <c r="AC7" s="984" t="s">
        <v>827</v>
      </c>
      <c r="AD7" s="985" t="s">
        <v>505</v>
      </c>
      <c r="AE7" s="986" t="n">
        <v>1266.45</v>
      </c>
      <c r="AF7" s="987" t="n">
        <v>40000</v>
      </c>
      <c r="AG7" s="988" t="n">
        <f aca="false">40000000*O7/1000</f>
        <v>5766000</v>
      </c>
      <c r="AH7" s="997" t="n">
        <v>5</v>
      </c>
      <c r="AI7" s="990" t="n">
        <f aca="false">AG7*AH7</f>
        <v>28830000</v>
      </c>
      <c r="AJ7" s="988" t="n">
        <f aca="false">200000000*O7/1000</f>
        <v>28830000</v>
      </c>
      <c r="AK7" s="988" t="n">
        <f aca="false">300000000*O7/1000</f>
        <v>43245000</v>
      </c>
      <c r="AL7" s="988" t="n">
        <f aca="false">1050000000*O7/1000</f>
        <v>151357500</v>
      </c>
      <c r="AM7" s="991" t="s">
        <v>828</v>
      </c>
      <c r="AO7" s="929" t="n">
        <f aca="false">(AJ7/O7)*1000</f>
        <v>200000000</v>
      </c>
    </row>
    <row r="8" customFormat="false" ht="17.25" hidden="false" customHeight="true" outlineLevel="0" collapsed="false">
      <c r="A8" s="992"/>
      <c r="B8" s="993" t="s">
        <v>829</v>
      </c>
      <c r="C8" s="965" t="s">
        <v>830</v>
      </c>
      <c r="D8" s="1003" t="s">
        <v>831</v>
      </c>
      <c r="E8" s="967" t="s">
        <v>832</v>
      </c>
      <c r="F8" s="968" t="s">
        <v>825</v>
      </c>
      <c r="G8" s="994" t="s">
        <v>833</v>
      </c>
      <c r="H8" s="970" t="n">
        <v>0.0917</v>
      </c>
      <c r="I8" s="970" t="n">
        <v>0.092</v>
      </c>
      <c r="J8" s="970" t="n">
        <v>0.093</v>
      </c>
      <c r="K8" s="995" t="n">
        <v>154.46</v>
      </c>
      <c r="L8" s="972" t="n">
        <v>1434</v>
      </c>
      <c r="M8" s="973" t="n">
        <f aca="false">L8/365</f>
        <v>3.92876712328767</v>
      </c>
      <c r="N8" s="974" t="n">
        <v>45615</v>
      </c>
      <c r="O8" s="975" t="n">
        <v>138.43</v>
      </c>
      <c r="P8" s="1001"/>
      <c r="Q8" s="977" t="n">
        <v>45848</v>
      </c>
      <c r="R8" s="1001"/>
      <c r="S8" s="978"/>
      <c r="T8" s="977" t="n">
        <f aca="false">+EDATE(Q8,6)</f>
        <v>46032</v>
      </c>
      <c r="U8" s="979" t="n">
        <v>1</v>
      </c>
      <c r="V8" s="980" t="n">
        <f aca="false">+O8*40000000/1000</f>
        <v>5537200</v>
      </c>
      <c r="W8" s="981" t="n">
        <v>6</v>
      </c>
      <c r="X8" s="968" t="s">
        <v>302</v>
      </c>
      <c r="Y8" s="982" t="s">
        <v>795</v>
      </c>
      <c r="Z8" s="979" t="s">
        <v>362</v>
      </c>
      <c r="AA8" s="979" t="s">
        <v>362</v>
      </c>
      <c r="AB8" s="979" t="s">
        <v>362</v>
      </c>
      <c r="AC8" s="984" t="s">
        <v>834</v>
      </c>
      <c r="AD8" s="985" t="s">
        <v>505</v>
      </c>
      <c r="AE8" s="986" t="n">
        <v>828.12</v>
      </c>
      <c r="AF8" s="987" t="n">
        <v>40000</v>
      </c>
      <c r="AG8" s="988" t="n">
        <f aca="false">40000000*O8/1000</f>
        <v>5537200</v>
      </c>
      <c r="AH8" s="997" t="n">
        <v>5</v>
      </c>
      <c r="AI8" s="990" t="n">
        <f aca="false">AG8*AH8</f>
        <v>27686000</v>
      </c>
      <c r="AJ8" s="988" t="n">
        <f aca="false">200000000*O8/1000</f>
        <v>27686000</v>
      </c>
      <c r="AK8" s="988" t="n">
        <f aca="false">300000000*O8/1000</f>
        <v>41529000</v>
      </c>
      <c r="AL8" s="988" t="n">
        <f aca="false">1050000000*O8/1000</f>
        <v>145351500</v>
      </c>
      <c r="AM8" s="991" t="s">
        <v>828</v>
      </c>
      <c r="AO8" s="929" t="n">
        <f aca="false">(AJ8/O8)*1000</f>
        <v>200000000</v>
      </c>
    </row>
    <row r="9" customFormat="false" ht="17.25" hidden="false" customHeight="true" outlineLevel="0" collapsed="false">
      <c r="A9" s="1004" t="str">
        <f aca="false">"DG Batch1 - 11PJT "</f>
        <v>DG Batch1 - 11PJT </v>
      </c>
      <c r="B9" s="1005" t="s">
        <v>835</v>
      </c>
      <c r="C9" s="965" t="s">
        <v>836</v>
      </c>
      <c r="D9" s="966" t="s">
        <v>837</v>
      </c>
      <c r="E9" s="965" t="s">
        <v>838</v>
      </c>
      <c r="F9" s="968" t="s">
        <v>839</v>
      </c>
      <c r="G9" s="1006" t="s">
        <v>840</v>
      </c>
      <c r="H9" s="970" t="n">
        <v>0.1033</v>
      </c>
      <c r="I9" s="970" t="n">
        <v>0.103</v>
      </c>
      <c r="J9" s="970" t="n">
        <v>0.105</v>
      </c>
      <c r="K9" s="995" t="n">
        <f aca="false">1083386/1000</f>
        <v>1083.386</v>
      </c>
      <c r="L9" s="972" t="n">
        <v>1427</v>
      </c>
      <c r="M9" s="1007" t="n">
        <f aca="false">L9/365</f>
        <v>3.90958904109589</v>
      </c>
      <c r="N9" s="974" t="n">
        <v>45702</v>
      </c>
      <c r="O9" s="1008" t="n">
        <v>1041</v>
      </c>
      <c r="P9" s="1009"/>
      <c r="Q9" s="977" t="n">
        <v>45848</v>
      </c>
      <c r="R9" s="1001"/>
      <c r="S9" s="978"/>
      <c r="T9" s="977" t="n">
        <f aca="false">+EDATE(Q9,6)</f>
        <v>46032</v>
      </c>
      <c r="U9" s="979" t="n">
        <v>1</v>
      </c>
      <c r="V9" s="980" t="n">
        <f aca="false">+O9*40000000/1000</f>
        <v>41640000</v>
      </c>
      <c r="W9" s="981" t="n">
        <v>6</v>
      </c>
      <c r="X9" s="1010" t="s">
        <v>300</v>
      </c>
      <c r="Y9" s="982" t="s">
        <v>795</v>
      </c>
      <c r="Z9" s="979" t="s">
        <v>362</v>
      </c>
      <c r="AA9" s="979" t="s">
        <v>362</v>
      </c>
      <c r="AB9" s="979" t="s">
        <v>362</v>
      </c>
      <c r="AC9" s="984" t="s">
        <v>841</v>
      </c>
      <c r="AD9" s="985" t="s">
        <v>842</v>
      </c>
      <c r="AE9" s="986" t="n">
        <v>8709.78</v>
      </c>
      <c r="AF9" s="1011" t="n">
        <v>40000</v>
      </c>
      <c r="AG9" s="988" t="n">
        <f aca="false">40000000*O9/1000</f>
        <v>41640000</v>
      </c>
      <c r="AH9" s="997" t="n">
        <v>5</v>
      </c>
      <c r="AI9" s="990" t="n">
        <f aca="false">35000*O9*AH9</f>
        <v>182175000</v>
      </c>
      <c r="AJ9" s="988" t="n">
        <f aca="false">50000000*O9/1000</f>
        <v>52050000</v>
      </c>
      <c r="AK9" s="988" t="n">
        <f aca="false">300000000*O9/1000</f>
        <v>312300000</v>
      </c>
      <c r="AL9" s="988" t="n">
        <f aca="false">1050000000*O9/1000</f>
        <v>1093050000</v>
      </c>
      <c r="AM9" s="1012" t="s">
        <v>843</v>
      </c>
      <c r="AO9" s="929" t="n">
        <f aca="false">(AJ9/O9)*1000</f>
        <v>50000000</v>
      </c>
    </row>
    <row r="10" customFormat="false" ht="17.25" hidden="false" customHeight="true" outlineLevel="0" collapsed="false">
      <c r="A10" s="992"/>
      <c r="B10" s="1005"/>
      <c r="C10" s="965" t="s">
        <v>844</v>
      </c>
      <c r="D10" s="966" t="s">
        <v>845</v>
      </c>
      <c r="E10" s="965" t="s">
        <v>846</v>
      </c>
      <c r="F10" s="968" t="s">
        <v>839</v>
      </c>
      <c r="G10" s="1006"/>
      <c r="H10" s="970" t="n">
        <v>0.0978</v>
      </c>
      <c r="I10" s="970" t="n">
        <v>0.103</v>
      </c>
      <c r="J10" s="970" t="n">
        <v>0.105</v>
      </c>
      <c r="K10" s="995" t="n">
        <f aca="false">366696/1000</f>
        <v>366.696</v>
      </c>
      <c r="L10" s="972" t="n">
        <v>1403</v>
      </c>
      <c r="M10" s="973" t="n">
        <f aca="false">L10/365</f>
        <v>3.84383561643836</v>
      </c>
      <c r="N10" s="974" t="n">
        <v>45702</v>
      </c>
      <c r="O10" s="1008"/>
      <c r="P10" s="1001"/>
      <c r="Q10" s="977" t="n">
        <v>45848</v>
      </c>
      <c r="R10" s="1001"/>
      <c r="S10" s="978"/>
      <c r="T10" s="977" t="n">
        <f aca="false">+EDATE(Q10,6)</f>
        <v>46032</v>
      </c>
      <c r="U10" s="979" t="n">
        <v>1</v>
      </c>
      <c r="V10" s="980"/>
      <c r="W10" s="981" t="n">
        <v>6</v>
      </c>
      <c r="X10" s="1010" t="s">
        <v>300</v>
      </c>
      <c r="Y10" s="982" t="s">
        <v>795</v>
      </c>
      <c r="Z10" s="979" t="s">
        <v>362</v>
      </c>
      <c r="AA10" s="979" t="s">
        <v>362</v>
      </c>
      <c r="AB10" s="979" t="s">
        <v>362</v>
      </c>
      <c r="AC10" s="984" t="s">
        <v>847</v>
      </c>
      <c r="AD10" s="985" t="s">
        <v>842</v>
      </c>
      <c r="AE10" s="986"/>
      <c r="AF10" s="1011"/>
      <c r="AG10" s="988"/>
      <c r="AH10" s="997"/>
      <c r="AI10" s="990"/>
      <c r="AJ10" s="988"/>
      <c r="AK10" s="988"/>
      <c r="AL10" s="988"/>
      <c r="AM10" s="1012"/>
    </row>
    <row r="11" s="1016" customFormat="true" ht="16.5" hidden="false" customHeight="false" outlineLevel="0" collapsed="false">
      <c r="A11" s="1013" t="n">
        <f aca="false">SUM(O3:O13,O17)</f>
        <v>6197.12</v>
      </c>
      <c r="B11" s="993" t="s">
        <v>848</v>
      </c>
      <c r="C11" s="965" t="s">
        <v>849</v>
      </c>
      <c r="D11" s="1000" t="s">
        <v>850</v>
      </c>
      <c r="E11" s="965"/>
      <c r="F11" s="968" t="s">
        <v>839</v>
      </c>
      <c r="G11" s="994" t="s">
        <v>809</v>
      </c>
      <c r="H11" s="970" t="n">
        <v>0.0925</v>
      </c>
      <c r="I11" s="970" t="n">
        <v>0.103</v>
      </c>
      <c r="J11" s="970" t="n">
        <v>0.105</v>
      </c>
      <c r="K11" s="995" t="n">
        <f aca="false">538065/1000</f>
        <v>538.065</v>
      </c>
      <c r="L11" s="972" t="n">
        <f aca="false">M11*365</f>
        <v>1350.5</v>
      </c>
      <c r="M11" s="973" t="n">
        <v>3.7</v>
      </c>
      <c r="N11" s="974" t="n">
        <v>45714</v>
      </c>
      <c r="O11" s="975" t="n">
        <v>406</v>
      </c>
      <c r="P11" s="1001"/>
      <c r="Q11" s="977" t="n">
        <v>45848</v>
      </c>
      <c r="R11" s="1001"/>
      <c r="S11" s="978"/>
      <c r="T11" s="977" t="n">
        <f aca="false">+EDATE(Q11,6)</f>
        <v>46032</v>
      </c>
      <c r="U11" s="979" t="n">
        <v>1</v>
      </c>
      <c r="V11" s="980" t="n">
        <f aca="false">+O11*40000000/1000</f>
        <v>16240000</v>
      </c>
      <c r="W11" s="981" t="n">
        <v>6</v>
      </c>
      <c r="X11" s="1014" t="s">
        <v>301</v>
      </c>
      <c r="Y11" s="982" t="s">
        <v>795</v>
      </c>
      <c r="Z11" s="979" t="s">
        <v>362</v>
      </c>
      <c r="AA11" s="979" t="s">
        <v>362</v>
      </c>
      <c r="AB11" s="979" t="s">
        <v>362</v>
      </c>
      <c r="AC11" s="984" t="s">
        <v>851</v>
      </c>
      <c r="AD11" s="985" t="s">
        <v>842</v>
      </c>
      <c r="AE11" s="1015" t="n">
        <v>3346.88</v>
      </c>
      <c r="AF11" s="987" t="n">
        <v>40000</v>
      </c>
      <c r="AG11" s="988" t="n">
        <f aca="false">40000000*O11/1000</f>
        <v>16240000</v>
      </c>
      <c r="AH11" s="997" t="n">
        <v>5</v>
      </c>
      <c r="AI11" s="990" t="n">
        <f aca="false">35000*O11*AH11</f>
        <v>71050000</v>
      </c>
      <c r="AJ11" s="988" t="n">
        <f aca="false">50000000*O11/1000</f>
        <v>20300000</v>
      </c>
      <c r="AK11" s="988" t="n">
        <f aca="false">300000000*O11/1000</f>
        <v>121800000</v>
      </c>
      <c r="AL11" s="988" t="n">
        <f aca="false">1050000000*O11/1000</f>
        <v>426300000</v>
      </c>
      <c r="AM11" s="1012" t="s">
        <v>843</v>
      </c>
      <c r="AN11" s="914"/>
      <c r="AO11" s="929" t="n">
        <f aca="false">(AJ11/O11)*1000</f>
        <v>50000000</v>
      </c>
      <c r="AP11" s="914"/>
      <c r="AQ11" s="914"/>
      <c r="AR11" s="914"/>
      <c r="AS11" s="914"/>
      <c r="AT11" s="914"/>
      <c r="AU11" s="914"/>
      <c r="AV11" s="914"/>
      <c r="AW11" s="914"/>
    </row>
    <row r="12" customFormat="false" ht="16.5" hidden="false" customHeight="false" outlineLevel="0" collapsed="false">
      <c r="A12" s="1004"/>
      <c r="B12" s="993" t="s">
        <v>852</v>
      </c>
      <c r="C12" s="965" t="s">
        <v>853</v>
      </c>
      <c r="D12" s="1000" t="s">
        <v>854</v>
      </c>
      <c r="E12" s="967" t="s">
        <v>855</v>
      </c>
      <c r="F12" s="968" t="s">
        <v>792</v>
      </c>
      <c r="G12" s="969" t="s">
        <v>856</v>
      </c>
      <c r="H12" s="970" t="n">
        <v>0.0999</v>
      </c>
      <c r="I12" s="970" t="n">
        <v>0.092</v>
      </c>
      <c r="J12" s="970" t="n">
        <v>0.093</v>
      </c>
      <c r="K12" s="995" t="n">
        <v>227.2</v>
      </c>
      <c r="L12" s="972" t="n">
        <v>1449</v>
      </c>
      <c r="M12" s="973" t="n">
        <f aca="false">L12/365</f>
        <v>3.96986301369863</v>
      </c>
      <c r="N12" s="974" t="n">
        <v>45674</v>
      </c>
      <c r="O12" s="975" t="n">
        <v>158.75</v>
      </c>
      <c r="P12" s="1001"/>
      <c r="Q12" s="977" t="n">
        <v>45877</v>
      </c>
      <c r="R12" s="1001"/>
      <c r="S12" s="978"/>
      <c r="T12" s="977" t="n">
        <f aca="false">+EDATE(Q12,6)</f>
        <v>46061</v>
      </c>
      <c r="U12" s="979" t="n">
        <v>1</v>
      </c>
      <c r="V12" s="980" t="n">
        <f aca="false">+O12*40000000/1000</f>
        <v>6350000</v>
      </c>
      <c r="W12" s="981" t="n">
        <v>6</v>
      </c>
      <c r="X12" s="968" t="s">
        <v>301</v>
      </c>
      <c r="Y12" s="982" t="s">
        <v>795</v>
      </c>
      <c r="Z12" s="1001" t="s">
        <v>362</v>
      </c>
      <c r="AA12" s="979" t="s">
        <v>362</v>
      </c>
      <c r="AB12" s="979" t="s">
        <v>362</v>
      </c>
      <c r="AC12" s="984" t="s">
        <v>857</v>
      </c>
      <c r="AD12" s="985" t="s">
        <v>505</v>
      </c>
      <c r="AE12" s="986" t="n">
        <v>984.95</v>
      </c>
      <c r="AF12" s="987" t="n">
        <v>40000</v>
      </c>
      <c r="AG12" s="988" t="n">
        <f aca="false">40000000*O12/1000</f>
        <v>6350000</v>
      </c>
      <c r="AH12" s="997" t="n">
        <v>5</v>
      </c>
      <c r="AI12" s="990" t="n">
        <f aca="false">AG12*AH12</f>
        <v>31750000</v>
      </c>
      <c r="AJ12" s="988" t="n">
        <f aca="false">200000000*O12/1000</f>
        <v>31750000</v>
      </c>
      <c r="AK12" s="988" t="n">
        <f aca="false">300000000*O12/1000</f>
        <v>47625000</v>
      </c>
      <c r="AL12" s="988" t="n">
        <f aca="false">1050000000*O12/1000</f>
        <v>166687500</v>
      </c>
      <c r="AM12" s="991" t="s">
        <v>858</v>
      </c>
      <c r="AO12" s="929" t="n">
        <f aca="false">(AJ12/O12)*1000</f>
        <v>200000000</v>
      </c>
    </row>
    <row r="13" s="1016" customFormat="true" ht="16.5" hidden="false" customHeight="false" outlineLevel="0" collapsed="false">
      <c r="A13" s="1004"/>
      <c r="B13" s="993" t="s">
        <v>463</v>
      </c>
      <c r="C13" s="965" t="s">
        <v>859</v>
      </c>
      <c r="D13" s="966" t="s">
        <v>860</v>
      </c>
      <c r="E13" s="967" t="s">
        <v>861</v>
      </c>
      <c r="F13" s="968" t="s">
        <v>862</v>
      </c>
      <c r="G13" s="994" t="s">
        <v>863</v>
      </c>
      <c r="H13" s="970" t="n">
        <v>0.0907</v>
      </c>
      <c r="I13" s="970" t="n">
        <v>0.092</v>
      </c>
      <c r="J13" s="970" t="n">
        <v>0.093</v>
      </c>
      <c r="K13" s="995" t="n">
        <v>4637</v>
      </c>
      <c r="L13" s="972" t="n">
        <v>1442</v>
      </c>
      <c r="M13" s="973" t="n">
        <f aca="false">L13/365</f>
        <v>3.95068493150685</v>
      </c>
      <c r="N13" s="974" t="n">
        <v>45455</v>
      </c>
      <c r="O13" s="975" t="n">
        <v>3065.3</v>
      </c>
      <c r="P13" s="1001"/>
      <c r="Q13" s="977" t="n">
        <v>45938</v>
      </c>
      <c r="R13" s="1001"/>
      <c r="S13" s="978"/>
      <c r="T13" s="977" t="n">
        <f aca="false">+EDATE(Q13,6)</f>
        <v>46120</v>
      </c>
      <c r="U13" s="979" t="n">
        <v>1</v>
      </c>
      <c r="V13" s="980" t="n">
        <f aca="false">+O13*40000000/1000</f>
        <v>122612000</v>
      </c>
      <c r="W13" s="981" t="n">
        <v>6</v>
      </c>
      <c r="X13" s="968" t="s">
        <v>864</v>
      </c>
      <c r="Y13" s="982" t="s">
        <v>795</v>
      </c>
      <c r="Z13" s="979" t="s">
        <v>362</v>
      </c>
      <c r="AA13" s="979" t="s">
        <v>362</v>
      </c>
      <c r="AB13" s="979" t="s">
        <v>362</v>
      </c>
      <c r="AC13" s="984" t="s">
        <v>865</v>
      </c>
      <c r="AD13" s="985" t="s">
        <v>505</v>
      </c>
      <c r="AE13" s="986" t="n">
        <f aca="false">550+1150+1850+1900+3050+720+2300+1050+650+750+3500+2200+1150</f>
        <v>20820</v>
      </c>
      <c r="AF13" s="987" t="n">
        <v>40000</v>
      </c>
      <c r="AG13" s="988" t="n">
        <f aca="false">40000000*O13/1000</f>
        <v>122612000</v>
      </c>
      <c r="AH13" s="997" t="n">
        <v>5</v>
      </c>
      <c r="AI13" s="990" t="n">
        <f aca="false">AG13*AH13</f>
        <v>613060000</v>
      </c>
      <c r="AJ13" s="988" t="n">
        <f aca="false">200000000*O13/1000</f>
        <v>613060000</v>
      </c>
      <c r="AK13" s="988" t="n">
        <f aca="false">300000000*O13/1000</f>
        <v>919590000</v>
      </c>
      <c r="AL13" s="988" t="n">
        <f aca="false">1050000000*O13/1000</f>
        <v>3218565000</v>
      </c>
      <c r="AM13" s="991"/>
      <c r="AN13" s="914"/>
      <c r="AO13" s="929" t="n">
        <f aca="false">(AJ13/O13)*1000</f>
        <v>200000000</v>
      </c>
      <c r="AP13" s="914"/>
      <c r="AQ13" s="914"/>
      <c r="AR13" s="914"/>
      <c r="AS13" s="914"/>
      <c r="AT13" s="914"/>
      <c r="AU13" s="914"/>
      <c r="AV13" s="914"/>
      <c r="AW13" s="914"/>
    </row>
    <row r="14" s="1043" customFormat="true" ht="16.5" hidden="false" customHeight="true" outlineLevel="1" collapsed="false">
      <c r="A14" s="1004"/>
      <c r="B14" s="1017" t="s">
        <v>866</v>
      </c>
      <c r="C14" s="1018" t="s">
        <v>867</v>
      </c>
      <c r="D14" s="1019" t="s">
        <v>868</v>
      </c>
      <c r="E14" s="1020" t="s">
        <v>869</v>
      </c>
      <c r="F14" s="1021" t="s">
        <v>792</v>
      </c>
      <c r="G14" s="1022" t="s">
        <v>870</v>
      </c>
      <c r="H14" s="1023" t="n">
        <v>0.0914</v>
      </c>
      <c r="I14" s="1023" t="n">
        <v>0.092</v>
      </c>
      <c r="J14" s="1023" t="n">
        <v>0.093</v>
      </c>
      <c r="K14" s="1024" t="n">
        <v>430.54</v>
      </c>
      <c r="L14" s="1025" t="n">
        <v>1437</v>
      </c>
      <c r="M14" s="1026" t="n">
        <f aca="false">L14/365</f>
        <v>3.93698630136986</v>
      </c>
      <c r="N14" s="1027" t="n">
        <v>45714</v>
      </c>
      <c r="O14" s="1028" t="n">
        <v>300.8</v>
      </c>
      <c r="P14" s="1029"/>
      <c r="Q14" s="1030" t="n">
        <v>45910</v>
      </c>
      <c r="R14" s="1029"/>
      <c r="S14" s="1031"/>
      <c r="T14" s="1030" t="n">
        <f aca="false">+EDATE(Q14,6)</f>
        <v>46091</v>
      </c>
      <c r="U14" s="1032" t="n">
        <v>1</v>
      </c>
      <c r="V14" s="1033" t="n">
        <f aca="false">+O14*40000000/1000</f>
        <v>12032000</v>
      </c>
      <c r="W14" s="1034" t="n">
        <v>6</v>
      </c>
      <c r="X14" s="1021" t="s">
        <v>817</v>
      </c>
      <c r="Y14" s="1035"/>
      <c r="Z14" s="1032" t="s">
        <v>362</v>
      </c>
      <c r="AA14" s="1032" t="s">
        <v>362</v>
      </c>
      <c r="AB14" s="1032" t="s">
        <v>362</v>
      </c>
      <c r="AC14" s="1036" t="s">
        <v>819</v>
      </c>
      <c r="AD14" s="1032" t="s">
        <v>505</v>
      </c>
      <c r="AE14" s="1037" t="n">
        <v>1950</v>
      </c>
      <c r="AF14" s="1038" t="n">
        <v>40000</v>
      </c>
      <c r="AG14" s="1039" t="n">
        <f aca="false">40000000*O14/1000</f>
        <v>12032000</v>
      </c>
      <c r="AH14" s="1040" t="n">
        <v>5</v>
      </c>
      <c r="AI14" s="1041" t="n">
        <f aca="false">AG14*AH14</f>
        <v>60160000</v>
      </c>
      <c r="AJ14" s="1039" t="n">
        <f aca="false">200000000*O14/1000</f>
        <v>60160000</v>
      </c>
      <c r="AK14" s="1039" t="n">
        <f aca="false">300000000*O14/1000</f>
        <v>90240000</v>
      </c>
      <c r="AL14" s="1039" t="n">
        <f aca="false">1050000000*O14/1000</f>
        <v>315840000</v>
      </c>
      <c r="AM14" s="1042" t="s">
        <v>871</v>
      </c>
      <c r="AO14" s="1044" t="n">
        <f aca="false">(AJ14/O14)*1000</f>
        <v>200000000</v>
      </c>
    </row>
    <row r="15" s="1043" customFormat="true" ht="16.5" hidden="false" customHeight="false" outlineLevel="1" collapsed="false">
      <c r="A15" s="1004"/>
      <c r="B15" s="1017" t="s">
        <v>872</v>
      </c>
      <c r="C15" s="1018" t="s">
        <v>873</v>
      </c>
      <c r="D15" s="1019" t="s">
        <v>874</v>
      </c>
      <c r="E15" s="1020" t="s">
        <v>875</v>
      </c>
      <c r="F15" s="1021" t="s">
        <v>792</v>
      </c>
      <c r="G15" s="1022" t="s">
        <v>856</v>
      </c>
      <c r="H15" s="1023" t="n">
        <v>0.0907</v>
      </c>
      <c r="I15" s="1023" t="n">
        <v>0.092</v>
      </c>
      <c r="J15" s="1023" t="n">
        <v>0.093</v>
      </c>
      <c r="K15" s="1024" t="n">
        <v>229.36</v>
      </c>
      <c r="L15" s="1025" t="n">
        <v>1422</v>
      </c>
      <c r="M15" s="1026" t="n">
        <f aca="false">L15/365</f>
        <v>3.8958904109589</v>
      </c>
      <c r="N15" s="1027" t="n">
        <v>45714</v>
      </c>
      <c r="O15" s="1028" t="n">
        <v>160</v>
      </c>
      <c r="P15" s="1029"/>
      <c r="Q15" s="1030" t="n">
        <v>45910</v>
      </c>
      <c r="R15" s="1029"/>
      <c r="S15" s="1031"/>
      <c r="T15" s="1030" t="n">
        <f aca="false">+EDATE(Q15,6)</f>
        <v>46091</v>
      </c>
      <c r="U15" s="1032" t="n">
        <v>1</v>
      </c>
      <c r="V15" s="1033" t="n">
        <f aca="false">+O15*40000000/1000</f>
        <v>6400000</v>
      </c>
      <c r="W15" s="1034" t="n">
        <v>6</v>
      </c>
      <c r="X15" s="1021" t="s">
        <v>817</v>
      </c>
      <c r="Y15" s="1035"/>
      <c r="Z15" s="1032" t="s">
        <v>362</v>
      </c>
      <c r="AA15" s="1032" t="s">
        <v>362</v>
      </c>
      <c r="AB15" s="1032" t="s">
        <v>362</v>
      </c>
      <c r="AC15" s="1036" t="s">
        <v>876</v>
      </c>
      <c r="AD15" s="1032" t="s">
        <v>505</v>
      </c>
      <c r="AE15" s="1037" t="n">
        <v>920</v>
      </c>
      <c r="AF15" s="1038" t="n">
        <v>40000</v>
      </c>
      <c r="AG15" s="1039" t="n">
        <f aca="false">40000000*O15/1000</f>
        <v>6400000</v>
      </c>
      <c r="AH15" s="1040" t="n">
        <v>5</v>
      </c>
      <c r="AI15" s="1041" t="n">
        <f aca="false">AG15*AH15</f>
        <v>32000000</v>
      </c>
      <c r="AJ15" s="1039" t="n">
        <f aca="false">200000000*O15/1000</f>
        <v>32000000</v>
      </c>
      <c r="AK15" s="1039" t="n">
        <f aca="false">300000000*O15/1000</f>
        <v>48000000</v>
      </c>
      <c r="AL15" s="1039" t="n">
        <f aca="false">1050000000*O15/1000</f>
        <v>168000000</v>
      </c>
      <c r="AM15" s="1042" t="s">
        <v>871</v>
      </c>
      <c r="AO15" s="1044" t="n">
        <f aca="false">(AJ15/O15)*1000</f>
        <v>200000000</v>
      </c>
    </row>
    <row r="16" s="1043" customFormat="true" ht="16.5" hidden="false" customHeight="false" outlineLevel="1" collapsed="false">
      <c r="A16" s="1004"/>
      <c r="B16" s="1017" t="s">
        <v>877</v>
      </c>
      <c r="C16" s="1018" t="s">
        <v>878</v>
      </c>
      <c r="D16" s="1045" t="s">
        <v>879</v>
      </c>
      <c r="E16" s="1020" t="s">
        <v>880</v>
      </c>
      <c r="F16" s="1021" t="s">
        <v>792</v>
      </c>
      <c r="G16" s="1022" t="s">
        <v>809</v>
      </c>
      <c r="H16" s="1023" t="n">
        <v>0.0943</v>
      </c>
      <c r="I16" s="1023" t="n">
        <v>0.092</v>
      </c>
      <c r="J16" s="1023" t="n">
        <v>0.093</v>
      </c>
      <c r="K16" s="1024" t="n">
        <v>358.32</v>
      </c>
      <c r="L16" s="1025" t="n">
        <v>1458</v>
      </c>
      <c r="M16" s="1026" t="n">
        <f aca="false">L16/365</f>
        <v>3.99452054794521</v>
      </c>
      <c r="N16" s="1027" t="n">
        <v>45714</v>
      </c>
      <c r="O16" s="1028" t="n">
        <v>247.04</v>
      </c>
      <c r="P16" s="1029"/>
      <c r="Q16" s="1030" t="n">
        <v>45910</v>
      </c>
      <c r="R16" s="1029"/>
      <c r="S16" s="1031"/>
      <c r="T16" s="1030" t="n">
        <f aca="false">+EDATE(Q16,6)</f>
        <v>46091</v>
      </c>
      <c r="U16" s="1032" t="n">
        <v>1</v>
      </c>
      <c r="V16" s="1033" t="n">
        <f aca="false">+O16*40000000/1000</f>
        <v>9881600</v>
      </c>
      <c r="W16" s="1034" t="n">
        <v>6</v>
      </c>
      <c r="X16" s="1021" t="s">
        <v>302</v>
      </c>
      <c r="Y16" s="1035"/>
      <c r="Z16" s="1032" t="s">
        <v>362</v>
      </c>
      <c r="AA16" s="1032" t="s">
        <v>362</v>
      </c>
      <c r="AB16" s="1032" t="s">
        <v>362</v>
      </c>
      <c r="AC16" s="1036" t="s">
        <v>881</v>
      </c>
      <c r="AD16" s="1032" t="s">
        <v>505</v>
      </c>
      <c r="AE16" s="1037" t="n">
        <v>1770</v>
      </c>
      <c r="AF16" s="1038" t="n">
        <v>40000</v>
      </c>
      <c r="AG16" s="1039" t="n">
        <f aca="false">40000000*O16/1000</f>
        <v>9881600</v>
      </c>
      <c r="AH16" s="1040" t="n">
        <v>5</v>
      </c>
      <c r="AI16" s="1041" t="n">
        <f aca="false">AG16*AH16</f>
        <v>49408000</v>
      </c>
      <c r="AJ16" s="1039" t="n">
        <f aca="false">200000000*O16/1000</f>
        <v>49408000</v>
      </c>
      <c r="AK16" s="1039" t="n">
        <f aca="false">300000000*O16/1000</f>
        <v>74112000</v>
      </c>
      <c r="AL16" s="1039" t="n">
        <f aca="false">1050000000*O16/1000</f>
        <v>259392000</v>
      </c>
      <c r="AM16" s="1042" t="s">
        <v>871</v>
      </c>
      <c r="AO16" s="1044" t="n">
        <f aca="false">(AJ16/O16)*1000</f>
        <v>200000000</v>
      </c>
    </row>
    <row r="17" customFormat="false" ht="16.5" hidden="false" customHeight="false" outlineLevel="0" collapsed="false">
      <c r="A17" s="1046"/>
      <c r="B17" s="1047" t="s">
        <v>460</v>
      </c>
      <c r="C17" s="1048" t="s">
        <v>882</v>
      </c>
      <c r="D17" s="1049" t="s">
        <v>883</v>
      </c>
      <c r="E17" s="1050" t="s">
        <v>884</v>
      </c>
      <c r="F17" s="1051" t="s">
        <v>825</v>
      </c>
      <c r="G17" s="1052" t="s">
        <v>809</v>
      </c>
      <c r="H17" s="1053" t="n">
        <v>0.0892</v>
      </c>
      <c r="I17" s="1054" t="n">
        <v>0.092</v>
      </c>
      <c r="J17" s="1054" t="n">
        <v>0.093</v>
      </c>
      <c r="K17" s="1055" t="n">
        <v>300.486</v>
      </c>
      <c r="L17" s="1056" t="n">
        <v>1420</v>
      </c>
      <c r="M17" s="1057" t="n">
        <f aca="false">L17/365</f>
        <v>3.89041095890411</v>
      </c>
      <c r="N17" s="1058" t="n">
        <v>45609</v>
      </c>
      <c r="O17" s="1059" t="n">
        <v>150</v>
      </c>
      <c r="P17" s="1060"/>
      <c r="Q17" s="1061" t="n">
        <v>45999</v>
      </c>
      <c r="R17" s="1060"/>
      <c r="S17" s="1062"/>
      <c r="T17" s="1061" t="n">
        <f aca="false">+EDATE(Q17,6)</f>
        <v>46181</v>
      </c>
      <c r="U17" s="1063" t="n">
        <v>1</v>
      </c>
      <c r="V17" s="1064" t="n">
        <f aca="false">+O17*40000000/1000</f>
        <v>6000000</v>
      </c>
      <c r="W17" s="1065" t="n">
        <v>6</v>
      </c>
      <c r="X17" s="1066" t="s">
        <v>302</v>
      </c>
      <c r="Y17" s="1067" t="s">
        <v>795</v>
      </c>
      <c r="Z17" s="1068" t="s">
        <v>362</v>
      </c>
      <c r="AA17" s="1068" t="s">
        <v>362</v>
      </c>
      <c r="AB17" s="1068" t="s">
        <v>362</v>
      </c>
      <c r="AC17" s="1069" t="s">
        <v>885</v>
      </c>
      <c r="AD17" s="1070" t="s">
        <v>505</v>
      </c>
      <c r="AE17" s="1071" t="n">
        <v>1040</v>
      </c>
      <c r="AF17" s="1072" t="n">
        <v>40000</v>
      </c>
      <c r="AG17" s="1073" t="n">
        <f aca="false">40000000*O17/1000</f>
        <v>6000000</v>
      </c>
      <c r="AH17" s="1074" t="n">
        <v>5</v>
      </c>
      <c r="AI17" s="1075" t="n">
        <f aca="false">AG17*AH17</f>
        <v>30000000</v>
      </c>
      <c r="AJ17" s="1073" t="n">
        <f aca="false">200000000*O17/1000</f>
        <v>30000000</v>
      </c>
      <c r="AK17" s="1073" t="n">
        <f aca="false">300000000*O17/1000</f>
        <v>45000000</v>
      </c>
      <c r="AL17" s="1073" t="n">
        <f aca="false">1050000000*O17/1000</f>
        <v>157500000</v>
      </c>
      <c r="AM17" s="1076" t="s">
        <v>828</v>
      </c>
      <c r="AO17" s="929" t="n">
        <f aca="false">(AJ17/O17)*1000</f>
        <v>200000000</v>
      </c>
    </row>
    <row r="18" customFormat="false" ht="16.5" hidden="false" customHeight="true" outlineLevel="0" collapsed="false">
      <c r="A18" s="1077"/>
      <c r="B18" s="1005" t="s">
        <v>886</v>
      </c>
      <c r="C18" s="965" t="s">
        <v>887</v>
      </c>
      <c r="D18" s="1003" t="s">
        <v>888</v>
      </c>
      <c r="E18" s="967" t="s">
        <v>889</v>
      </c>
      <c r="F18" s="968"/>
      <c r="G18" s="994" t="s">
        <v>809</v>
      </c>
      <c r="H18" s="970" t="n">
        <v>0.0879</v>
      </c>
      <c r="I18" s="970" t="n">
        <v>0.092</v>
      </c>
      <c r="J18" s="970" t="n">
        <v>0.093</v>
      </c>
      <c r="K18" s="995" t="n">
        <v>458.226</v>
      </c>
      <c r="L18" s="972" t="n">
        <v>1399</v>
      </c>
      <c r="M18" s="973" t="n">
        <f aca="false">L18/365</f>
        <v>3.83287671232877</v>
      </c>
      <c r="N18" s="974" t="n">
        <v>45734</v>
      </c>
      <c r="O18" s="975" t="n">
        <v>351.155</v>
      </c>
      <c r="P18" s="1001"/>
      <c r="Q18" s="977" t="n">
        <v>45962</v>
      </c>
      <c r="R18" s="1001"/>
      <c r="S18" s="978"/>
      <c r="T18" s="977" t="n">
        <f aca="false">+EDATE(Q18,6)</f>
        <v>46143</v>
      </c>
      <c r="U18" s="979" t="n">
        <v>1</v>
      </c>
      <c r="V18" s="980" t="n">
        <f aca="false">+O18*40000000/1000</f>
        <v>14046200</v>
      </c>
      <c r="W18" s="981" t="n">
        <v>6</v>
      </c>
      <c r="X18" s="968" t="s">
        <v>817</v>
      </c>
      <c r="Y18" s="999" t="s">
        <v>890</v>
      </c>
      <c r="Z18" s="979" t="s">
        <v>362</v>
      </c>
      <c r="AA18" s="979" t="s">
        <v>362</v>
      </c>
      <c r="AB18" s="979" t="s">
        <v>362</v>
      </c>
      <c r="AC18" s="1078" t="s">
        <v>891</v>
      </c>
      <c r="AD18" s="1079" t="s">
        <v>505</v>
      </c>
      <c r="AE18" s="986" t="n">
        <v>4578.6</v>
      </c>
      <c r="AF18" s="1080" t="n">
        <v>40000</v>
      </c>
      <c r="AG18" s="1081" t="n">
        <f aca="false">40000000*O18/1000</f>
        <v>14046200</v>
      </c>
      <c r="AH18" s="1082" t="n">
        <v>5</v>
      </c>
      <c r="AI18" s="1083" t="n">
        <f aca="false">AG18*AH18</f>
        <v>70231000</v>
      </c>
      <c r="AJ18" s="1081" t="n">
        <f aca="false">200000000*O18/1000</f>
        <v>70231000</v>
      </c>
      <c r="AK18" s="1081" t="n">
        <f aca="false">300000000*O18/1000</f>
        <v>105346500</v>
      </c>
      <c r="AL18" s="1081" t="n">
        <f aca="false">1050000000*O18/1000</f>
        <v>368712750</v>
      </c>
      <c r="AM18" s="991"/>
      <c r="AO18" s="929" t="n">
        <f aca="false">(AJ18/O18)*1000</f>
        <v>200000000</v>
      </c>
    </row>
    <row r="19" customFormat="false" ht="16.5" hidden="false" customHeight="true" outlineLevel="0" collapsed="false">
      <c r="A19" s="992"/>
      <c r="B19" s="1005" t="s">
        <v>440</v>
      </c>
      <c r="C19" s="965" t="s">
        <v>892</v>
      </c>
      <c r="D19" s="1003" t="s">
        <v>893</v>
      </c>
      <c r="E19" s="967" t="s">
        <v>894</v>
      </c>
      <c r="F19" s="968" t="s">
        <v>862</v>
      </c>
      <c r="G19" s="994" t="s">
        <v>870</v>
      </c>
      <c r="H19" s="970" t="n">
        <v>0.087</v>
      </c>
      <c r="I19" s="970" t="n">
        <v>0.092</v>
      </c>
      <c r="J19" s="970" t="n">
        <v>0.093</v>
      </c>
      <c r="K19" s="995" t="n">
        <v>707.714</v>
      </c>
      <c r="L19" s="972" t="n">
        <v>1389</v>
      </c>
      <c r="M19" s="973" t="n">
        <f aca="false">L19/365</f>
        <v>3.80547945205479</v>
      </c>
      <c r="N19" s="974" t="n">
        <v>45734</v>
      </c>
      <c r="O19" s="975" t="n">
        <v>709.295</v>
      </c>
      <c r="P19" s="1001"/>
      <c r="Q19" s="977" t="n">
        <v>45962</v>
      </c>
      <c r="R19" s="1001"/>
      <c r="S19" s="978"/>
      <c r="T19" s="977" t="n">
        <f aca="false">+EDATE(Q19,6)</f>
        <v>46143</v>
      </c>
      <c r="U19" s="979" t="n">
        <v>1</v>
      </c>
      <c r="V19" s="980" t="n">
        <f aca="false">+O19*40000000/1000</f>
        <v>28371800</v>
      </c>
      <c r="W19" s="981" t="n">
        <v>6</v>
      </c>
      <c r="X19" s="968" t="s">
        <v>817</v>
      </c>
      <c r="Y19" s="982" t="s">
        <v>795</v>
      </c>
      <c r="Z19" s="979" t="s">
        <v>362</v>
      </c>
      <c r="AA19" s="979" t="s">
        <v>362</v>
      </c>
      <c r="AB19" s="979" t="s">
        <v>362</v>
      </c>
      <c r="AC19" s="1078" t="s">
        <v>895</v>
      </c>
      <c r="AD19" s="1079" t="s">
        <v>505</v>
      </c>
      <c r="AE19" s="986" t="n">
        <v>2391</v>
      </c>
      <c r="AF19" s="1080" t="n">
        <v>40000</v>
      </c>
      <c r="AG19" s="1081" t="n">
        <f aca="false">40000000*O19/1000</f>
        <v>28371800</v>
      </c>
      <c r="AH19" s="1082" t="n">
        <v>5</v>
      </c>
      <c r="AI19" s="1083" t="n">
        <f aca="false">AG19*AH19</f>
        <v>141859000</v>
      </c>
      <c r="AJ19" s="1081" t="n">
        <f aca="false">200000000*O19/1000</f>
        <v>141859000</v>
      </c>
      <c r="AK19" s="1081" t="n">
        <f aca="false">300000000*O19/1000</f>
        <v>212788500</v>
      </c>
      <c r="AL19" s="1081" t="n">
        <f aca="false">1050000000*O19/1000</f>
        <v>744759750</v>
      </c>
      <c r="AM19" s="991"/>
      <c r="AO19" s="929" t="n">
        <f aca="false">(AJ19/O19)*1000</f>
        <v>200000000</v>
      </c>
    </row>
    <row r="20" customFormat="false" ht="16.5" hidden="false" customHeight="false" outlineLevel="0" collapsed="false">
      <c r="A20" s="992"/>
      <c r="B20" s="1005" t="s">
        <v>896</v>
      </c>
      <c r="C20" s="965" t="s">
        <v>897</v>
      </c>
      <c r="D20" s="966" t="s">
        <v>898</v>
      </c>
      <c r="E20" s="967" t="s">
        <v>899</v>
      </c>
      <c r="F20" s="968"/>
      <c r="G20" s="994" t="s">
        <v>900</v>
      </c>
      <c r="H20" s="970" t="n">
        <v>0.0916</v>
      </c>
      <c r="I20" s="970" t="n">
        <v>0.092</v>
      </c>
      <c r="J20" s="970" t="n">
        <v>0.093</v>
      </c>
      <c r="K20" s="995" t="n">
        <v>905.12646</v>
      </c>
      <c r="L20" s="972" t="n">
        <v>1434</v>
      </c>
      <c r="M20" s="1084" t="n">
        <f aca="false">L20/365</f>
        <v>3.92876712328767</v>
      </c>
      <c r="N20" s="974" t="n">
        <v>45736</v>
      </c>
      <c r="O20" s="975" t="n">
        <v>650.24</v>
      </c>
      <c r="P20" s="1001"/>
      <c r="Q20" s="977" t="n">
        <v>45962</v>
      </c>
      <c r="R20" s="1001"/>
      <c r="S20" s="978"/>
      <c r="T20" s="977" t="n">
        <f aca="false">+EDATE(Q20,6)</f>
        <v>46143</v>
      </c>
      <c r="U20" s="979" t="n">
        <v>1</v>
      </c>
      <c r="V20" s="980" t="n">
        <f aca="false">+O20*40000000/1000</f>
        <v>26009600</v>
      </c>
      <c r="W20" s="981" t="n">
        <v>6</v>
      </c>
      <c r="X20" s="1014" t="s">
        <v>901</v>
      </c>
      <c r="Y20" s="999" t="s">
        <v>890</v>
      </c>
      <c r="Z20" s="979" t="s">
        <v>362</v>
      </c>
      <c r="AA20" s="979" t="s">
        <v>362</v>
      </c>
      <c r="AB20" s="979" t="s">
        <v>362</v>
      </c>
      <c r="AC20" s="984" t="s">
        <v>902</v>
      </c>
      <c r="AD20" s="985" t="s">
        <v>505</v>
      </c>
      <c r="AE20" s="986"/>
      <c r="AF20" s="987" t="n">
        <v>40000</v>
      </c>
      <c r="AG20" s="988" t="n">
        <f aca="false">40000000*O20/1000</f>
        <v>26009600</v>
      </c>
      <c r="AH20" s="997" t="n">
        <v>5</v>
      </c>
      <c r="AI20" s="1085" t="n">
        <f aca="false">AG20*AH20</f>
        <v>130048000</v>
      </c>
      <c r="AJ20" s="988" t="n">
        <f aca="false">200000000*O20/1000</f>
        <v>130048000</v>
      </c>
      <c r="AK20" s="1081" t="n">
        <f aca="false">300000000*O20/1000</f>
        <v>195072000</v>
      </c>
      <c r="AL20" s="1081" t="n">
        <f aca="false">1050000000*O20/1000</f>
        <v>682752000</v>
      </c>
      <c r="AM20" s="991" t="s">
        <v>903</v>
      </c>
      <c r="AO20" s="929" t="n">
        <f aca="false">(AJ20/O20)*1000</f>
        <v>200000000</v>
      </c>
    </row>
    <row r="21" customFormat="false" ht="16.5" hidden="false" customHeight="true" outlineLevel="0" collapsed="false">
      <c r="A21" s="992"/>
      <c r="B21" s="1005" t="s">
        <v>468</v>
      </c>
      <c r="C21" s="965" t="s">
        <v>904</v>
      </c>
      <c r="D21" s="998" t="s">
        <v>905</v>
      </c>
      <c r="E21" s="967" t="s">
        <v>906</v>
      </c>
      <c r="F21" s="968" t="s">
        <v>792</v>
      </c>
      <c r="G21" s="994" t="s">
        <v>809</v>
      </c>
      <c r="H21" s="970" t="n">
        <v>0.0934</v>
      </c>
      <c r="I21" s="970" t="n">
        <v>0.092</v>
      </c>
      <c r="J21" s="970" t="n">
        <v>0.093</v>
      </c>
      <c r="K21" s="995" t="n">
        <v>306.32146</v>
      </c>
      <c r="L21" s="972" t="n">
        <v>1453</v>
      </c>
      <c r="M21" s="973" t="n">
        <f aca="false">L21/365</f>
        <v>3.98082191780822</v>
      </c>
      <c r="N21" s="974" t="n">
        <v>45644</v>
      </c>
      <c r="O21" s="975" t="n">
        <v>210.82</v>
      </c>
      <c r="P21" s="1001"/>
      <c r="Q21" s="977" t="n">
        <v>45962</v>
      </c>
      <c r="R21" s="1001"/>
      <c r="S21" s="978"/>
      <c r="T21" s="977" t="n">
        <f aca="false">+EDATE(Q21,6)</f>
        <v>46143</v>
      </c>
      <c r="U21" s="979" t="n">
        <v>1</v>
      </c>
      <c r="V21" s="980" t="n">
        <f aca="false">+O21*40000000/1000</f>
        <v>8432800</v>
      </c>
      <c r="W21" s="981" t="n">
        <v>6</v>
      </c>
      <c r="X21" s="968" t="s">
        <v>302</v>
      </c>
      <c r="Y21" s="982" t="s">
        <v>795</v>
      </c>
      <c r="Z21" s="979" t="s">
        <v>362</v>
      </c>
      <c r="AA21" s="979" t="s">
        <v>362</v>
      </c>
      <c r="AB21" s="979" t="s">
        <v>362</v>
      </c>
      <c r="AC21" s="1078" t="s">
        <v>907</v>
      </c>
      <c r="AD21" s="1079" t="s">
        <v>505</v>
      </c>
      <c r="AE21" s="986"/>
      <c r="AF21" s="987" t="n">
        <v>40000</v>
      </c>
      <c r="AG21" s="988" t="n">
        <f aca="false">40000000*O21/1000</f>
        <v>8432800</v>
      </c>
      <c r="AH21" s="997" t="n">
        <v>5</v>
      </c>
      <c r="AI21" s="990" t="n">
        <f aca="false">AG21*AH21</f>
        <v>42164000</v>
      </c>
      <c r="AJ21" s="988" t="n">
        <f aca="false">200000000*O21/1000</f>
        <v>42164000</v>
      </c>
      <c r="AK21" s="988" t="n">
        <f aca="false">300000000*O21/1000</f>
        <v>63246000</v>
      </c>
      <c r="AL21" s="988" t="n">
        <f aca="false">1050000000*O21/1000</f>
        <v>221361000</v>
      </c>
      <c r="AM21" s="991"/>
      <c r="AO21" s="929" t="n">
        <f aca="false">(AJ21/O21)*1000</f>
        <v>200000000</v>
      </c>
    </row>
    <row r="22" customFormat="false" ht="16.5" hidden="false" customHeight="true" outlineLevel="0" collapsed="false">
      <c r="A22" s="992"/>
      <c r="B22" s="1005" t="s">
        <v>908</v>
      </c>
      <c r="C22" s="965" t="s">
        <v>909</v>
      </c>
      <c r="D22" s="998" t="s">
        <v>910</v>
      </c>
      <c r="E22" s="967" t="s">
        <v>911</v>
      </c>
      <c r="F22" s="968" t="s">
        <v>862</v>
      </c>
      <c r="G22" s="994" t="s">
        <v>912</v>
      </c>
      <c r="H22" s="970" t="n">
        <v>0.0855</v>
      </c>
      <c r="I22" s="970" t="n">
        <v>0.092</v>
      </c>
      <c r="J22" s="970" t="n">
        <v>0.093</v>
      </c>
      <c r="K22" s="1086" t="n">
        <v>522.605</v>
      </c>
      <c r="L22" s="972" t="n">
        <v>1373</v>
      </c>
      <c r="M22" s="973" t="n">
        <f aca="false">L22/365</f>
        <v>3.76164383561644</v>
      </c>
      <c r="N22" s="974" t="n">
        <v>45734</v>
      </c>
      <c r="O22" s="975" t="n">
        <v>522.605</v>
      </c>
      <c r="P22" s="1001"/>
      <c r="Q22" s="977" t="n">
        <v>45962</v>
      </c>
      <c r="R22" s="1001"/>
      <c r="S22" s="978"/>
      <c r="T22" s="977" t="n">
        <f aca="false">+EDATE(Q22,6)</f>
        <v>46143</v>
      </c>
      <c r="U22" s="979" t="n">
        <v>1</v>
      </c>
      <c r="V22" s="980" t="n">
        <f aca="false">+O22*40000000/1000</f>
        <v>20904200</v>
      </c>
      <c r="W22" s="981" t="n">
        <v>6</v>
      </c>
      <c r="X22" s="968" t="s">
        <v>794</v>
      </c>
      <c r="Y22" s="982" t="s">
        <v>795</v>
      </c>
      <c r="Z22" s="979" t="s">
        <v>362</v>
      </c>
      <c r="AA22" s="979" t="s">
        <v>362</v>
      </c>
      <c r="AB22" s="979" t="s">
        <v>362</v>
      </c>
      <c r="AC22" s="1078" t="s">
        <v>913</v>
      </c>
      <c r="AD22" s="1079" t="s">
        <v>505</v>
      </c>
      <c r="AE22" s="986" t="n">
        <v>5331</v>
      </c>
      <c r="AF22" s="987" t="n">
        <v>40000</v>
      </c>
      <c r="AG22" s="988" t="n">
        <f aca="false">40000000*O22/1000</f>
        <v>20904200</v>
      </c>
      <c r="AH22" s="997" t="n">
        <v>5</v>
      </c>
      <c r="AI22" s="990" t="n">
        <f aca="false">AG22*AH22</f>
        <v>104521000</v>
      </c>
      <c r="AJ22" s="988" t="n">
        <f aca="false">200000000*O22/1000</f>
        <v>104521000</v>
      </c>
      <c r="AK22" s="988" t="n">
        <f aca="false">300000000*O22/1000</f>
        <v>156781500</v>
      </c>
      <c r="AL22" s="988" t="n">
        <f aca="false">1050000000*O22/1000</f>
        <v>548735250</v>
      </c>
      <c r="AM22" s="991" t="s">
        <v>914</v>
      </c>
      <c r="AO22" s="929" t="n">
        <f aca="false">(AJ22/O22)*1000</f>
        <v>200000000</v>
      </c>
    </row>
    <row r="23" customFormat="false" ht="16.5" hidden="false" customHeight="false" outlineLevel="0" collapsed="false">
      <c r="A23" s="992"/>
      <c r="B23" s="1005" t="s">
        <v>915</v>
      </c>
      <c r="C23" s="965" t="s">
        <v>916</v>
      </c>
      <c r="D23" s="1000" t="s">
        <v>917</v>
      </c>
      <c r="E23" s="967" t="s">
        <v>918</v>
      </c>
      <c r="F23" s="968" t="s">
        <v>792</v>
      </c>
      <c r="G23" s="994" t="s">
        <v>870</v>
      </c>
      <c r="H23" s="970" t="n">
        <v>0.0872</v>
      </c>
      <c r="I23" s="970" t="n">
        <v>0.092</v>
      </c>
      <c r="J23" s="970" t="n">
        <v>0.093</v>
      </c>
      <c r="K23" s="1086" t="n">
        <v>338.49</v>
      </c>
      <c r="L23" s="972" t="n">
        <v>1388</v>
      </c>
      <c r="M23" s="973" t="n">
        <f aca="false">L23/365</f>
        <v>3.8027397260274</v>
      </c>
      <c r="N23" s="974" t="n">
        <v>45736</v>
      </c>
      <c r="O23" s="975" t="n">
        <v>243.84</v>
      </c>
      <c r="P23" s="1001"/>
      <c r="Q23" s="977" t="n">
        <v>45992</v>
      </c>
      <c r="R23" s="1001"/>
      <c r="S23" s="978"/>
      <c r="T23" s="977" t="n">
        <f aca="false">+EDATE(Q23,6)</f>
        <v>46174</v>
      </c>
      <c r="U23" s="979" t="n">
        <v>1</v>
      </c>
      <c r="V23" s="980" t="n">
        <f aca="false">+O23*40000000/1000</f>
        <v>9753600</v>
      </c>
      <c r="W23" s="981" t="n">
        <v>6</v>
      </c>
      <c r="X23" s="1014" t="s">
        <v>794</v>
      </c>
      <c r="Y23" s="982" t="s">
        <v>795</v>
      </c>
      <c r="Z23" s="983" t="s">
        <v>919</v>
      </c>
      <c r="AA23" s="979" t="s">
        <v>362</v>
      </c>
      <c r="AB23" s="979" t="s">
        <v>362</v>
      </c>
      <c r="AC23" s="984" t="s">
        <v>920</v>
      </c>
      <c r="AD23" s="985" t="s">
        <v>505</v>
      </c>
      <c r="AE23" s="986" t="n">
        <v>1517.98</v>
      </c>
      <c r="AF23" s="1087" t="n">
        <v>40000</v>
      </c>
      <c r="AG23" s="988" t="n">
        <f aca="false">40000000*O23/1000</f>
        <v>9753600</v>
      </c>
      <c r="AH23" s="997" t="n">
        <v>5</v>
      </c>
      <c r="AI23" s="990" t="n">
        <f aca="false">AG23*AH23</f>
        <v>48768000</v>
      </c>
      <c r="AJ23" s="988" t="n">
        <f aca="false">200000000*O23/1000</f>
        <v>48768000</v>
      </c>
      <c r="AK23" s="988" t="n">
        <f aca="false">300000000*O23/1000</f>
        <v>73152000</v>
      </c>
      <c r="AL23" s="988" t="n">
        <f aca="false">1050000000*O23/1000</f>
        <v>256032000</v>
      </c>
      <c r="AM23" s="991" t="s">
        <v>903</v>
      </c>
    </row>
    <row r="24" customFormat="false" ht="16.5" hidden="false" customHeight="false" outlineLevel="0" collapsed="false">
      <c r="A24" s="992"/>
      <c r="B24" s="1005" t="s">
        <v>921</v>
      </c>
      <c r="C24" s="965" t="s">
        <v>922</v>
      </c>
      <c r="D24" s="966" t="s">
        <v>923</v>
      </c>
      <c r="E24" s="967" t="s">
        <v>924</v>
      </c>
      <c r="F24" s="968"/>
      <c r="G24" s="994" t="s">
        <v>925</v>
      </c>
      <c r="H24" s="1088" t="n">
        <v>0.0886</v>
      </c>
      <c r="I24" s="970" t="n">
        <v>0.092</v>
      </c>
      <c r="J24" s="970" t="n">
        <v>0.093</v>
      </c>
      <c r="K24" s="1086" t="n">
        <v>3881.8</v>
      </c>
      <c r="L24" s="972" t="n">
        <v>1415</v>
      </c>
      <c r="M24" s="973" t="n">
        <f aca="false">L24/365</f>
        <v>3.87671232876712</v>
      </c>
      <c r="N24" s="974" t="n">
        <v>45742</v>
      </c>
      <c r="O24" s="975" t="n">
        <v>2743.2</v>
      </c>
      <c r="P24" s="1001"/>
      <c r="Q24" s="977" t="n">
        <v>45992</v>
      </c>
      <c r="R24" s="1001"/>
      <c r="S24" s="978"/>
      <c r="T24" s="977" t="n">
        <f aca="false">+EDATE(Q24,6)</f>
        <v>46174</v>
      </c>
      <c r="U24" s="979" t="n">
        <v>1</v>
      </c>
      <c r="V24" s="980" t="n">
        <f aca="false">+O24*40000000/1000</f>
        <v>109728000</v>
      </c>
      <c r="W24" s="981" t="n">
        <v>6</v>
      </c>
      <c r="X24" s="968" t="s">
        <v>926</v>
      </c>
      <c r="Y24" s="999" t="s">
        <v>890</v>
      </c>
      <c r="Z24" s="979" t="s">
        <v>362</v>
      </c>
      <c r="AA24" s="979" t="s">
        <v>362</v>
      </c>
      <c r="AB24" s="979" t="s">
        <v>362</v>
      </c>
      <c r="AC24" s="984" t="s">
        <v>927</v>
      </c>
      <c r="AD24" s="985" t="s">
        <v>505</v>
      </c>
      <c r="AE24" s="986"/>
      <c r="AF24" s="1089" t="n">
        <v>40000</v>
      </c>
      <c r="AG24" s="988" t="n">
        <f aca="false">40000000*O24/1000</f>
        <v>109728000</v>
      </c>
      <c r="AH24" s="997" t="n">
        <v>5</v>
      </c>
      <c r="AI24" s="990" t="n">
        <f aca="false">AG24*AH24</f>
        <v>548640000</v>
      </c>
      <c r="AJ24" s="988" t="n">
        <f aca="false">200000000*O24/1000</f>
        <v>548640000</v>
      </c>
      <c r="AK24" s="988" t="n">
        <f aca="false">300000000*O24/1000</f>
        <v>822960000</v>
      </c>
      <c r="AL24" s="988" t="n">
        <f aca="false">1050000000*O24/1000</f>
        <v>2880360000</v>
      </c>
      <c r="AM24" s="991" t="s">
        <v>903</v>
      </c>
    </row>
    <row r="25" customFormat="false" ht="16.5" hidden="false" customHeight="false" outlineLevel="0" collapsed="false">
      <c r="A25" s="992"/>
      <c r="B25" s="1005" t="s">
        <v>928</v>
      </c>
      <c r="C25" s="965" t="s">
        <v>929</v>
      </c>
      <c r="D25" s="1090" t="s">
        <v>930</v>
      </c>
      <c r="E25" s="967"/>
      <c r="F25" s="968"/>
      <c r="G25" s="994" t="s">
        <v>931</v>
      </c>
      <c r="H25" s="1088" t="n">
        <v>0.0872</v>
      </c>
      <c r="I25" s="970" t="n">
        <v>0.092</v>
      </c>
      <c r="J25" s="970" t="n">
        <v>0.093</v>
      </c>
      <c r="K25" s="1086" t="n">
        <v>1262.3</v>
      </c>
      <c r="L25" s="972" t="n">
        <v>1392</v>
      </c>
      <c r="M25" s="973" t="n">
        <f aca="false">L25/365</f>
        <v>3.81369863013699</v>
      </c>
      <c r="N25" s="974" t="n">
        <v>45742</v>
      </c>
      <c r="O25" s="1091" t="n">
        <v>695.325</v>
      </c>
      <c r="P25" s="1001"/>
      <c r="Q25" s="977" t="n">
        <v>45992</v>
      </c>
      <c r="R25" s="1001"/>
      <c r="S25" s="978"/>
      <c r="T25" s="977" t="n">
        <f aca="false">+EDATE(Q25,6)</f>
        <v>46174</v>
      </c>
      <c r="U25" s="979" t="n">
        <v>1</v>
      </c>
      <c r="V25" s="980" t="n">
        <f aca="false">+O25*40000000/1000</f>
        <v>27813000</v>
      </c>
      <c r="W25" s="981" t="n">
        <v>6</v>
      </c>
      <c r="X25" s="1014" t="s">
        <v>794</v>
      </c>
      <c r="Y25" s="999" t="s">
        <v>890</v>
      </c>
      <c r="Z25" s="979" t="s">
        <v>362</v>
      </c>
      <c r="AA25" s="979" t="s">
        <v>362</v>
      </c>
      <c r="AB25" s="979" t="s">
        <v>362</v>
      </c>
      <c r="AC25" s="984" t="s">
        <v>932</v>
      </c>
      <c r="AD25" s="985" t="s">
        <v>505</v>
      </c>
      <c r="AE25" s="986"/>
      <c r="AF25" s="1089" t="n">
        <v>40000</v>
      </c>
      <c r="AG25" s="988" t="n">
        <f aca="false">40000000*O25/1000</f>
        <v>27813000</v>
      </c>
      <c r="AH25" s="997" t="n">
        <v>5</v>
      </c>
      <c r="AI25" s="990" t="n">
        <f aca="false">AG25*AH25</f>
        <v>139065000</v>
      </c>
      <c r="AJ25" s="988" t="n">
        <f aca="false">200000000*O25/1000</f>
        <v>139065000</v>
      </c>
      <c r="AK25" s="988" t="n">
        <f aca="false">300000000*O25/1000</f>
        <v>208597500</v>
      </c>
      <c r="AL25" s="988" t="n">
        <f aca="false">1050000000*O25/1000</f>
        <v>730091250</v>
      </c>
      <c r="AM25" s="991" t="s">
        <v>903</v>
      </c>
    </row>
    <row r="26" s="1043" customFormat="true" ht="16.5" hidden="false" customHeight="false" outlineLevel="1" collapsed="false">
      <c r="A26" s="1004" t="str">
        <f aca="false">"DG Batch2 - 17PJT   "</f>
        <v>DG Batch2 - 17PJT   </v>
      </c>
      <c r="B26" s="1092" t="s">
        <v>933</v>
      </c>
      <c r="C26" s="1018" t="s">
        <v>934</v>
      </c>
      <c r="D26" s="1045" t="s">
        <v>935</v>
      </c>
      <c r="E26" s="1018"/>
      <c r="F26" s="1021" t="s">
        <v>936</v>
      </c>
      <c r="G26" s="1022" t="s">
        <v>931</v>
      </c>
      <c r="H26" s="1093" t="n">
        <v>0.0878</v>
      </c>
      <c r="I26" s="1023" t="n">
        <v>0.092</v>
      </c>
      <c r="J26" s="1023" t="n">
        <v>0.093</v>
      </c>
      <c r="K26" s="1094" t="n">
        <v>497.58</v>
      </c>
      <c r="L26" s="1025" t="n">
        <v>1399</v>
      </c>
      <c r="M26" s="1026" t="n">
        <f aca="false">L26/365</f>
        <v>3.83287671232877</v>
      </c>
      <c r="N26" s="1027" t="n">
        <v>45742</v>
      </c>
      <c r="O26" s="1028" t="n">
        <v>355.6</v>
      </c>
      <c r="P26" s="1029"/>
      <c r="Q26" s="1030" t="n">
        <v>45992</v>
      </c>
      <c r="R26" s="1029"/>
      <c r="S26" s="1031"/>
      <c r="T26" s="1030" t="n">
        <f aca="false">+EDATE(Q26,6)</f>
        <v>46174</v>
      </c>
      <c r="U26" s="1032" t="n">
        <v>1</v>
      </c>
      <c r="V26" s="1033" t="n">
        <f aca="false">+O26*40000000/1000</f>
        <v>14224000</v>
      </c>
      <c r="W26" s="1034" t="n">
        <v>6</v>
      </c>
      <c r="X26" s="1095" t="s">
        <v>794</v>
      </c>
      <c r="Y26" s="1035"/>
      <c r="Z26" s="1032" t="s">
        <v>362</v>
      </c>
      <c r="AA26" s="1032" t="s">
        <v>362</v>
      </c>
      <c r="AB26" s="1032" t="s">
        <v>362</v>
      </c>
      <c r="AC26" s="1036" t="s">
        <v>937</v>
      </c>
      <c r="AD26" s="1032" t="s">
        <v>505</v>
      </c>
      <c r="AE26" s="1037"/>
      <c r="AF26" s="1096" t="n">
        <v>40000</v>
      </c>
      <c r="AG26" s="1039" t="n">
        <f aca="false">40000000*O26/1000</f>
        <v>14224000</v>
      </c>
      <c r="AH26" s="1040" t="n">
        <v>5</v>
      </c>
      <c r="AI26" s="1041" t="n">
        <f aca="false">AG26*AH26</f>
        <v>71120000</v>
      </c>
      <c r="AJ26" s="1039" t="n">
        <f aca="false">200000000*O26/1000</f>
        <v>71120000</v>
      </c>
      <c r="AK26" s="1039" t="n">
        <f aca="false">300000000*O26/1000</f>
        <v>106680000</v>
      </c>
      <c r="AL26" s="1039" t="n">
        <f aca="false">1050000000*O26/1000</f>
        <v>373380000</v>
      </c>
      <c r="AM26" s="1042" t="s">
        <v>871</v>
      </c>
      <c r="AO26" s="1044"/>
    </row>
    <row r="27" customFormat="false" ht="16.5" hidden="false" customHeight="false" outlineLevel="0" collapsed="false">
      <c r="A27" s="1013" t="n">
        <f aca="false">SUM(O18:P25,O27:O35)</f>
        <v>9994.115</v>
      </c>
      <c r="B27" s="1005" t="s">
        <v>938</v>
      </c>
      <c r="C27" s="965" t="s">
        <v>939</v>
      </c>
      <c r="D27" s="966" t="s">
        <v>940</v>
      </c>
      <c r="E27" s="967"/>
      <c r="F27" s="968"/>
      <c r="G27" s="994" t="s">
        <v>925</v>
      </c>
      <c r="H27" s="1088" t="n">
        <v>0.0871</v>
      </c>
      <c r="I27" s="970" t="n">
        <v>0.092</v>
      </c>
      <c r="J27" s="970" t="n">
        <v>0.093</v>
      </c>
      <c r="K27" s="1086" t="n">
        <v>1272</v>
      </c>
      <c r="L27" s="972" t="n">
        <v>1391</v>
      </c>
      <c r="M27" s="973" t="n">
        <f aca="false">L27/365</f>
        <v>3.81095890410959</v>
      </c>
      <c r="N27" s="974" t="n">
        <v>45742</v>
      </c>
      <c r="O27" s="975" t="n">
        <v>913.765</v>
      </c>
      <c r="P27" s="1001"/>
      <c r="Q27" s="977" t="n">
        <v>45992</v>
      </c>
      <c r="R27" s="1001"/>
      <c r="S27" s="978"/>
      <c r="T27" s="977" t="n">
        <f aca="false">+EDATE(Q27,6)</f>
        <v>46174</v>
      </c>
      <c r="U27" s="979" t="n">
        <v>1</v>
      </c>
      <c r="V27" s="980" t="n">
        <f aca="false">+O27*40000000/1000</f>
        <v>36550600</v>
      </c>
      <c r="W27" s="981" t="n">
        <v>6</v>
      </c>
      <c r="X27" s="968" t="s">
        <v>300</v>
      </c>
      <c r="Y27" s="999" t="s">
        <v>890</v>
      </c>
      <c r="Z27" s="979" t="s">
        <v>362</v>
      </c>
      <c r="AA27" s="979" t="s">
        <v>362</v>
      </c>
      <c r="AB27" s="979" t="s">
        <v>362</v>
      </c>
      <c r="AC27" s="984" t="s">
        <v>941</v>
      </c>
      <c r="AD27" s="985" t="s">
        <v>505</v>
      </c>
      <c r="AE27" s="986"/>
      <c r="AF27" s="1089" t="n">
        <v>40000</v>
      </c>
      <c r="AG27" s="988" t="n">
        <f aca="false">40000000*O27/1000</f>
        <v>36550600</v>
      </c>
      <c r="AH27" s="997" t="n">
        <v>5</v>
      </c>
      <c r="AI27" s="990" t="n">
        <f aca="false">AG27*AH27</f>
        <v>182753000</v>
      </c>
      <c r="AJ27" s="988" t="n">
        <f aca="false">200000000*O27/1000</f>
        <v>182753000</v>
      </c>
      <c r="AK27" s="988" t="n">
        <f aca="false">300000000*O27/1000</f>
        <v>274129500</v>
      </c>
      <c r="AL27" s="988" t="n">
        <f aca="false">1050000000*O27/1000</f>
        <v>959453250</v>
      </c>
      <c r="AM27" s="991" t="s">
        <v>903</v>
      </c>
    </row>
    <row r="28" customFormat="false" ht="16.5" hidden="false" customHeight="false" outlineLevel="0" collapsed="false">
      <c r="A28" s="1004"/>
      <c r="B28" s="1005" t="s">
        <v>942</v>
      </c>
      <c r="C28" s="965" t="s">
        <v>943</v>
      </c>
      <c r="D28" s="966" t="s">
        <v>944</v>
      </c>
      <c r="E28" s="967"/>
      <c r="F28" s="968"/>
      <c r="G28" s="994" t="s">
        <v>925</v>
      </c>
      <c r="H28" s="1088" t="n">
        <v>0.0884</v>
      </c>
      <c r="I28" s="970" t="n">
        <v>0.092</v>
      </c>
      <c r="J28" s="970" t="n">
        <v>0.093</v>
      </c>
      <c r="K28" s="1086" t="n">
        <v>913.89</v>
      </c>
      <c r="L28" s="972" t="n">
        <v>1405</v>
      </c>
      <c r="M28" s="973" t="n">
        <f aca="false">L28/365</f>
        <v>3.84931506849315</v>
      </c>
      <c r="N28" s="974" t="n">
        <v>45742</v>
      </c>
      <c r="O28" s="1091" t="n">
        <v>544.83</v>
      </c>
      <c r="P28" s="1001"/>
      <c r="Q28" s="977" t="n">
        <v>45992</v>
      </c>
      <c r="R28" s="1001"/>
      <c r="S28" s="978"/>
      <c r="T28" s="977" t="n">
        <f aca="false">+EDATE(Q28,6)</f>
        <v>46174</v>
      </c>
      <c r="U28" s="979" t="n">
        <v>1</v>
      </c>
      <c r="V28" s="980" t="n">
        <f aca="false">+O28*40000000/1000</f>
        <v>21793200</v>
      </c>
      <c r="W28" s="981" t="n">
        <v>6</v>
      </c>
      <c r="X28" s="968" t="s">
        <v>300</v>
      </c>
      <c r="Y28" s="999" t="s">
        <v>890</v>
      </c>
      <c r="Z28" s="979" t="s">
        <v>362</v>
      </c>
      <c r="AA28" s="979" t="s">
        <v>362</v>
      </c>
      <c r="AB28" s="979" t="s">
        <v>362</v>
      </c>
      <c r="AC28" s="984" t="s">
        <v>945</v>
      </c>
      <c r="AD28" s="985" t="s">
        <v>505</v>
      </c>
      <c r="AE28" s="986"/>
      <c r="AF28" s="1089" t="n">
        <v>40000</v>
      </c>
      <c r="AG28" s="988" t="n">
        <f aca="false">40000000*O28/1000</f>
        <v>21793200</v>
      </c>
      <c r="AH28" s="997" t="n">
        <v>5</v>
      </c>
      <c r="AI28" s="990" t="n">
        <f aca="false">AG28*AH28</f>
        <v>108966000</v>
      </c>
      <c r="AJ28" s="988" t="n">
        <f aca="false">200000000*O28/1000</f>
        <v>108966000</v>
      </c>
      <c r="AK28" s="988" t="n">
        <f aca="false">300000000*O28/1000</f>
        <v>163449000</v>
      </c>
      <c r="AL28" s="988" t="n">
        <f aca="false">1050000000*O28/1000</f>
        <v>572071500</v>
      </c>
      <c r="AM28" s="991" t="s">
        <v>903</v>
      </c>
    </row>
    <row r="29" customFormat="false" ht="16.5" hidden="false" customHeight="false" outlineLevel="0" collapsed="false">
      <c r="A29" s="1004"/>
      <c r="B29" s="1005" t="s">
        <v>946</v>
      </c>
      <c r="C29" s="965" t="s">
        <v>947</v>
      </c>
      <c r="D29" s="966" t="s">
        <v>948</v>
      </c>
      <c r="E29" s="967" t="s">
        <v>949</v>
      </c>
      <c r="F29" s="968" t="s">
        <v>839</v>
      </c>
      <c r="G29" s="994" t="s">
        <v>840</v>
      </c>
      <c r="H29" s="1088" t="n">
        <v>0.0909</v>
      </c>
      <c r="I29" s="970" t="n">
        <v>0.0956</v>
      </c>
      <c r="J29" s="970" t="n">
        <v>0.096</v>
      </c>
      <c r="K29" s="1086" t="n">
        <v>290.98</v>
      </c>
      <c r="L29" s="972" t="n">
        <v>1399</v>
      </c>
      <c r="M29" s="973" t="n">
        <f aca="false">L29/365</f>
        <v>3.83287671232877</v>
      </c>
      <c r="N29" s="974" t="n">
        <v>45747</v>
      </c>
      <c r="O29" s="975" t="n">
        <v>210</v>
      </c>
      <c r="P29" s="1001"/>
      <c r="Q29" s="977" t="n">
        <v>45894</v>
      </c>
      <c r="R29" s="1001"/>
      <c r="S29" s="978"/>
      <c r="T29" s="977" t="n">
        <f aca="false">+EDATE(Q29,6)</f>
        <v>46078</v>
      </c>
      <c r="U29" s="979" t="n">
        <v>1</v>
      </c>
      <c r="V29" s="980" t="n">
        <f aca="false">+O29*40000000/1000</f>
        <v>8400000</v>
      </c>
      <c r="W29" s="981" t="n">
        <v>6</v>
      </c>
      <c r="X29" s="968" t="s">
        <v>302</v>
      </c>
      <c r="Y29" s="982" t="s">
        <v>795</v>
      </c>
      <c r="Z29" s="979" t="s">
        <v>362</v>
      </c>
      <c r="AA29" s="979" t="s">
        <v>362</v>
      </c>
      <c r="AB29" s="979" t="s">
        <v>362</v>
      </c>
      <c r="AC29" s="984" t="s">
        <v>950</v>
      </c>
      <c r="AD29" s="985" t="s">
        <v>842</v>
      </c>
      <c r="AE29" s="986"/>
      <c r="AF29" s="1089" t="n">
        <v>40000</v>
      </c>
      <c r="AG29" s="988" t="n">
        <f aca="false">40000000*O29/1000</f>
        <v>8400000</v>
      </c>
      <c r="AH29" s="997" t="n">
        <v>5</v>
      </c>
      <c r="AI29" s="990" t="n">
        <f aca="false">AG29*AH29</f>
        <v>42000000</v>
      </c>
      <c r="AJ29" s="988" t="n">
        <f aca="false">150000000*O29/1000</f>
        <v>31500000</v>
      </c>
      <c r="AK29" s="988" t="n">
        <f aca="false">300000000*O29/1000</f>
        <v>63000000</v>
      </c>
      <c r="AL29" s="988" t="n">
        <f aca="false">1050000000*O29/1000</f>
        <v>220500000</v>
      </c>
      <c r="AM29" s="1012" t="s">
        <v>843</v>
      </c>
    </row>
    <row r="30" customFormat="false" ht="16.5" hidden="false" customHeight="false" outlineLevel="0" collapsed="false">
      <c r="A30" s="1004"/>
      <c r="B30" s="1005" t="s">
        <v>951</v>
      </c>
      <c r="C30" s="965" t="s">
        <v>952</v>
      </c>
      <c r="D30" s="966" t="s">
        <v>953</v>
      </c>
      <c r="E30" s="967" t="s">
        <v>954</v>
      </c>
      <c r="F30" s="968"/>
      <c r="G30" s="994" t="s">
        <v>863</v>
      </c>
      <c r="H30" s="1088" t="n">
        <v>0.0904</v>
      </c>
      <c r="I30" s="970" t="n">
        <v>0.0956</v>
      </c>
      <c r="J30" s="970" t="n">
        <v>0.096</v>
      </c>
      <c r="K30" s="1086" t="n">
        <v>347.59</v>
      </c>
      <c r="L30" s="972" t="n">
        <v>1393</v>
      </c>
      <c r="M30" s="973" t="n">
        <f aca="false">L30/365</f>
        <v>3.81643835616438</v>
      </c>
      <c r="N30" s="974" t="n">
        <v>45747</v>
      </c>
      <c r="O30" s="975" t="n">
        <v>249.6</v>
      </c>
      <c r="P30" s="1001"/>
      <c r="Q30" s="977" t="n">
        <v>45925</v>
      </c>
      <c r="R30" s="1001"/>
      <c r="S30" s="978"/>
      <c r="T30" s="977" t="n">
        <f aca="false">+EDATE(Q30,6)</f>
        <v>46106</v>
      </c>
      <c r="U30" s="979" t="n">
        <v>1</v>
      </c>
      <c r="V30" s="980"/>
      <c r="W30" s="981" t="n">
        <v>6</v>
      </c>
      <c r="X30" s="968" t="s">
        <v>817</v>
      </c>
      <c r="Y30" s="999" t="s">
        <v>890</v>
      </c>
      <c r="Z30" s="979" t="s">
        <v>362</v>
      </c>
      <c r="AA30" s="979" t="s">
        <v>362</v>
      </c>
      <c r="AB30" s="979" t="s">
        <v>362</v>
      </c>
      <c r="AC30" s="984" t="s">
        <v>955</v>
      </c>
      <c r="AD30" s="985" t="s">
        <v>842</v>
      </c>
      <c r="AE30" s="986"/>
      <c r="AF30" s="1089" t="n">
        <v>40000</v>
      </c>
      <c r="AG30" s="988" t="n">
        <f aca="false">40000000*O30/1000</f>
        <v>9984000</v>
      </c>
      <c r="AH30" s="997" t="n">
        <v>5</v>
      </c>
      <c r="AI30" s="990" t="n">
        <f aca="false">35000*O30*AH30</f>
        <v>43680000</v>
      </c>
      <c r="AJ30" s="988" t="n">
        <f aca="false">150000000*O30/1000</f>
        <v>37440000</v>
      </c>
      <c r="AK30" s="988" t="n">
        <f aca="false">300000000*O30/1000</f>
        <v>74880000</v>
      </c>
      <c r="AL30" s="988" t="n">
        <f aca="false">1050000000*O30/1000</f>
        <v>262080000</v>
      </c>
      <c r="AM30" s="991" t="s">
        <v>956</v>
      </c>
    </row>
    <row r="31" customFormat="false" ht="16.5" hidden="false" customHeight="false" outlineLevel="0" collapsed="false">
      <c r="A31" s="1004"/>
      <c r="B31" s="1005" t="s">
        <v>957</v>
      </c>
      <c r="C31" s="965" t="s">
        <v>958</v>
      </c>
      <c r="D31" s="966" t="s">
        <v>959</v>
      </c>
      <c r="E31" s="967" t="s">
        <v>960</v>
      </c>
      <c r="F31" s="968"/>
      <c r="G31" s="994" t="s">
        <v>802</v>
      </c>
      <c r="H31" s="1088" t="n">
        <v>0.0869</v>
      </c>
      <c r="I31" s="970" t="n">
        <v>0.0956</v>
      </c>
      <c r="J31" s="970" t="n">
        <v>0.096</v>
      </c>
      <c r="K31" s="1086" t="n">
        <v>365.69</v>
      </c>
      <c r="L31" s="972" t="n">
        <v>1360</v>
      </c>
      <c r="M31" s="973" t="n">
        <f aca="false">L31/365</f>
        <v>3.72602739726027</v>
      </c>
      <c r="N31" s="974" t="n">
        <v>45747</v>
      </c>
      <c r="O31" s="975" t="n">
        <v>264.32</v>
      </c>
      <c r="P31" s="1001"/>
      <c r="Q31" s="977" t="n">
        <v>45925</v>
      </c>
      <c r="R31" s="1001"/>
      <c r="S31" s="978"/>
      <c r="T31" s="977" t="n">
        <f aca="false">+EDATE(Q31,6)</f>
        <v>46106</v>
      </c>
      <c r="U31" s="979" t="n">
        <v>1</v>
      </c>
      <c r="V31" s="980"/>
      <c r="W31" s="981" t="n">
        <v>6</v>
      </c>
      <c r="X31" s="968" t="s">
        <v>301</v>
      </c>
      <c r="Y31" s="999" t="s">
        <v>890</v>
      </c>
      <c r="Z31" s="979" t="s">
        <v>362</v>
      </c>
      <c r="AA31" s="979" t="s">
        <v>362</v>
      </c>
      <c r="AB31" s="979" t="s">
        <v>362</v>
      </c>
      <c r="AC31" s="984" t="s">
        <v>961</v>
      </c>
      <c r="AD31" s="985" t="s">
        <v>842</v>
      </c>
      <c r="AE31" s="986"/>
      <c r="AF31" s="1089" t="n">
        <v>40000</v>
      </c>
      <c r="AG31" s="988" t="n">
        <f aca="false">40000000*O31/1000</f>
        <v>10572800</v>
      </c>
      <c r="AH31" s="997" t="n">
        <v>5</v>
      </c>
      <c r="AI31" s="990" t="n">
        <f aca="false">35000*O31*AH31</f>
        <v>46256000</v>
      </c>
      <c r="AJ31" s="988" t="n">
        <f aca="false">150000000*O31/1000</f>
        <v>39648000</v>
      </c>
      <c r="AK31" s="988" t="n">
        <f aca="false">300000000*O31/1000</f>
        <v>79296000</v>
      </c>
      <c r="AL31" s="988" t="n">
        <f aca="false">1050000000*O31/1000</f>
        <v>277536000</v>
      </c>
      <c r="AM31" s="991" t="s">
        <v>956</v>
      </c>
    </row>
    <row r="32" customFormat="false" ht="26.85" hidden="false" customHeight="false" outlineLevel="0" collapsed="false">
      <c r="A32" s="1004"/>
      <c r="B32" s="1005" t="s">
        <v>962</v>
      </c>
      <c r="C32" s="965" t="s">
        <v>963</v>
      </c>
      <c r="D32" s="1097" t="s">
        <v>964</v>
      </c>
      <c r="E32" s="967" t="s">
        <v>965</v>
      </c>
      <c r="F32" s="968"/>
      <c r="G32" s="994" t="s">
        <v>809</v>
      </c>
      <c r="H32" s="1088" t="n">
        <v>0.0953</v>
      </c>
      <c r="I32" s="970" t="n">
        <v>0.0956</v>
      </c>
      <c r="J32" s="970" t="n">
        <v>0.096</v>
      </c>
      <c r="K32" s="1086" t="s">
        <v>966</v>
      </c>
      <c r="L32" s="972" t="n">
        <v>1438</v>
      </c>
      <c r="M32" s="973" t="n">
        <f aca="false">L32/365</f>
        <v>3.93972602739726</v>
      </c>
      <c r="N32" s="974" t="n">
        <v>45747</v>
      </c>
      <c r="O32" s="975" t="n">
        <v>380.8</v>
      </c>
      <c r="P32" s="1001"/>
      <c r="Q32" s="977" t="n">
        <v>45925</v>
      </c>
      <c r="R32" s="1001"/>
      <c r="S32" s="978"/>
      <c r="T32" s="977" t="n">
        <f aca="false">+EDATE(Q32,6)</f>
        <v>46106</v>
      </c>
      <c r="U32" s="979" t="n">
        <v>1</v>
      </c>
      <c r="V32" s="980"/>
      <c r="W32" s="981" t="n">
        <v>6</v>
      </c>
      <c r="X32" s="1014" t="s">
        <v>794</v>
      </c>
      <c r="Y32" s="999" t="s">
        <v>890</v>
      </c>
      <c r="Z32" s="979" t="s">
        <v>362</v>
      </c>
      <c r="AA32" s="979" t="s">
        <v>362</v>
      </c>
      <c r="AB32" s="979" t="s">
        <v>362</v>
      </c>
      <c r="AC32" s="984" t="s">
        <v>967</v>
      </c>
      <c r="AD32" s="985" t="s">
        <v>842</v>
      </c>
      <c r="AE32" s="986"/>
      <c r="AF32" s="1089" t="n">
        <v>40000</v>
      </c>
      <c r="AG32" s="988" t="n">
        <f aca="false">40000000*O32/1000</f>
        <v>15232000</v>
      </c>
      <c r="AH32" s="997" t="n">
        <v>5</v>
      </c>
      <c r="AI32" s="990" t="n">
        <f aca="false">35000*O32*AH32</f>
        <v>66640000</v>
      </c>
      <c r="AJ32" s="988" t="n">
        <f aca="false">150000000*O32/1000</f>
        <v>57120000</v>
      </c>
      <c r="AK32" s="988" t="n">
        <f aca="false">300000000*O32/1000</f>
        <v>114240000</v>
      </c>
      <c r="AL32" s="988" t="n">
        <f aca="false">1050000000*O32/1000</f>
        <v>399840000</v>
      </c>
      <c r="AM32" s="991" t="s">
        <v>968</v>
      </c>
    </row>
    <row r="33" customFormat="false" ht="16.5" hidden="false" customHeight="false" outlineLevel="0" collapsed="false">
      <c r="A33" s="1004"/>
      <c r="B33" s="1005" t="s">
        <v>969</v>
      </c>
      <c r="C33" s="965" t="s">
        <v>970</v>
      </c>
      <c r="D33" s="966" t="s">
        <v>971</v>
      </c>
      <c r="E33" s="967" t="s">
        <v>972</v>
      </c>
      <c r="F33" s="968"/>
      <c r="G33" s="994" t="s">
        <v>973</v>
      </c>
      <c r="H33" s="1088" t="n">
        <v>0.0965</v>
      </c>
      <c r="I33" s="970" t="n">
        <v>0.0956</v>
      </c>
      <c r="J33" s="970" t="n">
        <v>0.096</v>
      </c>
      <c r="K33" s="1086" t="n">
        <v>806.6</v>
      </c>
      <c r="L33" s="972" t="n">
        <v>1449</v>
      </c>
      <c r="M33" s="973" t="n">
        <f aca="false">L33/365</f>
        <v>3.96986301369863</v>
      </c>
      <c r="N33" s="974" t="n">
        <v>45747</v>
      </c>
      <c r="O33" s="975" t="n">
        <v>560</v>
      </c>
      <c r="P33" s="1001"/>
      <c r="Q33" s="977" t="n">
        <v>45925</v>
      </c>
      <c r="R33" s="1001"/>
      <c r="S33" s="978"/>
      <c r="T33" s="977" t="n">
        <f aca="false">+EDATE(Q33,6)</f>
        <v>46106</v>
      </c>
      <c r="U33" s="979" t="n">
        <v>1</v>
      </c>
      <c r="V33" s="980"/>
      <c r="W33" s="981" t="n">
        <v>6</v>
      </c>
      <c r="X33" s="968" t="s">
        <v>817</v>
      </c>
      <c r="Y33" s="999" t="s">
        <v>890</v>
      </c>
      <c r="Z33" s="979" t="s">
        <v>362</v>
      </c>
      <c r="AA33" s="979" t="s">
        <v>362</v>
      </c>
      <c r="AB33" s="979" t="s">
        <v>362</v>
      </c>
      <c r="AC33" s="984" t="s">
        <v>974</v>
      </c>
      <c r="AD33" s="985" t="s">
        <v>842</v>
      </c>
      <c r="AE33" s="986"/>
      <c r="AF33" s="1089" t="n">
        <v>40000</v>
      </c>
      <c r="AG33" s="988" t="n">
        <f aca="false">40000000*O33/1000</f>
        <v>22400000</v>
      </c>
      <c r="AH33" s="997" t="n">
        <v>5</v>
      </c>
      <c r="AI33" s="990" t="n">
        <f aca="false">35000*O33*AH33</f>
        <v>98000000</v>
      </c>
      <c r="AJ33" s="988" t="n">
        <f aca="false">150000000*O33/1000</f>
        <v>84000000</v>
      </c>
      <c r="AK33" s="988" t="n">
        <f aca="false">300000000*O33/1000</f>
        <v>168000000</v>
      </c>
      <c r="AL33" s="988" t="n">
        <f aca="false">1050000000*O33/1000</f>
        <v>588000000</v>
      </c>
      <c r="AM33" s="991" t="s">
        <v>975</v>
      </c>
    </row>
    <row r="34" customFormat="false" ht="16.5" hidden="false" customHeight="false" outlineLevel="0" collapsed="false">
      <c r="A34" s="1004"/>
      <c r="B34" s="1005" t="s">
        <v>976</v>
      </c>
      <c r="C34" s="965" t="s">
        <v>977</v>
      </c>
      <c r="D34" s="966" t="s">
        <v>978</v>
      </c>
      <c r="E34" s="1098" t="s">
        <v>979</v>
      </c>
      <c r="F34" s="968"/>
      <c r="G34" s="994" t="s">
        <v>973</v>
      </c>
      <c r="H34" s="1088" t="n">
        <v>0.0873</v>
      </c>
      <c r="I34" s="970" t="n">
        <v>0.0956</v>
      </c>
      <c r="J34" s="970" t="n">
        <v>0.096</v>
      </c>
      <c r="K34" s="1086" t="n">
        <v>756.51</v>
      </c>
      <c r="L34" s="972" t="n">
        <v>1362</v>
      </c>
      <c r="M34" s="973" t="n">
        <f aca="false">L34/365</f>
        <v>3.73150684931507</v>
      </c>
      <c r="N34" s="974" t="n">
        <v>45747</v>
      </c>
      <c r="O34" s="975" t="n">
        <v>556.16</v>
      </c>
      <c r="P34" s="1001"/>
      <c r="Q34" s="977" t="n">
        <v>45925</v>
      </c>
      <c r="R34" s="1001"/>
      <c r="S34" s="978"/>
      <c r="T34" s="977" t="n">
        <f aca="false">+EDATE(Q34,6)</f>
        <v>46106</v>
      </c>
      <c r="U34" s="979" t="n">
        <v>1</v>
      </c>
      <c r="V34" s="980"/>
      <c r="W34" s="981" t="n">
        <v>6</v>
      </c>
      <c r="X34" s="968" t="s">
        <v>301</v>
      </c>
      <c r="Y34" s="999" t="s">
        <v>890</v>
      </c>
      <c r="Z34" s="979" t="s">
        <v>362</v>
      </c>
      <c r="AA34" s="979" t="s">
        <v>362</v>
      </c>
      <c r="AB34" s="979" t="s">
        <v>362</v>
      </c>
      <c r="AC34" s="984" t="s">
        <v>980</v>
      </c>
      <c r="AD34" s="985" t="s">
        <v>842</v>
      </c>
      <c r="AE34" s="986"/>
      <c r="AF34" s="1089" t="n">
        <v>40000</v>
      </c>
      <c r="AG34" s="988" t="n">
        <f aca="false">40000000*O34/1000</f>
        <v>22246400</v>
      </c>
      <c r="AH34" s="997" t="n">
        <v>5</v>
      </c>
      <c r="AI34" s="990" t="n">
        <f aca="false">35000*O34*AH34</f>
        <v>97328000</v>
      </c>
      <c r="AJ34" s="988" t="n">
        <f aca="false">150000000*O34/1000</f>
        <v>83424000</v>
      </c>
      <c r="AK34" s="988" t="n">
        <f aca="false">300000000*O34/1000</f>
        <v>166848000</v>
      </c>
      <c r="AL34" s="988" t="n">
        <f aca="false">1050000000*O34/1000</f>
        <v>583968000</v>
      </c>
      <c r="AM34" s="991" t="s">
        <v>981</v>
      </c>
    </row>
    <row r="35" customFormat="false" ht="16.5" hidden="false" customHeight="false" outlineLevel="0" collapsed="false">
      <c r="A35" s="1099"/>
      <c r="B35" s="1100" t="s">
        <v>982</v>
      </c>
      <c r="C35" s="1101" t="s">
        <v>983</v>
      </c>
      <c r="D35" s="1102" t="s">
        <v>984</v>
      </c>
      <c r="E35" s="1103" t="s">
        <v>985</v>
      </c>
      <c r="F35" s="1051"/>
      <c r="G35" s="1052" t="s">
        <v>973</v>
      </c>
      <c r="H35" s="1104" t="n">
        <v>0.0919</v>
      </c>
      <c r="I35" s="1105" t="n">
        <v>0.0956</v>
      </c>
      <c r="J35" s="1105" t="n">
        <v>0.096</v>
      </c>
      <c r="K35" s="1055" t="n">
        <v>742.339</v>
      </c>
      <c r="L35" s="1056" t="n">
        <v>1410</v>
      </c>
      <c r="M35" s="1057" t="n">
        <f aca="false">L35/365</f>
        <v>3.86301369863014</v>
      </c>
      <c r="N35" s="1058" t="n">
        <v>45747</v>
      </c>
      <c r="O35" s="1059" t="n">
        <v>188.16</v>
      </c>
      <c r="P35" s="1060"/>
      <c r="Q35" s="1061" t="n">
        <v>45925</v>
      </c>
      <c r="R35" s="1060"/>
      <c r="S35" s="1062"/>
      <c r="T35" s="1061" t="n">
        <f aca="false">+EDATE(Q35,6)</f>
        <v>46106</v>
      </c>
      <c r="U35" s="1063" t="n">
        <v>1</v>
      </c>
      <c r="V35" s="1064"/>
      <c r="W35" s="1106" t="n">
        <v>6</v>
      </c>
      <c r="X35" s="1051" t="s">
        <v>302</v>
      </c>
      <c r="Y35" s="1107" t="s">
        <v>890</v>
      </c>
      <c r="Z35" s="1063" t="s">
        <v>362</v>
      </c>
      <c r="AA35" s="1063" t="s">
        <v>362</v>
      </c>
      <c r="AB35" s="1063" t="s">
        <v>362</v>
      </c>
      <c r="AC35" s="1108" t="s">
        <v>986</v>
      </c>
      <c r="AD35" s="1109" t="s">
        <v>842</v>
      </c>
      <c r="AE35" s="1110"/>
      <c r="AF35" s="1111" t="n">
        <v>40000</v>
      </c>
      <c r="AG35" s="1112" t="n">
        <f aca="false">40000000*O35/1000</f>
        <v>7526400</v>
      </c>
      <c r="AH35" s="1113" t="n">
        <v>5</v>
      </c>
      <c r="AI35" s="1114" t="n">
        <f aca="false">35000*O35*AH35</f>
        <v>32928000</v>
      </c>
      <c r="AJ35" s="1112" t="n">
        <f aca="false">150000000*O35/1000</f>
        <v>28224000</v>
      </c>
      <c r="AK35" s="1112" t="n">
        <f aca="false">300000000*O35/1000</f>
        <v>56448000</v>
      </c>
      <c r="AL35" s="1112" t="n">
        <f aca="false">1050000000*O35/1000</f>
        <v>197568000</v>
      </c>
      <c r="AM35" s="1115" t="s">
        <v>987</v>
      </c>
    </row>
    <row r="36" customFormat="false" ht="13.5" hidden="false" customHeight="true" outlineLevel="0" collapsed="false">
      <c r="A36" s="1116" t="s">
        <v>988</v>
      </c>
      <c r="B36" s="1117"/>
      <c r="C36" s="1118"/>
      <c r="D36" s="1119"/>
      <c r="E36" s="1120"/>
      <c r="F36" s="1121"/>
      <c r="G36" s="1122"/>
      <c r="H36" s="1123"/>
      <c r="I36" s="1123"/>
      <c r="J36" s="1123"/>
      <c r="K36" s="1124"/>
      <c r="L36" s="1125"/>
      <c r="M36" s="1126"/>
      <c r="N36" s="1127"/>
      <c r="O36" s="1124"/>
      <c r="P36" s="1127"/>
      <c r="Q36" s="1128"/>
      <c r="R36" s="1127"/>
      <c r="S36" s="1129"/>
      <c r="T36" s="1128"/>
      <c r="U36" s="1122"/>
      <c r="V36" s="1130"/>
      <c r="W36" s="1131"/>
      <c r="X36" s="1121"/>
      <c r="Y36" s="1121"/>
      <c r="Z36" s="1122"/>
      <c r="AA36" s="1122"/>
      <c r="AB36" s="1122"/>
      <c r="AC36" s="1132"/>
      <c r="AD36" s="1133"/>
      <c r="AE36" s="1134"/>
      <c r="AF36" s="1135"/>
      <c r="AG36" s="1136"/>
      <c r="AH36" s="1137"/>
      <c r="AI36" s="1138"/>
      <c r="AJ36" s="1136"/>
      <c r="AK36" s="1136"/>
      <c r="AL36" s="1136"/>
      <c r="AM36" s="1139"/>
    </row>
    <row r="37" customFormat="false" ht="13.5" hidden="false" customHeight="true" outlineLevel="0" collapsed="false">
      <c r="A37" s="1116" t="n">
        <f aca="false">SUM(A11,A27)</f>
        <v>16191.235</v>
      </c>
      <c r="B37" s="1140"/>
      <c r="C37" s="1141"/>
      <c r="D37" s="1142"/>
      <c r="E37" s="1143"/>
      <c r="F37" s="1144"/>
      <c r="G37" s="1145"/>
      <c r="H37" s="1146"/>
      <c r="I37" s="1146"/>
      <c r="J37" s="1146"/>
      <c r="K37" s="1147"/>
      <c r="L37" s="1148"/>
      <c r="M37" s="1149"/>
      <c r="N37" s="1150"/>
      <c r="O37" s="1147"/>
      <c r="P37" s="1150"/>
      <c r="Q37" s="1151"/>
      <c r="R37" s="1150"/>
      <c r="S37" s="1152"/>
      <c r="T37" s="1151"/>
      <c r="U37" s="1145"/>
      <c r="V37" s="1153"/>
      <c r="W37" s="1154"/>
      <c r="X37" s="1144"/>
      <c r="Y37" s="1144"/>
      <c r="Z37" s="1145"/>
      <c r="AA37" s="1145"/>
      <c r="AB37" s="1145"/>
      <c r="AC37" s="1155"/>
      <c r="AD37" s="1156"/>
      <c r="AE37" s="1157"/>
      <c r="AF37" s="1158"/>
      <c r="AG37" s="1159"/>
      <c r="AH37" s="1160"/>
      <c r="AI37" s="1161"/>
      <c r="AJ37" s="1159"/>
      <c r="AK37" s="1159"/>
      <c r="AL37" s="1159"/>
      <c r="AM37" s="1162"/>
    </row>
    <row r="38" customFormat="false" ht="16.5" hidden="false" customHeight="true" outlineLevel="0" collapsed="false">
      <c r="A38" s="1077"/>
      <c r="B38" s="1163" t="s">
        <v>989</v>
      </c>
      <c r="C38" s="965" t="s">
        <v>990</v>
      </c>
      <c r="D38" s="998" t="s">
        <v>991</v>
      </c>
      <c r="E38" s="967"/>
      <c r="F38" s="979" t="s">
        <v>839</v>
      </c>
      <c r="G38" s="994" t="s">
        <v>992</v>
      </c>
      <c r="H38" s="1164" t="n">
        <v>0.0895</v>
      </c>
      <c r="I38" s="1164" t="n">
        <v>0.0956</v>
      </c>
      <c r="J38" s="1164" t="n">
        <v>0.096</v>
      </c>
      <c r="K38" s="995" t="n">
        <v>168.7687</v>
      </c>
      <c r="L38" s="972" t="n">
        <v>1385</v>
      </c>
      <c r="M38" s="973" t="n">
        <f aca="false">L38/365</f>
        <v>3.79452054794521</v>
      </c>
      <c r="N38" s="974" t="n">
        <v>45761</v>
      </c>
      <c r="O38" s="1165" t="n">
        <v>122</v>
      </c>
      <c r="P38" s="1001"/>
      <c r="Q38" s="977" t="n">
        <v>45925</v>
      </c>
      <c r="R38" s="1001"/>
      <c r="S38" s="978"/>
      <c r="T38" s="977" t="n">
        <f aca="false">+EDATE(Q38,6)</f>
        <v>46106</v>
      </c>
      <c r="U38" s="979" t="n">
        <v>1</v>
      </c>
      <c r="V38" s="980" t="n">
        <f aca="false">+O38*40000000/1000</f>
        <v>4880000</v>
      </c>
      <c r="W38" s="981" t="n">
        <v>6</v>
      </c>
      <c r="X38" s="968" t="s">
        <v>302</v>
      </c>
      <c r="Y38" s="982" t="s">
        <v>795</v>
      </c>
      <c r="Z38" s="979" t="s">
        <v>362</v>
      </c>
      <c r="AA38" s="979" t="s">
        <v>362</v>
      </c>
      <c r="AB38" s="979" t="s">
        <v>362</v>
      </c>
      <c r="AC38" s="1166" t="s">
        <v>993</v>
      </c>
      <c r="AD38" s="985" t="s">
        <v>842</v>
      </c>
      <c r="AE38" s="986"/>
      <c r="AF38" s="987" t="n">
        <v>40000</v>
      </c>
      <c r="AG38" s="1081" t="n">
        <f aca="false">+AF38*O38</f>
        <v>4880000</v>
      </c>
      <c r="AH38" s="1082" t="n">
        <v>5</v>
      </c>
      <c r="AI38" s="1083" t="n">
        <f aca="false">35000*O38*AH38</f>
        <v>21350000</v>
      </c>
      <c r="AJ38" s="988" t="n">
        <f aca="false">150000000*O38/1000</f>
        <v>18300000</v>
      </c>
      <c r="AK38" s="1081" t="n">
        <f aca="false">300000000*O38/1000</f>
        <v>36600000</v>
      </c>
      <c r="AL38" s="1081" t="n">
        <f aca="false">1050000000*O38/1000</f>
        <v>128100000</v>
      </c>
      <c r="AM38" s="1012" t="s">
        <v>994</v>
      </c>
    </row>
    <row r="39" customFormat="false" ht="16.5" hidden="false" customHeight="true" outlineLevel="0" collapsed="false">
      <c r="A39" s="992"/>
      <c r="B39" s="1163" t="s">
        <v>995</v>
      </c>
      <c r="C39" s="965" t="s">
        <v>996</v>
      </c>
      <c r="D39" s="998" t="s">
        <v>997</v>
      </c>
      <c r="E39" s="967"/>
      <c r="F39" s="979" t="s">
        <v>839</v>
      </c>
      <c r="G39" s="994" t="s">
        <v>998</v>
      </c>
      <c r="H39" s="1164" t="n">
        <v>0.0945</v>
      </c>
      <c r="I39" s="1164" t="n">
        <v>0.0956</v>
      </c>
      <c r="J39" s="1164" t="n">
        <v>0.096</v>
      </c>
      <c r="K39" s="995" t="n">
        <v>246.0976</v>
      </c>
      <c r="L39" s="972" t="n">
        <v>1430.8</v>
      </c>
      <c r="M39" s="973" t="n">
        <f aca="false">L39/365</f>
        <v>3.92</v>
      </c>
      <c r="N39" s="974" t="n">
        <v>45761</v>
      </c>
      <c r="O39" s="1165" t="n">
        <v>172</v>
      </c>
      <c r="P39" s="1001"/>
      <c r="Q39" s="977" t="n">
        <v>45925</v>
      </c>
      <c r="R39" s="1001"/>
      <c r="S39" s="978"/>
      <c r="T39" s="977" t="n">
        <f aca="false">+EDATE(Q39,6)</f>
        <v>46106</v>
      </c>
      <c r="U39" s="979" t="n">
        <v>1</v>
      </c>
      <c r="V39" s="980" t="n">
        <f aca="false">+O39*40000000/1000</f>
        <v>6880000</v>
      </c>
      <c r="W39" s="981" t="n">
        <v>6</v>
      </c>
      <c r="X39" s="968" t="s">
        <v>302</v>
      </c>
      <c r="Y39" s="982" t="s">
        <v>795</v>
      </c>
      <c r="Z39" s="979" t="s">
        <v>362</v>
      </c>
      <c r="AA39" s="979" t="s">
        <v>362</v>
      </c>
      <c r="AB39" s="979" t="s">
        <v>362</v>
      </c>
      <c r="AC39" s="1166" t="s">
        <v>999</v>
      </c>
      <c r="AD39" s="985" t="s">
        <v>842</v>
      </c>
      <c r="AE39" s="986"/>
      <c r="AF39" s="987" t="n">
        <v>40000</v>
      </c>
      <c r="AG39" s="1081" t="n">
        <f aca="false">+AF39*O39</f>
        <v>6880000</v>
      </c>
      <c r="AH39" s="1082" t="n">
        <v>5</v>
      </c>
      <c r="AI39" s="1083" t="n">
        <f aca="false">35000*O39*AH39</f>
        <v>30100000</v>
      </c>
      <c r="AJ39" s="988" t="n">
        <f aca="false">150000000*O39/1000</f>
        <v>25800000</v>
      </c>
      <c r="AK39" s="1081" t="n">
        <f aca="false">300000000*O39/1000</f>
        <v>51600000</v>
      </c>
      <c r="AL39" s="1081" t="n">
        <f aca="false">1050000000*O39/1000</f>
        <v>180600000</v>
      </c>
      <c r="AM39" s="1012" t="s">
        <v>994</v>
      </c>
    </row>
    <row r="40" customFormat="false" ht="16.5" hidden="false" customHeight="true" outlineLevel="0" collapsed="false">
      <c r="A40" s="992"/>
      <c r="B40" s="1163" t="s">
        <v>1000</v>
      </c>
      <c r="C40" s="965" t="s">
        <v>1001</v>
      </c>
      <c r="D40" s="998" t="s">
        <v>1002</v>
      </c>
      <c r="E40" s="967"/>
      <c r="F40" s="979" t="s">
        <v>1003</v>
      </c>
      <c r="G40" s="994" t="s">
        <v>973</v>
      </c>
      <c r="H40" s="1164" t="n">
        <v>0.1065</v>
      </c>
      <c r="I40" s="1164" t="n">
        <v>0.0956</v>
      </c>
      <c r="J40" s="1164" t="n">
        <v>0.096</v>
      </c>
      <c r="K40" s="995" t="n">
        <v>359.89</v>
      </c>
      <c r="L40" s="972" t="n">
        <v>1547</v>
      </c>
      <c r="M40" s="973" t="n">
        <f aca="false">L40/365</f>
        <v>4.23835616438356</v>
      </c>
      <c r="N40" s="974" t="n">
        <v>45761</v>
      </c>
      <c r="O40" s="1165" t="n">
        <v>232.32</v>
      </c>
      <c r="P40" s="1001"/>
      <c r="Q40" s="977" t="n">
        <v>45925</v>
      </c>
      <c r="R40" s="1001"/>
      <c r="S40" s="978"/>
      <c r="T40" s="977" t="n">
        <f aca="false">+EDATE(Q40,6)</f>
        <v>46106</v>
      </c>
      <c r="U40" s="979" t="n">
        <v>1</v>
      </c>
      <c r="V40" s="980" t="n">
        <f aca="false">+O40*40000000/1000</f>
        <v>9292800</v>
      </c>
      <c r="W40" s="981" t="n">
        <v>6</v>
      </c>
      <c r="X40" s="968" t="s">
        <v>810</v>
      </c>
      <c r="Y40" s="999" t="s">
        <v>890</v>
      </c>
      <c r="Z40" s="979" t="s">
        <v>362</v>
      </c>
      <c r="AA40" s="979" t="s">
        <v>362</v>
      </c>
      <c r="AB40" s="979" t="s">
        <v>362</v>
      </c>
      <c r="AC40" s="1166" t="s">
        <v>1004</v>
      </c>
      <c r="AD40" s="985" t="s">
        <v>842</v>
      </c>
      <c r="AE40" s="986"/>
      <c r="AF40" s="987" t="n">
        <v>40000</v>
      </c>
      <c r="AG40" s="1081" t="n">
        <f aca="false">+AF40*232</f>
        <v>9280000</v>
      </c>
      <c r="AH40" s="1082" t="n">
        <v>5</v>
      </c>
      <c r="AI40" s="1083" t="n">
        <f aca="false">35000*232*AH40</f>
        <v>40600000</v>
      </c>
      <c r="AJ40" s="988" t="n">
        <f aca="false">150000000*O40/1000</f>
        <v>34848000</v>
      </c>
      <c r="AK40" s="1081" t="n">
        <f aca="false">300000000*O40/1000</f>
        <v>69696000</v>
      </c>
      <c r="AL40" s="1081" t="n">
        <f aca="false">1050000000*O40/1000</f>
        <v>243936000</v>
      </c>
      <c r="AM40" s="991" t="s">
        <v>1005</v>
      </c>
    </row>
    <row r="41" customFormat="false" ht="16.5" hidden="false" customHeight="true" outlineLevel="0" collapsed="false">
      <c r="A41" s="992"/>
      <c r="B41" s="1167" t="s">
        <v>1006</v>
      </c>
      <c r="C41" s="965" t="s">
        <v>1007</v>
      </c>
      <c r="D41" s="998" t="s">
        <v>1008</v>
      </c>
      <c r="E41" s="967"/>
      <c r="F41" s="979" t="s">
        <v>1003</v>
      </c>
      <c r="G41" s="994" t="s">
        <v>966</v>
      </c>
      <c r="H41" s="1164" t="s">
        <v>966</v>
      </c>
      <c r="I41" s="1164"/>
      <c r="J41" s="1164"/>
      <c r="K41" s="995" t="n">
        <v>1940.515</v>
      </c>
      <c r="L41" s="972" t="n">
        <v>1554.9</v>
      </c>
      <c r="M41" s="973" t="n">
        <f aca="false">L41/365</f>
        <v>4.26</v>
      </c>
      <c r="N41" s="974" t="n">
        <v>45768</v>
      </c>
      <c r="O41" s="1165" t="n">
        <v>1248</v>
      </c>
      <c r="P41" s="1001"/>
      <c r="Q41" s="1168" t="n">
        <v>45931</v>
      </c>
      <c r="R41" s="1001"/>
      <c r="S41" s="978"/>
      <c r="T41" s="977"/>
      <c r="U41" s="979" t="n">
        <v>1</v>
      </c>
      <c r="V41" s="980" t="n">
        <f aca="false">+O41*40000000/1000</f>
        <v>49920000</v>
      </c>
      <c r="W41" s="981" t="n">
        <v>6</v>
      </c>
      <c r="X41" s="968" t="s">
        <v>300</v>
      </c>
      <c r="Y41" s="999" t="s">
        <v>1009</v>
      </c>
      <c r="Z41" s="979" t="s">
        <v>362</v>
      </c>
      <c r="AA41" s="979" t="s">
        <v>362</v>
      </c>
      <c r="AB41" s="979" t="s">
        <v>362</v>
      </c>
      <c r="AC41" s="1169" t="s">
        <v>1010</v>
      </c>
      <c r="AD41" s="985" t="s">
        <v>842</v>
      </c>
      <c r="AE41" s="986"/>
      <c r="AF41" s="987" t="n">
        <v>40000</v>
      </c>
      <c r="AG41" s="1081" t="n">
        <f aca="false">+AF41*O41</f>
        <v>49920000</v>
      </c>
      <c r="AH41" s="997" t="n">
        <v>5</v>
      </c>
      <c r="AI41" s="1083" t="n">
        <f aca="false">35000*O41*AH41</f>
        <v>218400000</v>
      </c>
      <c r="AJ41" s="988" t="n">
        <f aca="false">150000000*O41/1000</f>
        <v>187200000</v>
      </c>
      <c r="AK41" s="1081" t="n">
        <f aca="false">300000000*O41/1000</f>
        <v>374400000</v>
      </c>
      <c r="AL41" s="1081" t="n">
        <f aca="false">1050000000*O41/1000</f>
        <v>1310400000</v>
      </c>
      <c r="AM41" s="991" t="s">
        <v>1011</v>
      </c>
    </row>
    <row r="42" customFormat="false" ht="16.5" hidden="false" customHeight="true" outlineLevel="0" collapsed="false">
      <c r="A42" s="992"/>
      <c r="B42" s="1167" t="s">
        <v>1012</v>
      </c>
      <c r="C42" s="965" t="s">
        <v>1013</v>
      </c>
      <c r="D42" s="998" t="s">
        <v>1014</v>
      </c>
      <c r="E42" s="967"/>
      <c r="F42" s="979" t="s">
        <v>1003</v>
      </c>
      <c r="G42" s="994" t="s">
        <v>966</v>
      </c>
      <c r="H42" s="1164" t="s">
        <v>966</v>
      </c>
      <c r="I42" s="1164"/>
      <c r="J42" s="1164"/>
      <c r="K42" s="995" t="n">
        <v>2975.772</v>
      </c>
      <c r="L42" s="972" t="n">
        <v>1441.75</v>
      </c>
      <c r="M42" s="973" t="n">
        <f aca="false">L42/365</f>
        <v>3.95</v>
      </c>
      <c r="N42" s="974" t="n">
        <v>45768</v>
      </c>
      <c r="O42" s="1165" t="n">
        <v>2064</v>
      </c>
      <c r="P42" s="1001"/>
      <c r="Q42" s="1168" t="n">
        <v>45931</v>
      </c>
      <c r="R42" s="1001"/>
      <c r="S42" s="978"/>
      <c r="T42" s="977"/>
      <c r="U42" s="979" t="n">
        <v>1</v>
      </c>
      <c r="V42" s="980" t="n">
        <f aca="false">+O42*40000000/1000</f>
        <v>82560000</v>
      </c>
      <c r="W42" s="981" t="n">
        <v>6</v>
      </c>
      <c r="X42" s="1014" t="s">
        <v>1015</v>
      </c>
      <c r="Y42" s="999" t="s">
        <v>1009</v>
      </c>
      <c r="Z42" s="979" t="s">
        <v>362</v>
      </c>
      <c r="AA42" s="979" t="s">
        <v>362</v>
      </c>
      <c r="AB42" s="979" t="s">
        <v>362</v>
      </c>
      <c r="AC42" s="1170" t="s">
        <v>1016</v>
      </c>
      <c r="AD42" s="985" t="s">
        <v>842</v>
      </c>
      <c r="AE42" s="986"/>
      <c r="AF42" s="987" t="n">
        <v>40000</v>
      </c>
      <c r="AG42" s="1081" t="n">
        <f aca="false">+AF42*O42</f>
        <v>82560000</v>
      </c>
      <c r="AH42" s="997" t="n">
        <v>5</v>
      </c>
      <c r="AI42" s="1083" t="n">
        <f aca="false">35000*O42*AH42</f>
        <v>361200000</v>
      </c>
      <c r="AJ42" s="988" t="n">
        <f aca="false">150000000*O42/1000</f>
        <v>309600000</v>
      </c>
      <c r="AK42" s="1081" t="n">
        <f aca="false">300000000*O42/1000</f>
        <v>619200000</v>
      </c>
      <c r="AL42" s="1081" t="n">
        <f aca="false">1050000000*O42/1000</f>
        <v>2167200000</v>
      </c>
      <c r="AM42" s="991" t="s">
        <v>1017</v>
      </c>
    </row>
    <row r="43" customFormat="false" ht="16.5" hidden="false" customHeight="true" outlineLevel="0" collapsed="false">
      <c r="A43" s="992"/>
      <c r="B43" s="1167" t="s">
        <v>1018</v>
      </c>
      <c r="C43" s="965" t="s">
        <v>1019</v>
      </c>
      <c r="D43" s="998" t="s">
        <v>1020</v>
      </c>
      <c r="E43" s="967"/>
      <c r="F43" s="979" t="s">
        <v>1003</v>
      </c>
      <c r="G43" s="994" t="s">
        <v>1021</v>
      </c>
      <c r="H43" s="1164" t="s">
        <v>966</v>
      </c>
      <c r="I43" s="1164"/>
      <c r="J43" s="1164"/>
      <c r="K43" s="995" t="n">
        <v>574.7071</v>
      </c>
      <c r="L43" s="972" t="n">
        <v>1536.65</v>
      </c>
      <c r="M43" s="973" t="n">
        <f aca="false">L43/365</f>
        <v>4.21</v>
      </c>
      <c r="N43" s="974" t="n">
        <v>45768</v>
      </c>
      <c r="O43" s="1165" t="n">
        <v>374</v>
      </c>
      <c r="P43" s="1001"/>
      <c r="Q43" s="1168" t="n">
        <v>45931</v>
      </c>
      <c r="R43" s="1001"/>
      <c r="S43" s="978"/>
      <c r="T43" s="977"/>
      <c r="U43" s="979" t="n">
        <v>1</v>
      </c>
      <c r="V43" s="980" t="n">
        <f aca="false">+O43*40000000/1000</f>
        <v>14960000</v>
      </c>
      <c r="W43" s="981" t="n">
        <v>6</v>
      </c>
      <c r="X43" s="1014" t="s">
        <v>794</v>
      </c>
      <c r="Y43" s="999" t="s">
        <v>1009</v>
      </c>
      <c r="Z43" s="979" t="s">
        <v>362</v>
      </c>
      <c r="AA43" s="979" t="s">
        <v>362</v>
      </c>
      <c r="AB43" s="979" t="s">
        <v>362</v>
      </c>
      <c r="AC43" s="1171" t="s">
        <v>1022</v>
      </c>
      <c r="AD43" s="985" t="s">
        <v>842</v>
      </c>
      <c r="AE43" s="986"/>
      <c r="AF43" s="987" t="n">
        <v>40000</v>
      </c>
      <c r="AG43" s="1081" t="n">
        <f aca="false">+AF43*O43</f>
        <v>14960000</v>
      </c>
      <c r="AH43" s="997" t="n">
        <v>5</v>
      </c>
      <c r="AI43" s="1083" t="n">
        <f aca="false">+AG43*AH43</f>
        <v>74800000</v>
      </c>
      <c r="AJ43" s="988" t="n">
        <f aca="false">150000000*O43/1000</f>
        <v>56100000</v>
      </c>
      <c r="AK43" s="1081" t="n">
        <f aca="false">300000000*O43/1000</f>
        <v>112200000</v>
      </c>
      <c r="AL43" s="1081" t="n">
        <f aca="false">1050000000*O43/1000</f>
        <v>392700000</v>
      </c>
      <c r="AM43" s="1012" t="s">
        <v>1023</v>
      </c>
    </row>
    <row r="44" customFormat="false" ht="16.5" hidden="false" customHeight="true" outlineLevel="0" collapsed="false">
      <c r="A44" s="992"/>
      <c r="B44" s="1163" t="s">
        <v>1024</v>
      </c>
      <c r="C44" s="965" t="s">
        <v>1025</v>
      </c>
      <c r="D44" s="998" t="s">
        <v>1026</v>
      </c>
      <c r="E44" s="967"/>
      <c r="F44" s="979" t="s">
        <v>1003</v>
      </c>
      <c r="G44" s="994" t="s">
        <v>1027</v>
      </c>
      <c r="H44" s="1164" t="s">
        <v>966</v>
      </c>
      <c r="I44" s="1164"/>
      <c r="J44" s="1164"/>
      <c r="K44" s="995" t="n">
        <v>233.759</v>
      </c>
      <c r="L44" s="972" t="n">
        <v>1416.2</v>
      </c>
      <c r="M44" s="973" t="n">
        <f aca="false">L44/365</f>
        <v>3.88</v>
      </c>
      <c r="N44" s="974" t="n">
        <v>45775</v>
      </c>
      <c r="O44" s="1165" t="n">
        <v>158</v>
      </c>
      <c r="P44" s="1001"/>
      <c r="Q44" s="1168" t="n">
        <v>45962</v>
      </c>
      <c r="R44" s="1001"/>
      <c r="S44" s="978"/>
      <c r="T44" s="977"/>
      <c r="U44" s="979" t="n">
        <v>1</v>
      </c>
      <c r="V44" s="980" t="n">
        <f aca="false">+O44*40000000/1000</f>
        <v>6320000</v>
      </c>
      <c r="W44" s="981" t="n">
        <v>6</v>
      </c>
      <c r="X44" s="968" t="s">
        <v>302</v>
      </c>
      <c r="Y44" s="999" t="s">
        <v>1009</v>
      </c>
      <c r="Z44" s="979" t="s">
        <v>362</v>
      </c>
      <c r="AA44" s="979" t="s">
        <v>362</v>
      </c>
      <c r="AB44" s="979" t="s">
        <v>362</v>
      </c>
      <c r="AC44" s="1170" t="s">
        <v>1028</v>
      </c>
      <c r="AD44" s="985" t="s">
        <v>842</v>
      </c>
      <c r="AE44" s="986"/>
      <c r="AF44" s="987" t="n">
        <v>40000</v>
      </c>
      <c r="AG44" s="1081" t="n">
        <f aca="false">+AF44*O44</f>
        <v>6320000</v>
      </c>
      <c r="AH44" s="997" t="n">
        <v>5</v>
      </c>
      <c r="AI44" s="1083" t="n">
        <f aca="false">35000*O44*AH44</f>
        <v>27650000</v>
      </c>
      <c r="AJ44" s="988" t="n">
        <f aca="false">150000000*O44/1000</f>
        <v>23700000</v>
      </c>
      <c r="AK44" s="1081" t="n">
        <f aca="false">300000000*O44/1000</f>
        <v>47400000</v>
      </c>
      <c r="AL44" s="1081" t="n">
        <f aca="false">1050000000*O44/1000</f>
        <v>165900000</v>
      </c>
      <c r="AM44" s="991" t="s">
        <v>1029</v>
      </c>
    </row>
    <row r="45" customFormat="false" ht="16.5" hidden="false" customHeight="true" outlineLevel="0" collapsed="false">
      <c r="A45" s="992"/>
      <c r="B45" s="1167" t="s">
        <v>1030</v>
      </c>
      <c r="C45" s="965" t="s">
        <v>1031</v>
      </c>
      <c r="D45" s="998" t="s">
        <v>1032</v>
      </c>
      <c r="E45" s="967"/>
      <c r="F45" s="979" t="s">
        <v>1003</v>
      </c>
      <c r="G45" s="994" t="s">
        <v>1033</v>
      </c>
      <c r="H45" s="1164" t="s">
        <v>966</v>
      </c>
      <c r="I45" s="1164"/>
      <c r="J45" s="1164"/>
      <c r="K45" s="995" t="n">
        <v>1296.133</v>
      </c>
      <c r="L45" s="972" t="n">
        <v>1441.75</v>
      </c>
      <c r="M45" s="973" t="n">
        <f aca="false">L45/365</f>
        <v>3.95</v>
      </c>
      <c r="N45" s="974" t="n">
        <v>45775</v>
      </c>
      <c r="O45" s="1165" t="n">
        <v>899</v>
      </c>
      <c r="P45" s="1001"/>
      <c r="Q45" s="1168" t="n">
        <v>45962</v>
      </c>
      <c r="R45" s="1001"/>
      <c r="S45" s="978"/>
      <c r="T45" s="977"/>
      <c r="U45" s="979" t="n">
        <v>1</v>
      </c>
      <c r="V45" s="980" t="n">
        <f aca="false">+O45*40000000/1000</f>
        <v>35960000</v>
      </c>
      <c r="W45" s="981" t="n">
        <v>6</v>
      </c>
      <c r="X45" s="968" t="s">
        <v>302</v>
      </c>
      <c r="Y45" s="999" t="s">
        <v>1009</v>
      </c>
      <c r="Z45" s="979" t="s">
        <v>362</v>
      </c>
      <c r="AA45" s="979" t="s">
        <v>362</v>
      </c>
      <c r="AB45" s="979" t="s">
        <v>362</v>
      </c>
      <c r="AC45" s="1170" t="s">
        <v>1034</v>
      </c>
      <c r="AD45" s="985" t="s">
        <v>842</v>
      </c>
      <c r="AE45" s="986"/>
      <c r="AF45" s="987" t="n">
        <v>40000</v>
      </c>
      <c r="AG45" s="1081" t="n">
        <f aca="false">+AF45*O45</f>
        <v>35960000</v>
      </c>
      <c r="AH45" s="997" t="n">
        <v>5</v>
      </c>
      <c r="AI45" s="1083" t="n">
        <f aca="false">35000*O45*AH45</f>
        <v>157325000</v>
      </c>
      <c r="AJ45" s="988" t="n">
        <f aca="false">150000000*O45/1000</f>
        <v>134850000</v>
      </c>
      <c r="AK45" s="1081" t="n">
        <f aca="false">300000000*O45/1000</f>
        <v>269700000</v>
      </c>
      <c r="AL45" s="1081" t="n">
        <f aca="false">1050000000*O45/1000</f>
        <v>943950000</v>
      </c>
      <c r="AM45" s="991" t="s">
        <v>1029</v>
      </c>
    </row>
    <row r="46" customFormat="false" ht="16.5" hidden="false" customHeight="true" outlineLevel="0" collapsed="false">
      <c r="A46" s="992"/>
      <c r="B46" s="1167" t="s">
        <v>1035</v>
      </c>
      <c r="C46" s="965" t="s">
        <v>1036</v>
      </c>
      <c r="D46" s="998" t="s">
        <v>1037</v>
      </c>
      <c r="E46" s="967"/>
      <c r="F46" s="979" t="s">
        <v>1003</v>
      </c>
      <c r="G46" s="994" t="s">
        <v>1027</v>
      </c>
      <c r="H46" s="1164" t="s">
        <v>966</v>
      </c>
      <c r="I46" s="1164"/>
      <c r="J46" s="1164"/>
      <c r="K46" s="995" t="n">
        <v>333.4275</v>
      </c>
      <c r="L46" s="972" t="n">
        <v>1481.9</v>
      </c>
      <c r="M46" s="973" t="n">
        <f aca="false">L46/365</f>
        <v>4.06</v>
      </c>
      <c r="N46" s="974" t="n">
        <v>45775</v>
      </c>
      <c r="O46" s="1165" t="n">
        <v>225</v>
      </c>
      <c r="P46" s="1001"/>
      <c r="Q46" s="1168" t="n">
        <v>45962</v>
      </c>
      <c r="R46" s="1001"/>
      <c r="S46" s="978"/>
      <c r="T46" s="977"/>
      <c r="U46" s="979" t="n">
        <v>1</v>
      </c>
      <c r="V46" s="980" t="n">
        <f aca="false">+O46*40000000/1000</f>
        <v>9000000</v>
      </c>
      <c r="W46" s="981" t="n">
        <v>6</v>
      </c>
      <c r="X46" s="1014" t="s">
        <v>1015</v>
      </c>
      <c r="Y46" s="999" t="s">
        <v>1009</v>
      </c>
      <c r="Z46" s="979" t="s">
        <v>362</v>
      </c>
      <c r="AA46" s="979" t="s">
        <v>362</v>
      </c>
      <c r="AB46" s="979" t="s">
        <v>362</v>
      </c>
      <c r="AC46" s="984" t="s">
        <v>1038</v>
      </c>
      <c r="AD46" s="985" t="s">
        <v>842</v>
      </c>
      <c r="AE46" s="986"/>
      <c r="AF46" s="987" t="n">
        <v>40000</v>
      </c>
      <c r="AG46" s="1081" t="n">
        <f aca="false">+AF46*O46</f>
        <v>9000000</v>
      </c>
      <c r="AH46" s="997" t="n">
        <v>5</v>
      </c>
      <c r="AI46" s="1083" t="n">
        <f aca="false">35000*O46*AH46</f>
        <v>39375000</v>
      </c>
      <c r="AJ46" s="988" t="n">
        <f aca="false">150000000*O46/1000</f>
        <v>33750000</v>
      </c>
      <c r="AK46" s="1081" t="n">
        <f aca="false">300000000*O46/1000</f>
        <v>67500000</v>
      </c>
      <c r="AL46" s="1081" t="n">
        <f aca="false">1050000000*O46/1000</f>
        <v>236250000</v>
      </c>
      <c r="AM46" s="991" t="s">
        <v>1029</v>
      </c>
    </row>
    <row r="47" customFormat="false" ht="16.5" hidden="false" customHeight="true" outlineLevel="0" collapsed="false">
      <c r="A47" s="992"/>
      <c r="B47" s="1163" t="s">
        <v>442</v>
      </c>
      <c r="C47" s="965" t="s">
        <v>1039</v>
      </c>
      <c r="D47" s="998" t="s">
        <v>1040</v>
      </c>
      <c r="E47" s="967"/>
      <c r="F47" s="979" t="s">
        <v>936</v>
      </c>
      <c r="G47" s="994" t="s">
        <v>809</v>
      </c>
      <c r="H47" s="1164" t="n">
        <v>0.0917</v>
      </c>
      <c r="I47" s="1164" t="n">
        <v>0.092</v>
      </c>
      <c r="J47" s="1164" t="n">
        <v>0.093</v>
      </c>
      <c r="K47" s="995" t="n">
        <v>716.72196</v>
      </c>
      <c r="L47" s="972" t="n">
        <v>1436</v>
      </c>
      <c r="M47" s="973" t="n">
        <f aca="false">L47/365</f>
        <v>3.93424657534247</v>
      </c>
      <c r="N47" s="974" t="n">
        <v>45751</v>
      </c>
      <c r="O47" s="975" t="n">
        <v>499.11</v>
      </c>
      <c r="P47" s="1001"/>
      <c r="Q47" s="977" t="n">
        <v>45962</v>
      </c>
      <c r="R47" s="1001"/>
      <c r="S47" s="978"/>
      <c r="T47" s="977" t="n">
        <f aca="false">+EDATE(Q47,6)</f>
        <v>46143</v>
      </c>
      <c r="U47" s="979" t="n">
        <v>1</v>
      </c>
      <c r="V47" s="980" t="n">
        <f aca="false">+O47*40000000/1000</f>
        <v>19964400</v>
      </c>
      <c r="W47" s="981" t="n">
        <v>6</v>
      </c>
      <c r="X47" s="968" t="s">
        <v>1041</v>
      </c>
      <c r="Y47" s="999" t="s">
        <v>890</v>
      </c>
      <c r="Z47" s="979" t="s">
        <v>362</v>
      </c>
      <c r="AA47" s="979" t="s">
        <v>362</v>
      </c>
      <c r="AB47" s="979" t="s">
        <v>362</v>
      </c>
      <c r="AC47" s="984" t="s">
        <v>1042</v>
      </c>
      <c r="AD47" s="985" t="s">
        <v>505</v>
      </c>
      <c r="AE47" s="986"/>
      <c r="AF47" s="987" t="n">
        <v>40000</v>
      </c>
      <c r="AG47" s="1081" t="n">
        <f aca="false">+AF47*O47</f>
        <v>19964400</v>
      </c>
      <c r="AH47" s="1082" t="n">
        <v>5</v>
      </c>
      <c r="AI47" s="1083" t="n">
        <f aca="false">+AG47*AH47</f>
        <v>99822000</v>
      </c>
      <c r="AJ47" s="1081" t="n">
        <f aca="false">200000000*O47/1000</f>
        <v>99822000</v>
      </c>
      <c r="AK47" s="1081" t="n">
        <f aca="false">300000000*O47/1000</f>
        <v>149733000</v>
      </c>
      <c r="AL47" s="1081" t="n">
        <f aca="false">1050000000*O47/1000</f>
        <v>524065500</v>
      </c>
      <c r="AM47" s="991" t="s">
        <v>956</v>
      </c>
    </row>
    <row r="48" customFormat="false" ht="16.5" hidden="false" customHeight="true" outlineLevel="0" collapsed="false">
      <c r="A48" s="992"/>
      <c r="B48" s="1163" t="s">
        <v>443</v>
      </c>
      <c r="C48" s="965" t="s">
        <v>1043</v>
      </c>
      <c r="D48" s="998" t="s">
        <v>1044</v>
      </c>
      <c r="E48" s="967"/>
      <c r="F48" s="979" t="s">
        <v>936</v>
      </c>
      <c r="G48" s="994" t="s">
        <v>809</v>
      </c>
      <c r="H48" s="1164" t="n">
        <v>0.0819</v>
      </c>
      <c r="I48" s="1164" t="n">
        <v>0.092</v>
      </c>
      <c r="J48" s="1164" t="n">
        <v>0.093</v>
      </c>
      <c r="K48" s="995" t="n">
        <v>192.024</v>
      </c>
      <c r="L48" s="972" t="n">
        <v>1344</v>
      </c>
      <c r="M48" s="973" t="n">
        <f aca="false">L48/365</f>
        <v>3.68219178082192</v>
      </c>
      <c r="N48" s="974" t="n">
        <v>45751</v>
      </c>
      <c r="O48" s="975" t="n">
        <v>142.875</v>
      </c>
      <c r="P48" s="1001"/>
      <c r="Q48" s="977" t="n">
        <v>45962</v>
      </c>
      <c r="R48" s="1001"/>
      <c r="S48" s="978"/>
      <c r="T48" s="977" t="n">
        <f aca="false">+EDATE(Q48,6)</f>
        <v>46143</v>
      </c>
      <c r="U48" s="979" t="n">
        <v>1</v>
      </c>
      <c r="V48" s="980" t="n">
        <f aca="false">+O48*40000000/1000</f>
        <v>5715000</v>
      </c>
      <c r="W48" s="981" t="n">
        <v>6</v>
      </c>
      <c r="X48" s="968" t="s">
        <v>1041</v>
      </c>
      <c r="Y48" s="999" t="s">
        <v>890</v>
      </c>
      <c r="Z48" s="979" t="s">
        <v>362</v>
      </c>
      <c r="AA48" s="979" t="s">
        <v>362</v>
      </c>
      <c r="AB48" s="979" t="s">
        <v>362</v>
      </c>
      <c r="AC48" s="984" t="s">
        <v>1045</v>
      </c>
      <c r="AD48" s="985" t="s">
        <v>505</v>
      </c>
      <c r="AE48" s="986"/>
      <c r="AF48" s="987" t="n">
        <v>40000</v>
      </c>
      <c r="AG48" s="1081" t="n">
        <f aca="false">+AF48*O48</f>
        <v>5715000</v>
      </c>
      <c r="AH48" s="1082" t="n">
        <v>5</v>
      </c>
      <c r="AI48" s="1083" t="n">
        <f aca="false">+AG48*AH48</f>
        <v>28575000</v>
      </c>
      <c r="AJ48" s="1081" t="n">
        <f aca="false">200000000*O48/1000</f>
        <v>28575000</v>
      </c>
      <c r="AK48" s="1081" t="n">
        <f aca="false">300000000*O48/1000</f>
        <v>42862500</v>
      </c>
      <c r="AL48" s="1081" t="n">
        <f aca="false">1050000000*O48/1000</f>
        <v>150018750</v>
      </c>
      <c r="AM48" s="991" t="s">
        <v>956</v>
      </c>
    </row>
    <row r="49" customFormat="false" ht="16.5" hidden="false" customHeight="true" outlineLevel="0" collapsed="false">
      <c r="A49" s="992"/>
      <c r="B49" s="1163" t="s">
        <v>1046</v>
      </c>
      <c r="C49" s="965" t="s">
        <v>1047</v>
      </c>
      <c r="D49" s="998" t="s">
        <v>1048</v>
      </c>
      <c r="E49" s="967"/>
      <c r="F49" s="979" t="s">
        <v>936</v>
      </c>
      <c r="G49" s="994" t="s">
        <v>870</v>
      </c>
      <c r="H49" s="1164" t="n">
        <v>0.0905</v>
      </c>
      <c r="I49" s="1164" t="n">
        <v>0.092</v>
      </c>
      <c r="J49" s="1164" t="n">
        <v>0.093</v>
      </c>
      <c r="K49" s="995" t="n">
        <v>706.03344</v>
      </c>
      <c r="L49" s="972" t="n">
        <v>1424</v>
      </c>
      <c r="M49" s="973" t="n">
        <f aca="false">L49/365</f>
        <v>3.9013698630137</v>
      </c>
      <c r="N49" s="974" t="n">
        <v>45751</v>
      </c>
      <c r="O49" s="975" t="n">
        <v>495.81</v>
      </c>
      <c r="P49" s="1001"/>
      <c r="Q49" s="977" t="n">
        <v>45962</v>
      </c>
      <c r="R49" s="1001"/>
      <c r="S49" s="978"/>
      <c r="T49" s="977" t="n">
        <f aca="false">+EDATE(Q49,6)</f>
        <v>46143</v>
      </c>
      <c r="U49" s="979" t="n">
        <v>1</v>
      </c>
      <c r="V49" s="980" t="n">
        <f aca="false">+O49*40000000/1000</f>
        <v>19832400</v>
      </c>
      <c r="W49" s="981" t="n">
        <v>6</v>
      </c>
      <c r="X49" s="968" t="s">
        <v>817</v>
      </c>
      <c r="Y49" s="999" t="s">
        <v>890</v>
      </c>
      <c r="Z49" s="979" t="s">
        <v>362</v>
      </c>
      <c r="AA49" s="979" t="s">
        <v>362</v>
      </c>
      <c r="AB49" s="979" t="s">
        <v>362</v>
      </c>
      <c r="AC49" s="984" t="s">
        <v>1049</v>
      </c>
      <c r="AD49" s="985" t="s">
        <v>505</v>
      </c>
      <c r="AE49" s="986"/>
      <c r="AF49" s="987" t="n">
        <v>40000</v>
      </c>
      <c r="AG49" s="1081" t="n">
        <f aca="false">+AF49*O49</f>
        <v>19832400</v>
      </c>
      <c r="AH49" s="1082" t="n">
        <v>5</v>
      </c>
      <c r="AI49" s="1083" t="n">
        <f aca="false">+AG49*AH49</f>
        <v>99162000</v>
      </c>
      <c r="AJ49" s="1081" t="n">
        <f aca="false">200000000*O49/1000</f>
        <v>99162000</v>
      </c>
      <c r="AK49" s="1081" t="n">
        <f aca="false">300000000*O49/1000</f>
        <v>148743000</v>
      </c>
      <c r="AL49" s="1081" t="n">
        <f aca="false">1050000000*O49/1000</f>
        <v>520600500</v>
      </c>
      <c r="AM49" s="991" t="s">
        <v>956</v>
      </c>
    </row>
    <row r="50" s="1043" customFormat="true" ht="16.5" hidden="false" customHeight="false" outlineLevel="1" collapsed="false">
      <c r="A50" s="992"/>
      <c r="B50" s="1172" t="s">
        <v>1050</v>
      </c>
      <c r="C50" s="1018" t="s">
        <v>1051</v>
      </c>
      <c r="D50" s="1173" t="s">
        <v>1052</v>
      </c>
      <c r="E50" s="1018" t="s">
        <v>1053</v>
      </c>
      <c r="F50" s="1032" t="s">
        <v>373</v>
      </c>
      <c r="G50" s="1022" t="s">
        <v>870</v>
      </c>
      <c r="H50" s="1023" t="s">
        <v>966</v>
      </c>
      <c r="I50" s="1023" t="n">
        <v>0.093</v>
      </c>
      <c r="J50" s="1023"/>
      <c r="K50" s="1024" t="n">
        <v>1521.71</v>
      </c>
      <c r="L50" s="1174" t="n">
        <v>1412</v>
      </c>
      <c r="M50" s="1026" t="n">
        <f aca="false">L50/365</f>
        <v>3.86849315068493</v>
      </c>
      <c r="N50" s="1027" t="n">
        <v>45623</v>
      </c>
      <c r="O50" s="1028" t="n">
        <v>1078</v>
      </c>
      <c r="P50" s="1029"/>
      <c r="Q50" s="1175" t="s">
        <v>966</v>
      </c>
      <c r="R50" s="1175"/>
      <c r="S50" s="1031"/>
      <c r="T50" s="1176" t="s">
        <v>966</v>
      </c>
      <c r="U50" s="1032" t="n">
        <v>1</v>
      </c>
      <c r="V50" s="1033" t="n">
        <f aca="false">+O50*40000000/1000</f>
        <v>43120000</v>
      </c>
      <c r="W50" s="1034" t="n">
        <v>6</v>
      </c>
      <c r="X50" s="1095" t="s">
        <v>864</v>
      </c>
      <c r="Y50" s="1035"/>
      <c r="Z50" s="1032" t="s">
        <v>362</v>
      </c>
      <c r="AA50" s="1032" t="s">
        <v>362</v>
      </c>
      <c r="AB50" s="1032" t="s">
        <v>362</v>
      </c>
      <c r="AC50" s="1036" t="s">
        <v>1054</v>
      </c>
      <c r="AD50" s="1032" t="s">
        <v>505</v>
      </c>
      <c r="AE50" s="1037"/>
      <c r="AF50" s="1038" t="n">
        <v>40000</v>
      </c>
      <c r="AG50" s="1039" t="n">
        <f aca="false">40000000*O50/1000</f>
        <v>43120000</v>
      </c>
      <c r="AH50" s="1040" t="n">
        <v>5</v>
      </c>
      <c r="AI50" s="1177" t="n">
        <f aca="false">AG50*AH50</f>
        <v>215600000</v>
      </c>
      <c r="AJ50" s="1039" t="n">
        <f aca="false">200000000*O50/1000</f>
        <v>215600000</v>
      </c>
      <c r="AK50" s="1178" t="n">
        <f aca="false">300000000*O50/1000</f>
        <v>323400000</v>
      </c>
      <c r="AL50" s="1039" t="n">
        <f aca="false">1050000000*O50/1000</f>
        <v>1131900000</v>
      </c>
      <c r="AM50" s="1042" t="s">
        <v>1055</v>
      </c>
      <c r="AO50" s="1044" t="n">
        <f aca="false">(AJ50/O50)*1000</f>
        <v>200000000</v>
      </c>
    </row>
    <row r="51" customFormat="false" ht="16.5" hidden="false" customHeight="true" outlineLevel="0" collapsed="false">
      <c r="A51" s="992"/>
      <c r="B51" s="1179" t="s">
        <v>1056</v>
      </c>
      <c r="C51" s="965" t="s">
        <v>1057</v>
      </c>
      <c r="D51" s="1003" t="s">
        <v>1058</v>
      </c>
      <c r="E51" s="967" t="s">
        <v>1059</v>
      </c>
      <c r="F51" s="979" t="s">
        <v>373</v>
      </c>
      <c r="G51" s="994" t="s">
        <v>870</v>
      </c>
      <c r="H51" s="1164" t="n">
        <v>0.0881</v>
      </c>
      <c r="I51" s="1164" t="n">
        <v>0.092</v>
      </c>
      <c r="J51" s="1164" t="n">
        <v>0.093</v>
      </c>
      <c r="K51" s="995" t="n">
        <v>4501.8225</v>
      </c>
      <c r="L51" s="972" t="n">
        <v>1415</v>
      </c>
      <c r="M51" s="973" t="n">
        <f aca="false">L51/365</f>
        <v>3.87671232876712</v>
      </c>
      <c r="N51" s="974" t="n">
        <v>45623</v>
      </c>
      <c r="O51" s="975" t="n">
        <v>3181.5</v>
      </c>
      <c r="P51" s="1001"/>
      <c r="Q51" s="1180" t="s">
        <v>966</v>
      </c>
      <c r="R51" s="1001"/>
      <c r="S51" s="978"/>
      <c r="T51" s="1180" t="s">
        <v>966</v>
      </c>
      <c r="U51" s="979" t="n">
        <v>1</v>
      </c>
      <c r="V51" s="980" t="n">
        <f aca="false">+O51*40000000/1000</f>
        <v>127260000</v>
      </c>
      <c r="W51" s="981" t="n">
        <v>6</v>
      </c>
      <c r="X51" s="968" t="s">
        <v>300</v>
      </c>
      <c r="Y51" s="999" t="s">
        <v>1009</v>
      </c>
      <c r="Z51" s="979" t="s">
        <v>362</v>
      </c>
      <c r="AA51" s="979" t="s">
        <v>362</v>
      </c>
      <c r="AB51" s="979" t="s">
        <v>362</v>
      </c>
      <c r="AC51" s="1078" t="s">
        <v>1060</v>
      </c>
      <c r="AD51" s="1079" t="s">
        <v>505</v>
      </c>
      <c r="AE51" s="986"/>
      <c r="AF51" s="987" t="n">
        <v>40000</v>
      </c>
      <c r="AG51" s="988" t="n">
        <f aca="false">40000000*O51/1000</f>
        <v>127260000</v>
      </c>
      <c r="AH51" s="997" t="n">
        <v>5</v>
      </c>
      <c r="AI51" s="990" t="n">
        <f aca="false">AG51*AH51</f>
        <v>636300000</v>
      </c>
      <c r="AJ51" s="988" t="n">
        <f aca="false">200000000*O51/1000</f>
        <v>636300000</v>
      </c>
      <c r="AK51" s="988" t="n">
        <f aca="false">300000000*O51/1000</f>
        <v>954450000</v>
      </c>
      <c r="AL51" s="988" t="n">
        <f aca="false">1050000000*O51/1000</f>
        <v>3340575000</v>
      </c>
      <c r="AM51" s="991" t="s">
        <v>968</v>
      </c>
      <c r="AO51" s="929" t="n">
        <f aca="false">(AJ51/O51)*1000</f>
        <v>200000000</v>
      </c>
    </row>
    <row r="52" customFormat="false" ht="16.5" hidden="false" customHeight="false" outlineLevel="0" collapsed="false">
      <c r="A52" s="992"/>
      <c r="B52" s="1179" t="s">
        <v>1061</v>
      </c>
      <c r="C52" s="965" t="s">
        <v>1062</v>
      </c>
      <c r="D52" s="1003" t="s">
        <v>1063</v>
      </c>
      <c r="E52" s="967" t="s">
        <v>1064</v>
      </c>
      <c r="F52" s="979" t="s">
        <v>373</v>
      </c>
      <c r="G52" s="994" t="s">
        <v>802</v>
      </c>
      <c r="H52" s="1164" t="n">
        <v>0.0877</v>
      </c>
      <c r="I52" s="1164" t="n">
        <v>0.092</v>
      </c>
      <c r="J52" s="1164" t="n">
        <v>0.093</v>
      </c>
      <c r="K52" s="995" t="n">
        <v>385.68024</v>
      </c>
      <c r="L52" s="1181" t="n">
        <v>1398</v>
      </c>
      <c r="M52" s="1084" t="n">
        <f aca="false">L52/365</f>
        <v>3.83013698630137</v>
      </c>
      <c r="N52" s="974" t="n">
        <v>45623</v>
      </c>
      <c r="O52" s="975" t="n">
        <v>275.88</v>
      </c>
      <c r="P52" s="1001" t="s">
        <v>966</v>
      </c>
      <c r="Q52" s="1180" t="s">
        <v>966</v>
      </c>
      <c r="R52" s="1001"/>
      <c r="S52" s="978"/>
      <c r="T52" s="1180" t="s">
        <v>966</v>
      </c>
      <c r="U52" s="979" t="n">
        <v>1</v>
      </c>
      <c r="V52" s="980" t="n">
        <f aca="false">+O52*40000000/1000</f>
        <v>11035200</v>
      </c>
      <c r="W52" s="981" t="n">
        <v>6</v>
      </c>
      <c r="X52" s="1014" t="s">
        <v>300</v>
      </c>
      <c r="Y52" s="999" t="s">
        <v>1009</v>
      </c>
      <c r="Z52" s="979" t="s">
        <v>362</v>
      </c>
      <c r="AA52" s="979" t="s">
        <v>362</v>
      </c>
      <c r="AB52" s="979" t="s">
        <v>362</v>
      </c>
      <c r="AC52" s="984" t="s">
        <v>1065</v>
      </c>
      <c r="AD52" s="985" t="s">
        <v>505</v>
      </c>
      <c r="AE52" s="986"/>
      <c r="AF52" s="987" t="n">
        <v>40000</v>
      </c>
      <c r="AG52" s="988" t="n">
        <f aca="false">40000000*O52/1000</f>
        <v>11035200</v>
      </c>
      <c r="AH52" s="997" t="n">
        <v>5</v>
      </c>
      <c r="AI52" s="1085" t="n">
        <f aca="false">AG52*AH52</f>
        <v>55176000</v>
      </c>
      <c r="AJ52" s="988" t="n">
        <f aca="false">200000000*O52/1000</f>
        <v>55176000</v>
      </c>
      <c r="AK52" s="988" t="n">
        <f aca="false">300000000*O52/1000</f>
        <v>82764000</v>
      </c>
      <c r="AL52" s="988" t="n">
        <f aca="false">1050000000*O52/1000</f>
        <v>289674000</v>
      </c>
      <c r="AM52" s="991" t="s">
        <v>968</v>
      </c>
      <c r="AO52" s="929" t="n">
        <f aca="false">(AJ52/O52)*1000</f>
        <v>200000000</v>
      </c>
    </row>
    <row r="53" customFormat="false" ht="16.5" hidden="false" customHeight="false" outlineLevel="0" collapsed="false">
      <c r="A53" s="992"/>
      <c r="B53" s="1179" t="s">
        <v>1066</v>
      </c>
      <c r="C53" s="965" t="s">
        <v>1067</v>
      </c>
      <c r="D53" s="1003" t="s">
        <v>1068</v>
      </c>
      <c r="E53" s="967" t="s">
        <v>1069</v>
      </c>
      <c r="F53" s="979" t="s">
        <v>373</v>
      </c>
      <c r="G53" s="994" t="s">
        <v>802</v>
      </c>
      <c r="H53" s="1164" t="n">
        <v>0.0856</v>
      </c>
      <c r="I53" s="1164" t="n">
        <v>0.092</v>
      </c>
      <c r="J53" s="1164" t="n">
        <v>0.093</v>
      </c>
      <c r="K53" s="995" t="n">
        <v>6345.19248</v>
      </c>
      <c r="L53" s="1181" t="n">
        <v>1399</v>
      </c>
      <c r="M53" s="1084" t="n">
        <f aca="false">L53/365</f>
        <v>3.83287671232877</v>
      </c>
      <c r="N53" s="974" t="n">
        <v>45636</v>
      </c>
      <c r="O53" s="975" t="n">
        <v>4535.52</v>
      </c>
      <c r="P53" s="1001" t="s">
        <v>966</v>
      </c>
      <c r="Q53" s="1180" t="s">
        <v>966</v>
      </c>
      <c r="R53" s="1001"/>
      <c r="S53" s="978"/>
      <c r="T53" s="1180" t="s">
        <v>966</v>
      </c>
      <c r="U53" s="979" t="n">
        <v>1</v>
      </c>
      <c r="V53" s="980" t="n">
        <f aca="false">+O53*40000000/1000</f>
        <v>181420800</v>
      </c>
      <c r="W53" s="981" t="n">
        <v>6</v>
      </c>
      <c r="X53" s="1014" t="s">
        <v>300</v>
      </c>
      <c r="Y53" s="999" t="s">
        <v>1009</v>
      </c>
      <c r="Z53" s="979" t="s">
        <v>362</v>
      </c>
      <c r="AA53" s="979" t="s">
        <v>362</v>
      </c>
      <c r="AB53" s="979" t="s">
        <v>362</v>
      </c>
      <c r="AC53" s="984" t="s">
        <v>1070</v>
      </c>
      <c r="AD53" s="985" t="s">
        <v>505</v>
      </c>
      <c r="AE53" s="986"/>
      <c r="AF53" s="987" t="n">
        <v>40000</v>
      </c>
      <c r="AG53" s="988" t="n">
        <f aca="false">40000000*O53/1000</f>
        <v>181420800</v>
      </c>
      <c r="AH53" s="997" t="n">
        <v>5</v>
      </c>
      <c r="AI53" s="1085" t="n">
        <f aca="false">AG53*AH53</f>
        <v>907104000</v>
      </c>
      <c r="AJ53" s="988" t="n">
        <f aca="false">200000000*O53/1000</f>
        <v>907104000</v>
      </c>
      <c r="AK53" s="988" t="n">
        <f aca="false">300000000*O53/1000</f>
        <v>1360656000</v>
      </c>
      <c r="AL53" s="988" t="n">
        <f aca="false">1050000000*O53/1000</f>
        <v>4762296000</v>
      </c>
      <c r="AM53" s="991" t="s">
        <v>968</v>
      </c>
      <c r="AO53" s="929" t="n">
        <f aca="false">(AJ53/O53)*1000</f>
        <v>200000000</v>
      </c>
    </row>
    <row r="54" customFormat="false" ht="16.5" hidden="false" customHeight="false" outlineLevel="0" collapsed="false">
      <c r="A54" s="992"/>
      <c r="B54" s="1179" t="s">
        <v>1071</v>
      </c>
      <c r="C54" s="965" t="s">
        <v>1072</v>
      </c>
      <c r="D54" s="1003" t="s">
        <v>1073</v>
      </c>
      <c r="E54" s="967" t="s">
        <v>1074</v>
      </c>
      <c r="F54" s="979" t="s">
        <v>373</v>
      </c>
      <c r="G54" s="994" t="s">
        <v>802</v>
      </c>
      <c r="H54" s="1164" t="n">
        <v>0.0886</v>
      </c>
      <c r="I54" s="1164" t="n">
        <v>0.092</v>
      </c>
      <c r="J54" s="1164" t="n">
        <v>0.093</v>
      </c>
      <c r="K54" s="995" t="n">
        <v>5445.181</v>
      </c>
      <c r="L54" s="1181" t="n">
        <v>1426</v>
      </c>
      <c r="M54" s="1084" t="n">
        <f aca="false">L54/365</f>
        <v>3.90684931506849</v>
      </c>
      <c r="N54" s="974" t="n">
        <v>45623</v>
      </c>
      <c r="O54" s="975" t="n">
        <v>3818.5</v>
      </c>
      <c r="P54" s="1001" t="s">
        <v>966</v>
      </c>
      <c r="Q54" s="1180" t="s">
        <v>966</v>
      </c>
      <c r="R54" s="1001"/>
      <c r="S54" s="978"/>
      <c r="T54" s="1180" t="s">
        <v>966</v>
      </c>
      <c r="U54" s="979" t="n">
        <v>1</v>
      </c>
      <c r="V54" s="980" t="n">
        <f aca="false">+O54*40000000/1000</f>
        <v>152740000</v>
      </c>
      <c r="W54" s="981" t="n">
        <v>6</v>
      </c>
      <c r="X54" s="1014" t="s">
        <v>794</v>
      </c>
      <c r="Y54" s="999" t="s">
        <v>1009</v>
      </c>
      <c r="Z54" s="979" t="s">
        <v>362</v>
      </c>
      <c r="AA54" s="979" t="s">
        <v>362</v>
      </c>
      <c r="AB54" s="979" t="s">
        <v>362</v>
      </c>
      <c r="AC54" s="984" t="s">
        <v>1075</v>
      </c>
      <c r="AD54" s="985" t="s">
        <v>505</v>
      </c>
      <c r="AE54" s="986"/>
      <c r="AF54" s="987" t="n">
        <v>40000</v>
      </c>
      <c r="AG54" s="988" t="n">
        <f aca="false">40000000*O54/1000</f>
        <v>152740000</v>
      </c>
      <c r="AH54" s="997" t="n">
        <v>5</v>
      </c>
      <c r="AI54" s="1085" t="n">
        <f aca="false">AG54*AH54</f>
        <v>763700000</v>
      </c>
      <c r="AJ54" s="988" t="n">
        <f aca="false">200000000*O54/1000</f>
        <v>763700000</v>
      </c>
      <c r="AK54" s="988" t="n">
        <f aca="false">300000000*O54/1000</f>
        <v>1145550000</v>
      </c>
      <c r="AL54" s="988" t="n">
        <f aca="false">1050000000*O54/1000</f>
        <v>4009425000</v>
      </c>
      <c r="AM54" s="991" t="s">
        <v>968</v>
      </c>
      <c r="AO54" s="929" t="n">
        <f aca="false">(AJ54/O54)*1000</f>
        <v>200000000</v>
      </c>
    </row>
    <row r="55" customFormat="false" ht="16.5" hidden="false" customHeight="false" outlineLevel="0" collapsed="false">
      <c r="A55" s="1004" t="str">
        <f aca="false">"DG Batch 3 - 25PJT "</f>
        <v>DG Batch 3 - 25PJT </v>
      </c>
      <c r="B55" s="1179" t="s">
        <v>1076</v>
      </c>
      <c r="C55" s="965" t="s">
        <v>1077</v>
      </c>
      <c r="D55" s="1003" t="s">
        <v>1078</v>
      </c>
      <c r="E55" s="967" t="s">
        <v>1079</v>
      </c>
      <c r="F55" s="979" t="s">
        <v>373</v>
      </c>
      <c r="G55" s="994" t="s">
        <v>856</v>
      </c>
      <c r="H55" s="1164"/>
      <c r="I55" s="1164"/>
      <c r="J55" s="1164"/>
      <c r="K55" s="995" t="n">
        <v>644.76324</v>
      </c>
      <c r="L55" s="1181" t="n">
        <v>1422</v>
      </c>
      <c r="M55" s="1084" t="n">
        <f aca="false">L55/365</f>
        <v>3.8958904109589</v>
      </c>
      <c r="N55" s="974" t="n">
        <v>45623</v>
      </c>
      <c r="O55" s="975" t="n">
        <v>453.42</v>
      </c>
      <c r="P55" s="1001" t="s">
        <v>966</v>
      </c>
      <c r="Q55" s="1180" t="s">
        <v>966</v>
      </c>
      <c r="R55" s="1001"/>
      <c r="S55" s="978"/>
      <c r="T55" s="1180" t="s">
        <v>966</v>
      </c>
      <c r="U55" s="979" t="n">
        <v>1</v>
      </c>
      <c r="V55" s="980" t="n">
        <f aca="false">+O55*40000000/1000</f>
        <v>18136800</v>
      </c>
      <c r="W55" s="981" t="n">
        <v>6</v>
      </c>
      <c r="X55" s="1014" t="s">
        <v>300</v>
      </c>
      <c r="Y55" s="999" t="s">
        <v>1009</v>
      </c>
      <c r="Z55" s="979" t="s">
        <v>362</v>
      </c>
      <c r="AA55" s="979" t="s">
        <v>362</v>
      </c>
      <c r="AB55" s="979" t="s">
        <v>362</v>
      </c>
      <c r="AC55" s="984" t="s">
        <v>1080</v>
      </c>
      <c r="AD55" s="985" t="s">
        <v>505</v>
      </c>
      <c r="AE55" s="986"/>
      <c r="AF55" s="987" t="n">
        <v>40000</v>
      </c>
      <c r="AG55" s="988" t="n">
        <f aca="false">40000000*O55/1000</f>
        <v>18136800</v>
      </c>
      <c r="AH55" s="997" t="n">
        <v>5</v>
      </c>
      <c r="AI55" s="1085" t="n">
        <f aca="false">AG55*AH55</f>
        <v>90684000</v>
      </c>
      <c r="AJ55" s="988" t="n">
        <f aca="false">200000000*O55/1000</f>
        <v>90684000</v>
      </c>
      <c r="AK55" s="988" t="n">
        <f aca="false">300000000*O55/1000</f>
        <v>136026000</v>
      </c>
      <c r="AL55" s="988" t="n">
        <f aca="false">1050000000*O55/1000</f>
        <v>476091000</v>
      </c>
      <c r="AM55" s="991" t="s">
        <v>968</v>
      </c>
      <c r="AO55" s="929" t="n">
        <f aca="false">(AJ55/O55)*1000</f>
        <v>200000000</v>
      </c>
    </row>
    <row r="56" s="1043" customFormat="true" ht="16.5" hidden="false" customHeight="false" outlineLevel="1" collapsed="false">
      <c r="A56" s="992"/>
      <c r="B56" s="1172" t="s">
        <v>1081</v>
      </c>
      <c r="C56" s="1018" t="s">
        <v>1082</v>
      </c>
      <c r="D56" s="1019" t="s">
        <v>1083</v>
      </c>
      <c r="E56" s="1018" t="s">
        <v>1084</v>
      </c>
      <c r="F56" s="1032" t="s">
        <v>373</v>
      </c>
      <c r="G56" s="1022" t="s">
        <v>840</v>
      </c>
      <c r="H56" s="1023" t="s">
        <v>966</v>
      </c>
      <c r="I56" s="1023" t="n">
        <v>0.093</v>
      </c>
      <c r="J56" s="1023"/>
      <c r="K56" s="1024" t="n">
        <v>388.73</v>
      </c>
      <c r="L56" s="1174" t="n">
        <v>1402</v>
      </c>
      <c r="M56" s="1026" t="n">
        <f aca="false">L56/365</f>
        <v>3.84109589041096</v>
      </c>
      <c r="N56" s="1027" t="n">
        <v>45644</v>
      </c>
      <c r="O56" s="1028" t="n">
        <v>277.2</v>
      </c>
      <c r="P56" s="1175"/>
      <c r="Q56" s="1175" t="s">
        <v>966</v>
      </c>
      <c r="R56" s="1175"/>
      <c r="S56" s="1031"/>
      <c r="T56" s="1176" t="s">
        <v>966</v>
      </c>
      <c r="U56" s="1032" t="n">
        <v>1</v>
      </c>
      <c r="V56" s="1033" t="n">
        <f aca="false">+O56*40000000/1000</f>
        <v>11088000</v>
      </c>
      <c r="W56" s="1034" t="n">
        <v>6</v>
      </c>
      <c r="X56" s="1095" t="s">
        <v>301</v>
      </c>
      <c r="Y56" s="1035"/>
      <c r="Z56" s="1032" t="s">
        <v>362</v>
      </c>
      <c r="AA56" s="1032" t="s">
        <v>362</v>
      </c>
      <c r="AB56" s="1032" t="s">
        <v>362</v>
      </c>
      <c r="AC56" s="1036" t="s">
        <v>1054</v>
      </c>
      <c r="AD56" s="1032" t="s">
        <v>505</v>
      </c>
      <c r="AE56" s="1037"/>
      <c r="AF56" s="1038" t="n">
        <v>40000</v>
      </c>
      <c r="AG56" s="1039" t="n">
        <f aca="false">40000000*O56/1000</f>
        <v>11088000</v>
      </c>
      <c r="AH56" s="1040" t="n">
        <v>5</v>
      </c>
      <c r="AI56" s="1177" t="n">
        <f aca="false">AG56*AH56</f>
        <v>55440000</v>
      </c>
      <c r="AJ56" s="1039" t="n">
        <f aca="false">200000000*O56/1000</f>
        <v>55440000</v>
      </c>
      <c r="AK56" s="1178" t="n">
        <f aca="false">300000000*O56/1000</f>
        <v>83160000</v>
      </c>
      <c r="AL56" s="1039" t="n">
        <f aca="false">1050000000*O56/1000</f>
        <v>291060000</v>
      </c>
      <c r="AM56" s="1042" t="s">
        <v>1085</v>
      </c>
      <c r="AO56" s="1044" t="n">
        <f aca="false">(AJ56/O56)*1000</f>
        <v>200000000</v>
      </c>
    </row>
    <row r="57" customFormat="false" ht="16.5" hidden="false" customHeight="false" outlineLevel="0" collapsed="false">
      <c r="A57" s="1013" t="n">
        <f aca="false">SUM(O38:O49,O51:O55,O57:O78)</f>
        <v>38073.89</v>
      </c>
      <c r="B57" s="1179" t="s">
        <v>1086</v>
      </c>
      <c r="C57" s="965" t="s">
        <v>1087</v>
      </c>
      <c r="D57" s="1182" t="s">
        <v>1088</v>
      </c>
      <c r="E57" s="967"/>
      <c r="F57" s="979" t="s">
        <v>373</v>
      </c>
      <c r="G57" s="1183" t="s">
        <v>1089</v>
      </c>
      <c r="H57" s="1164"/>
      <c r="I57" s="1164" t="n">
        <v>0.093</v>
      </c>
      <c r="J57" s="1164"/>
      <c r="K57" s="995" t="n">
        <v>186.79395</v>
      </c>
      <c r="L57" s="972" t="n">
        <v>1435</v>
      </c>
      <c r="M57" s="1084" t="n">
        <f aca="false">L57/365</f>
        <v>3.93150684931507</v>
      </c>
      <c r="N57" s="974" t="n">
        <v>45688</v>
      </c>
      <c r="O57" s="975" t="n">
        <v>130.17</v>
      </c>
      <c r="P57" s="1001"/>
      <c r="Q57" s="1001" t="s">
        <v>966</v>
      </c>
      <c r="R57" s="1001"/>
      <c r="S57" s="978"/>
      <c r="T57" s="1180" t="s">
        <v>966</v>
      </c>
      <c r="U57" s="979" t="n">
        <v>1</v>
      </c>
      <c r="V57" s="980" t="n">
        <f aca="false">+O57*40000000/1000</f>
        <v>5206800</v>
      </c>
      <c r="W57" s="981" t="n">
        <v>6</v>
      </c>
      <c r="X57" s="1014" t="s">
        <v>794</v>
      </c>
      <c r="Y57" s="999" t="s">
        <v>1009</v>
      </c>
      <c r="Z57" s="979" t="s">
        <v>362</v>
      </c>
      <c r="AA57" s="979" t="s">
        <v>362</v>
      </c>
      <c r="AB57" s="979" t="s">
        <v>362</v>
      </c>
      <c r="AC57" s="984" t="s">
        <v>1090</v>
      </c>
      <c r="AD57" s="985" t="s">
        <v>505</v>
      </c>
      <c r="AE57" s="986"/>
      <c r="AF57" s="987" t="n">
        <v>40000</v>
      </c>
      <c r="AG57" s="988" t="n">
        <f aca="false">40000000*O57/1000</f>
        <v>5206800</v>
      </c>
      <c r="AH57" s="997" t="n">
        <v>5</v>
      </c>
      <c r="AI57" s="1085" t="n">
        <f aca="false">AG57*AH57</f>
        <v>26034000</v>
      </c>
      <c r="AJ57" s="988" t="n">
        <f aca="false">200000000*O57/1000</f>
        <v>26034000</v>
      </c>
      <c r="AK57" s="988" t="n">
        <f aca="false">300000000*O57/1000</f>
        <v>39051000</v>
      </c>
      <c r="AL57" s="988" t="n">
        <f aca="false">1050000000*O57/1000</f>
        <v>136678500</v>
      </c>
      <c r="AM57" s="991" t="s">
        <v>1091</v>
      </c>
      <c r="AO57" s="929" t="n">
        <f aca="false">(AJ57/O57)*1000</f>
        <v>200000000</v>
      </c>
    </row>
    <row r="58" customFormat="false" ht="16.5" hidden="false" customHeight="false" outlineLevel="0" collapsed="false">
      <c r="A58" s="992"/>
      <c r="B58" s="1179" t="s">
        <v>1092</v>
      </c>
      <c r="C58" s="965" t="s">
        <v>1093</v>
      </c>
      <c r="D58" s="1182" t="s">
        <v>1094</v>
      </c>
      <c r="E58" s="967"/>
      <c r="F58" s="979" t="s">
        <v>373</v>
      </c>
      <c r="G58" s="1183" t="s">
        <v>1089</v>
      </c>
      <c r="H58" s="1164"/>
      <c r="I58" s="1164" t="n">
        <v>0.093</v>
      </c>
      <c r="J58" s="1164"/>
      <c r="K58" s="995" t="n">
        <v>258.59232</v>
      </c>
      <c r="L58" s="972" t="n">
        <v>1414</v>
      </c>
      <c r="M58" s="1084" t="n">
        <f aca="false">L58/365</f>
        <v>3.87397260273973</v>
      </c>
      <c r="N58" s="974" t="n">
        <v>45688</v>
      </c>
      <c r="O58" s="975" t="n">
        <v>182.88</v>
      </c>
      <c r="P58" s="1001"/>
      <c r="Q58" s="1001" t="s">
        <v>966</v>
      </c>
      <c r="R58" s="1001"/>
      <c r="S58" s="978"/>
      <c r="T58" s="1180" t="s">
        <v>966</v>
      </c>
      <c r="U58" s="979" t="n">
        <v>1</v>
      </c>
      <c r="V58" s="980" t="n">
        <f aca="false">+O58*40000000/1000</f>
        <v>7315200</v>
      </c>
      <c r="W58" s="981" t="n">
        <v>6</v>
      </c>
      <c r="X58" s="1014" t="s">
        <v>794</v>
      </c>
      <c r="Y58" s="999" t="s">
        <v>1009</v>
      </c>
      <c r="Z58" s="979" t="s">
        <v>362</v>
      </c>
      <c r="AA58" s="979" t="s">
        <v>362</v>
      </c>
      <c r="AB58" s="979" t="s">
        <v>362</v>
      </c>
      <c r="AC58" s="984" t="s">
        <v>1095</v>
      </c>
      <c r="AD58" s="985" t="s">
        <v>505</v>
      </c>
      <c r="AE58" s="986"/>
      <c r="AF58" s="987" t="n">
        <v>40000</v>
      </c>
      <c r="AG58" s="988" t="n">
        <f aca="false">40000000*O58/1000</f>
        <v>7315200</v>
      </c>
      <c r="AH58" s="997" t="n">
        <v>5</v>
      </c>
      <c r="AI58" s="1085" t="n">
        <f aca="false">AG58*AH58</f>
        <v>36576000</v>
      </c>
      <c r="AJ58" s="988" t="n">
        <f aca="false">200000000*O58/1000</f>
        <v>36576000</v>
      </c>
      <c r="AK58" s="988" t="n">
        <f aca="false">300000000*O58/1000</f>
        <v>54864000</v>
      </c>
      <c r="AL58" s="988" t="n">
        <f aca="false">1050000000*O58/1000</f>
        <v>192024000</v>
      </c>
      <c r="AM58" s="991" t="s">
        <v>1091</v>
      </c>
      <c r="AO58" s="929" t="n">
        <f aca="false">(AJ58/O58)*1000</f>
        <v>200000000</v>
      </c>
    </row>
    <row r="59" customFormat="false" ht="15.75" hidden="false" customHeight="true" outlineLevel="0" collapsed="false">
      <c r="A59" s="992"/>
      <c r="B59" s="1179" t="s">
        <v>1096</v>
      </c>
      <c r="C59" s="965" t="s">
        <v>1097</v>
      </c>
      <c r="D59" s="1182" t="s">
        <v>1098</v>
      </c>
      <c r="E59" s="967"/>
      <c r="F59" s="979" t="s">
        <v>373</v>
      </c>
      <c r="G59" s="994" t="s">
        <v>809</v>
      </c>
      <c r="H59" s="1164"/>
      <c r="I59" s="1164" t="n">
        <v>0.093</v>
      </c>
      <c r="J59" s="1164"/>
      <c r="K59" s="995" t="n">
        <v>315.5061</v>
      </c>
      <c r="L59" s="972" t="n">
        <v>1470</v>
      </c>
      <c r="M59" s="1084" t="n">
        <f aca="false">L59/365</f>
        <v>4.02739726027397</v>
      </c>
      <c r="N59" s="974" t="n">
        <v>45688</v>
      </c>
      <c r="O59" s="975" t="n">
        <v>214.63</v>
      </c>
      <c r="P59" s="1001"/>
      <c r="Q59" s="1001" t="s">
        <v>966</v>
      </c>
      <c r="R59" s="1001"/>
      <c r="S59" s="978"/>
      <c r="T59" s="1180" t="s">
        <v>966</v>
      </c>
      <c r="U59" s="979" t="n">
        <v>1</v>
      </c>
      <c r="V59" s="980" t="n">
        <f aca="false">+O59*40000000/1000</f>
        <v>8585200</v>
      </c>
      <c r="W59" s="981" t="n">
        <v>6</v>
      </c>
      <c r="X59" s="1014" t="s">
        <v>794</v>
      </c>
      <c r="Y59" s="999" t="s">
        <v>1009</v>
      </c>
      <c r="Z59" s="979" t="s">
        <v>362</v>
      </c>
      <c r="AA59" s="979" t="s">
        <v>362</v>
      </c>
      <c r="AB59" s="979" t="s">
        <v>362</v>
      </c>
      <c r="AC59" s="984" t="s">
        <v>1099</v>
      </c>
      <c r="AD59" s="985" t="s">
        <v>505</v>
      </c>
      <c r="AE59" s="986"/>
      <c r="AF59" s="987" t="n">
        <v>40000</v>
      </c>
      <c r="AG59" s="988" t="n">
        <f aca="false">40000000*O59/1000</f>
        <v>8585200</v>
      </c>
      <c r="AH59" s="997" t="n">
        <v>5</v>
      </c>
      <c r="AI59" s="1085" t="n">
        <f aca="false">AG59*AH59</f>
        <v>42926000</v>
      </c>
      <c r="AJ59" s="988" t="n">
        <f aca="false">200000000*O59/1000</f>
        <v>42926000</v>
      </c>
      <c r="AK59" s="988" t="n">
        <f aca="false">300000000*O59/1000</f>
        <v>64389000</v>
      </c>
      <c r="AL59" s="988" t="n">
        <f aca="false">1050000000*O59/1000</f>
        <v>225361500</v>
      </c>
      <c r="AM59" s="991" t="s">
        <v>1091</v>
      </c>
      <c r="AO59" s="929" t="n">
        <f aca="false">(AJ59/O59)*1000</f>
        <v>200000000</v>
      </c>
    </row>
    <row r="60" customFormat="false" ht="16.5" hidden="false" customHeight="false" outlineLevel="0" collapsed="false">
      <c r="A60" s="1004"/>
      <c r="B60" s="1179" t="s">
        <v>1100</v>
      </c>
      <c r="C60" s="965" t="s">
        <v>1101</v>
      </c>
      <c r="D60" s="998" t="s">
        <v>1102</v>
      </c>
      <c r="E60" s="967"/>
      <c r="F60" s="979" t="s">
        <v>373</v>
      </c>
      <c r="G60" s="994" t="s">
        <v>863</v>
      </c>
      <c r="H60" s="1164"/>
      <c r="I60" s="1164"/>
      <c r="J60" s="1164"/>
      <c r="K60" s="995" t="n">
        <v>208.23936</v>
      </c>
      <c r="L60" s="1181" t="n">
        <v>1464</v>
      </c>
      <c r="M60" s="1084" t="n">
        <f aca="false">L60/365</f>
        <v>4.01095890410959</v>
      </c>
      <c r="N60" s="974" t="n">
        <v>45688</v>
      </c>
      <c r="O60" s="975" t="n">
        <v>142.24</v>
      </c>
      <c r="P60" s="1001"/>
      <c r="Q60" s="1001" t="s">
        <v>966</v>
      </c>
      <c r="R60" s="1001"/>
      <c r="S60" s="978"/>
      <c r="T60" s="1180" t="s">
        <v>966</v>
      </c>
      <c r="U60" s="979" t="n">
        <v>1</v>
      </c>
      <c r="V60" s="980" t="n">
        <f aca="false">+O60*40000000/1000</f>
        <v>5689600</v>
      </c>
      <c r="W60" s="981" t="n">
        <v>6</v>
      </c>
      <c r="X60" s="1014" t="s">
        <v>302</v>
      </c>
      <c r="Y60" s="999" t="s">
        <v>1009</v>
      </c>
      <c r="Z60" s="979" t="s">
        <v>362</v>
      </c>
      <c r="AA60" s="979" t="s">
        <v>362</v>
      </c>
      <c r="AB60" s="979" t="s">
        <v>362</v>
      </c>
      <c r="AC60" s="984" t="s">
        <v>1103</v>
      </c>
      <c r="AD60" s="985" t="s">
        <v>505</v>
      </c>
      <c r="AE60" s="986"/>
      <c r="AF60" s="987" t="n">
        <v>40000</v>
      </c>
      <c r="AG60" s="988" t="n">
        <f aca="false">40000000*O60/1000</f>
        <v>5689600</v>
      </c>
      <c r="AH60" s="997" t="n">
        <v>5</v>
      </c>
      <c r="AI60" s="1085" t="n">
        <f aca="false">AG60*AH60</f>
        <v>28448000</v>
      </c>
      <c r="AJ60" s="988" t="n">
        <f aca="false">200000000*O60/1000</f>
        <v>28448000</v>
      </c>
      <c r="AK60" s="988" t="n">
        <f aca="false">300000000*O60/1000</f>
        <v>42672000</v>
      </c>
      <c r="AL60" s="988" t="n">
        <f aca="false">1050000000*O60/1000</f>
        <v>149352000</v>
      </c>
      <c r="AM60" s="991" t="s">
        <v>968</v>
      </c>
      <c r="AO60" s="929" t="n">
        <f aca="false">(AJ60/O60)*1000</f>
        <v>200000000</v>
      </c>
    </row>
    <row r="61" customFormat="false" ht="16.5" hidden="false" customHeight="false" outlineLevel="0" collapsed="false">
      <c r="A61" s="992"/>
      <c r="B61" s="1179" t="s">
        <v>1104</v>
      </c>
      <c r="C61" s="965" t="s">
        <v>1105</v>
      </c>
      <c r="D61" s="998" t="s">
        <v>1106</v>
      </c>
      <c r="E61" s="967"/>
      <c r="F61" s="979" t="s">
        <v>373</v>
      </c>
      <c r="G61" s="1184" t="s">
        <v>863</v>
      </c>
      <c r="H61" s="1164"/>
      <c r="I61" s="1164"/>
      <c r="J61" s="1164"/>
      <c r="K61" s="995" t="n">
        <v>319.89141</v>
      </c>
      <c r="L61" s="1181" t="n">
        <v>1473</v>
      </c>
      <c r="M61" s="1084" t="n">
        <f aca="false">L61/365</f>
        <v>4.03561643835617</v>
      </c>
      <c r="N61" s="974" t="n">
        <v>45702</v>
      </c>
      <c r="O61" s="975" t="n">
        <v>217.17</v>
      </c>
      <c r="P61" s="1001"/>
      <c r="Q61" s="1001" t="s">
        <v>966</v>
      </c>
      <c r="R61" s="1001"/>
      <c r="S61" s="978"/>
      <c r="T61" s="1180" t="s">
        <v>966</v>
      </c>
      <c r="U61" s="979" t="n">
        <v>1</v>
      </c>
      <c r="V61" s="980" t="n">
        <v>8686800</v>
      </c>
      <c r="W61" s="981" t="n">
        <v>6</v>
      </c>
      <c r="X61" s="1014" t="s">
        <v>302</v>
      </c>
      <c r="Y61" s="999" t="s">
        <v>1009</v>
      </c>
      <c r="Z61" s="979" t="s">
        <v>362</v>
      </c>
      <c r="AA61" s="979" t="s">
        <v>362</v>
      </c>
      <c r="AB61" s="979" t="s">
        <v>362</v>
      </c>
      <c r="AC61" s="984" t="s">
        <v>1107</v>
      </c>
      <c r="AD61" s="985" t="s">
        <v>505</v>
      </c>
      <c r="AE61" s="986"/>
      <c r="AF61" s="987" t="n">
        <v>40000</v>
      </c>
      <c r="AG61" s="988" t="n">
        <v>8686800</v>
      </c>
      <c r="AH61" s="997" t="n">
        <v>5</v>
      </c>
      <c r="AI61" s="1085" t="n">
        <v>43434000</v>
      </c>
      <c r="AJ61" s="988" t="n">
        <v>43434000</v>
      </c>
      <c r="AK61" s="988" t="n">
        <v>65151000</v>
      </c>
      <c r="AL61" s="988" t="n">
        <v>228028500</v>
      </c>
      <c r="AM61" s="991" t="s">
        <v>968</v>
      </c>
      <c r="AO61" s="929" t="n">
        <v>200000000</v>
      </c>
    </row>
    <row r="62" customFormat="false" ht="16.5" hidden="false" customHeight="false" outlineLevel="0" collapsed="false">
      <c r="A62" s="1013"/>
      <c r="B62" s="1179" t="s">
        <v>1108</v>
      </c>
      <c r="C62" s="965" t="s">
        <v>1109</v>
      </c>
      <c r="D62" s="998" t="s">
        <v>1110</v>
      </c>
      <c r="E62" s="967"/>
      <c r="F62" s="979" t="s">
        <v>373</v>
      </c>
      <c r="G62" s="1185" t="s">
        <v>1089</v>
      </c>
      <c r="H62" s="1164"/>
      <c r="I62" s="1164"/>
      <c r="J62" s="1164"/>
      <c r="K62" s="995" t="n">
        <v>244.41912</v>
      </c>
      <c r="L62" s="1181" t="n">
        <v>1458</v>
      </c>
      <c r="M62" s="1084" t="n">
        <f aca="false">L62/365</f>
        <v>3.99452054794521</v>
      </c>
      <c r="N62" s="974" t="n">
        <v>45688</v>
      </c>
      <c r="O62" s="975" t="n">
        <v>167.64</v>
      </c>
      <c r="P62" s="1001"/>
      <c r="Q62" s="1001" t="s">
        <v>966</v>
      </c>
      <c r="R62" s="1001"/>
      <c r="S62" s="978"/>
      <c r="T62" s="1180" t="s">
        <v>966</v>
      </c>
      <c r="U62" s="979" t="n">
        <v>1</v>
      </c>
      <c r="V62" s="980" t="n">
        <f aca="false">+O62*40000000/1000</f>
        <v>6705600</v>
      </c>
      <c r="W62" s="981" t="n">
        <v>6</v>
      </c>
      <c r="X62" s="1014" t="s">
        <v>794</v>
      </c>
      <c r="Y62" s="999" t="s">
        <v>1009</v>
      </c>
      <c r="Z62" s="979" t="s">
        <v>362</v>
      </c>
      <c r="AA62" s="979" t="s">
        <v>362</v>
      </c>
      <c r="AB62" s="979" t="s">
        <v>362</v>
      </c>
      <c r="AC62" s="984" t="s">
        <v>1111</v>
      </c>
      <c r="AD62" s="985" t="s">
        <v>505</v>
      </c>
      <c r="AE62" s="986"/>
      <c r="AF62" s="987" t="n">
        <v>40000</v>
      </c>
      <c r="AG62" s="988" t="n">
        <f aca="false">40000000*O62/1000</f>
        <v>6705600</v>
      </c>
      <c r="AH62" s="997" t="n">
        <v>5</v>
      </c>
      <c r="AI62" s="1085" t="n">
        <f aca="false">AG62*AH62</f>
        <v>33528000</v>
      </c>
      <c r="AJ62" s="988" t="n">
        <f aca="false">200000000*O62/1000</f>
        <v>33528000</v>
      </c>
      <c r="AK62" s="988" t="n">
        <f aca="false">300000000*O62/1000</f>
        <v>50292000</v>
      </c>
      <c r="AL62" s="988" t="n">
        <f aca="false">1050000000*O62/1000</f>
        <v>176022000</v>
      </c>
      <c r="AM62" s="991" t="s">
        <v>1091</v>
      </c>
      <c r="AO62" s="929" t="n">
        <f aca="false">(AJ62/O62)*1000</f>
        <v>200000000</v>
      </c>
    </row>
    <row r="63" customFormat="false" ht="16.5" hidden="false" customHeight="false" outlineLevel="0" collapsed="false">
      <c r="A63" s="1004"/>
      <c r="B63" s="1179" t="s">
        <v>1112</v>
      </c>
      <c r="C63" s="965" t="s">
        <v>1113</v>
      </c>
      <c r="D63" s="1182" t="s">
        <v>1114</v>
      </c>
      <c r="E63" s="967"/>
      <c r="F63" s="979" t="s">
        <v>373</v>
      </c>
      <c r="G63" s="994" t="s">
        <v>802</v>
      </c>
      <c r="H63" s="1164"/>
      <c r="I63" s="1164" t="n">
        <v>0.093</v>
      </c>
      <c r="J63" s="1164"/>
      <c r="K63" s="995" t="n">
        <v>856.9071</v>
      </c>
      <c r="L63" s="972" t="n">
        <v>1470</v>
      </c>
      <c r="M63" s="1084" t="n">
        <f aca="false">L63/365</f>
        <v>4.02739726027397</v>
      </c>
      <c r="N63" s="974" t="n">
        <v>45698</v>
      </c>
      <c r="O63" s="975" t="n">
        <v>582.93</v>
      </c>
      <c r="P63" s="1001"/>
      <c r="Q63" s="1001" t="s">
        <v>966</v>
      </c>
      <c r="R63" s="1001"/>
      <c r="S63" s="978"/>
      <c r="T63" s="1180" t="s">
        <v>966</v>
      </c>
      <c r="U63" s="979" t="n">
        <v>1</v>
      </c>
      <c r="V63" s="980" t="n">
        <f aca="false">+O63*40000000/1000</f>
        <v>23317200</v>
      </c>
      <c r="W63" s="981" t="n">
        <v>6</v>
      </c>
      <c r="X63" s="1014" t="s">
        <v>302</v>
      </c>
      <c r="Y63" s="985" t="s">
        <v>1009</v>
      </c>
      <c r="Z63" s="979" t="s">
        <v>362</v>
      </c>
      <c r="AA63" s="979" t="s">
        <v>362</v>
      </c>
      <c r="AB63" s="979" t="s">
        <v>362</v>
      </c>
      <c r="AC63" s="984" t="s">
        <v>1115</v>
      </c>
      <c r="AD63" s="985" t="s">
        <v>505</v>
      </c>
      <c r="AE63" s="986"/>
      <c r="AF63" s="987" t="n">
        <v>40000</v>
      </c>
      <c r="AG63" s="988" t="n">
        <f aca="false">40000000*O63/1000</f>
        <v>23317200</v>
      </c>
      <c r="AH63" s="997" t="n">
        <v>5</v>
      </c>
      <c r="AI63" s="1085" t="n">
        <f aca="false">AG63*AH63</f>
        <v>116586000</v>
      </c>
      <c r="AJ63" s="988" t="n">
        <f aca="false">200000000*O63/1000</f>
        <v>116586000</v>
      </c>
      <c r="AK63" s="988" t="n">
        <f aca="false">300000000*O63/1000</f>
        <v>174879000</v>
      </c>
      <c r="AL63" s="988" t="n">
        <f aca="false">1050000000*O63/1000</f>
        <v>612076500</v>
      </c>
      <c r="AM63" s="991" t="s">
        <v>1091</v>
      </c>
      <c r="AO63" s="929" t="n">
        <f aca="false">(AJ63/O63)*1000</f>
        <v>200000000</v>
      </c>
    </row>
    <row r="64" customFormat="false" ht="16.5" hidden="false" customHeight="false" outlineLevel="0" collapsed="false">
      <c r="A64" s="1004"/>
      <c r="B64" s="1179" t="s">
        <v>1116</v>
      </c>
      <c r="C64" s="965" t="s">
        <v>1117</v>
      </c>
      <c r="D64" s="998" t="s">
        <v>1118</v>
      </c>
      <c r="E64" s="967"/>
      <c r="F64" s="979" t="s">
        <v>373</v>
      </c>
      <c r="G64" s="994" t="s">
        <v>863</v>
      </c>
      <c r="H64" s="1164"/>
      <c r="I64" s="1164" t="n">
        <v>0.093</v>
      </c>
      <c r="J64" s="1164"/>
      <c r="K64" s="995" t="n">
        <v>361.01366</v>
      </c>
      <c r="L64" s="972" t="n">
        <v>1454</v>
      </c>
      <c r="M64" s="1084" t="n">
        <f aca="false">L64/365</f>
        <v>3.98356164383562</v>
      </c>
      <c r="N64" s="974" t="n">
        <v>45734</v>
      </c>
      <c r="O64" s="975" t="n">
        <v>248.29</v>
      </c>
      <c r="P64" s="1001"/>
      <c r="Q64" s="1001" t="s">
        <v>966</v>
      </c>
      <c r="R64" s="1001"/>
      <c r="S64" s="978"/>
      <c r="T64" s="1180" t="s">
        <v>966</v>
      </c>
      <c r="U64" s="979" t="n">
        <v>1</v>
      </c>
      <c r="V64" s="980" t="n">
        <f aca="false">+O64*40000000/1000</f>
        <v>9931600</v>
      </c>
      <c r="W64" s="981" t="n">
        <v>6</v>
      </c>
      <c r="X64" s="1014" t="s">
        <v>1015</v>
      </c>
      <c r="Y64" s="985" t="s">
        <v>1009</v>
      </c>
      <c r="Z64" s="979" t="s">
        <v>362</v>
      </c>
      <c r="AA64" s="979" t="s">
        <v>362</v>
      </c>
      <c r="AB64" s="979" t="s">
        <v>362</v>
      </c>
      <c r="AC64" s="984" t="s">
        <v>1119</v>
      </c>
      <c r="AD64" s="985" t="s">
        <v>505</v>
      </c>
      <c r="AE64" s="986"/>
      <c r="AF64" s="987" t="n">
        <v>40000</v>
      </c>
      <c r="AG64" s="988" t="n">
        <f aca="false">40000000*O64/1000</f>
        <v>9931600</v>
      </c>
      <c r="AH64" s="997" t="n">
        <v>5</v>
      </c>
      <c r="AI64" s="1085" t="n">
        <f aca="false">AG64*AH64</f>
        <v>49658000</v>
      </c>
      <c r="AJ64" s="988" t="n">
        <f aca="false">200000000*O64/1000</f>
        <v>49658000</v>
      </c>
      <c r="AK64" s="988" t="n">
        <f aca="false">300000000*O64/1000</f>
        <v>74487000</v>
      </c>
      <c r="AL64" s="988" t="n">
        <f aca="false">1050000000*O64/1000</f>
        <v>260704500</v>
      </c>
      <c r="AM64" s="991" t="s">
        <v>1091</v>
      </c>
      <c r="AO64" s="929" t="n">
        <f aca="false">(AJ64/O64)*1000</f>
        <v>200000000</v>
      </c>
    </row>
    <row r="65" s="1186" customFormat="true" ht="16.5" hidden="false" customHeight="false" outlineLevel="0" collapsed="false">
      <c r="A65" s="1004"/>
      <c r="B65" s="1179" t="s">
        <v>1120</v>
      </c>
      <c r="C65" s="965" t="s">
        <v>1121</v>
      </c>
      <c r="D65" s="998" t="s">
        <v>1122</v>
      </c>
      <c r="E65" s="967"/>
      <c r="F65" s="979" t="s">
        <v>373</v>
      </c>
      <c r="G65" s="994" t="s">
        <v>863</v>
      </c>
      <c r="H65" s="1164"/>
      <c r="I65" s="1164" t="n">
        <v>0.093</v>
      </c>
      <c r="J65" s="1164"/>
      <c r="K65" s="995" t="n">
        <v>1719.71716</v>
      </c>
      <c r="L65" s="972" t="n">
        <v>1412</v>
      </c>
      <c r="M65" s="1084" t="n">
        <f aca="false">L65/365</f>
        <v>3.86849315068493</v>
      </c>
      <c r="N65" s="974" t="n">
        <v>45734</v>
      </c>
      <c r="O65" s="975" t="n">
        <v>1217.93</v>
      </c>
      <c r="P65" s="1001"/>
      <c r="Q65" s="1001" t="s">
        <v>966</v>
      </c>
      <c r="R65" s="1001"/>
      <c r="S65" s="978"/>
      <c r="T65" s="1180" t="s">
        <v>966</v>
      </c>
      <c r="U65" s="979" t="n">
        <v>1</v>
      </c>
      <c r="V65" s="980" t="n">
        <f aca="false">+O65*40000000/1000</f>
        <v>48717200</v>
      </c>
      <c r="W65" s="981" t="n">
        <v>6</v>
      </c>
      <c r="X65" s="1014" t="s">
        <v>302</v>
      </c>
      <c r="Y65" s="985" t="s">
        <v>1009</v>
      </c>
      <c r="Z65" s="979" t="s">
        <v>362</v>
      </c>
      <c r="AA65" s="979" t="s">
        <v>362</v>
      </c>
      <c r="AB65" s="979" t="s">
        <v>362</v>
      </c>
      <c r="AC65" s="984" t="s">
        <v>1123</v>
      </c>
      <c r="AD65" s="985" t="s">
        <v>505</v>
      </c>
      <c r="AE65" s="986"/>
      <c r="AF65" s="987" t="n">
        <v>40000</v>
      </c>
      <c r="AG65" s="988" t="n">
        <f aca="false">40000000*O65/1000</f>
        <v>48717200</v>
      </c>
      <c r="AH65" s="997" t="n">
        <v>5</v>
      </c>
      <c r="AI65" s="1085" t="n">
        <f aca="false">AG65*AH65</f>
        <v>243586000</v>
      </c>
      <c r="AJ65" s="988" t="n">
        <f aca="false">200000000*O65/1000</f>
        <v>243586000</v>
      </c>
      <c r="AK65" s="988" t="n">
        <f aca="false">300000000*O65/1000</f>
        <v>365379000</v>
      </c>
      <c r="AL65" s="988" t="n">
        <f aca="false">1050000000*O65/1000</f>
        <v>1278826500</v>
      </c>
      <c r="AM65" s="991" t="s">
        <v>1091</v>
      </c>
      <c r="AO65" s="1187" t="n">
        <f aca="false">(AJ65/O65)*1000</f>
        <v>200000000</v>
      </c>
    </row>
    <row r="66" s="1186" customFormat="true" ht="16.5" hidden="false" customHeight="true" outlineLevel="0" collapsed="false">
      <c r="A66" s="1004"/>
      <c r="B66" s="1179" t="s">
        <v>1124</v>
      </c>
      <c r="C66" s="965" t="s">
        <v>1125</v>
      </c>
      <c r="D66" s="998" t="s">
        <v>1126</v>
      </c>
      <c r="E66" s="967"/>
      <c r="F66" s="979" t="s">
        <v>373</v>
      </c>
      <c r="G66" s="994" t="s">
        <v>925</v>
      </c>
      <c r="H66" s="1164"/>
      <c r="I66" s="1164" t="n">
        <v>0.093</v>
      </c>
      <c r="J66" s="1164"/>
      <c r="K66" s="995" t="n">
        <v>289.3568</v>
      </c>
      <c r="L66" s="972" t="n">
        <v>1424</v>
      </c>
      <c r="M66" s="1084" t="n">
        <v>3.9013698630137</v>
      </c>
      <c r="N66" s="974" t="n">
        <v>45734</v>
      </c>
      <c r="O66" s="975" t="n">
        <v>203.2</v>
      </c>
      <c r="P66" s="1001"/>
      <c r="Q66" s="1001" t="s">
        <v>966</v>
      </c>
      <c r="R66" s="1001"/>
      <c r="S66" s="978"/>
      <c r="T66" s="1180" t="s">
        <v>966</v>
      </c>
      <c r="U66" s="979" t="n">
        <v>1</v>
      </c>
      <c r="V66" s="980" t="n">
        <v>8128000</v>
      </c>
      <c r="W66" s="981" t="n">
        <v>6</v>
      </c>
      <c r="X66" s="1014" t="s">
        <v>1015</v>
      </c>
      <c r="Y66" s="985" t="s">
        <v>1009</v>
      </c>
      <c r="Z66" s="979" t="s">
        <v>362</v>
      </c>
      <c r="AA66" s="979" t="s">
        <v>362</v>
      </c>
      <c r="AB66" s="979" t="s">
        <v>362</v>
      </c>
      <c r="AC66" s="984" t="s">
        <v>1127</v>
      </c>
      <c r="AD66" s="985" t="s">
        <v>505</v>
      </c>
      <c r="AE66" s="986"/>
      <c r="AF66" s="987" t="n">
        <v>40000</v>
      </c>
      <c r="AG66" s="988" t="n">
        <v>8128000</v>
      </c>
      <c r="AH66" s="997" t="n">
        <v>5</v>
      </c>
      <c r="AI66" s="1085" t="n">
        <f aca="false">AG66*AH66</f>
        <v>40640000</v>
      </c>
      <c r="AJ66" s="988" t="n">
        <v>40640000</v>
      </c>
      <c r="AK66" s="988" t="n">
        <v>60960000</v>
      </c>
      <c r="AL66" s="988" t="n">
        <v>213360000</v>
      </c>
      <c r="AM66" s="991" t="s">
        <v>1091</v>
      </c>
      <c r="AO66" s="1187" t="n">
        <v>200000000</v>
      </c>
    </row>
    <row r="67" customFormat="false" ht="16.5" hidden="false" customHeight="true" outlineLevel="0" collapsed="false">
      <c r="A67" s="1004"/>
      <c r="B67" s="1179" t="s">
        <v>1128</v>
      </c>
      <c r="C67" s="965" t="s">
        <v>1129</v>
      </c>
      <c r="D67" s="998" t="s">
        <v>1130</v>
      </c>
      <c r="E67" s="967" t="s">
        <v>1131</v>
      </c>
      <c r="F67" s="979" t="s">
        <v>373</v>
      </c>
      <c r="G67" s="1183" t="s">
        <v>1132</v>
      </c>
      <c r="H67" s="1164"/>
      <c r="I67" s="1164" t="n">
        <v>0.095</v>
      </c>
      <c r="J67" s="1164"/>
      <c r="K67" s="995" t="n">
        <v>2548.17626</v>
      </c>
      <c r="L67" s="972" t="n">
        <v>1444</v>
      </c>
      <c r="M67" s="973" t="n">
        <v>3.95616438356164</v>
      </c>
      <c r="N67" s="974" t="n">
        <v>45588</v>
      </c>
      <c r="O67" s="975" t="n">
        <v>1764.67</v>
      </c>
      <c r="P67" s="1001"/>
      <c r="Q67" s="1180" t="s">
        <v>966</v>
      </c>
      <c r="R67" s="1001"/>
      <c r="S67" s="978"/>
      <c r="T67" s="977" t="s">
        <v>966</v>
      </c>
      <c r="U67" s="979" t="n">
        <v>1</v>
      </c>
      <c r="V67" s="980" t="n">
        <v>70586800</v>
      </c>
      <c r="W67" s="981" t="n">
        <v>6</v>
      </c>
      <c r="X67" s="968" t="s">
        <v>302</v>
      </c>
      <c r="Y67" s="999" t="s">
        <v>1009</v>
      </c>
      <c r="Z67" s="979" t="s">
        <v>362</v>
      </c>
      <c r="AA67" s="979" t="s">
        <v>362</v>
      </c>
      <c r="AB67" s="979" t="s">
        <v>362</v>
      </c>
      <c r="AC67" s="984" t="s">
        <v>1133</v>
      </c>
      <c r="AD67" s="985" t="s">
        <v>505</v>
      </c>
      <c r="AE67" s="986" t="n">
        <v>15700</v>
      </c>
      <c r="AF67" s="987" t="n">
        <v>40000</v>
      </c>
      <c r="AG67" s="988" t="n">
        <v>66175125</v>
      </c>
      <c r="AH67" s="1188" t="n">
        <v>1</v>
      </c>
      <c r="AI67" s="990" t="n">
        <v>126175125</v>
      </c>
      <c r="AJ67" s="988" t="n">
        <v>352934000</v>
      </c>
      <c r="AK67" s="988" t="n">
        <v>529401000</v>
      </c>
      <c r="AL67" s="988" t="n">
        <v>1852903500</v>
      </c>
      <c r="AM67" s="991"/>
      <c r="AO67" s="929" t="n">
        <v>200000000</v>
      </c>
    </row>
    <row r="68" customFormat="false" ht="16.5" hidden="false" customHeight="true" outlineLevel="0" collapsed="false">
      <c r="A68" s="1004"/>
      <c r="B68" s="1189" t="s">
        <v>1134</v>
      </c>
      <c r="C68" s="1190" t="s">
        <v>1135</v>
      </c>
      <c r="D68" s="1191" t="s">
        <v>1136</v>
      </c>
      <c r="E68" s="1192" t="s">
        <v>1137</v>
      </c>
      <c r="F68" s="1193" t="s">
        <v>373</v>
      </c>
      <c r="G68" s="1194" t="s">
        <v>793</v>
      </c>
      <c r="H68" s="1195"/>
      <c r="I68" s="1195" t="n">
        <v>0.093</v>
      </c>
      <c r="J68" s="1195"/>
      <c r="K68" s="1196" t="n">
        <v>622.75653</v>
      </c>
      <c r="L68" s="1197" t="n">
        <v>1419</v>
      </c>
      <c r="M68" s="1198" t="n">
        <f aca="false">L68/365</f>
        <v>3.88767123287671</v>
      </c>
      <c r="N68" s="1150" t="n">
        <v>45623</v>
      </c>
      <c r="O68" s="1199" t="n">
        <v>438.87</v>
      </c>
      <c r="P68" s="1009"/>
      <c r="Q68" s="1200" t="s">
        <v>966</v>
      </c>
      <c r="R68" s="1009"/>
      <c r="S68" s="1201"/>
      <c r="T68" s="1200" t="s">
        <v>966</v>
      </c>
      <c r="U68" s="1193" t="n">
        <v>1</v>
      </c>
      <c r="V68" s="1202" t="n">
        <f aca="false">+O68*40000000/1000</f>
        <v>17554800</v>
      </c>
      <c r="W68" s="1203" t="n">
        <v>6</v>
      </c>
      <c r="X68" s="1204" t="s">
        <v>817</v>
      </c>
      <c r="Y68" s="1205" t="s">
        <v>1009</v>
      </c>
      <c r="Z68" s="1193" t="s">
        <v>362</v>
      </c>
      <c r="AA68" s="1193" t="s">
        <v>362</v>
      </c>
      <c r="AB68" s="1193" t="s">
        <v>362</v>
      </c>
      <c r="AC68" s="1206" t="s">
        <v>1138</v>
      </c>
      <c r="AD68" s="1207" t="s">
        <v>505</v>
      </c>
      <c r="AE68" s="1208"/>
      <c r="AF68" s="1209" t="n">
        <v>40000</v>
      </c>
      <c r="AG68" s="1210" t="n">
        <f aca="false">40000000*O68/1000</f>
        <v>17554800</v>
      </c>
      <c r="AH68" s="1211" t="n">
        <v>5</v>
      </c>
      <c r="AI68" s="1212" t="n">
        <f aca="false">AG68*AH68</f>
        <v>87774000</v>
      </c>
      <c r="AJ68" s="1210" t="n">
        <f aca="false">200000000*O68/1000</f>
        <v>87774000</v>
      </c>
      <c r="AK68" s="1210" t="n">
        <f aca="false">300000000*O68/1000</f>
        <v>131661000</v>
      </c>
      <c r="AL68" s="1210" t="n">
        <f aca="false">1050000000*O68/1000</f>
        <v>460813500</v>
      </c>
      <c r="AM68" s="1213"/>
      <c r="AO68" s="929" t="n">
        <f aca="false">(AJ68/O68)*1000</f>
        <v>200000000</v>
      </c>
    </row>
    <row r="69" s="1186" customFormat="true" ht="16.5" hidden="true" customHeight="false" outlineLevel="1" collapsed="false">
      <c r="A69" s="1214"/>
      <c r="B69" s="1215"/>
      <c r="C69" s="1190"/>
      <c r="D69" s="1142"/>
      <c r="E69" s="1192"/>
      <c r="F69" s="1193"/>
      <c r="G69" s="1063"/>
      <c r="H69" s="1216"/>
      <c r="I69" s="1217"/>
      <c r="J69" s="1063"/>
      <c r="K69" s="1218"/>
      <c r="L69" s="1197"/>
      <c r="M69" s="1198" t="n">
        <v>3.9013698630137</v>
      </c>
      <c r="N69" s="1150"/>
      <c r="O69" s="1199"/>
      <c r="P69" s="1009"/>
      <c r="Q69" s="1009"/>
      <c r="R69" s="1009"/>
      <c r="S69" s="1201"/>
      <c r="T69" s="1200"/>
      <c r="U69" s="1193"/>
      <c r="V69" s="1202"/>
      <c r="W69" s="1203"/>
      <c r="X69" s="1204"/>
      <c r="Y69" s="1219"/>
      <c r="Z69" s="1193"/>
      <c r="AA69" s="1193"/>
      <c r="AB69" s="1193"/>
      <c r="AC69" s="1220"/>
      <c r="AD69" s="1219"/>
      <c r="AE69" s="1208"/>
      <c r="AF69" s="1112"/>
      <c r="AG69" s="1210"/>
      <c r="AH69" s="1211"/>
      <c r="AI69" s="1221"/>
      <c r="AJ69" s="1210"/>
      <c r="AK69" s="1222"/>
      <c r="AL69" s="1210"/>
      <c r="AM69" s="1213"/>
      <c r="AO69" s="1187"/>
    </row>
    <row r="70" customFormat="false" ht="16.5" hidden="false" customHeight="false" outlineLevel="0" collapsed="false">
      <c r="A70" s="1223" t="str">
        <f aca="false">"DG Batch 4 - 8PJT "</f>
        <v>DG Batch 4 - 8PJT </v>
      </c>
      <c r="B70" s="1179" t="s">
        <v>1139</v>
      </c>
      <c r="C70" s="965" t="s">
        <v>1140</v>
      </c>
      <c r="D70" s="1003" t="s">
        <v>1141</v>
      </c>
      <c r="E70" s="967" t="s">
        <v>1142</v>
      </c>
      <c r="F70" s="979" t="s">
        <v>373</v>
      </c>
      <c r="G70" s="994" t="s">
        <v>840</v>
      </c>
      <c r="H70" s="970" t="s">
        <v>966</v>
      </c>
      <c r="I70" s="970"/>
      <c r="J70" s="970"/>
      <c r="K70" s="995" t="n">
        <v>5749.494</v>
      </c>
      <c r="L70" s="1181" t="n">
        <v>1403</v>
      </c>
      <c r="M70" s="1084" t="n">
        <f aca="false">L70/365</f>
        <v>3.84383561643836</v>
      </c>
      <c r="N70" s="974" t="n">
        <v>45623</v>
      </c>
      <c r="O70" s="975" t="n">
        <v>4098</v>
      </c>
      <c r="P70" s="1001" t="s">
        <v>966</v>
      </c>
      <c r="Q70" s="1001" t="s">
        <v>966</v>
      </c>
      <c r="R70" s="1001"/>
      <c r="S70" s="978"/>
      <c r="T70" s="1180" t="s">
        <v>966</v>
      </c>
      <c r="U70" s="979" t="n">
        <v>1</v>
      </c>
      <c r="V70" s="980" t="n">
        <f aca="false">+O70*40000000/1000</f>
        <v>163920000</v>
      </c>
      <c r="W70" s="981" t="n">
        <v>6</v>
      </c>
      <c r="X70" s="1014" t="s">
        <v>300</v>
      </c>
      <c r="Y70" s="999" t="s">
        <v>1009</v>
      </c>
      <c r="Z70" s="979" t="s">
        <v>362</v>
      </c>
      <c r="AA70" s="979" t="s">
        <v>362</v>
      </c>
      <c r="AB70" s="979" t="s">
        <v>362</v>
      </c>
      <c r="AC70" s="984" t="s">
        <v>1143</v>
      </c>
      <c r="AD70" s="985" t="s">
        <v>505</v>
      </c>
      <c r="AE70" s="986"/>
      <c r="AF70" s="987" t="n">
        <v>40000</v>
      </c>
      <c r="AG70" s="988" t="n">
        <f aca="false">40000000*O70/1000</f>
        <v>163920000</v>
      </c>
      <c r="AH70" s="997" t="n">
        <v>5</v>
      </c>
      <c r="AI70" s="1085" t="n">
        <f aca="false">AG70*AH70</f>
        <v>819600000</v>
      </c>
      <c r="AJ70" s="988" t="n">
        <f aca="false">200000000*O70/1000</f>
        <v>819600000</v>
      </c>
      <c r="AK70" s="1224" t="n">
        <f aca="false">300000000*O70/1000</f>
        <v>1229400000</v>
      </c>
      <c r="AL70" s="988" t="n">
        <f aca="false">1050000000*O70/1000</f>
        <v>4302900000</v>
      </c>
      <c r="AM70" s="991"/>
      <c r="AO70" s="929" t="n">
        <f aca="false">(AJ70/O70)*1000</f>
        <v>200000000</v>
      </c>
    </row>
    <row r="71" customFormat="false" ht="16.5" hidden="false" customHeight="false" outlineLevel="0" collapsed="false">
      <c r="A71" s="1223"/>
      <c r="B71" s="1179" t="s">
        <v>1144</v>
      </c>
      <c r="C71" s="965" t="s">
        <v>1145</v>
      </c>
      <c r="D71" s="1003" t="s">
        <v>1146</v>
      </c>
      <c r="E71" s="967" t="s">
        <v>1147</v>
      </c>
      <c r="F71" s="979" t="s">
        <v>373</v>
      </c>
      <c r="G71" s="994" t="s">
        <v>826</v>
      </c>
      <c r="H71" s="970" t="s">
        <v>966</v>
      </c>
      <c r="I71" s="970"/>
      <c r="J71" s="970"/>
      <c r="K71" s="995" t="n">
        <v>275.73</v>
      </c>
      <c r="L71" s="1181" t="n">
        <v>1414</v>
      </c>
      <c r="M71" s="1084" t="n">
        <f aca="false">L71/365</f>
        <v>3.87397260273973</v>
      </c>
      <c r="N71" s="974" t="n">
        <v>45636</v>
      </c>
      <c r="O71" s="975" t="n">
        <v>195</v>
      </c>
      <c r="P71" s="1001" t="s">
        <v>966</v>
      </c>
      <c r="Q71" s="1001" t="s">
        <v>966</v>
      </c>
      <c r="R71" s="1001"/>
      <c r="S71" s="978"/>
      <c r="T71" s="1180" t="s">
        <v>966</v>
      </c>
      <c r="U71" s="979" t="n">
        <v>1</v>
      </c>
      <c r="V71" s="980" t="n">
        <f aca="false">+O71*40000000/1000</f>
        <v>7800000</v>
      </c>
      <c r="W71" s="981" t="n">
        <v>6</v>
      </c>
      <c r="X71" s="1014" t="s">
        <v>1015</v>
      </c>
      <c r="Y71" s="999" t="s">
        <v>1009</v>
      </c>
      <c r="Z71" s="979" t="s">
        <v>362</v>
      </c>
      <c r="AA71" s="979" t="s">
        <v>362</v>
      </c>
      <c r="AB71" s="979" t="s">
        <v>362</v>
      </c>
      <c r="AC71" s="984" t="s">
        <v>1148</v>
      </c>
      <c r="AD71" s="985" t="s">
        <v>505</v>
      </c>
      <c r="AE71" s="986"/>
      <c r="AF71" s="987" t="n">
        <v>40000</v>
      </c>
      <c r="AG71" s="988" t="n">
        <f aca="false">40000000*O71/1000</f>
        <v>7800000</v>
      </c>
      <c r="AH71" s="997" t="n">
        <v>5</v>
      </c>
      <c r="AI71" s="1085" t="n">
        <f aca="false">AG71*AH71</f>
        <v>39000000</v>
      </c>
      <c r="AJ71" s="988" t="n">
        <f aca="false">200000000*O71/1000</f>
        <v>39000000</v>
      </c>
      <c r="AK71" s="1224" t="n">
        <f aca="false">300000000*O71/1000</f>
        <v>58500000</v>
      </c>
      <c r="AL71" s="988" t="n">
        <f aca="false">1050000000*O71/1000</f>
        <v>204750000</v>
      </c>
      <c r="AM71" s="991"/>
      <c r="AO71" s="929" t="n">
        <f aca="false">(AJ71/O71)*1000</f>
        <v>200000000</v>
      </c>
    </row>
    <row r="72" customFormat="false" ht="16.5" hidden="false" customHeight="false" outlineLevel="0" collapsed="false">
      <c r="A72" s="1223"/>
      <c r="B72" s="1179" t="s">
        <v>1149</v>
      </c>
      <c r="C72" s="965" t="s">
        <v>1150</v>
      </c>
      <c r="D72" s="1003" t="s">
        <v>1151</v>
      </c>
      <c r="E72" s="967" t="s">
        <v>1152</v>
      </c>
      <c r="F72" s="979" t="s">
        <v>373</v>
      </c>
      <c r="G72" s="994" t="s">
        <v>863</v>
      </c>
      <c r="H72" s="970" t="s">
        <v>966</v>
      </c>
      <c r="I72" s="970"/>
      <c r="J72" s="970"/>
      <c r="K72" s="995" t="n">
        <v>1765.8648</v>
      </c>
      <c r="L72" s="1181" t="n">
        <v>1374</v>
      </c>
      <c r="M72" s="1084" t="n">
        <f aca="false">L72/365</f>
        <v>3.76438356164384</v>
      </c>
      <c r="N72" s="974" t="n">
        <v>45636</v>
      </c>
      <c r="O72" s="975" t="n">
        <v>1285.2</v>
      </c>
      <c r="P72" s="1001" t="s">
        <v>966</v>
      </c>
      <c r="Q72" s="1001" t="s">
        <v>966</v>
      </c>
      <c r="R72" s="1001"/>
      <c r="S72" s="978"/>
      <c r="T72" s="1180" t="s">
        <v>966</v>
      </c>
      <c r="U72" s="979" t="n">
        <v>1</v>
      </c>
      <c r="V72" s="980" t="n">
        <f aca="false">+O72*40000000/1000</f>
        <v>51408000</v>
      </c>
      <c r="W72" s="981" t="n">
        <v>6</v>
      </c>
      <c r="X72" s="1014" t="s">
        <v>794</v>
      </c>
      <c r="Y72" s="999" t="s">
        <v>1009</v>
      </c>
      <c r="Z72" s="979" t="s">
        <v>362</v>
      </c>
      <c r="AA72" s="979" t="s">
        <v>362</v>
      </c>
      <c r="AB72" s="979" t="s">
        <v>362</v>
      </c>
      <c r="AC72" s="984" t="s">
        <v>1153</v>
      </c>
      <c r="AD72" s="985" t="s">
        <v>505</v>
      </c>
      <c r="AE72" s="986"/>
      <c r="AF72" s="987" t="n">
        <v>40000</v>
      </c>
      <c r="AG72" s="988" t="n">
        <f aca="false">40000000*O72/1000</f>
        <v>51408000</v>
      </c>
      <c r="AH72" s="997" t="n">
        <v>5</v>
      </c>
      <c r="AI72" s="1085" t="n">
        <f aca="false">AG72*AH72</f>
        <v>257040000</v>
      </c>
      <c r="AJ72" s="988" t="n">
        <f aca="false">200000000*O72/1000</f>
        <v>257040000</v>
      </c>
      <c r="AK72" s="1224" t="n">
        <f aca="false">300000000*O72/1000</f>
        <v>385560000</v>
      </c>
      <c r="AL72" s="988" t="n">
        <f aca="false">1050000000*O72/1000</f>
        <v>1349460000</v>
      </c>
      <c r="AM72" s="991"/>
      <c r="AO72" s="929" t="n">
        <f aca="false">(AJ72/O72)*1000</f>
        <v>200000000</v>
      </c>
    </row>
    <row r="73" customFormat="false" ht="16.5" hidden="false" customHeight="false" outlineLevel="0" collapsed="false">
      <c r="A73" s="1013" t="n">
        <f aca="false">SUM(O70:O79)</f>
        <v>18416.77</v>
      </c>
      <c r="B73" s="1179" t="s">
        <v>1154</v>
      </c>
      <c r="C73" s="965" t="s">
        <v>1155</v>
      </c>
      <c r="D73" s="1000" t="s">
        <v>1156</v>
      </c>
      <c r="E73" s="967"/>
      <c r="F73" s="979" t="s">
        <v>373</v>
      </c>
      <c r="G73" s="1184" t="s">
        <v>870</v>
      </c>
      <c r="H73" s="970" t="s">
        <v>966</v>
      </c>
      <c r="I73" s="970"/>
      <c r="J73" s="970"/>
      <c r="K73" s="995" t="n">
        <v>2397.374</v>
      </c>
      <c r="L73" s="1181" t="n">
        <v>1439</v>
      </c>
      <c r="M73" s="1084" t="n">
        <f aca="false">L73/365</f>
        <v>3.94246575342466</v>
      </c>
      <c r="N73" s="974" t="n">
        <v>45702</v>
      </c>
      <c r="O73" s="975" t="n">
        <v>1666</v>
      </c>
      <c r="P73" s="1001"/>
      <c r="Q73" s="1001" t="s">
        <v>966</v>
      </c>
      <c r="R73" s="1001"/>
      <c r="S73" s="978"/>
      <c r="T73" s="1180" t="s">
        <v>966</v>
      </c>
      <c r="U73" s="979" t="n">
        <v>1</v>
      </c>
      <c r="V73" s="980" t="n">
        <f aca="false">+O73*40000000/1000</f>
        <v>66640000</v>
      </c>
      <c r="W73" s="981" t="n">
        <v>6</v>
      </c>
      <c r="X73" s="1014" t="s">
        <v>302</v>
      </c>
      <c r="Y73" s="999" t="s">
        <v>1009</v>
      </c>
      <c r="Z73" s="979" t="s">
        <v>362</v>
      </c>
      <c r="AA73" s="979" t="s">
        <v>362</v>
      </c>
      <c r="AB73" s="979" t="s">
        <v>362</v>
      </c>
      <c r="AC73" s="984" t="s">
        <v>1157</v>
      </c>
      <c r="AD73" s="985" t="s">
        <v>505</v>
      </c>
      <c r="AE73" s="986"/>
      <c r="AF73" s="987" t="n">
        <v>40000</v>
      </c>
      <c r="AG73" s="988" t="n">
        <f aca="false">40000000*O73/1000</f>
        <v>66640000</v>
      </c>
      <c r="AH73" s="997" t="n">
        <v>5</v>
      </c>
      <c r="AI73" s="1085" t="n">
        <f aca="false">AG73*AH73</f>
        <v>333200000</v>
      </c>
      <c r="AJ73" s="988" t="n">
        <f aca="false">200000000*O73/1000</f>
        <v>333200000</v>
      </c>
      <c r="AK73" s="1224" t="n">
        <f aca="false">300000000*O73/1000</f>
        <v>499800000</v>
      </c>
      <c r="AL73" s="988" t="n">
        <f aca="false">1050000000*O73/1000</f>
        <v>1749300000</v>
      </c>
      <c r="AM73" s="991"/>
      <c r="AO73" s="929" t="n">
        <f aca="false">(AJ73/O73)*1000</f>
        <v>200000000</v>
      </c>
    </row>
    <row r="74" customFormat="false" ht="16.5" hidden="false" customHeight="false" outlineLevel="0" collapsed="false">
      <c r="A74" s="1004"/>
      <c r="B74" s="1179" t="s">
        <v>1158</v>
      </c>
      <c r="C74" s="965" t="s">
        <v>1159</v>
      </c>
      <c r="D74" s="998" t="s">
        <v>1160</v>
      </c>
      <c r="E74" s="967"/>
      <c r="F74" s="979" t="s">
        <v>373</v>
      </c>
      <c r="G74" s="1184" t="s">
        <v>1161</v>
      </c>
      <c r="H74" s="970" t="s">
        <v>966</v>
      </c>
      <c r="I74" s="970"/>
      <c r="J74" s="970"/>
      <c r="K74" s="995" t="n">
        <v>2136.24033</v>
      </c>
      <c r="L74" s="1181" t="n">
        <v>1389</v>
      </c>
      <c r="M74" s="1084" t="n">
        <f aca="false">L74/365</f>
        <v>3.80547945205479</v>
      </c>
      <c r="N74" s="974" t="n">
        <v>45742</v>
      </c>
      <c r="O74" s="975" t="n">
        <v>1537.97</v>
      </c>
      <c r="P74" s="1001"/>
      <c r="Q74" s="1001" t="s">
        <v>966</v>
      </c>
      <c r="R74" s="1001"/>
      <c r="S74" s="978"/>
      <c r="T74" s="1180" t="s">
        <v>966</v>
      </c>
      <c r="U74" s="979" t="n">
        <v>1</v>
      </c>
      <c r="V74" s="980"/>
      <c r="W74" s="981" t="n">
        <v>6</v>
      </c>
      <c r="X74" s="1014" t="s">
        <v>794</v>
      </c>
      <c r="Y74" s="999" t="s">
        <v>1009</v>
      </c>
      <c r="Z74" s="979" t="s">
        <v>362</v>
      </c>
      <c r="AA74" s="979" t="s">
        <v>362</v>
      </c>
      <c r="AB74" s="979" t="s">
        <v>362</v>
      </c>
      <c r="AC74" s="984" t="s">
        <v>1162</v>
      </c>
      <c r="AD74" s="985" t="s">
        <v>505</v>
      </c>
      <c r="AE74" s="986"/>
      <c r="AF74" s="987" t="n">
        <v>40000</v>
      </c>
      <c r="AG74" s="988"/>
      <c r="AH74" s="997" t="n">
        <v>5</v>
      </c>
      <c r="AI74" s="1085"/>
      <c r="AJ74" s="988"/>
      <c r="AK74" s="1224"/>
      <c r="AL74" s="988"/>
      <c r="AM74" s="991"/>
    </row>
    <row r="75" customFormat="false" ht="16.5" hidden="false" customHeight="false" outlineLevel="0" collapsed="false">
      <c r="A75" s="1004"/>
      <c r="B75" s="1179" t="s">
        <v>1163</v>
      </c>
      <c r="C75" s="965" t="s">
        <v>1164</v>
      </c>
      <c r="D75" s="998" t="s">
        <v>1165</v>
      </c>
      <c r="E75" s="967"/>
      <c r="F75" s="979" t="s">
        <v>373</v>
      </c>
      <c r="G75" s="1184" t="s">
        <v>1161</v>
      </c>
      <c r="H75" s="970" t="s">
        <v>966</v>
      </c>
      <c r="I75" s="970"/>
      <c r="J75" s="970"/>
      <c r="K75" s="995" t="n">
        <v>2304.288</v>
      </c>
      <c r="L75" s="1181" t="n">
        <v>1400</v>
      </c>
      <c r="M75" s="1084" t="n">
        <f aca="false">L75/365</f>
        <v>3.83561643835616</v>
      </c>
      <c r="N75" s="974" t="n">
        <v>45742</v>
      </c>
      <c r="O75" s="975" t="n">
        <v>1645.92</v>
      </c>
      <c r="P75" s="1001"/>
      <c r="Q75" s="1001" t="s">
        <v>966</v>
      </c>
      <c r="R75" s="1001"/>
      <c r="S75" s="978"/>
      <c r="T75" s="1180" t="s">
        <v>966</v>
      </c>
      <c r="U75" s="979" t="n">
        <v>1</v>
      </c>
      <c r="V75" s="980"/>
      <c r="W75" s="981" t="n">
        <v>6</v>
      </c>
      <c r="X75" s="1014" t="s">
        <v>794</v>
      </c>
      <c r="Y75" s="999" t="s">
        <v>1009</v>
      </c>
      <c r="Z75" s="979" t="s">
        <v>362</v>
      </c>
      <c r="AA75" s="979" t="s">
        <v>362</v>
      </c>
      <c r="AB75" s="979" t="s">
        <v>362</v>
      </c>
      <c r="AC75" s="984" t="s">
        <v>1166</v>
      </c>
      <c r="AD75" s="985" t="s">
        <v>505</v>
      </c>
      <c r="AE75" s="986"/>
      <c r="AF75" s="987" t="n">
        <v>40000</v>
      </c>
      <c r="AG75" s="988"/>
      <c r="AH75" s="997" t="n">
        <v>5</v>
      </c>
      <c r="AI75" s="1085"/>
      <c r="AJ75" s="988"/>
      <c r="AK75" s="1224"/>
      <c r="AL75" s="988"/>
      <c r="AM75" s="991"/>
    </row>
    <row r="76" customFormat="false" ht="16.5" hidden="false" customHeight="false" outlineLevel="0" collapsed="false">
      <c r="A76" s="1004"/>
      <c r="B76" s="1179" t="s">
        <v>1167</v>
      </c>
      <c r="C76" s="965" t="s">
        <v>1168</v>
      </c>
      <c r="D76" s="966" t="s">
        <v>1169</v>
      </c>
      <c r="E76" s="967"/>
      <c r="F76" s="979" t="s">
        <v>373</v>
      </c>
      <c r="G76" s="1184" t="s">
        <v>1161</v>
      </c>
      <c r="H76" s="970" t="s">
        <v>966</v>
      </c>
      <c r="I76" s="970"/>
      <c r="J76" s="970"/>
      <c r="K76" s="995" t="n">
        <v>1535.915775</v>
      </c>
      <c r="L76" s="1181" t="n">
        <v>1427</v>
      </c>
      <c r="M76" s="1084" t="n">
        <f aca="false">L76/365</f>
        <v>3.90958904109589</v>
      </c>
      <c r="N76" s="974" t="n">
        <v>45742</v>
      </c>
      <c r="O76" s="975" t="n">
        <v>1076.325</v>
      </c>
      <c r="P76" s="1001"/>
      <c r="Q76" s="1001" t="s">
        <v>966</v>
      </c>
      <c r="R76" s="1001"/>
      <c r="S76" s="978"/>
      <c r="T76" s="1180" t="s">
        <v>966</v>
      </c>
      <c r="U76" s="979" t="n">
        <v>1</v>
      </c>
      <c r="V76" s="980"/>
      <c r="W76" s="981" t="n">
        <v>6</v>
      </c>
      <c r="X76" s="1014" t="s">
        <v>1015</v>
      </c>
      <c r="Y76" s="999" t="s">
        <v>1009</v>
      </c>
      <c r="Z76" s="979" t="s">
        <v>362</v>
      </c>
      <c r="AA76" s="979" t="s">
        <v>362</v>
      </c>
      <c r="AB76" s="979" t="s">
        <v>362</v>
      </c>
      <c r="AC76" s="984" t="s">
        <v>1170</v>
      </c>
      <c r="AD76" s="985" t="s">
        <v>505</v>
      </c>
      <c r="AE76" s="986"/>
      <c r="AF76" s="987" t="n">
        <v>40000</v>
      </c>
      <c r="AG76" s="988"/>
      <c r="AH76" s="997" t="n">
        <v>5</v>
      </c>
      <c r="AI76" s="1085"/>
      <c r="AJ76" s="988"/>
      <c r="AK76" s="1224"/>
      <c r="AL76" s="988"/>
      <c r="AM76" s="991"/>
    </row>
    <row r="77" s="1186" customFormat="true" ht="16.5" hidden="true" customHeight="false" outlineLevel="1" collapsed="false">
      <c r="A77" s="1004"/>
      <c r="B77" s="1163" t="s">
        <v>1171</v>
      </c>
      <c r="C77" s="965" t="s">
        <v>1172</v>
      </c>
      <c r="D77" s="1000" t="s">
        <v>1173</v>
      </c>
      <c r="E77" s="967"/>
      <c r="F77" s="979" t="s">
        <v>1003</v>
      </c>
      <c r="G77" s="994" t="s">
        <v>966</v>
      </c>
      <c r="H77" s="1164" t="s">
        <v>966</v>
      </c>
      <c r="I77" s="1164"/>
      <c r="J77" s="1164"/>
      <c r="K77" s="995" t="s">
        <v>966</v>
      </c>
      <c r="L77" s="972"/>
      <c r="M77" s="1084" t="n">
        <f aca="false">L77/365</f>
        <v>0</v>
      </c>
      <c r="N77" s="974" t="n">
        <v>45747</v>
      </c>
      <c r="O77" s="975" t="n">
        <v>920.96</v>
      </c>
      <c r="P77" s="1001"/>
      <c r="Q77" s="1001" t="s">
        <v>966</v>
      </c>
      <c r="R77" s="1001"/>
      <c r="S77" s="978"/>
      <c r="T77" s="1180" t="s">
        <v>966</v>
      </c>
      <c r="U77" s="979" t="n">
        <v>1</v>
      </c>
      <c r="V77" s="980"/>
      <c r="W77" s="981" t="n">
        <v>6</v>
      </c>
      <c r="X77" s="1014" t="s">
        <v>302</v>
      </c>
      <c r="Y77" s="985" t="s">
        <v>1009</v>
      </c>
      <c r="Z77" s="979" t="s">
        <v>362</v>
      </c>
      <c r="AA77" s="979" t="s">
        <v>362</v>
      </c>
      <c r="AB77" s="979" t="s">
        <v>362</v>
      </c>
      <c r="AC77" s="984"/>
      <c r="AD77" s="985" t="s">
        <v>842</v>
      </c>
      <c r="AE77" s="986"/>
      <c r="AF77" s="987" t="n">
        <v>40000</v>
      </c>
      <c r="AG77" s="988"/>
      <c r="AH77" s="997" t="n">
        <v>5</v>
      </c>
      <c r="AI77" s="1085"/>
      <c r="AJ77" s="988"/>
      <c r="AK77" s="988"/>
      <c r="AL77" s="988"/>
      <c r="AM77" s="991"/>
      <c r="AO77" s="1187"/>
    </row>
    <row r="78" s="1186" customFormat="true" ht="16.5" hidden="true" customHeight="false" outlineLevel="1" collapsed="false">
      <c r="A78" s="1004"/>
      <c r="B78" s="1225" t="s">
        <v>1174</v>
      </c>
      <c r="C78" s="1226" t="s">
        <v>1101</v>
      </c>
      <c r="D78" s="1227" t="s">
        <v>1175</v>
      </c>
      <c r="E78" s="1192"/>
      <c r="F78" s="1193" t="s">
        <v>1003</v>
      </c>
      <c r="G78" s="1194" t="s">
        <v>966</v>
      </c>
      <c r="H78" s="1195" t="n">
        <v>0.0893</v>
      </c>
      <c r="I78" s="1195" t="n">
        <v>0.0956</v>
      </c>
      <c r="J78" s="1195" t="n">
        <v>0.096</v>
      </c>
      <c r="K78" s="1196" t="n">
        <v>1711.9</v>
      </c>
      <c r="L78" s="1197" t="n">
        <v>1379</v>
      </c>
      <c r="M78" s="1228" t="n">
        <f aca="false">L78/365</f>
        <v>3.77808219178082</v>
      </c>
      <c r="N78" s="1150" t="n">
        <v>45747</v>
      </c>
      <c r="O78" s="1199" t="n">
        <v>1240.96</v>
      </c>
      <c r="P78" s="1009"/>
      <c r="Q78" s="1229" t="s">
        <v>966</v>
      </c>
      <c r="R78" s="1229"/>
      <c r="S78" s="1201"/>
      <c r="T78" s="1200" t="s">
        <v>966</v>
      </c>
      <c r="U78" s="1193" t="n">
        <v>1</v>
      </c>
      <c r="V78" s="1202"/>
      <c r="W78" s="1203" t="n">
        <v>6</v>
      </c>
      <c r="X78" s="1230" t="s">
        <v>302</v>
      </c>
      <c r="Y78" s="1231" t="s">
        <v>1009</v>
      </c>
      <c r="Z78" s="1193" t="s">
        <v>362</v>
      </c>
      <c r="AA78" s="1193" t="s">
        <v>362</v>
      </c>
      <c r="AB78" s="1193" t="s">
        <v>362</v>
      </c>
      <c r="AC78" s="1220"/>
      <c r="AD78" s="1231" t="s">
        <v>842</v>
      </c>
      <c r="AE78" s="1208"/>
      <c r="AF78" s="1232" t="n">
        <v>40000</v>
      </c>
      <c r="AG78" s="1210"/>
      <c r="AH78" s="1233" t="n">
        <v>5</v>
      </c>
      <c r="AI78" s="1221"/>
      <c r="AJ78" s="1210"/>
      <c r="AK78" s="1222"/>
      <c r="AL78" s="1210"/>
      <c r="AM78" s="1213"/>
      <c r="AO78" s="1187"/>
    </row>
    <row r="79" customFormat="false" ht="16.5" hidden="false" customHeight="false" outlineLevel="0" collapsed="false">
      <c r="A79" s="1214"/>
      <c r="B79" s="1234" t="s">
        <v>1176</v>
      </c>
      <c r="C79" s="1190" t="s">
        <v>1177</v>
      </c>
      <c r="D79" s="1142" t="s">
        <v>1178</v>
      </c>
      <c r="E79" s="1192"/>
      <c r="F79" s="1193"/>
      <c r="G79" s="1235" t="s">
        <v>1179</v>
      </c>
      <c r="H79" s="1054" t="n">
        <v>0.0843</v>
      </c>
      <c r="I79" s="1054" t="n">
        <v>0.092</v>
      </c>
      <c r="J79" s="1054" t="n">
        <v>0.093</v>
      </c>
      <c r="K79" s="1196" t="n">
        <v>6588.853345</v>
      </c>
      <c r="L79" s="1236" t="n">
        <v>1387</v>
      </c>
      <c r="M79" s="1228" t="n">
        <f aca="false">L79/365</f>
        <v>3.8</v>
      </c>
      <c r="N79" s="1150" t="n">
        <v>45751</v>
      </c>
      <c r="O79" s="1199" t="n">
        <v>4750.435</v>
      </c>
      <c r="P79" s="1229"/>
      <c r="Q79" s="1229" t="s">
        <v>966</v>
      </c>
      <c r="R79" s="1229"/>
      <c r="S79" s="1201"/>
      <c r="T79" s="1200" t="s">
        <v>966</v>
      </c>
      <c r="U79" s="1193" t="n">
        <v>1</v>
      </c>
      <c r="V79" s="1202"/>
      <c r="W79" s="1203"/>
      <c r="X79" s="1230" t="s">
        <v>794</v>
      </c>
      <c r="Y79" s="1205" t="s">
        <v>1009</v>
      </c>
      <c r="Z79" s="1193" t="s">
        <v>362</v>
      </c>
      <c r="AA79" s="1193" t="s">
        <v>362</v>
      </c>
      <c r="AB79" s="1193" t="s">
        <v>362</v>
      </c>
      <c r="AC79" s="1237" t="s">
        <v>1180</v>
      </c>
      <c r="AD79" s="1231" t="s">
        <v>505</v>
      </c>
      <c r="AE79" s="1208"/>
      <c r="AF79" s="1209" t="n">
        <v>40000</v>
      </c>
      <c r="AG79" s="1210" t="n">
        <f aca="false">+AF79*O79</f>
        <v>190017400</v>
      </c>
      <c r="AH79" s="1211" t="n">
        <v>5</v>
      </c>
      <c r="AI79" s="1221" t="n">
        <f aca="false">+AG79*AH79</f>
        <v>950087000</v>
      </c>
      <c r="AJ79" s="1210" t="n">
        <f aca="false">200000000*O79/1000</f>
        <v>950087000</v>
      </c>
      <c r="AK79" s="1222" t="n">
        <f aca="false">300000000*O79/1000</f>
        <v>1425130500</v>
      </c>
      <c r="AL79" s="1210" t="n">
        <f aca="false">1050000000*O79/1000</f>
        <v>4987956750</v>
      </c>
      <c r="AM79" s="1213"/>
    </row>
    <row r="80" customFormat="false" ht="16.5" hidden="false" customHeight="false" outlineLevel="0" collapsed="false">
      <c r="A80" s="1004"/>
      <c r="B80" s="1179" t="s">
        <v>1181</v>
      </c>
      <c r="C80" s="965"/>
      <c r="D80" s="1003" t="s">
        <v>1182</v>
      </c>
      <c r="E80" s="967" t="s">
        <v>1183</v>
      </c>
      <c r="F80" s="979" t="s">
        <v>373</v>
      </c>
      <c r="G80" s="994" t="s">
        <v>1184</v>
      </c>
      <c r="H80" s="970" t="s">
        <v>966</v>
      </c>
      <c r="I80" s="970"/>
      <c r="J80" s="970"/>
      <c r="K80" s="995" t="n">
        <v>470.95</v>
      </c>
      <c r="L80" s="1181" t="n">
        <v>1438</v>
      </c>
      <c r="M80" s="1084" t="n">
        <f aca="false">L80/365</f>
        <v>3.93972602739726</v>
      </c>
      <c r="N80" s="974" t="n">
        <v>45636</v>
      </c>
      <c r="O80" s="975" t="n">
        <v>330.6</v>
      </c>
      <c r="P80" s="1001" t="s">
        <v>966</v>
      </c>
      <c r="Q80" s="1001" t="s">
        <v>966</v>
      </c>
      <c r="R80" s="1001"/>
      <c r="S80" s="978"/>
      <c r="T80" s="1180" t="s">
        <v>966</v>
      </c>
      <c r="U80" s="979" t="n">
        <v>1</v>
      </c>
      <c r="V80" s="980" t="n">
        <f aca="false">+O80*40000000/1000</f>
        <v>13224000</v>
      </c>
      <c r="W80" s="981" t="n">
        <v>6</v>
      </c>
      <c r="X80" s="1014" t="s">
        <v>300</v>
      </c>
      <c r="Y80" s="999" t="s">
        <v>1009</v>
      </c>
      <c r="Z80" s="979" t="s">
        <v>362</v>
      </c>
      <c r="AA80" s="979" t="s">
        <v>362</v>
      </c>
      <c r="AB80" s="979" t="s">
        <v>362</v>
      </c>
      <c r="AC80" s="984" t="s">
        <v>1185</v>
      </c>
      <c r="AD80" s="985" t="s">
        <v>505</v>
      </c>
      <c r="AE80" s="986"/>
      <c r="AF80" s="987" t="n">
        <v>40000</v>
      </c>
      <c r="AG80" s="988" t="n">
        <f aca="false">40000000*O80/1000</f>
        <v>13224000</v>
      </c>
      <c r="AH80" s="997" t="n">
        <v>5</v>
      </c>
      <c r="AI80" s="1085" t="n">
        <f aca="false">AG80*AH80</f>
        <v>66120000</v>
      </c>
      <c r="AJ80" s="988" t="n">
        <f aca="false">200000000*O80/1000</f>
        <v>66120000</v>
      </c>
      <c r="AK80" s="1224" t="n">
        <f aca="false">300000000*O80/1000</f>
        <v>99180000</v>
      </c>
      <c r="AL80" s="988" t="n">
        <f aca="false">1050000000*O80/1000</f>
        <v>347130000</v>
      </c>
      <c r="AM80" s="991"/>
      <c r="AO80" s="929" t="n">
        <f aca="false">(AJ80/O80)*1000</f>
        <v>200000000</v>
      </c>
    </row>
    <row r="81" customFormat="false" ht="16.5" hidden="false" customHeight="false" outlineLevel="0" collapsed="false">
      <c r="A81" s="1004"/>
      <c r="B81" s="1179" t="s">
        <v>1186</v>
      </c>
      <c r="C81" s="965" t="s">
        <v>1187</v>
      </c>
      <c r="D81" s="1003" t="s">
        <v>1188</v>
      </c>
      <c r="E81" s="967" t="s">
        <v>1189</v>
      </c>
      <c r="F81" s="979" t="s">
        <v>373</v>
      </c>
      <c r="G81" s="994" t="s">
        <v>1184</v>
      </c>
      <c r="H81" s="970" t="s">
        <v>966</v>
      </c>
      <c r="I81" s="970"/>
      <c r="J81" s="970"/>
      <c r="K81" s="1238" t="n">
        <v>1419.5</v>
      </c>
      <c r="L81" s="1239" t="n">
        <v>1408</v>
      </c>
      <c r="M81" s="1084" t="n">
        <f aca="false">L81/365</f>
        <v>3.85753424657534</v>
      </c>
      <c r="N81" s="974" t="n">
        <v>45636</v>
      </c>
      <c r="O81" s="975" t="n">
        <v>618.6</v>
      </c>
      <c r="P81" s="1001" t="s">
        <v>966</v>
      </c>
      <c r="Q81" s="1001" t="s">
        <v>966</v>
      </c>
      <c r="R81" s="1001"/>
      <c r="S81" s="978"/>
      <c r="T81" s="1180" t="s">
        <v>966</v>
      </c>
      <c r="U81" s="979" t="n">
        <v>1</v>
      </c>
      <c r="V81" s="980" t="n">
        <f aca="false">+O81*40000000/1000</f>
        <v>24744000</v>
      </c>
      <c r="W81" s="981" t="n">
        <v>6</v>
      </c>
      <c r="X81" s="1014" t="s">
        <v>794</v>
      </c>
      <c r="Y81" s="999" t="s">
        <v>1009</v>
      </c>
      <c r="Z81" s="979" t="s">
        <v>362</v>
      </c>
      <c r="AA81" s="979" t="s">
        <v>362</v>
      </c>
      <c r="AB81" s="979" t="s">
        <v>362</v>
      </c>
      <c r="AC81" s="984" t="s">
        <v>1190</v>
      </c>
      <c r="AD81" s="985" t="s">
        <v>505</v>
      </c>
      <c r="AE81" s="986"/>
      <c r="AF81" s="987" t="n">
        <v>40000</v>
      </c>
      <c r="AG81" s="988" t="n">
        <f aca="false">40000000*O81/1000</f>
        <v>24744000</v>
      </c>
      <c r="AH81" s="997" t="n">
        <v>5</v>
      </c>
      <c r="AI81" s="1085" t="n">
        <f aca="false">AG81*AH81</f>
        <v>123720000</v>
      </c>
      <c r="AJ81" s="988" t="n">
        <f aca="false">200000000*O81/1000</f>
        <v>123720000</v>
      </c>
      <c r="AK81" s="1224" t="n">
        <f aca="false">300000000*O81/1000</f>
        <v>185580000</v>
      </c>
      <c r="AL81" s="988" t="n">
        <f aca="false">1050000000*O81/1000</f>
        <v>649530000</v>
      </c>
      <c r="AM81" s="991"/>
      <c r="AO81" s="929" t="n">
        <f aca="false">(AJ81/O81)*1000</f>
        <v>200000000</v>
      </c>
    </row>
    <row r="82" customFormat="false" ht="16.5" hidden="false" customHeight="false" outlineLevel="0" collapsed="false">
      <c r="A82" s="1004"/>
      <c r="B82" s="1179" t="s">
        <v>1191</v>
      </c>
      <c r="C82" s="965" t="s">
        <v>1192</v>
      </c>
      <c r="D82" s="1003" t="s">
        <v>1193</v>
      </c>
      <c r="E82" s="967" t="s">
        <v>1194</v>
      </c>
      <c r="F82" s="979" t="s">
        <v>373</v>
      </c>
      <c r="G82" s="994" t="s">
        <v>1184</v>
      </c>
      <c r="H82" s="970" t="s">
        <v>966</v>
      </c>
      <c r="I82" s="970"/>
      <c r="J82" s="970"/>
      <c r="K82" s="1238" t="n">
        <v>1419.5</v>
      </c>
      <c r="L82" s="1239" t="n">
        <v>1408</v>
      </c>
      <c r="M82" s="1084" t="n">
        <f aca="false">L82/365</f>
        <v>3.85753424657534</v>
      </c>
      <c r="N82" s="974" t="n">
        <v>45623</v>
      </c>
      <c r="O82" s="975" t="n">
        <v>393.6</v>
      </c>
      <c r="P82" s="1001" t="s">
        <v>966</v>
      </c>
      <c r="Q82" s="1001" t="s">
        <v>966</v>
      </c>
      <c r="R82" s="1001"/>
      <c r="S82" s="978"/>
      <c r="T82" s="1180" t="s">
        <v>966</v>
      </c>
      <c r="U82" s="979" t="n">
        <v>1</v>
      </c>
      <c r="V82" s="980" t="n">
        <f aca="false">+O82*40000000/1000</f>
        <v>15744000</v>
      </c>
      <c r="W82" s="981" t="n">
        <v>6</v>
      </c>
      <c r="X82" s="1014" t="s">
        <v>794</v>
      </c>
      <c r="Y82" s="999" t="s">
        <v>1009</v>
      </c>
      <c r="Z82" s="979" t="s">
        <v>362</v>
      </c>
      <c r="AA82" s="979" t="s">
        <v>362</v>
      </c>
      <c r="AB82" s="979" t="s">
        <v>362</v>
      </c>
      <c r="AC82" s="984" t="s">
        <v>1190</v>
      </c>
      <c r="AD82" s="985" t="s">
        <v>505</v>
      </c>
      <c r="AE82" s="986"/>
      <c r="AF82" s="987" t="n">
        <v>40000</v>
      </c>
      <c r="AG82" s="988" t="n">
        <f aca="false">40000000*O82/1000</f>
        <v>15744000</v>
      </c>
      <c r="AH82" s="997" t="n">
        <v>5</v>
      </c>
      <c r="AI82" s="1085" t="n">
        <f aca="false">AG82*AH82</f>
        <v>78720000</v>
      </c>
      <c r="AJ82" s="988" t="n">
        <f aca="false">200000000*O82/1000</f>
        <v>78720000</v>
      </c>
      <c r="AK82" s="1224" t="n">
        <f aca="false">300000000*O82/1000</f>
        <v>118080000</v>
      </c>
      <c r="AL82" s="988" t="n">
        <f aca="false">1050000000*O82/1000</f>
        <v>413280000</v>
      </c>
      <c r="AM82" s="991"/>
      <c r="AO82" s="929" t="n">
        <f aca="false">(AJ82/O82)*1000</f>
        <v>200000000</v>
      </c>
    </row>
    <row r="83" customFormat="false" ht="16.5" hidden="false" customHeight="false" outlineLevel="0" collapsed="false">
      <c r="A83" s="1004"/>
      <c r="B83" s="1179" t="s">
        <v>1195</v>
      </c>
      <c r="C83" s="965" t="s">
        <v>1196</v>
      </c>
      <c r="D83" s="1003" t="s">
        <v>1197</v>
      </c>
      <c r="E83" s="967" t="s">
        <v>1198</v>
      </c>
      <c r="F83" s="979" t="s">
        <v>373</v>
      </c>
      <c r="G83" s="994" t="s">
        <v>1184</v>
      </c>
      <c r="H83" s="970" t="s">
        <v>966</v>
      </c>
      <c r="I83" s="970"/>
      <c r="J83" s="970"/>
      <c r="K83" s="995" t="n">
        <v>2032</v>
      </c>
      <c r="L83" s="1181" t="n">
        <v>1378</v>
      </c>
      <c r="M83" s="1084" t="n">
        <f aca="false">L83/365</f>
        <v>3.77534246575342</v>
      </c>
      <c r="N83" s="974" t="n">
        <v>45636</v>
      </c>
      <c r="O83" s="975" t="n">
        <v>1473.6</v>
      </c>
      <c r="P83" s="1001" t="s">
        <v>966</v>
      </c>
      <c r="Q83" s="1001" t="s">
        <v>966</v>
      </c>
      <c r="R83" s="1001"/>
      <c r="S83" s="978"/>
      <c r="T83" s="1180" t="s">
        <v>966</v>
      </c>
      <c r="U83" s="979" t="n">
        <v>1</v>
      </c>
      <c r="V83" s="980" t="n">
        <f aca="false">+O83*40000000/1000</f>
        <v>58944000</v>
      </c>
      <c r="W83" s="981" t="n">
        <v>6</v>
      </c>
      <c r="X83" s="1014" t="s">
        <v>794</v>
      </c>
      <c r="Y83" s="999" t="s">
        <v>1009</v>
      </c>
      <c r="Z83" s="979" t="s">
        <v>362</v>
      </c>
      <c r="AA83" s="979" t="s">
        <v>362</v>
      </c>
      <c r="AB83" s="979" t="s">
        <v>362</v>
      </c>
      <c r="AC83" s="984" t="s">
        <v>1199</v>
      </c>
      <c r="AD83" s="985" t="s">
        <v>505</v>
      </c>
      <c r="AE83" s="986"/>
      <c r="AF83" s="987" t="n">
        <v>40000</v>
      </c>
      <c r="AG83" s="988" t="n">
        <f aca="false">40000000*O83/1000</f>
        <v>58944000</v>
      </c>
      <c r="AH83" s="997" t="n">
        <v>5</v>
      </c>
      <c r="AI83" s="1085" t="n">
        <f aca="false">AG83*AH83</f>
        <v>294720000</v>
      </c>
      <c r="AJ83" s="988" t="n">
        <f aca="false">200000000*O83/1000</f>
        <v>294720000</v>
      </c>
      <c r="AK83" s="1224" t="n">
        <f aca="false">300000000*O83/1000</f>
        <v>442080000</v>
      </c>
      <c r="AL83" s="988" t="n">
        <f aca="false">1050000000*O83/1000</f>
        <v>1547280000</v>
      </c>
      <c r="AM83" s="991"/>
      <c r="AO83" s="929" t="n">
        <f aca="false">(AJ83/O83)*1000</f>
        <v>200000000</v>
      </c>
    </row>
    <row r="84" customFormat="false" ht="16.5" hidden="false" customHeight="false" outlineLevel="0" collapsed="false">
      <c r="A84" s="1004" t="str">
        <f aca="false">"DG Batch 5 - 11PJT "</f>
        <v>DG Batch 5 - 11PJT </v>
      </c>
      <c r="B84" s="1179" t="s">
        <v>1200</v>
      </c>
      <c r="C84" s="965" t="s">
        <v>1201</v>
      </c>
      <c r="D84" s="998" t="s">
        <v>1202</v>
      </c>
      <c r="E84" s="967"/>
      <c r="F84" s="979" t="s">
        <v>373</v>
      </c>
      <c r="G84" s="1184" t="s">
        <v>1203</v>
      </c>
      <c r="H84" s="970" t="s">
        <v>966</v>
      </c>
      <c r="I84" s="970"/>
      <c r="J84" s="970"/>
      <c r="K84" s="995" t="n">
        <v>386.82</v>
      </c>
      <c r="L84" s="1181" t="n">
        <v>1433</v>
      </c>
      <c r="M84" s="1084" t="n">
        <f aca="false">L84/365</f>
        <v>3.92602739726027</v>
      </c>
      <c r="N84" s="974" t="n">
        <v>45742</v>
      </c>
      <c r="O84" s="975" t="n">
        <v>269.875</v>
      </c>
      <c r="P84" s="1001"/>
      <c r="Q84" s="1001" t="s">
        <v>966</v>
      </c>
      <c r="R84" s="1001"/>
      <c r="S84" s="978"/>
      <c r="T84" s="1180"/>
      <c r="U84" s="979" t="n">
        <v>1</v>
      </c>
      <c r="V84" s="980"/>
      <c r="W84" s="981" t="n">
        <v>6</v>
      </c>
      <c r="X84" s="968" t="s">
        <v>817</v>
      </c>
      <c r="Y84" s="999" t="s">
        <v>1009</v>
      </c>
      <c r="Z84" s="979" t="s">
        <v>362</v>
      </c>
      <c r="AA84" s="979" t="s">
        <v>362</v>
      </c>
      <c r="AB84" s="979" t="s">
        <v>362</v>
      </c>
      <c r="AC84" s="984" t="s">
        <v>1204</v>
      </c>
      <c r="AD84" s="985" t="s">
        <v>505</v>
      </c>
      <c r="AE84" s="986"/>
      <c r="AF84" s="987" t="n">
        <v>40000</v>
      </c>
      <c r="AG84" s="988"/>
      <c r="AH84" s="997" t="n">
        <v>5</v>
      </c>
      <c r="AI84" s="1085"/>
      <c r="AJ84" s="988"/>
      <c r="AK84" s="1224"/>
      <c r="AL84" s="988"/>
      <c r="AM84" s="991"/>
    </row>
    <row r="85" customFormat="false" ht="16.5" hidden="false" customHeight="false" outlineLevel="0" collapsed="false">
      <c r="A85" s="1004"/>
      <c r="B85" s="1179" t="s">
        <v>1205</v>
      </c>
      <c r="C85" s="965" t="s">
        <v>1206</v>
      </c>
      <c r="D85" s="998" t="s">
        <v>1207</v>
      </c>
      <c r="E85" s="967"/>
      <c r="F85" s="979" t="s">
        <v>373</v>
      </c>
      <c r="G85" s="1184" t="s">
        <v>1203</v>
      </c>
      <c r="H85" s="970" t="s">
        <v>966</v>
      </c>
      <c r="I85" s="970"/>
      <c r="J85" s="970"/>
      <c r="K85" s="995" t="n">
        <v>950.64</v>
      </c>
      <c r="L85" s="1181" t="n">
        <v>1444</v>
      </c>
      <c r="M85" s="1084" t="n">
        <f aca="false">L85/365</f>
        <v>3.95616438356164</v>
      </c>
      <c r="N85" s="974" t="n">
        <v>45742</v>
      </c>
      <c r="O85" s="975" t="n">
        <v>657.225</v>
      </c>
      <c r="P85" s="1001"/>
      <c r="Q85" s="1001" t="s">
        <v>966</v>
      </c>
      <c r="R85" s="1001"/>
      <c r="S85" s="978"/>
      <c r="T85" s="1180"/>
      <c r="U85" s="979" t="n">
        <v>1</v>
      </c>
      <c r="V85" s="980"/>
      <c r="W85" s="981" t="n">
        <v>6</v>
      </c>
      <c r="X85" s="968" t="s">
        <v>817</v>
      </c>
      <c r="Y85" s="999" t="s">
        <v>1009</v>
      </c>
      <c r="Z85" s="979" t="s">
        <v>362</v>
      </c>
      <c r="AA85" s="979" t="s">
        <v>362</v>
      </c>
      <c r="AB85" s="979" t="s">
        <v>362</v>
      </c>
      <c r="AC85" s="984" t="s">
        <v>1208</v>
      </c>
      <c r="AD85" s="985" t="s">
        <v>505</v>
      </c>
      <c r="AE85" s="986"/>
      <c r="AF85" s="987" t="n">
        <v>40000</v>
      </c>
      <c r="AG85" s="988"/>
      <c r="AH85" s="997" t="n">
        <v>5</v>
      </c>
      <c r="AI85" s="1085"/>
      <c r="AJ85" s="988"/>
      <c r="AK85" s="1224"/>
      <c r="AL85" s="988"/>
      <c r="AM85" s="991"/>
    </row>
    <row r="86" customFormat="false" ht="16.5" hidden="false" customHeight="false" outlineLevel="0" collapsed="false">
      <c r="A86" s="1013" t="n">
        <f aca="false">SUM(O80:O90)</f>
        <v>26509.715</v>
      </c>
      <c r="B86" s="1179" t="s">
        <v>1209</v>
      </c>
      <c r="C86" s="965" t="s">
        <v>1210</v>
      </c>
      <c r="D86" s="998" t="s">
        <v>1211</v>
      </c>
      <c r="E86" s="967"/>
      <c r="F86" s="979" t="s">
        <v>373</v>
      </c>
      <c r="G86" s="1184" t="s">
        <v>925</v>
      </c>
      <c r="H86" s="970" t="s">
        <v>966</v>
      </c>
      <c r="I86" s="970"/>
      <c r="J86" s="970"/>
      <c r="K86" s="995" t="n">
        <v>863.83</v>
      </c>
      <c r="L86" s="1181" t="n">
        <v>1447</v>
      </c>
      <c r="M86" s="1084" t="n">
        <f aca="false">L86/365</f>
        <v>3.96438356164384</v>
      </c>
      <c r="N86" s="974" t="n">
        <v>45742</v>
      </c>
      <c r="O86" s="975" t="n">
        <v>598.17</v>
      </c>
      <c r="P86" s="1001"/>
      <c r="Q86" s="1001" t="s">
        <v>966</v>
      </c>
      <c r="R86" s="1001"/>
      <c r="S86" s="978"/>
      <c r="T86" s="1180"/>
      <c r="U86" s="979" t="n">
        <v>1</v>
      </c>
      <c r="V86" s="980"/>
      <c r="W86" s="981" t="n">
        <v>6</v>
      </c>
      <c r="X86" s="968" t="s">
        <v>817</v>
      </c>
      <c r="Y86" s="999" t="s">
        <v>1009</v>
      </c>
      <c r="Z86" s="979" t="s">
        <v>362</v>
      </c>
      <c r="AA86" s="979" t="s">
        <v>362</v>
      </c>
      <c r="AB86" s="979" t="s">
        <v>362</v>
      </c>
      <c r="AC86" s="984" t="s">
        <v>1208</v>
      </c>
      <c r="AD86" s="985" t="s">
        <v>505</v>
      </c>
      <c r="AE86" s="986"/>
      <c r="AF86" s="987" t="n">
        <v>40000</v>
      </c>
      <c r="AG86" s="988"/>
      <c r="AH86" s="997" t="n">
        <v>5</v>
      </c>
      <c r="AI86" s="1085"/>
      <c r="AJ86" s="988"/>
      <c r="AK86" s="1224"/>
      <c r="AL86" s="988"/>
      <c r="AM86" s="991"/>
    </row>
    <row r="87" customFormat="false" ht="16.5" hidden="false" customHeight="false" outlineLevel="0" collapsed="false">
      <c r="A87" s="1004"/>
      <c r="B87" s="1179" t="s">
        <v>1212</v>
      </c>
      <c r="C87" s="965" t="s">
        <v>1213</v>
      </c>
      <c r="D87" s="998" t="s">
        <v>1214</v>
      </c>
      <c r="E87" s="967"/>
      <c r="F87" s="979" t="s">
        <v>373</v>
      </c>
      <c r="G87" s="1184" t="s">
        <v>1215</v>
      </c>
      <c r="H87" s="970" t="s">
        <v>966</v>
      </c>
      <c r="I87" s="970"/>
      <c r="J87" s="970"/>
      <c r="K87" s="995" t="n">
        <v>12594</v>
      </c>
      <c r="L87" s="1181" t="n">
        <v>1407</v>
      </c>
      <c r="M87" s="1084" t="n">
        <f aca="false">L87/365</f>
        <v>3.85479452054795</v>
      </c>
      <c r="N87" s="974" t="n">
        <v>45742</v>
      </c>
      <c r="O87" s="975" t="n">
        <v>8953.5</v>
      </c>
      <c r="P87" s="1001"/>
      <c r="Q87" s="1001" t="s">
        <v>966</v>
      </c>
      <c r="R87" s="1001"/>
      <c r="S87" s="978"/>
      <c r="T87" s="1180"/>
      <c r="U87" s="979" t="n">
        <v>1</v>
      </c>
      <c r="V87" s="980"/>
      <c r="W87" s="981" t="n">
        <v>6</v>
      </c>
      <c r="X87" s="1014" t="s">
        <v>794</v>
      </c>
      <c r="Y87" s="999" t="s">
        <v>1009</v>
      </c>
      <c r="Z87" s="979" t="s">
        <v>362</v>
      </c>
      <c r="AA87" s="979" t="s">
        <v>362</v>
      </c>
      <c r="AB87" s="979" t="s">
        <v>362</v>
      </c>
      <c r="AC87" s="984" t="s">
        <v>1216</v>
      </c>
      <c r="AD87" s="985" t="s">
        <v>505</v>
      </c>
      <c r="AE87" s="986"/>
      <c r="AF87" s="987" t="n">
        <v>40000</v>
      </c>
      <c r="AG87" s="988"/>
      <c r="AH87" s="997" t="n">
        <v>5</v>
      </c>
      <c r="AI87" s="1085"/>
      <c r="AJ87" s="988"/>
      <c r="AK87" s="1224"/>
      <c r="AL87" s="988"/>
      <c r="AM87" s="991"/>
    </row>
    <row r="88" customFormat="false" ht="16.5" hidden="false" customHeight="false" outlineLevel="0" collapsed="false">
      <c r="A88" s="1004"/>
      <c r="B88" s="1179" t="s">
        <v>1217</v>
      </c>
      <c r="C88" s="965" t="s">
        <v>1218</v>
      </c>
      <c r="D88" s="998" t="s">
        <v>1219</v>
      </c>
      <c r="E88" s="967"/>
      <c r="F88" s="979" t="s">
        <v>373</v>
      </c>
      <c r="G88" s="1184" t="s">
        <v>863</v>
      </c>
      <c r="H88" s="970" t="s">
        <v>966</v>
      </c>
      <c r="I88" s="970"/>
      <c r="J88" s="970"/>
      <c r="K88" s="995" t="n">
        <v>5265.8</v>
      </c>
      <c r="L88" s="1181" t="n">
        <v>1388</v>
      </c>
      <c r="M88" s="1084" t="n">
        <f aca="false">L88/365</f>
        <v>3.8027397260274</v>
      </c>
      <c r="N88" s="974" t="n">
        <v>45742</v>
      </c>
      <c r="O88" s="975" t="n">
        <v>3794.125</v>
      </c>
      <c r="P88" s="1001"/>
      <c r="Q88" s="1001" t="s">
        <v>966</v>
      </c>
      <c r="R88" s="1001"/>
      <c r="S88" s="978"/>
      <c r="T88" s="1180"/>
      <c r="U88" s="979" t="n">
        <v>1</v>
      </c>
      <c r="V88" s="980"/>
      <c r="W88" s="981" t="n">
        <v>6</v>
      </c>
      <c r="X88" s="1014" t="s">
        <v>794</v>
      </c>
      <c r="Y88" s="999" t="s">
        <v>1009</v>
      </c>
      <c r="Z88" s="979" t="s">
        <v>362</v>
      </c>
      <c r="AA88" s="979" t="s">
        <v>362</v>
      </c>
      <c r="AB88" s="979" t="s">
        <v>362</v>
      </c>
      <c r="AC88" s="984" t="s">
        <v>1220</v>
      </c>
      <c r="AD88" s="985" t="s">
        <v>505</v>
      </c>
      <c r="AE88" s="986"/>
      <c r="AF88" s="987" t="n">
        <v>40000</v>
      </c>
      <c r="AG88" s="988"/>
      <c r="AH88" s="997" t="n">
        <v>5</v>
      </c>
      <c r="AI88" s="1085"/>
      <c r="AJ88" s="988"/>
      <c r="AK88" s="1224"/>
      <c r="AL88" s="988"/>
      <c r="AM88" s="991"/>
    </row>
    <row r="89" customFormat="false" ht="16.5" hidden="false" customHeight="false" outlineLevel="0" collapsed="false">
      <c r="A89" s="1004"/>
      <c r="B89" s="1179" t="s">
        <v>1221</v>
      </c>
      <c r="C89" s="965" t="s">
        <v>1222</v>
      </c>
      <c r="D89" s="998" t="s">
        <v>1223</v>
      </c>
      <c r="E89" s="967"/>
      <c r="F89" s="979" t="s">
        <v>373</v>
      </c>
      <c r="G89" s="1184" t="s">
        <v>912</v>
      </c>
      <c r="H89" s="970" t="s">
        <v>966</v>
      </c>
      <c r="I89" s="970"/>
      <c r="J89" s="970"/>
      <c r="K89" s="995" t="n">
        <v>13029</v>
      </c>
      <c r="L89" s="1181" t="n">
        <v>1410</v>
      </c>
      <c r="M89" s="1084" t="n">
        <f aca="false">L89/365</f>
        <v>3.86301369863014</v>
      </c>
      <c r="N89" s="974" t="n">
        <v>45742</v>
      </c>
      <c r="O89" s="975" t="n">
        <v>9240.52</v>
      </c>
      <c r="P89" s="1001"/>
      <c r="Q89" s="1001" t="s">
        <v>966</v>
      </c>
      <c r="R89" s="1001"/>
      <c r="S89" s="978"/>
      <c r="T89" s="1180"/>
      <c r="U89" s="979" t="n">
        <v>1</v>
      </c>
      <c r="V89" s="980"/>
      <c r="W89" s="981" t="n">
        <v>6</v>
      </c>
      <c r="X89" s="1014" t="s">
        <v>794</v>
      </c>
      <c r="Y89" s="999" t="s">
        <v>1009</v>
      </c>
      <c r="Z89" s="979" t="s">
        <v>362</v>
      </c>
      <c r="AA89" s="979" t="s">
        <v>362</v>
      </c>
      <c r="AB89" s="979" t="s">
        <v>362</v>
      </c>
      <c r="AC89" s="984" t="s">
        <v>1224</v>
      </c>
      <c r="AD89" s="985" t="s">
        <v>505</v>
      </c>
      <c r="AE89" s="986"/>
      <c r="AF89" s="987" t="n">
        <v>40000</v>
      </c>
      <c r="AG89" s="988"/>
      <c r="AH89" s="997" t="n">
        <v>5</v>
      </c>
      <c r="AI89" s="1085"/>
      <c r="AJ89" s="988"/>
      <c r="AK89" s="1224"/>
      <c r="AL89" s="988"/>
      <c r="AM89" s="991"/>
    </row>
    <row r="90" customFormat="false" ht="16.5" hidden="false" customHeight="false" outlineLevel="0" collapsed="false">
      <c r="A90" s="1214"/>
      <c r="B90" s="1240" t="s">
        <v>1225</v>
      </c>
      <c r="C90" s="1190" t="s">
        <v>1226</v>
      </c>
      <c r="D90" s="1142" t="s">
        <v>1227</v>
      </c>
      <c r="E90" s="1192"/>
      <c r="F90" s="1193" t="s">
        <v>373</v>
      </c>
      <c r="G90" s="1063" t="s">
        <v>1203</v>
      </c>
      <c r="H90" s="1054" t="s">
        <v>966</v>
      </c>
      <c r="I90" s="1054"/>
      <c r="J90" s="1054"/>
      <c r="K90" s="1196" t="n">
        <v>256.78</v>
      </c>
      <c r="L90" s="1236" t="n">
        <v>1433</v>
      </c>
      <c r="M90" s="1228" t="n">
        <f aca="false">L90/365</f>
        <v>3.92602739726027</v>
      </c>
      <c r="N90" s="1150" t="n">
        <v>45742</v>
      </c>
      <c r="O90" s="1199" t="n">
        <v>179.9</v>
      </c>
      <c r="P90" s="1229"/>
      <c r="Q90" s="1229" t="s">
        <v>966</v>
      </c>
      <c r="R90" s="1229"/>
      <c r="S90" s="1201"/>
      <c r="T90" s="1200"/>
      <c r="U90" s="1193" t="n">
        <v>1</v>
      </c>
      <c r="V90" s="1202"/>
      <c r="W90" s="1203" t="n">
        <v>6</v>
      </c>
      <c r="X90" s="1230" t="s">
        <v>794</v>
      </c>
      <c r="Y90" s="1205" t="s">
        <v>1009</v>
      </c>
      <c r="Z90" s="1193" t="s">
        <v>362</v>
      </c>
      <c r="AA90" s="1193" t="s">
        <v>362</v>
      </c>
      <c r="AB90" s="1193" t="s">
        <v>362</v>
      </c>
      <c r="AC90" s="1237" t="s">
        <v>1228</v>
      </c>
      <c r="AD90" s="1231" t="s">
        <v>505</v>
      </c>
      <c r="AE90" s="1208"/>
      <c r="AF90" s="1112" t="n">
        <v>40000</v>
      </c>
      <c r="AG90" s="1210"/>
      <c r="AH90" s="1211" t="n">
        <v>5</v>
      </c>
      <c r="AI90" s="1221"/>
      <c r="AJ90" s="1210"/>
      <c r="AK90" s="1222"/>
      <c r="AL90" s="1210"/>
      <c r="AM90" s="1213"/>
      <c r="AO90" s="1187"/>
    </row>
    <row r="91" customFormat="false" ht="16.5" hidden="false" customHeight="true" outlineLevel="0" collapsed="false">
      <c r="A91" s="1004"/>
      <c r="B91" s="1179" t="s">
        <v>1229</v>
      </c>
      <c r="C91" s="965" t="s">
        <v>1230</v>
      </c>
      <c r="D91" s="1003" t="s">
        <v>1231</v>
      </c>
      <c r="E91" s="967" t="s">
        <v>1232</v>
      </c>
      <c r="F91" s="979" t="s">
        <v>373</v>
      </c>
      <c r="G91" s="1241" t="s">
        <v>1233</v>
      </c>
      <c r="H91" s="970" t="s">
        <v>966</v>
      </c>
      <c r="I91" s="970"/>
      <c r="J91" s="970"/>
      <c r="K91" s="995" t="n">
        <v>870035.1</v>
      </c>
      <c r="L91" s="1181" t="n">
        <v>1448</v>
      </c>
      <c r="M91" s="1084" t="n">
        <f aca="false">L91/365</f>
        <v>3.96712328767123</v>
      </c>
      <c r="N91" s="974" t="n">
        <v>45588</v>
      </c>
      <c r="O91" s="975" t="n">
        <v>675.64</v>
      </c>
      <c r="P91" s="1001" t="s">
        <v>966</v>
      </c>
      <c r="Q91" s="1180" t="s">
        <v>966</v>
      </c>
      <c r="R91" s="1001"/>
      <c r="S91" s="978"/>
      <c r="T91" s="1180" t="s">
        <v>966</v>
      </c>
      <c r="U91" s="979" t="n">
        <v>1</v>
      </c>
      <c r="V91" s="980" t="n">
        <f aca="false">+O91*40000000/1000</f>
        <v>27025600</v>
      </c>
      <c r="W91" s="981" t="n">
        <v>6</v>
      </c>
      <c r="X91" s="1014" t="s">
        <v>302</v>
      </c>
      <c r="Y91" s="999" t="s">
        <v>1009</v>
      </c>
      <c r="Z91" s="979" t="s">
        <v>362</v>
      </c>
      <c r="AA91" s="979" t="s">
        <v>362</v>
      </c>
      <c r="AB91" s="979" t="s">
        <v>362</v>
      </c>
      <c r="AC91" s="984" t="s">
        <v>1234</v>
      </c>
      <c r="AD91" s="985" t="s">
        <v>505</v>
      </c>
      <c r="AE91" s="986" t="n">
        <v>11090</v>
      </c>
      <c r="AF91" s="987" t="n">
        <v>40000</v>
      </c>
      <c r="AG91" s="988" t="n">
        <f aca="false">40000000*O91/1000</f>
        <v>27025600</v>
      </c>
      <c r="AH91" s="997" t="n">
        <v>5</v>
      </c>
      <c r="AI91" s="1085" t="n">
        <f aca="false">AG91*AH91</f>
        <v>135128000</v>
      </c>
      <c r="AJ91" s="988" t="n">
        <f aca="false">200000000*O91/1000</f>
        <v>135128000</v>
      </c>
      <c r="AK91" s="1224" t="n">
        <f aca="false">300000000*O91/1000</f>
        <v>202692000</v>
      </c>
      <c r="AL91" s="988" t="n">
        <f aca="false">1050000000*O91/1000</f>
        <v>709422000</v>
      </c>
      <c r="AM91" s="991"/>
      <c r="AO91" s="929" t="n">
        <f aca="false">(AJ91/O91)*1000</f>
        <v>200000000</v>
      </c>
    </row>
    <row r="92" customFormat="false" ht="16.5" hidden="false" customHeight="true" outlineLevel="0" collapsed="false">
      <c r="A92" s="1004"/>
      <c r="B92" s="1179" t="s">
        <v>1235</v>
      </c>
      <c r="C92" s="965" t="s">
        <v>1236</v>
      </c>
      <c r="D92" s="1003" t="s">
        <v>1237</v>
      </c>
      <c r="E92" s="967" t="s">
        <v>1238</v>
      </c>
      <c r="F92" s="979" t="s">
        <v>373</v>
      </c>
      <c r="G92" s="1241" t="s">
        <v>1239</v>
      </c>
      <c r="H92" s="970" t="s">
        <v>966</v>
      </c>
      <c r="I92" s="970"/>
      <c r="J92" s="970"/>
      <c r="K92" s="995" t="n">
        <v>2104765.5</v>
      </c>
      <c r="L92" s="1181" t="n">
        <v>1443</v>
      </c>
      <c r="M92" s="1084" t="n">
        <f aca="false">L92/365</f>
        <v>3.95342465753425</v>
      </c>
      <c r="N92" s="974" t="n">
        <v>45588</v>
      </c>
      <c r="O92" s="975" t="n">
        <v>1634.49</v>
      </c>
      <c r="P92" s="1001" t="s">
        <v>966</v>
      </c>
      <c r="Q92" s="1180" t="s">
        <v>966</v>
      </c>
      <c r="R92" s="1001"/>
      <c r="S92" s="978"/>
      <c r="T92" s="1180" t="s">
        <v>966</v>
      </c>
      <c r="U92" s="979" t="n">
        <v>1</v>
      </c>
      <c r="V92" s="980" t="n">
        <f aca="false">+O92*40000000/1000</f>
        <v>65379600</v>
      </c>
      <c r="W92" s="981" t="n">
        <v>6</v>
      </c>
      <c r="X92" s="1014" t="s">
        <v>302</v>
      </c>
      <c r="Y92" s="999" t="s">
        <v>1009</v>
      </c>
      <c r="Z92" s="979" t="s">
        <v>362</v>
      </c>
      <c r="AA92" s="979" t="s">
        <v>362</v>
      </c>
      <c r="AB92" s="979" t="s">
        <v>362</v>
      </c>
      <c r="AC92" s="984" t="s">
        <v>1234</v>
      </c>
      <c r="AD92" s="985" t="s">
        <v>505</v>
      </c>
      <c r="AE92" s="986" t="n">
        <v>4260</v>
      </c>
      <c r="AF92" s="987" t="n">
        <v>40000</v>
      </c>
      <c r="AG92" s="988" t="n">
        <f aca="false">40000000*O92/1000</f>
        <v>65379600</v>
      </c>
      <c r="AH92" s="997" t="n">
        <v>5</v>
      </c>
      <c r="AI92" s="1085" t="n">
        <f aca="false">AG92*AH92</f>
        <v>326898000</v>
      </c>
      <c r="AJ92" s="988" t="n">
        <f aca="false">200000000*O92/1000</f>
        <v>326898000</v>
      </c>
      <c r="AK92" s="1224" t="n">
        <f aca="false">300000000*O92/1000</f>
        <v>490347000</v>
      </c>
      <c r="AL92" s="988" t="n">
        <f aca="false">1050000000*O92/1000</f>
        <v>1716214500</v>
      </c>
      <c r="AM92" s="991"/>
      <c r="AO92" s="929" t="n">
        <f aca="false">(AJ92/O92)*1000</f>
        <v>200000000</v>
      </c>
    </row>
    <row r="93" customFormat="false" ht="16.5" hidden="false" customHeight="false" outlineLevel="0" collapsed="false">
      <c r="A93" s="1004"/>
      <c r="B93" s="1179" t="s">
        <v>1240</v>
      </c>
      <c r="C93" s="965" t="s">
        <v>1241</v>
      </c>
      <c r="D93" s="1003" t="s">
        <v>1242</v>
      </c>
      <c r="E93" s="967" t="s">
        <v>1243</v>
      </c>
      <c r="F93" s="979" t="s">
        <v>373</v>
      </c>
      <c r="G93" s="994" t="s">
        <v>900</v>
      </c>
      <c r="H93" s="970" t="s">
        <v>966</v>
      </c>
      <c r="I93" s="970"/>
      <c r="J93" s="970"/>
      <c r="K93" s="995" t="n">
        <v>1339396.2</v>
      </c>
      <c r="L93" s="1181" t="n">
        <v>1428</v>
      </c>
      <c r="M93" s="1084" t="n">
        <f aca="false">L93/365</f>
        <v>3.91232876712329</v>
      </c>
      <c r="N93" s="974" t="n">
        <v>45609</v>
      </c>
      <c r="O93" s="975" t="n">
        <v>1040.13</v>
      </c>
      <c r="P93" s="1001" t="s">
        <v>966</v>
      </c>
      <c r="Q93" s="1180" t="s">
        <v>966</v>
      </c>
      <c r="R93" s="1001"/>
      <c r="S93" s="978"/>
      <c r="T93" s="1180" t="s">
        <v>966</v>
      </c>
      <c r="U93" s="979" t="n">
        <v>1</v>
      </c>
      <c r="V93" s="980" t="n">
        <f aca="false">+O93*40000000/1000</f>
        <v>41605200</v>
      </c>
      <c r="W93" s="981" t="n">
        <v>6</v>
      </c>
      <c r="X93" s="968" t="s">
        <v>817</v>
      </c>
      <c r="Y93" s="999" t="s">
        <v>1009</v>
      </c>
      <c r="Z93" s="979" t="s">
        <v>362</v>
      </c>
      <c r="AA93" s="979" t="s">
        <v>362</v>
      </c>
      <c r="AB93" s="979" t="s">
        <v>362</v>
      </c>
      <c r="AC93" s="984" t="s">
        <v>1244</v>
      </c>
      <c r="AD93" s="985" t="s">
        <v>505</v>
      </c>
      <c r="AE93" s="986"/>
      <c r="AF93" s="987" t="n">
        <v>40000</v>
      </c>
      <c r="AG93" s="988" t="n">
        <f aca="false">40000000*O93/1000</f>
        <v>41605200</v>
      </c>
      <c r="AH93" s="997" t="n">
        <v>5</v>
      </c>
      <c r="AI93" s="1085" t="n">
        <f aca="false">AG93*AH93</f>
        <v>208026000</v>
      </c>
      <c r="AJ93" s="988" t="n">
        <f aca="false">200000000*O93/1000</f>
        <v>208026000</v>
      </c>
      <c r="AK93" s="1224" t="n">
        <f aca="false">300000000*O93/1000</f>
        <v>312039000</v>
      </c>
      <c r="AL93" s="988" t="n">
        <f aca="false">1050000000*O93/1000</f>
        <v>1092136500</v>
      </c>
      <c r="AM93" s="991"/>
      <c r="AO93" s="929" t="n">
        <f aca="false">(AJ93/O93)*1000</f>
        <v>200000000</v>
      </c>
    </row>
    <row r="94" customFormat="false" ht="16.5" hidden="false" customHeight="false" outlineLevel="0" collapsed="false">
      <c r="A94" s="1004"/>
      <c r="B94" s="1179" t="s">
        <v>1245</v>
      </c>
      <c r="C94" s="965" t="s">
        <v>1246</v>
      </c>
      <c r="D94" s="1003" t="s">
        <v>1247</v>
      </c>
      <c r="E94" s="967" t="s">
        <v>1248</v>
      </c>
      <c r="F94" s="979" t="s">
        <v>373</v>
      </c>
      <c r="G94" s="1185" t="s">
        <v>1089</v>
      </c>
      <c r="H94" s="970" t="s">
        <v>966</v>
      </c>
      <c r="I94" s="970"/>
      <c r="J94" s="970"/>
      <c r="K94" s="995" t="n">
        <v>510194.7</v>
      </c>
      <c r="L94" s="1181" t="n">
        <v>1452</v>
      </c>
      <c r="M94" s="1084" t="n">
        <f aca="false">L94/365</f>
        <v>3.97808219178082</v>
      </c>
      <c r="N94" s="974" t="n">
        <v>45609</v>
      </c>
      <c r="O94" s="975" t="n">
        <v>396.2</v>
      </c>
      <c r="P94" s="1001" t="s">
        <v>966</v>
      </c>
      <c r="Q94" s="1001" t="s">
        <v>966</v>
      </c>
      <c r="R94" s="1001"/>
      <c r="S94" s="978"/>
      <c r="T94" s="1180" t="s">
        <v>966</v>
      </c>
      <c r="U94" s="979" t="n">
        <v>1</v>
      </c>
      <c r="V94" s="980" t="n">
        <f aca="false">+O94*40000000/1000</f>
        <v>15848000</v>
      </c>
      <c r="W94" s="981" t="n">
        <v>6</v>
      </c>
      <c r="X94" s="1014" t="s">
        <v>302</v>
      </c>
      <c r="Y94" s="999" t="s">
        <v>1009</v>
      </c>
      <c r="Z94" s="979" t="s">
        <v>362</v>
      </c>
      <c r="AA94" s="979" t="s">
        <v>362</v>
      </c>
      <c r="AB94" s="979" t="s">
        <v>362</v>
      </c>
      <c r="AC94" s="984" t="s">
        <v>1249</v>
      </c>
      <c r="AD94" s="985" t="s">
        <v>505</v>
      </c>
      <c r="AE94" s="986"/>
      <c r="AF94" s="987" t="n">
        <v>40000</v>
      </c>
      <c r="AG94" s="988" t="n">
        <f aca="false">40000000*O94/1000</f>
        <v>15848000</v>
      </c>
      <c r="AH94" s="997" t="n">
        <v>5</v>
      </c>
      <c r="AI94" s="1085" t="n">
        <f aca="false">AG94*AH94</f>
        <v>79240000</v>
      </c>
      <c r="AJ94" s="988" t="n">
        <f aca="false">200000000*O94/1000</f>
        <v>79240000</v>
      </c>
      <c r="AK94" s="1224" t="n">
        <f aca="false">300000000*O94/1000</f>
        <v>118860000</v>
      </c>
      <c r="AL94" s="988" t="n">
        <f aca="false">1050000000*O94/1000</f>
        <v>416010000</v>
      </c>
      <c r="AM94" s="991"/>
      <c r="AO94" s="929" t="n">
        <f aca="false">(AJ94/O94)*1000</f>
        <v>200000000</v>
      </c>
    </row>
    <row r="95" customFormat="false" ht="16.5" hidden="false" customHeight="false" outlineLevel="0" collapsed="false">
      <c r="A95" s="1004"/>
      <c r="B95" s="1179" t="s">
        <v>1250</v>
      </c>
      <c r="C95" s="965" t="s">
        <v>1251</v>
      </c>
      <c r="D95" s="1003" t="s">
        <v>1252</v>
      </c>
      <c r="E95" s="967" t="s">
        <v>1253</v>
      </c>
      <c r="F95" s="979" t="s">
        <v>373</v>
      </c>
      <c r="G95" s="994" t="s">
        <v>1254</v>
      </c>
      <c r="H95" s="970" t="s">
        <v>966</v>
      </c>
      <c r="I95" s="970"/>
      <c r="J95" s="970"/>
      <c r="K95" s="995" t="n">
        <v>409675.2</v>
      </c>
      <c r="L95" s="1181" t="n">
        <v>1444</v>
      </c>
      <c r="M95" s="1084" t="n">
        <f aca="false">L95/365</f>
        <v>3.95616438356164</v>
      </c>
      <c r="N95" s="974" t="n">
        <v>45615</v>
      </c>
      <c r="O95" s="975" t="n">
        <v>318.135</v>
      </c>
      <c r="P95" s="1001" t="s">
        <v>966</v>
      </c>
      <c r="Q95" s="1180" t="s">
        <v>966</v>
      </c>
      <c r="R95" s="1001"/>
      <c r="S95" s="978"/>
      <c r="T95" s="1180" t="s">
        <v>966</v>
      </c>
      <c r="U95" s="979" t="n">
        <v>1</v>
      </c>
      <c r="V95" s="980" t="n">
        <f aca="false">+O95*40000000/1000</f>
        <v>12725400</v>
      </c>
      <c r="W95" s="981" t="n">
        <v>6</v>
      </c>
      <c r="X95" s="968" t="s">
        <v>1015</v>
      </c>
      <c r="Y95" s="999" t="s">
        <v>1009</v>
      </c>
      <c r="Z95" s="979" t="s">
        <v>362</v>
      </c>
      <c r="AA95" s="979" t="s">
        <v>362</v>
      </c>
      <c r="AB95" s="979" t="s">
        <v>362</v>
      </c>
      <c r="AC95" s="984" t="s">
        <v>1255</v>
      </c>
      <c r="AD95" s="985" t="s">
        <v>505</v>
      </c>
      <c r="AE95" s="986"/>
      <c r="AF95" s="987" t="n">
        <v>40000</v>
      </c>
      <c r="AG95" s="988" t="n">
        <f aca="false">40000000*O95/1000</f>
        <v>12725400</v>
      </c>
      <c r="AH95" s="997" t="n">
        <v>5</v>
      </c>
      <c r="AI95" s="1085" t="n">
        <f aca="false">AG95*AH95</f>
        <v>63627000</v>
      </c>
      <c r="AJ95" s="988" t="n">
        <f aca="false">200000000*O95/1000</f>
        <v>63627000</v>
      </c>
      <c r="AK95" s="1224" t="n">
        <f aca="false">300000000*O95/1000</f>
        <v>95440500</v>
      </c>
      <c r="AL95" s="988" t="n">
        <f aca="false">1050000000*O95/1000</f>
        <v>334041750</v>
      </c>
      <c r="AM95" s="991"/>
      <c r="AO95" s="929" t="n">
        <f aca="false">(AJ95/O95)*1000</f>
        <v>200000000</v>
      </c>
    </row>
    <row r="96" customFormat="false" ht="16.5" hidden="false" customHeight="false" outlineLevel="0" collapsed="false">
      <c r="A96" s="1004"/>
      <c r="B96" s="1179" t="s">
        <v>1256</v>
      </c>
      <c r="C96" s="965" t="s">
        <v>1257</v>
      </c>
      <c r="D96" s="1003" t="s">
        <v>1258</v>
      </c>
      <c r="E96" s="967" t="s">
        <v>1259</v>
      </c>
      <c r="F96" s="979" t="s">
        <v>373</v>
      </c>
      <c r="G96" s="994" t="s">
        <v>840</v>
      </c>
      <c r="H96" s="970" t="s">
        <v>966</v>
      </c>
      <c r="I96" s="970"/>
      <c r="J96" s="970"/>
      <c r="K96" s="995" t="n">
        <v>1083461.9</v>
      </c>
      <c r="L96" s="1181" t="n">
        <v>1457</v>
      </c>
      <c r="M96" s="1084" t="n">
        <f aca="false">L96/365</f>
        <v>3.99178082191781</v>
      </c>
      <c r="N96" s="974" t="n">
        <v>45615</v>
      </c>
      <c r="O96" s="975" t="n">
        <v>841.375</v>
      </c>
      <c r="P96" s="1001" t="s">
        <v>966</v>
      </c>
      <c r="Q96" s="1180" t="s">
        <v>966</v>
      </c>
      <c r="R96" s="1001"/>
      <c r="S96" s="978"/>
      <c r="T96" s="1180" t="s">
        <v>966</v>
      </c>
      <c r="U96" s="979" t="n">
        <v>1</v>
      </c>
      <c r="V96" s="980" t="n">
        <f aca="false">+O96*40000000/1000</f>
        <v>33655000</v>
      </c>
      <c r="W96" s="981" t="n">
        <v>6</v>
      </c>
      <c r="X96" s="968" t="s">
        <v>302</v>
      </c>
      <c r="Y96" s="999" t="s">
        <v>1009</v>
      </c>
      <c r="Z96" s="979" t="s">
        <v>362</v>
      </c>
      <c r="AA96" s="979" t="s">
        <v>362</v>
      </c>
      <c r="AB96" s="979" t="s">
        <v>362</v>
      </c>
      <c r="AC96" s="984" t="s">
        <v>1260</v>
      </c>
      <c r="AD96" s="985" t="s">
        <v>505</v>
      </c>
      <c r="AE96" s="986"/>
      <c r="AF96" s="987" t="n">
        <v>40000</v>
      </c>
      <c r="AG96" s="988" t="n">
        <f aca="false">40000000*O96/1000</f>
        <v>33655000</v>
      </c>
      <c r="AH96" s="997" t="n">
        <v>5</v>
      </c>
      <c r="AI96" s="1085" t="n">
        <f aca="false">AG96*AH96</f>
        <v>168275000</v>
      </c>
      <c r="AJ96" s="988" t="n">
        <f aca="false">200000000*O96/1000</f>
        <v>168275000</v>
      </c>
      <c r="AK96" s="1224" t="n">
        <f aca="false">300000000*O96/1000</f>
        <v>252412500</v>
      </c>
      <c r="AL96" s="988" t="n">
        <f aca="false">1050000000*O96/1000</f>
        <v>883443750</v>
      </c>
      <c r="AM96" s="991"/>
      <c r="AO96" s="929" t="n">
        <f aca="false">(AJ96/O96)*1000</f>
        <v>200000000</v>
      </c>
    </row>
    <row r="97" customFormat="false" ht="16.5" hidden="false" customHeight="false" outlineLevel="0" collapsed="false">
      <c r="A97" s="1004"/>
      <c r="B97" s="1179" t="s">
        <v>1261</v>
      </c>
      <c r="C97" s="965" t="s">
        <v>1262</v>
      </c>
      <c r="D97" s="1003" t="s">
        <v>1263</v>
      </c>
      <c r="E97" s="967" t="s">
        <v>1264</v>
      </c>
      <c r="F97" s="979" t="s">
        <v>373</v>
      </c>
      <c r="G97" s="1185" t="s">
        <v>1089</v>
      </c>
      <c r="H97" s="970" t="s">
        <v>966</v>
      </c>
      <c r="I97" s="970"/>
      <c r="J97" s="970"/>
      <c r="K97" s="995" t="n">
        <v>537223.9</v>
      </c>
      <c r="L97" s="1181" t="n">
        <v>1451</v>
      </c>
      <c r="M97" s="1084" t="n">
        <f aca="false">L97/365</f>
        <v>3.97534246575342</v>
      </c>
      <c r="N97" s="974" t="n">
        <v>45615</v>
      </c>
      <c r="O97" s="975" t="n">
        <v>417.19</v>
      </c>
      <c r="P97" s="1001" t="s">
        <v>966</v>
      </c>
      <c r="Q97" s="1001" t="s">
        <v>966</v>
      </c>
      <c r="R97" s="1001"/>
      <c r="S97" s="978"/>
      <c r="T97" s="1180" t="s">
        <v>966</v>
      </c>
      <c r="U97" s="979" t="n">
        <v>1</v>
      </c>
      <c r="V97" s="980" t="n">
        <f aca="false">+O97*40000000/1000</f>
        <v>16687600</v>
      </c>
      <c r="W97" s="981" t="n">
        <v>6</v>
      </c>
      <c r="X97" s="1014" t="s">
        <v>302</v>
      </c>
      <c r="Y97" s="999" t="s">
        <v>1009</v>
      </c>
      <c r="Z97" s="979" t="s">
        <v>362</v>
      </c>
      <c r="AA97" s="979" t="s">
        <v>362</v>
      </c>
      <c r="AB97" s="979" t="s">
        <v>362</v>
      </c>
      <c r="AC97" s="984" t="s">
        <v>1265</v>
      </c>
      <c r="AD97" s="985" t="s">
        <v>505</v>
      </c>
      <c r="AE97" s="986"/>
      <c r="AF97" s="987" t="n">
        <v>40000</v>
      </c>
      <c r="AG97" s="988" t="n">
        <f aca="false">40000000*O97/1000</f>
        <v>16687600</v>
      </c>
      <c r="AH97" s="997" t="n">
        <v>5</v>
      </c>
      <c r="AI97" s="1085" t="n">
        <f aca="false">AG97*AH97</f>
        <v>83438000</v>
      </c>
      <c r="AJ97" s="988" t="n">
        <f aca="false">200000000*O97/1000</f>
        <v>83438000</v>
      </c>
      <c r="AK97" s="1224" t="n">
        <f aca="false">300000000*O97/1000</f>
        <v>125157000</v>
      </c>
      <c r="AL97" s="988" t="n">
        <f aca="false">1050000000*O97/1000</f>
        <v>438049500</v>
      </c>
      <c r="AM97" s="991"/>
      <c r="AO97" s="929" t="n">
        <f aca="false">(AJ97/O97)*1000</f>
        <v>200000000</v>
      </c>
    </row>
    <row r="98" customFormat="false" ht="16.5" hidden="false" customHeight="false" outlineLevel="0" collapsed="false">
      <c r="A98" s="1004"/>
      <c r="B98" s="1179" t="s">
        <v>1266</v>
      </c>
      <c r="C98" s="965" t="s">
        <v>1267</v>
      </c>
      <c r="D98" s="1003" t="s">
        <v>1268</v>
      </c>
      <c r="E98" s="967" t="s">
        <v>1269</v>
      </c>
      <c r="F98" s="979" t="s">
        <v>373</v>
      </c>
      <c r="G98" s="994" t="s">
        <v>925</v>
      </c>
      <c r="H98" s="970" t="s">
        <v>966</v>
      </c>
      <c r="I98" s="970"/>
      <c r="J98" s="970"/>
      <c r="K98" s="995" t="n">
        <v>537223.9</v>
      </c>
      <c r="L98" s="1181" t="n">
        <v>1463</v>
      </c>
      <c r="M98" s="1084" t="n">
        <f aca="false">L98/365</f>
        <v>4.00821917808219</v>
      </c>
      <c r="N98" s="974" t="n">
        <v>45615</v>
      </c>
      <c r="O98" s="975" t="n">
        <v>417.19</v>
      </c>
      <c r="P98" s="1001" t="s">
        <v>966</v>
      </c>
      <c r="Q98" s="1001" t="s">
        <v>966</v>
      </c>
      <c r="R98" s="1001"/>
      <c r="S98" s="978"/>
      <c r="T98" s="1180" t="s">
        <v>966</v>
      </c>
      <c r="U98" s="979" t="n">
        <v>1</v>
      </c>
      <c r="V98" s="980" t="n">
        <f aca="false">+O98*40000000/1000</f>
        <v>16687600</v>
      </c>
      <c r="W98" s="981" t="n">
        <v>6</v>
      </c>
      <c r="X98" s="1014" t="s">
        <v>302</v>
      </c>
      <c r="Y98" s="999" t="s">
        <v>1009</v>
      </c>
      <c r="Z98" s="979" t="s">
        <v>362</v>
      </c>
      <c r="AA98" s="979" t="s">
        <v>362</v>
      </c>
      <c r="AB98" s="979" t="s">
        <v>362</v>
      </c>
      <c r="AC98" s="984" t="s">
        <v>1270</v>
      </c>
      <c r="AD98" s="985" t="s">
        <v>505</v>
      </c>
      <c r="AE98" s="986"/>
      <c r="AF98" s="987" t="n">
        <v>40000</v>
      </c>
      <c r="AG98" s="988" t="n">
        <f aca="false">40000000*O98/1000</f>
        <v>16687600</v>
      </c>
      <c r="AH98" s="997" t="n">
        <v>5</v>
      </c>
      <c r="AI98" s="1085" t="n">
        <f aca="false">AG98*AH98</f>
        <v>83438000</v>
      </c>
      <c r="AJ98" s="988" t="n">
        <f aca="false">200000000*O98/1000</f>
        <v>83438000</v>
      </c>
      <c r="AK98" s="1224" t="n">
        <f aca="false">300000000*O98/1000</f>
        <v>125157000</v>
      </c>
      <c r="AL98" s="988" t="n">
        <f aca="false">1050000000*O98/1000</f>
        <v>438049500</v>
      </c>
      <c r="AM98" s="991"/>
      <c r="AO98" s="929" t="n">
        <f aca="false">(AJ98/O98)*1000</f>
        <v>200000000</v>
      </c>
    </row>
    <row r="99" customFormat="false" ht="16.5" hidden="false" customHeight="false" outlineLevel="0" collapsed="false">
      <c r="A99" s="1004"/>
      <c r="B99" s="1179" t="s">
        <v>1271</v>
      </c>
      <c r="C99" s="965" t="s">
        <v>1272</v>
      </c>
      <c r="D99" s="1003" t="s">
        <v>1273</v>
      </c>
      <c r="E99" s="967" t="s">
        <v>1274</v>
      </c>
      <c r="F99" s="979" t="s">
        <v>373</v>
      </c>
      <c r="G99" s="994" t="s">
        <v>1254</v>
      </c>
      <c r="H99" s="970" t="s">
        <v>966</v>
      </c>
      <c r="I99" s="970"/>
      <c r="J99" s="970"/>
      <c r="K99" s="995" t="n">
        <v>690964.8</v>
      </c>
      <c r="L99" s="1181" t="n">
        <v>1393</v>
      </c>
      <c r="M99" s="1084" t="n">
        <f aca="false">L99/365</f>
        <v>3.81643835616438</v>
      </c>
      <c r="N99" s="974" t="n">
        <v>45615</v>
      </c>
      <c r="O99" s="975" t="n">
        <v>536.575</v>
      </c>
      <c r="P99" s="1001" t="s">
        <v>966</v>
      </c>
      <c r="Q99" s="1001" t="s">
        <v>966</v>
      </c>
      <c r="R99" s="1001"/>
      <c r="S99" s="978"/>
      <c r="T99" s="1180" t="s">
        <v>966</v>
      </c>
      <c r="U99" s="979" t="n">
        <v>1</v>
      </c>
      <c r="V99" s="980" t="n">
        <f aca="false">+O99*40000000/1000</f>
        <v>21463000</v>
      </c>
      <c r="W99" s="981" t="n">
        <v>6</v>
      </c>
      <c r="X99" s="1014" t="s">
        <v>302</v>
      </c>
      <c r="Y99" s="999" t="s">
        <v>1009</v>
      </c>
      <c r="Z99" s="979" t="s">
        <v>362</v>
      </c>
      <c r="AA99" s="979" t="s">
        <v>362</v>
      </c>
      <c r="AB99" s="979" t="s">
        <v>362</v>
      </c>
      <c r="AC99" s="984" t="s">
        <v>1275</v>
      </c>
      <c r="AD99" s="985" t="s">
        <v>505</v>
      </c>
      <c r="AE99" s="986"/>
      <c r="AF99" s="987" t="n">
        <v>40000</v>
      </c>
      <c r="AG99" s="988" t="n">
        <f aca="false">40000000*O99/1000</f>
        <v>21463000</v>
      </c>
      <c r="AH99" s="997" t="n">
        <v>5</v>
      </c>
      <c r="AI99" s="1085" t="n">
        <f aca="false">AG99*AH99</f>
        <v>107315000</v>
      </c>
      <c r="AJ99" s="988" t="n">
        <f aca="false">200000000*O99/1000</f>
        <v>107315000</v>
      </c>
      <c r="AK99" s="1224" t="n">
        <f aca="false">300000000*O99/1000</f>
        <v>160972500</v>
      </c>
      <c r="AL99" s="988" t="n">
        <f aca="false">1050000000*O99/1000</f>
        <v>563403750</v>
      </c>
      <c r="AM99" s="991"/>
      <c r="AO99" s="929" t="n">
        <f aca="false">(AJ99/O99)*1000</f>
        <v>200000000</v>
      </c>
    </row>
    <row r="100" customFormat="false" ht="16.5" hidden="false" customHeight="false" outlineLevel="0" collapsed="false">
      <c r="A100" s="1004"/>
      <c r="B100" s="1179" t="s">
        <v>1276</v>
      </c>
      <c r="C100" s="965" t="s">
        <v>1277</v>
      </c>
      <c r="D100" s="1003" t="s">
        <v>1278</v>
      </c>
      <c r="E100" s="967" t="s">
        <v>1279</v>
      </c>
      <c r="F100" s="979" t="s">
        <v>373</v>
      </c>
      <c r="G100" s="994" t="s">
        <v>1184</v>
      </c>
      <c r="H100" s="970" t="s">
        <v>966</v>
      </c>
      <c r="I100" s="970"/>
      <c r="J100" s="970"/>
      <c r="K100" s="995" t="n">
        <v>1395000</v>
      </c>
      <c r="L100" s="1181" t="n">
        <v>1438</v>
      </c>
      <c r="M100" s="1084" t="n">
        <f aca="false">L100/365</f>
        <v>3.93972602739726</v>
      </c>
      <c r="N100" s="974" t="n">
        <v>45615</v>
      </c>
      <c r="O100" s="975" t="n">
        <v>1083.31</v>
      </c>
      <c r="P100" s="1001" t="s">
        <v>966</v>
      </c>
      <c r="Q100" s="1001" t="s">
        <v>966</v>
      </c>
      <c r="R100" s="1001"/>
      <c r="S100" s="978"/>
      <c r="T100" s="1180" t="s">
        <v>966</v>
      </c>
      <c r="U100" s="979" t="n">
        <v>1</v>
      </c>
      <c r="V100" s="980" t="n">
        <f aca="false">+O100*40000000/1000</f>
        <v>43332400</v>
      </c>
      <c r="W100" s="981" t="n">
        <v>6</v>
      </c>
      <c r="X100" s="1014" t="s">
        <v>302</v>
      </c>
      <c r="Y100" s="999" t="s">
        <v>1009</v>
      </c>
      <c r="Z100" s="979" t="s">
        <v>362</v>
      </c>
      <c r="AA100" s="979" t="s">
        <v>362</v>
      </c>
      <c r="AB100" s="979" t="s">
        <v>362</v>
      </c>
      <c r="AC100" s="984" t="s">
        <v>1280</v>
      </c>
      <c r="AD100" s="985" t="s">
        <v>505</v>
      </c>
      <c r="AE100" s="986"/>
      <c r="AF100" s="987" t="n">
        <v>40000</v>
      </c>
      <c r="AG100" s="988" t="n">
        <f aca="false">40000000*O100/1000</f>
        <v>43332400</v>
      </c>
      <c r="AH100" s="997" t="n">
        <v>5</v>
      </c>
      <c r="AI100" s="1085" t="n">
        <f aca="false">AG100*AH100</f>
        <v>216662000</v>
      </c>
      <c r="AJ100" s="988" t="n">
        <f aca="false">200000000*O100/1000</f>
        <v>216662000</v>
      </c>
      <c r="AK100" s="1224" t="n">
        <f aca="false">300000000*O100/1000</f>
        <v>324993000</v>
      </c>
      <c r="AL100" s="988" t="n">
        <f aca="false">1050000000*O100/1000</f>
        <v>1137475500</v>
      </c>
      <c r="AM100" s="991" t="s">
        <v>1281</v>
      </c>
      <c r="AO100" s="929" t="n">
        <f aca="false">(AJ100/O100)*1000</f>
        <v>200000000</v>
      </c>
    </row>
    <row r="101" customFormat="false" ht="16.5" hidden="false" customHeight="false" outlineLevel="0" collapsed="false">
      <c r="A101" s="1004"/>
      <c r="B101" s="1179" t="s">
        <v>1282</v>
      </c>
      <c r="C101" s="965" t="s">
        <v>1283</v>
      </c>
      <c r="D101" s="1003" t="s">
        <v>1284</v>
      </c>
      <c r="E101" s="967" t="s">
        <v>1285</v>
      </c>
      <c r="F101" s="979" t="s">
        <v>373</v>
      </c>
      <c r="G101" s="994" t="s">
        <v>1184</v>
      </c>
      <c r="H101" s="970" t="s">
        <v>966</v>
      </c>
      <c r="I101" s="970"/>
      <c r="J101" s="970"/>
      <c r="K101" s="995" t="n">
        <v>4938921.3</v>
      </c>
      <c r="L101" s="1181" t="n">
        <v>1411</v>
      </c>
      <c r="M101" s="1084" t="n">
        <f aca="false">L101/365</f>
        <v>3.86575342465753</v>
      </c>
      <c r="N101" s="974" t="n">
        <v>45615</v>
      </c>
      <c r="O101" s="975" t="n">
        <v>3835.4</v>
      </c>
      <c r="P101" s="1001" t="s">
        <v>966</v>
      </c>
      <c r="Q101" s="1001" t="s">
        <v>966</v>
      </c>
      <c r="R101" s="1001"/>
      <c r="S101" s="978"/>
      <c r="T101" s="1180" t="s">
        <v>966</v>
      </c>
      <c r="U101" s="979" t="n">
        <v>1</v>
      </c>
      <c r="V101" s="980" t="n">
        <f aca="false">+O101*40000000/1000</f>
        <v>153416000</v>
      </c>
      <c r="W101" s="981" t="n">
        <v>6</v>
      </c>
      <c r="X101" s="1014" t="s">
        <v>302</v>
      </c>
      <c r="Y101" s="999" t="s">
        <v>1009</v>
      </c>
      <c r="Z101" s="979" t="s">
        <v>362</v>
      </c>
      <c r="AA101" s="979" t="s">
        <v>362</v>
      </c>
      <c r="AB101" s="979" t="s">
        <v>362</v>
      </c>
      <c r="AC101" s="984" t="s">
        <v>1286</v>
      </c>
      <c r="AD101" s="985" t="s">
        <v>505</v>
      </c>
      <c r="AE101" s="986"/>
      <c r="AF101" s="987" t="n">
        <v>40000</v>
      </c>
      <c r="AG101" s="988" t="n">
        <f aca="false">40000000*O101/1000</f>
        <v>153416000</v>
      </c>
      <c r="AH101" s="997" t="n">
        <v>5</v>
      </c>
      <c r="AI101" s="1085" t="n">
        <f aca="false">AG101*AH101</f>
        <v>767080000</v>
      </c>
      <c r="AJ101" s="988" t="n">
        <f aca="false">200000000*O101/1000</f>
        <v>767080000</v>
      </c>
      <c r="AK101" s="1224" t="n">
        <f aca="false">300000000*O101/1000</f>
        <v>1150620000</v>
      </c>
      <c r="AL101" s="988" t="n">
        <f aca="false">1050000000*O101/1000</f>
        <v>4027170000</v>
      </c>
      <c r="AM101" s="991" t="s">
        <v>1281</v>
      </c>
      <c r="AO101" s="929" t="n">
        <f aca="false">(AJ101/O101)*1000</f>
        <v>200000000</v>
      </c>
    </row>
    <row r="102" customFormat="false" ht="16.5" hidden="false" customHeight="false" outlineLevel="0" collapsed="false">
      <c r="A102" s="1004"/>
      <c r="B102" s="1179" t="s">
        <v>1287</v>
      </c>
      <c r="C102" s="965" t="s">
        <v>1288</v>
      </c>
      <c r="D102" s="1003" t="s">
        <v>1289</v>
      </c>
      <c r="E102" s="967" t="s">
        <v>1290</v>
      </c>
      <c r="F102" s="979" t="s">
        <v>373</v>
      </c>
      <c r="G102" s="994" t="s">
        <v>1184</v>
      </c>
      <c r="H102" s="970" t="s">
        <v>966</v>
      </c>
      <c r="I102" s="970"/>
      <c r="J102" s="970"/>
      <c r="K102" s="995" t="n">
        <v>2318192.2</v>
      </c>
      <c r="L102" s="1181" t="n">
        <v>1447</v>
      </c>
      <c r="M102" s="1084" t="n">
        <f aca="false">L102/365</f>
        <v>3.96438356164384</v>
      </c>
      <c r="N102" s="974" t="n">
        <v>45615</v>
      </c>
      <c r="O102" s="975" t="n">
        <v>1800.225</v>
      </c>
      <c r="P102" s="1001" t="s">
        <v>966</v>
      </c>
      <c r="Q102" s="1001" t="s">
        <v>966</v>
      </c>
      <c r="R102" s="1001"/>
      <c r="S102" s="978"/>
      <c r="T102" s="1180" t="s">
        <v>966</v>
      </c>
      <c r="U102" s="979" t="n">
        <v>1</v>
      </c>
      <c r="V102" s="980" t="n">
        <f aca="false">+O102*40000000/1000</f>
        <v>72009000</v>
      </c>
      <c r="W102" s="981" t="n">
        <v>6</v>
      </c>
      <c r="X102" s="1014" t="s">
        <v>302</v>
      </c>
      <c r="Y102" s="999" t="s">
        <v>1009</v>
      </c>
      <c r="Z102" s="979" t="s">
        <v>362</v>
      </c>
      <c r="AA102" s="979" t="s">
        <v>362</v>
      </c>
      <c r="AB102" s="979" t="s">
        <v>362</v>
      </c>
      <c r="AC102" s="984" t="s">
        <v>1291</v>
      </c>
      <c r="AD102" s="985" t="s">
        <v>505</v>
      </c>
      <c r="AE102" s="986"/>
      <c r="AF102" s="987" t="n">
        <v>40000</v>
      </c>
      <c r="AG102" s="988" t="n">
        <f aca="false">40000000*O102/1000</f>
        <v>72009000</v>
      </c>
      <c r="AH102" s="997" t="n">
        <v>5</v>
      </c>
      <c r="AI102" s="1085" t="n">
        <f aca="false">AG102*AH102</f>
        <v>360045000</v>
      </c>
      <c r="AJ102" s="988" t="n">
        <f aca="false">200000000*O102/1000</f>
        <v>360045000</v>
      </c>
      <c r="AK102" s="1224" t="n">
        <f aca="false">300000000*O102/1000</f>
        <v>540067500</v>
      </c>
      <c r="AL102" s="988" t="n">
        <f aca="false">1050000000*O102/1000</f>
        <v>1890236250</v>
      </c>
      <c r="AM102" s="991" t="s">
        <v>1281</v>
      </c>
      <c r="AO102" s="929" t="n">
        <f aca="false">(AJ102/O102)*1000</f>
        <v>200000000</v>
      </c>
    </row>
    <row r="103" customFormat="false" ht="16.5" hidden="false" customHeight="false" outlineLevel="0" collapsed="false">
      <c r="A103" s="1004"/>
      <c r="B103" s="1179" t="s">
        <v>1292</v>
      </c>
      <c r="C103" s="965" t="s">
        <v>1293</v>
      </c>
      <c r="D103" s="1003" t="s">
        <v>1294</v>
      </c>
      <c r="E103" s="967" t="s">
        <v>1295</v>
      </c>
      <c r="F103" s="979" t="s">
        <v>373</v>
      </c>
      <c r="G103" s="994" t="s">
        <v>1184</v>
      </c>
      <c r="H103" s="970" t="s">
        <v>966</v>
      </c>
      <c r="I103" s="970"/>
      <c r="J103" s="970"/>
      <c r="K103" s="995" t="n">
        <v>1756424.3</v>
      </c>
      <c r="L103" s="1181" t="n">
        <v>1442</v>
      </c>
      <c r="M103" s="1084" t="n">
        <f aca="false">L103/365</f>
        <v>3.95068493150685</v>
      </c>
      <c r="N103" s="974" t="n">
        <v>45615</v>
      </c>
      <c r="O103" s="975" t="n">
        <v>1363.98</v>
      </c>
      <c r="P103" s="1001" t="s">
        <v>966</v>
      </c>
      <c r="Q103" s="1001" t="s">
        <v>966</v>
      </c>
      <c r="R103" s="1001"/>
      <c r="S103" s="978"/>
      <c r="T103" s="1180" t="s">
        <v>966</v>
      </c>
      <c r="U103" s="979" t="n">
        <v>1</v>
      </c>
      <c r="V103" s="980" t="n">
        <f aca="false">+O103*40000000/1000</f>
        <v>54559200</v>
      </c>
      <c r="W103" s="981" t="n">
        <v>6</v>
      </c>
      <c r="X103" s="1014" t="s">
        <v>810</v>
      </c>
      <c r="Y103" s="999" t="s">
        <v>1009</v>
      </c>
      <c r="Z103" s="979" t="s">
        <v>362</v>
      </c>
      <c r="AA103" s="979" t="s">
        <v>362</v>
      </c>
      <c r="AB103" s="979" t="s">
        <v>362</v>
      </c>
      <c r="AC103" s="984" t="s">
        <v>1296</v>
      </c>
      <c r="AD103" s="985" t="s">
        <v>505</v>
      </c>
      <c r="AE103" s="986"/>
      <c r="AF103" s="987" t="n">
        <v>40000</v>
      </c>
      <c r="AG103" s="988" t="n">
        <f aca="false">40000000*O103/1000</f>
        <v>54559200</v>
      </c>
      <c r="AH103" s="997" t="n">
        <v>5</v>
      </c>
      <c r="AI103" s="1085" t="n">
        <f aca="false">AG103*AH103</f>
        <v>272796000</v>
      </c>
      <c r="AJ103" s="988" t="n">
        <f aca="false">200000000*O103/1000</f>
        <v>272796000</v>
      </c>
      <c r="AK103" s="1224" t="n">
        <f aca="false">300000000*O103/1000</f>
        <v>409194000</v>
      </c>
      <c r="AL103" s="988" t="n">
        <f aca="false">1050000000*O103/1000</f>
        <v>1432179000</v>
      </c>
      <c r="AM103" s="991" t="s">
        <v>1281</v>
      </c>
      <c r="AO103" s="929" t="n">
        <f aca="false">(AJ103/O103)*1000</f>
        <v>200000000</v>
      </c>
    </row>
    <row r="104" customFormat="false" ht="16.5" hidden="false" customHeight="false" outlineLevel="0" collapsed="false">
      <c r="A104" s="1004"/>
      <c r="B104" s="1179" t="s">
        <v>1297</v>
      </c>
      <c r="C104" s="965" t="s">
        <v>1298</v>
      </c>
      <c r="D104" s="1097" t="s">
        <v>1299</v>
      </c>
      <c r="E104" s="967" t="s">
        <v>1300</v>
      </c>
      <c r="F104" s="979" t="s">
        <v>373</v>
      </c>
      <c r="G104" s="994" t="s">
        <v>1184</v>
      </c>
      <c r="H104" s="970" t="s">
        <v>966</v>
      </c>
      <c r="I104" s="970"/>
      <c r="J104" s="970"/>
      <c r="K104" s="995" t="n">
        <v>1726987</v>
      </c>
      <c r="L104" s="1181" t="n">
        <v>1427</v>
      </c>
      <c r="M104" s="1084" t="n">
        <f aca="false">L104/365</f>
        <v>3.90958904109589</v>
      </c>
      <c r="N104" s="974" t="n">
        <v>45615</v>
      </c>
      <c r="O104" s="975" t="n">
        <v>1341.12</v>
      </c>
      <c r="P104" s="1001" t="s">
        <v>966</v>
      </c>
      <c r="Q104" s="1001" t="s">
        <v>966</v>
      </c>
      <c r="R104" s="1001"/>
      <c r="S104" s="978"/>
      <c r="T104" s="1180" t="s">
        <v>966</v>
      </c>
      <c r="U104" s="979" t="n">
        <v>1</v>
      </c>
      <c r="V104" s="980" t="n">
        <f aca="false">+O104*40000000/1000</f>
        <v>53644800</v>
      </c>
      <c r="W104" s="981" t="n">
        <v>6</v>
      </c>
      <c r="X104" s="1014" t="s">
        <v>300</v>
      </c>
      <c r="Y104" s="999" t="s">
        <v>1009</v>
      </c>
      <c r="Z104" s="979" t="s">
        <v>362</v>
      </c>
      <c r="AA104" s="979" t="s">
        <v>362</v>
      </c>
      <c r="AB104" s="979" t="s">
        <v>362</v>
      </c>
      <c r="AC104" s="984" t="s">
        <v>1301</v>
      </c>
      <c r="AD104" s="985" t="s">
        <v>505</v>
      </c>
      <c r="AE104" s="986"/>
      <c r="AF104" s="987" t="n">
        <v>40000</v>
      </c>
      <c r="AG104" s="988" t="n">
        <f aca="false">40000000*O104/1000</f>
        <v>53644800</v>
      </c>
      <c r="AH104" s="997" t="n">
        <v>5</v>
      </c>
      <c r="AI104" s="1085" t="n">
        <f aca="false">AG104*AH104</f>
        <v>268224000</v>
      </c>
      <c r="AJ104" s="988" t="n">
        <f aca="false">200000000*O104/1000</f>
        <v>268224000</v>
      </c>
      <c r="AK104" s="1224" t="n">
        <f aca="false">300000000*O104/1000</f>
        <v>402336000</v>
      </c>
      <c r="AL104" s="988" t="n">
        <f aca="false">1050000000*O104/1000</f>
        <v>1408176000</v>
      </c>
      <c r="AM104" s="991" t="s">
        <v>1281</v>
      </c>
      <c r="AO104" s="929" t="n">
        <f aca="false">(AJ104/O104)*1000</f>
        <v>200000000</v>
      </c>
    </row>
    <row r="105" customFormat="false" ht="16.5" hidden="false" customHeight="false" outlineLevel="0" collapsed="false">
      <c r="A105" s="1004"/>
      <c r="B105" s="1179" t="s">
        <v>1302</v>
      </c>
      <c r="C105" s="965" t="s">
        <v>1303</v>
      </c>
      <c r="D105" s="966" t="s">
        <v>1304</v>
      </c>
      <c r="E105" s="967" t="s">
        <v>1305</v>
      </c>
      <c r="F105" s="979" t="s">
        <v>373</v>
      </c>
      <c r="G105" s="994" t="s">
        <v>1184</v>
      </c>
      <c r="H105" s="970" t="s">
        <v>966</v>
      </c>
      <c r="I105" s="970"/>
      <c r="J105" s="970"/>
      <c r="K105" s="995" t="n">
        <v>523329.4</v>
      </c>
      <c r="L105" s="1181" t="n">
        <v>1369</v>
      </c>
      <c r="M105" s="1084" t="n">
        <f aca="false">L105/365</f>
        <v>3.75068493150685</v>
      </c>
      <c r="N105" s="974" t="n">
        <v>45615</v>
      </c>
      <c r="O105" s="975" t="n">
        <v>406.4</v>
      </c>
      <c r="P105" s="1001" t="s">
        <v>966</v>
      </c>
      <c r="Q105" s="1001" t="s">
        <v>966</v>
      </c>
      <c r="R105" s="1001"/>
      <c r="S105" s="978"/>
      <c r="T105" s="1180" t="s">
        <v>966</v>
      </c>
      <c r="U105" s="979" t="n">
        <v>1</v>
      </c>
      <c r="V105" s="980" t="n">
        <f aca="false">+O105*40000000/1000</f>
        <v>16256000</v>
      </c>
      <c r="W105" s="981" t="n">
        <v>6</v>
      </c>
      <c r="X105" s="1014" t="s">
        <v>300</v>
      </c>
      <c r="Y105" s="999" t="s">
        <v>1009</v>
      </c>
      <c r="Z105" s="979" t="s">
        <v>362</v>
      </c>
      <c r="AA105" s="979" t="s">
        <v>362</v>
      </c>
      <c r="AB105" s="979" t="s">
        <v>362</v>
      </c>
      <c r="AC105" s="984" t="s">
        <v>1306</v>
      </c>
      <c r="AD105" s="985" t="s">
        <v>505</v>
      </c>
      <c r="AE105" s="986"/>
      <c r="AF105" s="987" t="n">
        <v>40000</v>
      </c>
      <c r="AG105" s="988" t="n">
        <f aca="false">40000000*O105/1000</f>
        <v>16256000</v>
      </c>
      <c r="AH105" s="997" t="n">
        <v>5</v>
      </c>
      <c r="AI105" s="1085" t="n">
        <f aca="false">AG105*AH105</f>
        <v>81280000</v>
      </c>
      <c r="AJ105" s="988" t="n">
        <f aca="false">200000000*O105/1000</f>
        <v>81280000</v>
      </c>
      <c r="AK105" s="1224" t="n">
        <f aca="false">300000000*O105/1000</f>
        <v>121920000</v>
      </c>
      <c r="AL105" s="988" t="n">
        <f aca="false">1050000000*O105/1000</f>
        <v>426720000</v>
      </c>
      <c r="AM105" s="991" t="s">
        <v>1281</v>
      </c>
      <c r="AO105" s="929" t="n">
        <f aca="false">(AJ105/O105)*1000</f>
        <v>200000000</v>
      </c>
    </row>
    <row r="106" customFormat="false" ht="16.5" hidden="false" customHeight="false" outlineLevel="0" collapsed="false">
      <c r="A106" s="1004"/>
      <c r="B106" s="1179" t="s">
        <v>1307</v>
      </c>
      <c r="C106" s="965" t="s">
        <v>1308</v>
      </c>
      <c r="D106" s="966" t="s">
        <v>1309</v>
      </c>
      <c r="E106" s="967" t="s">
        <v>1310</v>
      </c>
      <c r="F106" s="979" t="s">
        <v>373</v>
      </c>
      <c r="G106" s="994" t="s">
        <v>1184</v>
      </c>
      <c r="H106" s="970" t="s">
        <v>966</v>
      </c>
      <c r="I106" s="970"/>
      <c r="J106" s="970"/>
      <c r="K106" s="995" t="n">
        <v>5413.886</v>
      </c>
      <c r="L106" s="1181" t="n">
        <v>1455</v>
      </c>
      <c r="M106" s="1084" t="n">
        <f aca="false">L106/365</f>
        <v>3.98630136986301</v>
      </c>
      <c r="N106" s="974" t="n">
        <v>45615</v>
      </c>
      <c r="O106" s="975" t="n">
        <v>1036.32</v>
      </c>
      <c r="P106" s="1001" t="s">
        <v>966</v>
      </c>
      <c r="Q106" s="1001" t="s">
        <v>966</v>
      </c>
      <c r="R106" s="1001"/>
      <c r="S106" s="978"/>
      <c r="T106" s="1180" t="s">
        <v>966</v>
      </c>
      <c r="U106" s="979" t="n">
        <v>1</v>
      </c>
      <c r="V106" s="980" t="n">
        <f aca="false">+O106*40000000/1000</f>
        <v>41452800</v>
      </c>
      <c r="W106" s="981" t="n">
        <v>6</v>
      </c>
      <c r="X106" s="1014" t="s">
        <v>926</v>
      </c>
      <c r="Y106" s="999" t="s">
        <v>1009</v>
      </c>
      <c r="Z106" s="979" t="s">
        <v>362</v>
      </c>
      <c r="AA106" s="979" t="s">
        <v>362</v>
      </c>
      <c r="AB106" s="979" t="s">
        <v>362</v>
      </c>
      <c r="AC106" s="984" t="s">
        <v>1311</v>
      </c>
      <c r="AD106" s="985" t="s">
        <v>505</v>
      </c>
      <c r="AE106" s="986"/>
      <c r="AF106" s="987" t="n">
        <v>40000</v>
      </c>
      <c r="AG106" s="988" t="n">
        <f aca="false">40000000*O106/1000</f>
        <v>41452800</v>
      </c>
      <c r="AH106" s="997" t="n">
        <v>5</v>
      </c>
      <c r="AI106" s="1085" t="n">
        <f aca="false">AG106*AH106</f>
        <v>207264000</v>
      </c>
      <c r="AJ106" s="988" t="n">
        <f aca="false">200000000*O106/1000</f>
        <v>207264000</v>
      </c>
      <c r="AK106" s="1224" t="n">
        <f aca="false">300000000*O106/1000</f>
        <v>310896000</v>
      </c>
      <c r="AL106" s="988" t="n">
        <f aca="false">1050000000*O106/1000</f>
        <v>1088136000</v>
      </c>
      <c r="AM106" s="991" t="s">
        <v>1281</v>
      </c>
      <c r="AO106" s="929" t="n">
        <f aca="false">(AJ106/O106)*1000</f>
        <v>200000000</v>
      </c>
    </row>
    <row r="107" customFormat="false" ht="16.5" hidden="false" customHeight="false" outlineLevel="0" collapsed="false">
      <c r="A107" s="1004"/>
      <c r="B107" s="1179" t="s">
        <v>1312</v>
      </c>
      <c r="C107" s="965" t="s">
        <v>1313</v>
      </c>
      <c r="D107" s="966" t="s">
        <v>1314</v>
      </c>
      <c r="E107" s="967" t="s">
        <v>1315</v>
      </c>
      <c r="F107" s="979" t="s">
        <v>373</v>
      </c>
      <c r="G107" s="994" t="s">
        <v>1184</v>
      </c>
      <c r="H107" s="970" t="s">
        <v>966</v>
      </c>
      <c r="I107" s="970"/>
      <c r="J107" s="970"/>
      <c r="K107" s="995" t="n">
        <v>681963.6</v>
      </c>
      <c r="L107" s="1181" t="n">
        <v>1402</v>
      </c>
      <c r="M107" s="1084" t="n">
        <f aca="false">L107/365</f>
        <v>3.84109589041096</v>
      </c>
      <c r="N107" s="974" t="n">
        <v>45615</v>
      </c>
      <c r="O107" s="975" t="n">
        <v>529.59</v>
      </c>
      <c r="P107" s="1001" t="s">
        <v>966</v>
      </c>
      <c r="Q107" s="1001" t="s">
        <v>966</v>
      </c>
      <c r="R107" s="1001"/>
      <c r="S107" s="978"/>
      <c r="T107" s="1180" t="s">
        <v>966</v>
      </c>
      <c r="U107" s="979" t="n">
        <v>1</v>
      </c>
      <c r="V107" s="980" t="n">
        <f aca="false">+O107*40000000/1000</f>
        <v>21183600</v>
      </c>
      <c r="W107" s="981" t="n">
        <v>6</v>
      </c>
      <c r="X107" s="1014" t="s">
        <v>1316</v>
      </c>
      <c r="Y107" s="999" t="s">
        <v>1009</v>
      </c>
      <c r="Z107" s="979" t="s">
        <v>362</v>
      </c>
      <c r="AA107" s="979" t="s">
        <v>362</v>
      </c>
      <c r="AB107" s="979" t="s">
        <v>362</v>
      </c>
      <c r="AC107" s="984" t="s">
        <v>1317</v>
      </c>
      <c r="AD107" s="985" t="s">
        <v>505</v>
      </c>
      <c r="AE107" s="986"/>
      <c r="AF107" s="987" t="n">
        <v>40000</v>
      </c>
      <c r="AG107" s="988" t="n">
        <f aca="false">40000000*O107/1000</f>
        <v>21183600</v>
      </c>
      <c r="AH107" s="997" t="n">
        <v>5</v>
      </c>
      <c r="AI107" s="1085" t="n">
        <f aca="false">AG107*AH107</f>
        <v>105918000</v>
      </c>
      <c r="AJ107" s="988" t="n">
        <f aca="false">200000000*O107/1000</f>
        <v>105918000</v>
      </c>
      <c r="AK107" s="1224" t="n">
        <f aca="false">300000000*O107/1000</f>
        <v>158877000</v>
      </c>
      <c r="AL107" s="988" t="n">
        <f aca="false">1050000000*O107/1000</f>
        <v>556069500</v>
      </c>
      <c r="AM107" s="991" t="s">
        <v>1281</v>
      </c>
      <c r="AO107" s="929" t="n">
        <f aca="false">(AJ107/O107)*1000</f>
        <v>200000000</v>
      </c>
    </row>
    <row r="108" customFormat="false" ht="25.5" hidden="false" customHeight="true" outlineLevel="0" collapsed="false">
      <c r="A108" s="1004" t="str">
        <f aca="false">"DG Batch 6 - 40PJT"</f>
        <v>DG Batch 6 - 40PJT</v>
      </c>
      <c r="B108" s="1179" t="s">
        <v>1318</v>
      </c>
      <c r="C108" s="965" t="s">
        <v>1319</v>
      </c>
      <c r="D108" s="966" t="s">
        <v>1320</v>
      </c>
      <c r="E108" s="967" t="s">
        <v>1321</v>
      </c>
      <c r="F108" s="979" t="s">
        <v>373</v>
      </c>
      <c r="G108" s="994" t="s">
        <v>1184</v>
      </c>
      <c r="H108" s="970" t="s">
        <v>966</v>
      </c>
      <c r="I108" s="970"/>
      <c r="J108" s="970"/>
      <c r="K108" s="995" t="n">
        <v>1334490</v>
      </c>
      <c r="L108" s="1181" t="n">
        <v>1437</v>
      </c>
      <c r="M108" s="1084" t="n">
        <f aca="false">L108/365</f>
        <v>3.93698630136986</v>
      </c>
      <c r="N108" s="974" t="n">
        <v>45615</v>
      </c>
      <c r="O108" s="975" t="n">
        <v>1036.32</v>
      </c>
      <c r="P108" s="1001" t="s">
        <v>966</v>
      </c>
      <c r="Q108" s="1001" t="n">
        <v>46174</v>
      </c>
      <c r="R108" s="1001"/>
      <c r="S108" s="978"/>
      <c r="T108" s="1180" t="n">
        <f aca="false">+EDATE(Q108,6)</f>
        <v>46357</v>
      </c>
      <c r="U108" s="979" t="n">
        <v>1</v>
      </c>
      <c r="V108" s="980" t="n">
        <f aca="false">+O108*40000000/1000</f>
        <v>41452800</v>
      </c>
      <c r="W108" s="981" t="n">
        <v>6</v>
      </c>
      <c r="X108" s="1014" t="s">
        <v>301</v>
      </c>
      <c r="Y108" s="999" t="s">
        <v>1009</v>
      </c>
      <c r="Z108" s="979" t="s">
        <v>362</v>
      </c>
      <c r="AA108" s="979" t="s">
        <v>362</v>
      </c>
      <c r="AB108" s="979" t="s">
        <v>362</v>
      </c>
      <c r="AC108" s="984" t="s">
        <v>1322</v>
      </c>
      <c r="AD108" s="985" t="s">
        <v>505</v>
      </c>
      <c r="AE108" s="986"/>
      <c r="AF108" s="987" t="n">
        <v>40000</v>
      </c>
      <c r="AG108" s="988" t="n">
        <f aca="false">40000000*O108/1000</f>
        <v>41452800</v>
      </c>
      <c r="AH108" s="997" t="n">
        <v>5</v>
      </c>
      <c r="AI108" s="1085" t="n">
        <f aca="false">AG108*AH108</f>
        <v>207264000</v>
      </c>
      <c r="AJ108" s="988" t="n">
        <f aca="false">200000000*O108/1000</f>
        <v>207264000</v>
      </c>
      <c r="AK108" s="1224" t="n">
        <f aca="false">300000000*O108/1000</f>
        <v>310896000</v>
      </c>
      <c r="AL108" s="988" t="n">
        <f aca="false">1050000000*O108/1000</f>
        <v>1088136000</v>
      </c>
      <c r="AM108" s="991" t="s">
        <v>1281</v>
      </c>
      <c r="AO108" s="929" t="n">
        <f aca="false">(AJ108/O108)*1000</f>
        <v>200000000</v>
      </c>
    </row>
    <row r="109" s="1043" customFormat="true" ht="16.5" hidden="false" customHeight="false" outlineLevel="0" collapsed="false">
      <c r="A109" s="1004"/>
      <c r="B109" s="1242" t="s">
        <v>1323</v>
      </c>
      <c r="C109" s="1018" t="s">
        <v>1324</v>
      </c>
      <c r="D109" s="1045" t="s">
        <v>1325</v>
      </c>
      <c r="E109" s="1018" t="s">
        <v>1326</v>
      </c>
      <c r="F109" s="1032" t="s">
        <v>373</v>
      </c>
      <c r="G109" s="1022" t="s">
        <v>900</v>
      </c>
      <c r="H109" s="1023" t="s">
        <v>966</v>
      </c>
      <c r="I109" s="1023"/>
      <c r="J109" s="1023"/>
      <c r="K109" s="1024" t="n">
        <v>14643951.8</v>
      </c>
      <c r="L109" s="1174" t="n">
        <v>1386</v>
      </c>
      <c r="M109" s="1026" t="n">
        <f aca="false">L109/365</f>
        <v>3.7972602739726</v>
      </c>
      <c r="N109" s="1027" t="n">
        <v>45623</v>
      </c>
      <c r="O109" s="1028" t="n">
        <v>11372</v>
      </c>
      <c r="P109" s="1175" t="s">
        <v>966</v>
      </c>
      <c r="Q109" s="1175" t="s">
        <v>966</v>
      </c>
      <c r="R109" s="1175"/>
      <c r="S109" s="1031"/>
      <c r="T109" s="1176" t="s">
        <v>966</v>
      </c>
      <c r="U109" s="1032" t="n">
        <v>1</v>
      </c>
      <c r="V109" s="1033" t="n">
        <f aca="false">+O109*40000000/1000</f>
        <v>454880000</v>
      </c>
      <c r="W109" s="1034" t="n">
        <v>6</v>
      </c>
      <c r="X109" s="1021" t="s">
        <v>817</v>
      </c>
      <c r="Y109" s="1035"/>
      <c r="Z109" s="1032" t="s">
        <v>362</v>
      </c>
      <c r="AA109" s="1032" t="s">
        <v>362</v>
      </c>
      <c r="AB109" s="1032" t="s">
        <v>362</v>
      </c>
      <c r="AC109" s="1243" t="s">
        <v>1327</v>
      </c>
      <c r="AD109" s="1030" t="s">
        <v>505</v>
      </c>
      <c r="AE109" s="1037"/>
      <c r="AF109" s="1038" t="n">
        <v>40000</v>
      </c>
      <c r="AG109" s="1039" t="n">
        <f aca="false">40000000*O109/1000</f>
        <v>454880000</v>
      </c>
      <c r="AH109" s="1040" t="n">
        <v>5</v>
      </c>
      <c r="AI109" s="1177" t="n">
        <f aca="false">AG109*AH109</f>
        <v>2274400000</v>
      </c>
      <c r="AJ109" s="1039" t="n">
        <f aca="false">200000000*O109/1000</f>
        <v>2274400000</v>
      </c>
      <c r="AK109" s="1178" t="n">
        <f aca="false">300000000*O109/1000</f>
        <v>3411600000</v>
      </c>
      <c r="AL109" s="1039" t="n">
        <f aca="false">1050000000*O109/1000</f>
        <v>11940600000</v>
      </c>
      <c r="AM109" s="1042" t="s">
        <v>1328</v>
      </c>
      <c r="AO109" s="1044" t="n">
        <f aca="false">(AJ109/O109)*1000</f>
        <v>200000000</v>
      </c>
    </row>
    <row r="110" customFormat="false" ht="16.5" hidden="false" customHeight="false" outlineLevel="0" collapsed="false">
      <c r="A110" s="1013" t="n">
        <f aca="false">SUM(O91:O108,O110:O115,O117:P130)</f>
        <v>33800.18</v>
      </c>
      <c r="B110" s="1179" t="s">
        <v>1329</v>
      </c>
      <c r="C110" s="965" t="s">
        <v>1330</v>
      </c>
      <c r="D110" s="966" t="s">
        <v>1331</v>
      </c>
      <c r="E110" s="967" t="s">
        <v>1332</v>
      </c>
      <c r="F110" s="979" t="s">
        <v>373</v>
      </c>
      <c r="G110" s="1244" t="s">
        <v>1089</v>
      </c>
      <c r="H110" s="970" t="s">
        <v>966</v>
      </c>
      <c r="I110" s="970"/>
      <c r="J110" s="970"/>
      <c r="K110" s="995" t="n">
        <v>280478.3</v>
      </c>
      <c r="L110" s="1181" t="n">
        <v>1457</v>
      </c>
      <c r="M110" s="1084" t="n">
        <f aca="false">L110/365</f>
        <v>3.99178082191781</v>
      </c>
      <c r="N110" s="974" t="n">
        <v>45623</v>
      </c>
      <c r="O110" s="975" t="n">
        <v>217.805</v>
      </c>
      <c r="P110" s="1001" t="s">
        <v>966</v>
      </c>
      <c r="Q110" s="1001" t="s">
        <v>966</v>
      </c>
      <c r="R110" s="1001"/>
      <c r="S110" s="978"/>
      <c r="T110" s="1180" t="s">
        <v>966</v>
      </c>
      <c r="U110" s="979" t="n">
        <v>1</v>
      </c>
      <c r="V110" s="980" t="n">
        <f aca="false">+O110*40000000/1000</f>
        <v>8712200</v>
      </c>
      <c r="W110" s="981" t="n">
        <v>6</v>
      </c>
      <c r="X110" s="1014" t="s">
        <v>302</v>
      </c>
      <c r="Y110" s="999" t="s">
        <v>1009</v>
      </c>
      <c r="Z110" s="979" t="s">
        <v>362</v>
      </c>
      <c r="AA110" s="979" t="s">
        <v>362</v>
      </c>
      <c r="AB110" s="979" t="s">
        <v>362</v>
      </c>
      <c r="AC110" s="984" t="s">
        <v>1333</v>
      </c>
      <c r="AD110" s="985" t="s">
        <v>505</v>
      </c>
      <c r="AE110" s="986"/>
      <c r="AF110" s="987" t="n">
        <v>40000</v>
      </c>
      <c r="AG110" s="988" t="n">
        <f aca="false">40000000*O110/1000</f>
        <v>8712200</v>
      </c>
      <c r="AH110" s="997" t="n">
        <v>5</v>
      </c>
      <c r="AI110" s="1085" t="n">
        <f aca="false">AG110*AH110</f>
        <v>43561000</v>
      </c>
      <c r="AJ110" s="988" t="n">
        <f aca="false">200000000*O110/1000</f>
        <v>43561000</v>
      </c>
      <c r="AK110" s="1224" t="n">
        <f aca="false">300000000*O110/1000</f>
        <v>65341500</v>
      </c>
      <c r="AL110" s="988" t="n">
        <f aca="false">1050000000*O110/1000</f>
        <v>228695250</v>
      </c>
      <c r="AM110" s="991"/>
      <c r="AO110" s="929" t="n">
        <f aca="false">(AJ110/O110)*1000</f>
        <v>200000000</v>
      </c>
    </row>
    <row r="111" customFormat="false" ht="16.5" hidden="false" customHeight="false" outlineLevel="0" collapsed="false">
      <c r="A111" s="1004"/>
      <c r="B111" s="1179" t="s">
        <v>1334</v>
      </c>
      <c r="C111" s="965" t="s">
        <v>1335</v>
      </c>
      <c r="D111" s="1003" t="s">
        <v>1336</v>
      </c>
      <c r="E111" s="967" t="s">
        <v>1337</v>
      </c>
      <c r="F111" s="979" t="s">
        <v>373</v>
      </c>
      <c r="G111" s="994" t="s">
        <v>793</v>
      </c>
      <c r="H111" s="970" t="s">
        <v>966</v>
      </c>
      <c r="I111" s="970"/>
      <c r="J111" s="970"/>
      <c r="K111" s="995" t="n">
        <v>341799.5</v>
      </c>
      <c r="L111" s="1181" t="n">
        <v>1469</v>
      </c>
      <c r="M111" s="1084" t="n">
        <f aca="false">L111/365</f>
        <v>4.02465753424658</v>
      </c>
      <c r="N111" s="974" t="n">
        <v>45623</v>
      </c>
      <c r="O111" s="975" t="n">
        <v>265.43</v>
      </c>
      <c r="P111" s="1001" t="s">
        <v>966</v>
      </c>
      <c r="Q111" s="1001" t="s">
        <v>966</v>
      </c>
      <c r="R111" s="1001"/>
      <c r="S111" s="978"/>
      <c r="T111" s="1180" t="s">
        <v>966</v>
      </c>
      <c r="U111" s="979" t="n">
        <v>1</v>
      </c>
      <c r="V111" s="980" t="n">
        <f aca="false">+O111*40000000/1000</f>
        <v>10617200</v>
      </c>
      <c r="W111" s="981" t="n">
        <v>6</v>
      </c>
      <c r="X111" s="1014" t="s">
        <v>302</v>
      </c>
      <c r="Y111" s="999" t="s">
        <v>1009</v>
      </c>
      <c r="Z111" s="979" t="s">
        <v>362</v>
      </c>
      <c r="AA111" s="979" t="s">
        <v>362</v>
      </c>
      <c r="AB111" s="979" t="s">
        <v>362</v>
      </c>
      <c r="AC111" s="984" t="s">
        <v>1333</v>
      </c>
      <c r="AD111" s="985" t="s">
        <v>505</v>
      </c>
      <c r="AE111" s="986"/>
      <c r="AF111" s="987" t="n">
        <v>40000</v>
      </c>
      <c r="AG111" s="988" t="n">
        <f aca="false">40000000*O111/1000</f>
        <v>10617200</v>
      </c>
      <c r="AH111" s="997" t="n">
        <v>5</v>
      </c>
      <c r="AI111" s="1085" t="n">
        <f aca="false">AG111*AH111</f>
        <v>53086000</v>
      </c>
      <c r="AJ111" s="988" t="n">
        <f aca="false">200000000*O111/1000</f>
        <v>53086000</v>
      </c>
      <c r="AK111" s="1224" t="n">
        <f aca="false">300000000*O111/1000</f>
        <v>79629000</v>
      </c>
      <c r="AL111" s="988" t="n">
        <f aca="false">1050000000*O111/1000</f>
        <v>278701500</v>
      </c>
      <c r="AM111" s="991"/>
      <c r="AO111" s="929" t="n">
        <f aca="false">(AJ111/O111)*1000</f>
        <v>200000000</v>
      </c>
    </row>
    <row r="112" customFormat="false" ht="16.5" hidden="false" customHeight="false" outlineLevel="0" collapsed="false">
      <c r="A112" s="1004"/>
      <c r="B112" s="1179" t="s">
        <v>1338</v>
      </c>
      <c r="C112" s="965" t="s">
        <v>1339</v>
      </c>
      <c r="D112" s="1003" t="s">
        <v>1340</v>
      </c>
      <c r="E112" s="967" t="s">
        <v>1341</v>
      </c>
      <c r="F112" s="979" t="s">
        <v>373</v>
      </c>
      <c r="G112" s="994" t="s">
        <v>802</v>
      </c>
      <c r="H112" s="970" t="s">
        <v>966</v>
      </c>
      <c r="I112" s="970"/>
      <c r="J112" s="970"/>
      <c r="K112" s="995" t="n">
        <v>152916.8</v>
      </c>
      <c r="L112" s="1181" t="n">
        <v>1451</v>
      </c>
      <c r="M112" s="1084" t="n">
        <f aca="false">L112/365</f>
        <v>3.97534246575342</v>
      </c>
      <c r="N112" s="974" t="n">
        <v>45623</v>
      </c>
      <c r="O112" s="975" t="n">
        <v>118.745</v>
      </c>
      <c r="P112" s="1001" t="s">
        <v>966</v>
      </c>
      <c r="Q112" s="1001" t="s">
        <v>966</v>
      </c>
      <c r="R112" s="1001"/>
      <c r="S112" s="978"/>
      <c r="T112" s="1180" t="s">
        <v>966</v>
      </c>
      <c r="U112" s="979" t="n">
        <v>1</v>
      </c>
      <c r="V112" s="980" t="n">
        <f aca="false">+O112*40000000/1000</f>
        <v>4749800</v>
      </c>
      <c r="W112" s="981" t="n">
        <v>6</v>
      </c>
      <c r="X112" s="1014" t="s">
        <v>302</v>
      </c>
      <c r="Y112" s="999" t="s">
        <v>1009</v>
      </c>
      <c r="Z112" s="979" t="s">
        <v>362</v>
      </c>
      <c r="AA112" s="979" t="s">
        <v>362</v>
      </c>
      <c r="AB112" s="979" t="s">
        <v>362</v>
      </c>
      <c r="AC112" s="984" t="s">
        <v>1342</v>
      </c>
      <c r="AD112" s="985" t="s">
        <v>505</v>
      </c>
      <c r="AE112" s="986"/>
      <c r="AF112" s="987" t="n">
        <v>40000</v>
      </c>
      <c r="AG112" s="988" t="n">
        <f aca="false">40000000*O112/1000</f>
        <v>4749800</v>
      </c>
      <c r="AH112" s="997" t="n">
        <v>5</v>
      </c>
      <c r="AI112" s="1085" t="n">
        <f aca="false">AG112*AH112</f>
        <v>23749000</v>
      </c>
      <c r="AJ112" s="988" t="n">
        <f aca="false">200000000*O112/1000</f>
        <v>23749000</v>
      </c>
      <c r="AK112" s="1224" t="n">
        <f aca="false">300000000*O112/1000</f>
        <v>35623500</v>
      </c>
      <c r="AL112" s="988" t="n">
        <f aca="false">1050000000*O112/1000</f>
        <v>124682250</v>
      </c>
      <c r="AM112" s="991"/>
      <c r="AO112" s="929" t="n">
        <f aca="false">(AJ112/O112)*1000</f>
        <v>200000000</v>
      </c>
    </row>
    <row r="113" customFormat="false" ht="16.5" hidden="false" customHeight="true" outlineLevel="0" collapsed="false">
      <c r="A113" s="1004"/>
      <c r="B113" s="1179" t="s">
        <v>1343</v>
      </c>
      <c r="C113" s="965" t="s">
        <v>1344</v>
      </c>
      <c r="D113" s="1003" t="s">
        <v>1345</v>
      </c>
      <c r="E113" s="967" t="s">
        <v>1346</v>
      </c>
      <c r="F113" s="979" t="s">
        <v>373</v>
      </c>
      <c r="G113" s="994" t="s">
        <v>802</v>
      </c>
      <c r="H113" s="970" t="s">
        <v>966</v>
      </c>
      <c r="I113" s="970"/>
      <c r="J113" s="970"/>
      <c r="K113" s="995" t="n">
        <v>521694</v>
      </c>
      <c r="L113" s="1181" t="n">
        <v>1449</v>
      </c>
      <c r="M113" s="1084" t="n">
        <f aca="false">L113/365</f>
        <v>3.96986301369863</v>
      </c>
      <c r="N113" s="974" t="n">
        <v>45623</v>
      </c>
      <c r="O113" s="975" t="n">
        <v>405.13</v>
      </c>
      <c r="P113" s="1001" t="s">
        <v>966</v>
      </c>
      <c r="Q113" s="1001" t="s">
        <v>966</v>
      </c>
      <c r="R113" s="1001"/>
      <c r="S113" s="978"/>
      <c r="T113" s="1180" t="s">
        <v>966</v>
      </c>
      <c r="U113" s="979" t="n">
        <v>1</v>
      </c>
      <c r="V113" s="980" t="n">
        <f aca="false">+O113*40000000/1000</f>
        <v>16205200</v>
      </c>
      <c r="W113" s="981" t="n">
        <v>6</v>
      </c>
      <c r="X113" s="1014" t="s">
        <v>302</v>
      </c>
      <c r="Y113" s="999" t="s">
        <v>1009</v>
      </c>
      <c r="Z113" s="979" t="s">
        <v>362</v>
      </c>
      <c r="AA113" s="979" t="s">
        <v>362</v>
      </c>
      <c r="AB113" s="979" t="s">
        <v>362</v>
      </c>
      <c r="AC113" s="984" t="s">
        <v>1342</v>
      </c>
      <c r="AD113" s="985" t="s">
        <v>505</v>
      </c>
      <c r="AE113" s="986"/>
      <c r="AF113" s="987" t="n">
        <v>40000</v>
      </c>
      <c r="AG113" s="988" t="n">
        <f aca="false">40000000*O113/1000</f>
        <v>16205200</v>
      </c>
      <c r="AH113" s="997" t="n">
        <v>5</v>
      </c>
      <c r="AI113" s="1085" t="n">
        <f aca="false">AG113*AH113</f>
        <v>81026000</v>
      </c>
      <c r="AJ113" s="988" t="n">
        <f aca="false">200000000*O113/1000</f>
        <v>81026000</v>
      </c>
      <c r="AK113" s="1224" t="n">
        <f aca="false">300000000*O113/1000</f>
        <v>121539000</v>
      </c>
      <c r="AL113" s="988" t="n">
        <f aca="false">1050000000*O113/1000</f>
        <v>425386500</v>
      </c>
      <c r="AM113" s="991"/>
      <c r="AO113" s="929" t="n">
        <f aca="false">(AJ113/O113)*1000</f>
        <v>200000000</v>
      </c>
    </row>
    <row r="114" customFormat="false" ht="16.5" hidden="false" customHeight="false" outlineLevel="0" collapsed="false">
      <c r="A114" s="1004"/>
      <c r="B114" s="1179" t="s">
        <v>1347</v>
      </c>
      <c r="C114" s="965" t="s">
        <v>1348</v>
      </c>
      <c r="D114" s="1003" t="s">
        <v>1349</v>
      </c>
      <c r="E114" s="967" t="s">
        <v>1350</v>
      </c>
      <c r="F114" s="979" t="s">
        <v>373</v>
      </c>
      <c r="G114" s="968" t="s">
        <v>1132</v>
      </c>
      <c r="H114" s="970" t="s">
        <v>966</v>
      </c>
      <c r="I114" s="970"/>
      <c r="J114" s="970"/>
      <c r="K114" s="995" t="n">
        <v>5189138.2</v>
      </c>
      <c r="L114" s="1181" t="n">
        <v>1377</v>
      </c>
      <c r="M114" s="1084" t="n">
        <f aca="false">L114/365</f>
        <v>3.77260273972603</v>
      </c>
      <c r="N114" s="974" t="n">
        <v>45623</v>
      </c>
      <c r="O114" s="975" t="n">
        <v>4029.71</v>
      </c>
      <c r="P114" s="1001" t="s">
        <v>966</v>
      </c>
      <c r="Q114" s="1001" t="s">
        <v>966</v>
      </c>
      <c r="R114" s="1001"/>
      <c r="S114" s="978"/>
      <c r="T114" s="1180" t="s">
        <v>966</v>
      </c>
      <c r="U114" s="979" t="n">
        <v>1</v>
      </c>
      <c r="V114" s="980" t="n">
        <f aca="false">+O114*40000000/1000</f>
        <v>161188400</v>
      </c>
      <c r="W114" s="981" t="n">
        <v>6</v>
      </c>
      <c r="X114" s="1014" t="s">
        <v>302</v>
      </c>
      <c r="Y114" s="999" t="s">
        <v>1009</v>
      </c>
      <c r="Z114" s="979" t="s">
        <v>362</v>
      </c>
      <c r="AA114" s="979" t="s">
        <v>362</v>
      </c>
      <c r="AB114" s="979" t="s">
        <v>362</v>
      </c>
      <c r="AC114" s="984" t="s">
        <v>1351</v>
      </c>
      <c r="AD114" s="985" t="s">
        <v>505</v>
      </c>
      <c r="AE114" s="986"/>
      <c r="AF114" s="988" t="n">
        <v>40000</v>
      </c>
      <c r="AG114" s="988" t="n">
        <f aca="false">40000000*O114/1000</f>
        <v>161188400</v>
      </c>
      <c r="AH114" s="997" t="n">
        <v>5</v>
      </c>
      <c r="AI114" s="1085" t="n">
        <f aca="false">AG114*AH114</f>
        <v>805942000</v>
      </c>
      <c r="AJ114" s="988" t="n">
        <f aca="false">200000000*O114/1000</f>
        <v>805942000</v>
      </c>
      <c r="AK114" s="1224" t="n">
        <f aca="false">300000000*O114/1000</f>
        <v>1208913000</v>
      </c>
      <c r="AL114" s="988" t="n">
        <f aca="false">1050000000*O114/1000</f>
        <v>4231195500</v>
      </c>
      <c r="AM114" s="991"/>
      <c r="AO114" s="929" t="n">
        <f aca="false">(AJ114/O114)*1000</f>
        <v>200000000</v>
      </c>
    </row>
    <row r="115" customFormat="false" ht="16.5" hidden="false" customHeight="true" outlineLevel="0" collapsed="false">
      <c r="A115" s="1004"/>
      <c r="B115" s="1179" t="s">
        <v>1352</v>
      </c>
      <c r="C115" s="965" t="s">
        <v>1353</v>
      </c>
      <c r="D115" s="1003" t="s">
        <v>1354</v>
      </c>
      <c r="E115" s="967" t="s">
        <v>1355</v>
      </c>
      <c r="F115" s="979" t="s">
        <v>373</v>
      </c>
      <c r="G115" s="994" t="s">
        <v>900</v>
      </c>
      <c r="H115" s="970" t="s">
        <v>966</v>
      </c>
      <c r="I115" s="970"/>
      <c r="J115" s="970"/>
      <c r="K115" s="995" t="n">
        <v>1702.5</v>
      </c>
      <c r="L115" s="1181" t="n">
        <v>1391</v>
      </c>
      <c r="M115" s="1084" t="n">
        <f aca="false">L115/365</f>
        <v>3.81095890410959</v>
      </c>
      <c r="N115" s="974" t="n">
        <v>45623</v>
      </c>
      <c r="O115" s="975" t="n">
        <v>1224.6</v>
      </c>
      <c r="P115" s="1001" t="s">
        <v>966</v>
      </c>
      <c r="Q115" s="1001" t="s">
        <v>966</v>
      </c>
      <c r="R115" s="1001"/>
      <c r="S115" s="978"/>
      <c r="T115" s="1180" t="s">
        <v>966</v>
      </c>
      <c r="U115" s="979" t="n">
        <v>1</v>
      </c>
      <c r="V115" s="980" t="n">
        <f aca="false">+O115*40000000/1000</f>
        <v>48984000</v>
      </c>
      <c r="W115" s="981" t="n">
        <v>6</v>
      </c>
      <c r="X115" s="1014" t="s">
        <v>300</v>
      </c>
      <c r="Y115" s="999" t="s">
        <v>1009</v>
      </c>
      <c r="Z115" s="979" t="s">
        <v>362</v>
      </c>
      <c r="AA115" s="979" t="s">
        <v>362</v>
      </c>
      <c r="AB115" s="979" t="s">
        <v>362</v>
      </c>
      <c r="AC115" s="984" t="s">
        <v>1356</v>
      </c>
      <c r="AD115" s="985" t="s">
        <v>505</v>
      </c>
      <c r="AE115" s="986"/>
      <c r="AF115" s="987" t="n">
        <v>40000</v>
      </c>
      <c r="AG115" s="988" t="n">
        <f aca="false">40000000*O115/1000</f>
        <v>48984000</v>
      </c>
      <c r="AH115" s="997" t="n">
        <v>5</v>
      </c>
      <c r="AI115" s="1085" t="n">
        <f aca="false">AG115*AH115</f>
        <v>244920000</v>
      </c>
      <c r="AJ115" s="988" t="n">
        <f aca="false">200000000*O115/1000</f>
        <v>244920000</v>
      </c>
      <c r="AK115" s="1224" t="n">
        <f aca="false">300000000*O115/1000</f>
        <v>367380000</v>
      </c>
      <c r="AL115" s="988" t="n">
        <f aca="false">1050000000*O115/1000</f>
        <v>1285830000</v>
      </c>
      <c r="AM115" s="991" t="s">
        <v>1357</v>
      </c>
      <c r="AO115" s="929" t="n">
        <f aca="false">(AJ115/O115)*1000</f>
        <v>200000000</v>
      </c>
    </row>
    <row r="116" s="1043" customFormat="true" ht="16.5" hidden="false" customHeight="false" outlineLevel="0" collapsed="false">
      <c r="A116" s="1004"/>
      <c r="B116" s="1172" t="s">
        <v>1358</v>
      </c>
      <c r="C116" s="1173"/>
      <c r="D116" s="1245" t="s">
        <v>1359</v>
      </c>
      <c r="E116" s="1018" t="s">
        <v>1360</v>
      </c>
      <c r="F116" s="1032" t="s">
        <v>373</v>
      </c>
      <c r="G116" s="1022" t="s">
        <v>900</v>
      </c>
      <c r="H116" s="1023" t="s">
        <v>966</v>
      </c>
      <c r="I116" s="1023"/>
      <c r="J116" s="1023"/>
      <c r="K116" s="1024" t="n">
        <v>687.86</v>
      </c>
      <c r="L116" s="1174" t="n">
        <v>1424</v>
      </c>
      <c r="M116" s="1026" t="n">
        <f aca="false">L116/365</f>
        <v>3.9013698630137</v>
      </c>
      <c r="N116" s="1027" t="n">
        <v>45623</v>
      </c>
      <c r="O116" s="1028" t="n">
        <v>483.7</v>
      </c>
      <c r="P116" s="1175" t="s">
        <v>966</v>
      </c>
      <c r="Q116" s="1175" t="s">
        <v>966</v>
      </c>
      <c r="R116" s="1175"/>
      <c r="S116" s="1031"/>
      <c r="T116" s="1176" t="s">
        <v>966</v>
      </c>
      <c r="U116" s="1032" t="n">
        <v>1</v>
      </c>
      <c r="V116" s="1033" t="n">
        <f aca="false">+O116*40000000/1000</f>
        <v>19348000</v>
      </c>
      <c r="W116" s="1034" t="n">
        <v>6</v>
      </c>
      <c r="X116" s="1095" t="s">
        <v>300</v>
      </c>
      <c r="Y116" s="1035"/>
      <c r="Z116" s="1032" t="s">
        <v>362</v>
      </c>
      <c r="AA116" s="1032" t="s">
        <v>362</v>
      </c>
      <c r="AB116" s="1032" t="s">
        <v>362</v>
      </c>
      <c r="AC116" s="1036" t="s">
        <v>1361</v>
      </c>
      <c r="AD116" s="1032" t="s">
        <v>505</v>
      </c>
      <c r="AE116" s="1037"/>
      <c r="AF116" s="1038" t="n">
        <v>40000</v>
      </c>
      <c r="AG116" s="1039" t="n">
        <f aca="false">40000000*O116/1000</f>
        <v>19348000</v>
      </c>
      <c r="AH116" s="1040" t="n">
        <v>5</v>
      </c>
      <c r="AI116" s="1177" t="n">
        <f aca="false">AG116*AH116</f>
        <v>96740000</v>
      </c>
      <c r="AJ116" s="1039" t="n">
        <f aca="false">200000000*O116/1000</f>
        <v>96740000</v>
      </c>
      <c r="AK116" s="1178" t="n">
        <f aca="false">300000000*O116/1000</f>
        <v>145110000</v>
      </c>
      <c r="AL116" s="1039" t="n">
        <f aca="false">1050000000*O116/1000</f>
        <v>507885000</v>
      </c>
      <c r="AM116" s="1042" t="s">
        <v>1085</v>
      </c>
      <c r="AO116" s="1044" t="n">
        <f aca="false">(AJ116/O116)*1000</f>
        <v>200000000</v>
      </c>
    </row>
    <row r="117" customFormat="false" ht="16.5" hidden="false" customHeight="false" outlineLevel="0" collapsed="false">
      <c r="A117" s="1004"/>
      <c r="B117" s="1179" t="s">
        <v>1362</v>
      </c>
      <c r="C117" s="965" t="s">
        <v>1363</v>
      </c>
      <c r="D117" s="1003" t="s">
        <v>1364</v>
      </c>
      <c r="E117" s="967" t="s">
        <v>1365</v>
      </c>
      <c r="F117" s="979" t="s">
        <v>373</v>
      </c>
      <c r="G117" s="994" t="s">
        <v>1184</v>
      </c>
      <c r="H117" s="970" t="s">
        <v>966</v>
      </c>
      <c r="I117" s="970"/>
      <c r="J117" s="970"/>
      <c r="K117" s="995" t="n">
        <v>2232.6</v>
      </c>
      <c r="L117" s="1181" t="n">
        <v>1391</v>
      </c>
      <c r="M117" s="1084" t="n">
        <f aca="false">L117/365</f>
        <v>3.81095890410959</v>
      </c>
      <c r="N117" s="974" t="n">
        <v>45623</v>
      </c>
      <c r="O117" s="975" t="n">
        <v>1602.48</v>
      </c>
      <c r="P117" s="1001" t="s">
        <v>966</v>
      </c>
      <c r="Q117" s="1001" t="s">
        <v>966</v>
      </c>
      <c r="R117" s="1001"/>
      <c r="S117" s="978"/>
      <c r="T117" s="1180" t="s">
        <v>966</v>
      </c>
      <c r="U117" s="979" t="n">
        <v>1</v>
      </c>
      <c r="V117" s="980" t="n">
        <f aca="false">+O117*40000000/1000</f>
        <v>64099200</v>
      </c>
      <c r="W117" s="981" t="n">
        <v>6</v>
      </c>
      <c r="X117" s="1014" t="s">
        <v>300</v>
      </c>
      <c r="Y117" s="999" t="s">
        <v>1009</v>
      </c>
      <c r="Z117" s="979" t="s">
        <v>362</v>
      </c>
      <c r="AA117" s="979" t="s">
        <v>362</v>
      </c>
      <c r="AB117" s="979" t="s">
        <v>362</v>
      </c>
      <c r="AC117" s="984" t="s">
        <v>941</v>
      </c>
      <c r="AD117" s="985" t="s">
        <v>505</v>
      </c>
      <c r="AE117" s="986"/>
      <c r="AF117" s="987" t="n">
        <v>40000</v>
      </c>
      <c r="AG117" s="988" t="n">
        <f aca="false">40000000*O117/1000</f>
        <v>64099200</v>
      </c>
      <c r="AH117" s="997" t="n">
        <v>5</v>
      </c>
      <c r="AI117" s="1085" t="n">
        <f aca="false">AG117*AH117</f>
        <v>320496000</v>
      </c>
      <c r="AJ117" s="988" t="n">
        <f aca="false">200000000*O117/1000</f>
        <v>320496000</v>
      </c>
      <c r="AK117" s="1224" t="n">
        <f aca="false">300000000*O117/1000</f>
        <v>480744000</v>
      </c>
      <c r="AL117" s="988" t="n">
        <f aca="false">1050000000*O117/1000</f>
        <v>1682604000</v>
      </c>
      <c r="AM117" s="991" t="s">
        <v>1357</v>
      </c>
      <c r="AO117" s="929" t="n">
        <f aca="false">(AJ117/O117)*1000</f>
        <v>200000000</v>
      </c>
    </row>
    <row r="118" customFormat="false" ht="16.5" hidden="false" customHeight="false" outlineLevel="0" collapsed="false">
      <c r="A118" s="1004"/>
      <c r="B118" s="1179" t="s">
        <v>1366</v>
      </c>
      <c r="C118" s="965" t="s">
        <v>1367</v>
      </c>
      <c r="D118" s="1003" t="s">
        <v>1368</v>
      </c>
      <c r="E118" s="967" t="s">
        <v>1369</v>
      </c>
      <c r="F118" s="979" t="s">
        <v>373</v>
      </c>
      <c r="G118" s="994" t="s">
        <v>1184</v>
      </c>
      <c r="H118" s="970" t="s">
        <v>966</v>
      </c>
      <c r="I118" s="970"/>
      <c r="J118" s="970"/>
      <c r="K118" s="995" t="n">
        <v>690.99</v>
      </c>
      <c r="L118" s="1181" t="n">
        <v>1432</v>
      </c>
      <c r="M118" s="1084" t="n">
        <f aca="false">L118/365</f>
        <v>3.92328767123288</v>
      </c>
      <c r="N118" s="974" t="n">
        <v>45636</v>
      </c>
      <c r="O118" s="975" t="n">
        <v>483.12</v>
      </c>
      <c r="P118" s="1001" t="s">
        <v>966</v>
      </c>
      <c r="Q118" s="1001" t="s">
        <v>966</v>
      </c>
      <c r="R118" s="1001"/>
      <c r="S118" s="978"/>
      <c r="T118" s="1180" t="s">
        <v>966</v>
      </c>
      <c r="U118" s="979" t="n">
        <v>1</v>
      </c>
      <c r="V118" s="980" t="n">
        <f aca="false">+O118*40000000/1000</f>
        <v>19324800</v>
      </c>
      <c r="W118" s="981" t="n">
        <v>6</v>
      </c>
      <c r="X118" s="1014" t="s">
        <v>300</v>
      </c>
      <c r="Y118" s="999" t="s">
        <v>1009</v>
      </c>
      <c r="Z118" s="979" t="s">
        <v>362</v>
      </c>
      <c r="AA118" s="979" t="s">
        <v>362</v>
      </c>
      <c r="AB118" s="979" t="s">
        <v>362</v>
      </c>
      <c r="AC118" s="984" t="s">
        <v>1370</v>
      </c>
      <c r="AD118" s="985" t="s">
        <v>505</v>
      </c>
      <c r="AE118" s="986"/>
      <c r="AF118" s="987" t="n">
        <v>40000</v>
      </c>
      <c r="AG118" s="988" t="n">
        <f aca="false">40000000*O118/1000</f>
        <v>19324800</v>
      </c>
      <c r="AH118" s="997" t="n">
        <v>5</v>
      </c>
      <c r="AI118" s="1085" t="n">
        <f aca="false">AG118*AH118</f>
        <v>96624000</v>
      </c>
      <c r="AJ118" s="988" t="n">
        <f aca="false">200000000*O118/1000</f>
        <v>96624000</v>
      </c>
      <c r="AK118" s="1224" t="n">
        <f aca="false">300000000*O118/1000</f>
        <v>144936000</v>
      </c>
      <c r="AL118" s="988" t="n">
        <f aca="false">1050000000*O118/1000</f>
        <v>507276000</v>
      </c>
      <c r="AM118" s="991" t="s">
        <v>1357</v>
      </c>
      <c r="AO118" s="929" t="n">
        <f aca="false">(AJ118/O118)*1000</f>
        <v>200000000</v>
      </c>
    </row>
    <row r="119" customFormat="false" ht="16.5" hidden="false" customHeight="false" outlineLevel="0" collapsed="false">
      <c r="A119" s="1004"/>
      <c r="B119" s="1179" t="s">
        <v>1371</v>
      </c>
      <c r="C119" s="965" t="s">
        <v>1372</v>
      </c>
      <c r="D119" s="1003" t="s">
        <v>1373</v>
      </c>
      <c r="E119" s="967" t="s">
        <v>1374</v>
      </c>
      <c r="F119" s="979" t="s">
        <v>373</v>
      </c>
      <c r="G119" s="994" t="s">
        <v>856</v>
      </c>
      <c r="H119" s="970" t="s">
        <v>966</v>
      </c>
      <c r="I119" s="970"/>
      <c r="J119" s="970"/>
      <c r="K119" s="995" t="n">
        <v>440.19</v>
      </c>
      <c r="L119" s="1181" t="n">
        <v>1372</v>
      </c>
      <c r="M119" s="1084" t="n">
        <f aca="false">L119/365</f>
        <v>3.75890410958904</v>
      </c>
      <c r="N119" s="974" t="n">
        <v>45623</v>
      </c>
      <c r="O119" s="975" t="n">
        <v>320.76</v>
      </c>
      <c r="P119" s="1001" t="s">
        <v>966</v>
      </c>
      <c r="Q119" s="1001" t="s">
        <v>966</v>
      </c>
      <c r="R119" s="1001"/>
      <c r="S119" s="978"/>
      <c r="T119" s="1180" t="s">
        <v>966</v>
      </c>
      <c r="U119" s="979" t="n">
        <v>1</v>
      </c>
      <c r="V119" s="980" t="n">
        <f aca="false">+O119*40000000/1000</f>
        <v>12830400</v>
      </c>
      <c r="W119" s="981" t="n">
        <v>6</v>
      </c>
      <c r="X119" s="1014" t="s">
        <v>300</v>
      </c>
      <c r="Y119" s="999" t="s">
        <v>1009</v>
      </c>
      <c r="Z119" s="979" t="s">
        <v>362</v>
      </c>
      <c r="AA119" s="979" t="s">
        <v>362</v>
      </c>
      <c r="AB119" s="979" t="s">
        <v>362</v>
      </c>
      <c r="AC119" s="984" t="s">
        <v>1375</v>
      </c>
      <c r="AD119" s="985" t="s">
        <v>505</v>
      </c>
      <c r="AE119" s="986"/>
      <c r="AF119" s="987" t="n">
        <v>40000</v>
      </c>
      <c r="AG119" s="988" t="n">
        <f aca="false">40000000*O119/1000</f>
        <v>12830400</v>
      </c>
      <c r="AH119" s="997" t="n">
        <v>5</v>
      </c>
      <c r="AI119" s="1085" t="n">
        <f aca="false">AG119*AH119</f>
        <v>64152000</v>
      </c>
      <c r="AJ119" s="988" t="n">
        <f aca="false">200000000*O119/1000</f>
        <v>64152000</v>
      </c>
      <c r="AK119" s="1224" t="n">
        <f aca="false">300000000*O119/1000</f>
        <v>96228000</v>
      </c>
      <c r="AL119" s="988" t="n">
        <f aca="false">1050000000*O119/1000</f>
        <v>336798000</v>
      </c>
      <c r="AM119" s="991" t="s">
        <v>1357</v>
      </c>
      <c r="AO119" s="929" t="n">
        <f aca="false">(AJ119/O119)*1000</f>
        <v>200000000</v>
      </c>
    </row>
    <row r="120" customFormat="false" ht="16.5" hidden="false" customHeight="false" outlineLevel="0" collapsed="false">
      <c r="A120" s="1004"/>
      <c r="B120" s="1179" t="s">
        <v>1376</v>
      </c>
      <c r="C120" s="965" t="s">
        <v>1377</v>
      </c>
      <c r="D120" s="1003" t="s">
        <v>1378</v>
      </c>
      <c r="E120" s="967" t="s">
        <v>1379</v>
      </c>
      <c r="F120" s="979" t="s">
        <v>373</v>
      </c>
      <c r="G120" s="994" t="s">
        <v>856</v>
      </c>
      <c r="H120" s="970" t="s">
        <v>966</v>
      </c>
      <c r="I120" s="970"/>
      <c r="J120" s="970"/>
      <c r="K120" s="995" t="n">
        <v>452.81</v>
      </c>
      <c r="L120" s="1181" t="n">
        <v>1389</v>
      </c>
      <c r="M120" s="1084" t="n">
        <f aca="false">L120/365</f>
        <v>3.80547945205479</v>
      </c>
      <c r="N120" s="974" t="n">
        <v>45636</v>
      </c>
      <c r="O120" s="975" t="n">
        <v>326.7</v>
      </c>
      <c r="P120" s="1001" t="s">
        <v>966</v>
      </c>
      <c r="Q120" s="1001" t="s">
        <v>966</v>
      </c>
      <c r="R120" s="1001"/>
      <c r="S120" s="978"/>
      <c r="T120" s="1180" t="s">
        <v>966</v>
      </c>
      <c r="U120" s="979" t="n">
        <v>1</v>
      </c>
      <c r="V120" s="980" t="n">
        <f aca="false">+O120*40000000/1000</f>
        <v>13068000</v>
      </c>
      <c r="W120" s="981" t="n">
        <v>6</v>
      </c>
      <c r="X120" s="1014" t="s">
        <v>300</v>
      </c>
      <c r="Y120" s="999" t="s">
        <v>1009</v>
      </c>
      <c r="Z120" s="979" t="s">
        <v>362</v>
      </c>
      <c r="AA120" s="979" t="s">
        <v>362</v>
      </c>
      <c r="AB120" s="979" t="s">
        <v>362</v>
      </c>
      <c r="AC120" s="984" t="s">
        <v>1380</v>
      </c>
      <c r="AD120" s="985" t="s">
        <v>505</v>
      </c>
      <c r="AE120" s="986"/>
      <c r="AF120" s="987" t="n">
        <v>40000</v>
      </c>
      <c r="AG120" s="988" t="n">
        <f aca="false">40000000*O120/1000</f>
        <v>13068000</v>
      </c>
      <c r="AH120" s="997" t="n">
        <v>5</v>
      </c>
      <c r="AI120" s="1085" t="n">
        <f aca="false">AG120*AH120</f>
        <v>65340000</v>
      </c>
      <c r="AJ120" s="988" t="n">
        <f aca="false">200000000*O120/1000</f>
        <v>65340000</v>
      </c>
      <c r="AK120" s="1224" t="n">
        <f aca="false">300000000*O120/1000</f>
        <v>98010000</v>
      </c>
      <c r="AL120" s="988" t="n">
        <f aca="false">1050000000*O120/1000</f>
        <v>343035000</v>
      </c>
      <c r="AM120" s="991" t="s">
        <v>1357</v>
      </c>
      <c r="AO120" s="929" t="n">
        <f aca="false">(AJ120/O120)*1000</f>
        <v>200000000</v>
      </c>
    </row>
    <row r="121" customFormat="false" ht="16.5" hidden="false" customHeight="false" outlineLevel="0" collapsed="false">
      <c r="A121" s="1004"/>
      <c r="B121" s="1179" t="s">
        <v>1381</v>
      </c>
      <c r="C121" s="965" t="s">
        <v>1382</v>
      </c>
      <c r="D121" s="1003" t="s">
        <v>1383</v>
      </c>
      <c r="E121" s="967" t="s">
        <v>1384</v>
      </c>
      <c r="F121" s="979" t="s">
        <v>373</v>
      </c>
      <c r="G121" s="994" t="s">
        <v>856</v>
      </c>
      <c r="H121" s="970" t="s">
        <v>966</v>
      </c>
      <c r="I121" s="970"/>
      <c r="J121" s="970"/>
      <c r="K121" s="995" t="n">
        <v>1311.2</v>
      </c>
      <c r="L121" s="1181" t="n">
        <v>1467</v>
      </c>
      <c r="M121" s="1084" t="n">
        <f aca="false">L121/365</f>
        <v>4.01917808219178</v>
      </c>
      <c r="N121" s="974" t="n">
        <v>45623</v>
      </c>
      <c r="O121" s="975" t="n">
        <v>769.56</v>
      </c>
      <c r="P121" s="1001" t="s">
        <v>966</v>
      </c>
      <c r="Q121" s="1180" t="s">
        <v>966</v>
      </c>
      <c r="R121" s="1001"/>
      <c r="S121" s="978"/>
      <c r="T121" s="1180" t="s">
        <v>966</v>
      </c>
      <c r="U121" s="979" t="n">
        <v>1</v>
      </c>
      <c r="V121" s="980" t="n">
        <f aca="false">+O121*40000000/1000</f>
        <v>30782400</v>
      </c>
      <c r="W121" s="981" t="n">
        <v>6</v>
      </c>
      <c r="X121" s="1014" t="s">
        <v>1015</v>
      </c>
      <c r="Y121" s="999" t="s">
        <v>1009</v>
      </c>
      <c r="Z121" s="979" t="s">
        <v>362</v>
      </c>
      <c r="AA121" s="979" t="s">
        <v>362</v>
      </c>
      <c r="AB121" s="979" t="s">
        <v>362</v>
      </c>
      <c r="AC121" s="984" t="s">
        <v>1385</v>
      </c>
      <c r="AD121" s="985" t="s">
        <v>505</v>
      </c>
      <c r="AE121" s="986"/>
      <c r="AF121" s="987" t="n">
        <v>40000</v>
      </c>
      <c r="AG121" s="988" t="n">
        <f aca="false">40000000*O121/1000</f>
        <v>30782400</v>
      </c>
      <c r="AH121" s="997" t="n">
        <v>5</v>
      </c>
      <c r="AI121" s="1085" t="n">
        <f aca="false">AG121*AH121</f>
        <v>153912000</v>
      </c>
      <c r="AJ121" s="988" t="n">
        <f aca="false">200000000*O121/1000</f>
        <v>153912000</v>
      </c>
      <c r="AK121" s="1224" t="n">
        <f aca="false">300000000*O121/1000</f>
        <v>230868000</v>
      </c>
      <c r="AL121" s="988" t="n">
        <f aca="false">1050000000*O121/1000</f>
        <v>808038000</v>
      </c>
      <c r="AM121" s="991" t="s">
        <v>1357</v>
      </c>
      <c r="AO121" s="929" t="n">
        <f aca="false">(AJ121/O121)*1000</f>
        <v>200000000</v>
      </c>
    </row>
    <row r="122" s="1043" customFormat="true" ht="16.5" hidden="false" customHeight="false" outlineLevel="0" collapsed="false">
      <c r="A122" s="1004"/>
      <c r="B122" s="1172" t="s">
        <v>1386</v>
      </c>
      <c r="C122" s="1018" t="s">
        <v>1387</v>
      </c>
      <c r="D122" s="1173" t="s">
        <v>1388</v>
      </c>
      <c r="E122" s="1018" t="s">
        <v>1389</v>
      </c>
      <c r="F122" s="1032" t="s">
        <v>373</v>
      </c>
      <c r="G122" s="1022" t="s">
        <v>900</v>
      </c>
      <c r="H122" s="1023" t="s">
        <v>966</v>
      </c>
      <c r="I122" s="1023"/>
      <c r="J122" s="1023"/>
      <c r="K122" s="1024" t="n">
        <v>1071.7</v>
      </c>
      <c r="L122" s="1174" t="n">
        <v>1386</v>
      </c>
      <c r="M122" s="1026" t="n">
        <f aca="false">L122/365</f>
        <v>3.7972602739726</v>
      </c>
      <c r="N122" s="1027" t="n">
        <v>45636</v>
      </c>
      <c r="O122" s="1028" t="n">
        <v>773.5</v>
      </c>
      <c r="P122" s="1175" t="s">
        <v>966</v>
      </c>
      <c r="Q122" s="1175" t="s">
        <v>966</v>
      </c>
      <c r="R122" s="1175"/>
      <c r="S122" s="1031"/>
      <c r="T122" s="1176" t="s">
        <v>966</v>
      </c>
      <c r="U122" s="1032" t="n">
        <v>1</v>
      </c>
      <c r="V122" s="1033" t="n">
        <f aca="false">+O122*40000000/1000</f>
        <v>30940000</v>
      </c>
      <c r="W122" s="1034" t="n">
        <v>6</v>
      </c>
      <c r="X122" s="1095" t="s">
        <v>300</v>
      </c>
      <c r="Y122" s="1035"/>
      <c r="Z122" s="1032" t="s">
        <v>362</v>
      </c>
      <c r="AA122" s="1032" t="s">
        <v>362</v>
      </c>
      <c r="AB122" s="1032" t="s">
        <v>362</v>
      </c>
      <c r="AC122" s="1036" t="s">
        <v>1390</v>
      </c>
      <c r="AD122" s="1032" t="s">
        <v>505</v>
      </c>
      <c r="AE122" s="1037"/>
      <c r="AF122" s="1038" t="n">
        <v>40000</v>
      </c>
      <c r="AG122" s="1039" t="n">
        <f aca="false">40000000*O122/1000</f>
        <v>30940000</v>
      </c>
      <c r="AH122" s="1040" t="n">
        <v>5</v>
      </c>
      <c r="AI122" s="1177" t="n">
        <f aca="false">AG122*AH122</f>
        <v>154700000</v>
      </c>
      <c r="AJ122" s="1039" t="n">
        <f aca="false">200000000*O122/1000</f>
        <v>154700000</v>
      </c>
      <c r="AK122" s="1178" t="n">
        <f aca="false">300000000*O122/1000</f>
        <v>232050000</v>
      </c>
      <c r="AL122" s="1039" t="n">
        <f aca="false">1050000000*O122/1000</f>
        <v>812175000</v>
      </c>
      <c r="AM122" s="1042" t="s">
        <v>1085</v>
      </c>
      <c r="AO122" s="1044" t="n">
        <f aca="false">(AJ122/O122)*1000</f>
        <v>200000000</v>
      </c>
    </row>
    <row r="123" s="1043" customFormat="true" ht="16.5" hidden="false" customHeight="false" outlineLevel="0" collapsed="false">
      <c r="A123" s="1004"/>
      <c r="B123" s="1172" t="s">
        <v>1391</v>
      </c>
      <c r="C123" s="1018" t="s">
        <v>1392</v>
      </c>
      <c r="D123" s="1173" t="s">
        <v>1393</v>
      </c>
      <c r="E123" s="1018" t="s">
        <v>1394</v>
      </c>
      <c r="F123" s="1032" t="s">
        <v>373</v>
      </c>
      <c r="G123" s="1022" t="s">
        <v>900</v>
      </c>
      <c r="H123" s="1023" t="s">
        <v>966</v>
      </c>
      <c r="I123" s="1023"/>
      <c r="J123" s="1023"/>
      <c r="K123" s="1024" t="n">
        <v>566.62</v>
      </c>
      <c r="L123" s="1174" t="n">
        <v>1368</v>
      </c>
      <c r="M123" s="1026" t="n">
        <f aca="false">L123/365</f>
        <v>3.74794520547945</v>
      </c>
      <c r="N123" s="1027" t="n">
        <v>45623</v>
      </c>
      <c r="O123" s="1028" t="n">
        <v>414.12</v>
      </c>
      <c r="P123" s="1175" t="s">
        <v>966</v>
      </c>
      <c r="Q123" s="1175" t="s">
        <v>966</v>
      </c>
      <c r="R123" s="1175"/>
      <c r="S123" s="1031"/>
      <c r="T123" s="1176" t="s">
        <v>966</v>
      </c>
      <c r="U123" s="1032" t="n">
        <v>1</v>
      </c>
      <c r="V123" s="1033" t="n">
        <f aca="false">+O123*40000000/1000</f>
        <v>16564800</v>
      </c>
      <c r="W123" s="1034" t="n">
        <v>6</v>
      </c>
      <c r="X123" s="1095" t="s">
        <v>864</v>
      </c>
      <c r="Y123" s="1035"/>
      <c r="Z123" s="1032" t="s">
        <v>362</v>
      </c>
      <c r="AA123" s="1032" t="s">
        <v>362</v>
      </c>
      <c r="AB123" s="1032" t="s">
        <v>362</v>
      </c>
      <c r="AC123" s="1036" t="s">
        <v>1395</v>
      </c>
      <c r="AD123" s="1032" t="s">
        <v>505</v>
      </c>
      <c r="AE123" s="1037"/>
      <c r="AF123" s="1038" t="n">
        <v>40000</v>
      </c>
      <c r="AG123" s="1039" t="n">
        <f aca="false">40000000*O123/1000</f>
        <v>16564800</v>
      </c>
      <c r="AH123" s="1040" t="n">
        <v>5</v>
      </c>
      <c r="AI123" s="1177" t="n">
        <f aca="false">AG123*AH123</f>
        <v>82824000</v>
      </c>
      <c r="AJ123" s="1039" t="n">
        <f aca="false">200000000*O123/1000</f>
        <v>82824000</v>
      </c>
      <c r="AK123" s="1178" t="n">
        <f aca="false">300000000*O123/1000</f>
        <v>124236000</v>
      </c>
      <c r="AL123" s="1039" t="n">
        <f aca="false">1050000000*O123/1000</f>
        <v>434826000</v>
      </c>
      <c r="AM123" s="1042" t="s">
        <v>1085</v>
      </c>
      <c r="AO123" s="1044" t="n">
        <f aca="false">(AJ123/O123)*1000</f>
        <v>200000000</v>
      </c>
    </row>
    <row r="124" customFormat="false" ht="16.5" hidden="false" customHeight="false" outlineLevel="0" collapsed="false">
      <c r="A124" s="1004"/>
      <c r="B124" s="1179" t="s">
        <v>1396</v>
      </c>
      <c r="C124" s="965" t="s">
        <v>1397</v>
      </c>
      <c r="D124" s="1003" t="s">
        <v>1398</v>
      </c>
      <c r="E124" s="967" t="s">
        <v>1399</v>
      </c>
      <c r="F124" s="979" t="s">
        <v>373</v>
      </c>
      <c r="G124" s="1185" t="s">
        <v>1089</v>
      </c>
      <c r="H124" s="970" t="s">
        <v>966</v>
      </c>
      <c r="I124" s="970"/>
      <c r="J124" s="970"/>
      <c r="K124" s="995" t="n">
        <v>308.57</v>
      </c>
      <c r="L124" s="1181" t="n">
        <v>1441</v>
      </c>
      <c r="M124" s="1084" t="n">
        <f aca="false">L124/365</f>
        <v>3.94794520547945</v>
      </c>
      <c r="N124" s="974" t="n">
        <v>45636</v>
      </c>
      <c r="O124" s="975" t="n">
        <v>218.44</v>
      </c>
      <c r="P124" s="1001" t="s">
        <v>966</v>
      </c>
      <c r="Q124" s="1001" t="s">
        <v>966</v>
      </c>
      <c r="R124" s="1001"/>
      <c r="S124" s="978"/>
      <c r="T124" s="1180" t="s">
        <v>966</v>
      </c>
      <c r="U124" s="979" t="n">
        <v>1</v>
      </c>
      <c r="V124" s="980" t="n">
        <f aca="false">+O124*40000000/1000</f>
        <v>8737600</v>
      </c>
      <c r="W124" s="981" t="n">
        <v>6</v>
      </c>
      <c r="X124" s="1014" t="s">
        <v>302</v>
      </c>
      <c r="Y124" s="999" t="s">
        <v>1009</v>
      </c>
      <c r="Z124" s="979" t="s">
        <v>362</v>
      </c>
      <c r="AA124" s="979" t="s">
        <v>362</v>
      </c>
      <c r="AB124" s="979" t="s">
        <v>362</v>
      </c>
      <c r="AC124" s="984" t="s">
        <v>1400</v>
      </c>
      <c r="AD124" s="985" t="s">
        <v>505</v>
      </c>
      <c r="AE124" s="986"/>
      <c r="AF124" s="987" t="n">
        <v>40000</v>
      </c>
      <c r="AG124" s="988" t="n">
        <f aca="false">40000000*O124/1000</f>
        <v>8737600</v>
      </c>
      <c r="AH124" s="997" t="n">
        <v>5</v>
      </c>
      <c r="AI124" s="1085" t="n">
        <f aca="false">AG124*AH124</f>
        <v>43688000</v>
      </c>
      <c r="AJ124" s="988" t="n">
        <f aca="false">200000000*O124/1000</f>
        <v>43688000</v>
      </c>
      <c r="AK124" s="1224" t="n">
        <f aca="false">300000000*O124/1000</f>
        <v>65532000</v>
      </c>
      <c r="AL124" s="988" t="n">
        <f aca="false">1050000000*O124/1000</f>
        <v>229362000</v>
      </c>
      <c r="AM124" s="991"/>
      <c r="AO124" s="929" t="n">
        <f aca="false">(AJ124/O124)*1000</f>
        <v>200000000</v>
      </c>
    </row>
    <row r="125" customFormat="false" ht="16.5" hidden="false" customHeight="false" outlineLevel="0" collapsed="false">
      <c r="A125" s="1004"/>
      <c r="B125" s="1179" t="s">
        <v>1401</v>
      </c>
      <c r="C125" s="965" t="s">
        <v>1402</v>
      </c>
      <c r="D125" s="1003" t="s">
        <v>1403</v>
      </c>
      <c r="E125" s="967" t="s">
        <v>1404</v>
      </c>
      <c r="F125" s="979" t="s">
        <v>373</v>
      </c>
      <c r="G125" s="1185" t="s">
        <v>1089</v>
      </c>
      <c r="H125" s="970" t="s">
        <v>966</v>
      </c>
      <c r="I125" s="970"/>
      <c r="J125" s="970"/>
      <c r="K125" s="995" t="n">
        <v>407.33</v>
      </c>
      <c r="L125" s="1181" t="n">
        <v>1437</v>
      </c>
      <c r="M125" s="1084" t="n">
        <f aca="false">L125/365</f>
        <v>3.93698630136986</v>
      </c>
      <c r="N125" s="974" t="n">
        <v>45636</v>
      </c>
      <c r="O125" s="975" t="n">
        <v>286.385</v>
      </c>
      <c r="P125" s="1001" t="s">
        <v>966</v>
      </c>
      <c r="Q125" s="1001" t="s">
        <v>966</v>
      </c>
      <c r="R125" s="1001"/>
      <c r="S125" s="978"/>
      <c r="T125" s="1180" t="s">
        <v>966</v>
      </c>
      <c r="U125" s="979" t="n">
        <v>1</v>
      </c>
      <c r="V125" s="980" t="n">
        <f aca="false">+O125*40000000/1000</f>
        <v>11455400</v>
      </c>
      <c r="W125" s="981" t="n">
        <v>6</v>
      </c>
      <c r="X125" s="1014" t="s">
        <v>302</v>
      </c>
      <c r="Y125" s="999" t="s">
        <v>1009</v>
      </c>
      <c r="Z125" s="979" t="s">
        <v>362</v>
      </c>
      <c r="AA125" s="979" t="s">
        <v>362</v>
      </c>
      <c r="AB125" s="979" t="s">
        <v>362</v>
      </c>
      <c r="AC125" s="984" t="s">
        <v>1400</v>
      </c>
      <c r="AD125" s="985" t="s">
        <v>505</v>
      </c>
      <c r="AE125" s="986"/>
      <c r="AF125" s="987" t="n">
        <v>40000</v>
      </c>
      <c r="AG125" s="988" t="n">
        <f aca="false">40000000*O125/1000</f>
        <v>11455400</v>
      </c>
      <c r="AH125" s="997" t="n">
        <v>5</v>
      </c>
      <c r="AI125" s="1085" t="n">
        <f aca="false">AG125*AH125</f>
        <v>57277000</v>
      </c>
      <c r="AJ125" s="988" t="n">
        <f aca="false">200000000*O125/1000</f>
        <v>57277000</v>
      </c>
      <c r="AK125" s="1224" t="n">
        <f aca="false">300000000*O125/1000</f>
        <v>85915500</v>
      </c>
      <c r="AL125" s="988" t="n">
        <f aca="false">1050000000*O125/1000</f>
        <v>300704250</v>
      </c>
      <c r="AM125" s="991"/>
      <c r="AO125" s="929" t="n">
        <f aca="false">(AJ125/O125)*1000</f>
        <v>200000000</v>
      </c>
    </row>
    <row r="126" customFormat="false" ht="16.5" hidden="false" customHeight="false" outlineLevel="0" collapsed="false">
      <c r="A126" s="1004"/>
      <c r="B126" s="1179" t="s">
        <v>1405</v>
      </c>
      <c r="C126" s="965" t="s">
        <v>1406</v>
      </c>
      <c r="D126" s="1003" t="s">
        <v>1407</v>
      </c>
      <c r="E126" s="967" t="s">
        <v>1408</v>
      </c>
      <c r="F126" s="979" t="s">
        <v>373</v>
      </c>
      <c r="G126" s="994" t="s">
        <v>973</v>
      </c>
      <c r="H126" s="970" t="s">
        <v>966</v>
      </c>
      <c r="I126" s="970"/>
      <c r="J126" s="970"/>
      <c r="K126" s="995" t="n">
        <v>413.71</v>
      </c>
      <c r="L126" s="1181" t="n">
        <v>1440</v>
      </c>
      <c r="M126" s="1084" t="n">
        <f aca="false">L126/365</f>
        <v>3.94520547945205</v>
      </c>
      <c r="N126" s="974" t="n">
        <v>45636</v>
      </c>
      <c r="O126" s="975" t="n">
        <v>299.72</v>
      </c>
      <c r="P126" s="1001" t="s">
        <v>966</v>
      </c>
      <c r="Q126" s="1001" t="s">
        <v>966</v>
      </c>
      <c r="R126" s="1001"/>
      <c r="S126" s="978"/>
      <c r="T126" s="1180" t="s">
        <v>966</v>
      </c>
      <c r="U126" s="979" t="n">
        <v>1</v>
      </c>
      <c r="V126" s="980" t="n">
        <f aca="false">+O126*40000000/1000</f>
        <v>11988800</v>
      </c>
      <c r="W126" s="981" t="n">
        <v>6</v>
      </c>
      <c r="X126" s="1014" t="s">
        <v>302</v>
      </c>
      <c r="Y126" s="999" t="s">
        <v>1009</v>
      </c>
      <c r="Z126" s="979" t="s">
        <v>362</v>
      </c>
      <c r="AA126" s="979" t="s">
        <v>362</v>
      </c>
      <c r="AB126" s="979" t="s">
        <v>362</v>
      </c>
      <c r="AC126" s="984" t="s">
        <v>1409</v>
      </c>
      <c r="AD126" s="985" t="s">
        <v>505</v>
      </c>
      <c r="AE126" s="986"/>
      <c r="AF126" s="987" t="n">
        <v>40000</v>
      </c>
      <c r="AG126" s="988" t="n">
        <f aca="false">40000000*O126/1000</f>
        <v>11988800</v>
      </c>
      <c r="AH126" s="997" t="n">
        <v>5</v>
      </c>
      <c r="AI126" s="1085" t="n">
        <f aca="false">AG126*AH126</f>
        <v>59944000</v>
      </c>
      <c r="AJ126" s="988" t="n">
        <f aca="false">200000000*O126/1000</f>
        <v>59944000</v>
      </c>
      <c r="AK126" s="1224" t="n">
        <f aca="false">300000000*O126/1000</f>
        <v>89916000</v>
      </c>
      <c r="AL126" s="988" t="n">
        <f aca="false">1050000000*O126/1000</f>
        <v>314706000</v>
      </c>
      <c r="AM126" s="991"/>
      <c r="AO126" s="929" t="n">
        <f aca="false">(AJ126/O126)*1000</f>
        <v>200000000</v>
      </c>
    </row>
    <row r="127" customFormat="false" ht="16.5" hidden="false" customHeight="false" outlineLevel="0" collapsed="false">
      <c r="A127" s="1004"/>
      <c r="B127" s="1179" t="s">
        <v>1410</v>
      </c>
      <c r="C127" s="965" t="s">
        <v>1411</v>
      </c>
      <c r="D127" s="1003" t="s">
        <v>1412</v>
      </c>
      <c r="E127" s="967" t="s">
        <v>1413</v>
      </c>
      <c r="F127" s="979" t="s">
        <v>373</v>
      </c>
      <c r="G127" s="994" t="s">
        <v>809</v>
      </c>
      <c r="H127" s="970" t="s">
        <v>966</v>
      </c>
      <c r="I127" s="970"/>
      <c r="J127" s="970"/>
      <c r="K127" s="995" t="n">
        <v>984.32</v>
      </c>
      <c r="L127" s="1181" t="n">
        <v>1431</v>
      </c>
      <c r="M127" s="1084" t="n">
        <f aca="false">L127/365</f>
        <v>3.92054794520548</v>
      </c>
      <c r="N127" s="974" t="n">
        <v>45636</v>
      </c>
      <c r="O127" s="975" t="n">
        <v>688.34</v>
      </c>
      <c r="P127" s="1001" t="s">
        <v>966</v>
      </c>
      <c r="Q127" s="1001" t="s">
        <v>966</v>
      </c>
      <c r="R127" s="1001"/>
      <c r="S127" s="978"/>
      <c r="T127" s="1180" t="s">
        <v>966</v>
      </c>
      <c r="U127" s="979" t="n">
        <v>1</v>
      </c>
      <c r="V127" s="980" t="n">
        <f aca="false">+O127*40000000/1000</f>
        <v>27533600</v>
      </c>
      <c r="W127" s="981" t="n">
        <v>6</v>
      </c>
      <c r="X127" s="1014" t="s">
        <v>302</v>
      </c>
      <c r="Y127" s="999" t="s">
        <v>1009</v>
      </c>
      <c r="Z127" s="979" t="s">
        <v>362</v>
      </c>
      <c r="AA127" s="979" t="s">
        <v>362</v>
      </c>
      <c r="AB127" s="979" t="s">
        <v>362</v>
      </c>
      <c r="AC127" s="984" t="s">
        <v>1414</v>
      </c>
      <c r="AD127" s="985" t="s">
        <v>505</v>
      </c>
      <c r="AE127" s="986"/>
      <c r="AF127" s="987" t="n">
        <v>40000</v>
      </c>
      <c r="AG127" s="988" t="n">
        <f aca="false">40000000*O127/1000</f>
        <v>27533600</v>
      </c>
      <c r="AH127" s="997" t="n">
        <v>5</v>
      </c>
      <c r="AI127" s="1085" t="n">
        <f aca="false">AG127*AH127</f>
        <v>137668000</v>
      </c>
      <c r="AJ127" s="988" t="n">
        <f aca="false">200000000*O127/1000</f>
        <v>137668000</v>
      </c>
      <c r="AK127" s="1224" t="n">
        <f aca="false">300000000*O127/1000</f>
        <v>206502000</v>
      </c>
      <c r="AL127" s="988" t="n">
        <f aca="false">1050000000*O127/1000</f>
        <v>722757000</v>
      </c>
      <c r="AM127" s="991"/>
      <c r="AO127" s="929" t="n">
        <f aca="false">(AJ127/O127)*1000</f>
        <v>200000000</v>
      </c>
    </row>
    <row r="128" customFormat="false" ht="16.5" hidden="false" customHeight="false" outlineLevel="0" collapsed="false">
      <c r="A128" s="1004"/>
      <c r="B128" s="1179" t="s">
        <v>1415</v>
      </c>
      <c r="C128" s="965" t="s">
        <v>1416</v>
      </c>
      <c r="D128" s="1003" t="s">
        <v>1417</v>
      </c>
      <c r="E128" s="967" t="s">
        <v>1418</v>
      </c>
      <c r="F128" s="979" t="s">
        <v>373</v>
      </c>
      <c r="G128" s="994" t="s">
        <v>870</v>
      </c>
      <c r="H128" s="970" t="s">
        <v>966</v>
      </c>
      <c r="I128" s="970"/>
      <c r="J128" s="970"/>
      <c r="K128" s="995" t="n">
        <v>1254.6</v>
      </c>
      <c r="L128" s="1181" t="n">
        <v>1402</v>
      </c>
      <c r="M128" s="1084" t="n">
        <f aca="false">L128/365</f>
        <v>3.84109589041096</v>
      </c>
      <c r="N128" s="974" t="n">
        <v>45644</v>
      </c>
      <c r="O128" s="975" t="n">
        <v>894.08</v>
      </c>
      <c r="P128" s="1001" t="s">
        <v>966</v>
      </c>
      <c r="Q128" s="1001" t="s">
        <v>966</v>
      </c>
      <c r="R128" s="1001"/>
      <c r="S128" s="978"/>
      <c r="T128" s="1180" t="s">
        <v>966</v>
      </c>
      <c r="U128" s="979" t="n">
        <v>1</v>
      </c>
      <c r="V128" s="980" t="n">
        <f aca="false">+O128*40000000/1000</f>
        <v>35763200</v>
      </c>
      <c r="W128" s="981" t="n">
        <v>6</v>
      </c>
      <c r="X128" s="968" t="s">
        <v>817</v>
      </c>
      <c r="Y128" s="999" t="s">
        <v>1009</v>
      </c>
      <c r="Z128" s="979" t="s">
        <v>362</v>
      </c>
      <c r="AA128" s="979" t="s">
        <v>362</v>
      </c>
      <c r="AB128" s="979" t="s">
        <v>362</v>
      </c>
      <c r="AC128" s="984" t="s">
        <v>1419</v>
      </c>
      <c r="AD128" s="985" t="s">
        <v>505</v>
      </c>
      <c r="AE128" s="986"/>
      <c r="AF128" s="987" t="n">
        <v>40000</v>
      </c>
      <c r="AG128" s="988" t="n">
        <f aca="false">40000000*O128/1000</f>
        <v>35763200</v>
      </c>
      <c r="AH128" s="997" t="n">
        <v>5</v>
      </c>
      <c r="AI128" s="1085" t="n">
        <f aca="false">AG128*AH128</f>
        <v>178816000</v>
      </c>
      <c r="AJ128" s="988" t="n">
        <f aca="false">200000000*O128/1000</f>
        <v>178816000</v>
      </c>
      <c r="AK128" s="1224" t="n">
        <f aca="false">300000000*O128/1000</f>
        <v>268224000</v>
      </c>
      <c r="AL128" s="988" t="n">
        <f aca="false">1050000000*O128/1000</f>
        <v>938784000</v>
      </c>
      <c r="AM128" s="991"/>
      <c r="AO128" s="929" t="n">
        <f aca="false">(AJ128/O128)*1000</f>
        <v>200000000</v>
      </c>
    </row>
    <row r="129" customFormat="false" ht="16.5" hidden="false" customHeight="false" outlineLevel="0" collapsed="false">
      <c r="A129" s="1004"/>
      <c r="B129" s="1179" t="s">
        <v>1420</v>
      </c>
      <c r="C129" s="965" t="s">
        <v>1421</v>
      </c>
      <c r="D129" s="998" t="s">
        <v>1422</v>
      </c>
      <c r="E129" s="967"/>
      <c r="F129" s="979" t="s">
        <v>373</v>
      </c>
      <c r="G129" s="994" t="s">
        <v>809</v>
      </c>
      <c r="H129" s="970" t="s">
        <v>966</v>
      </c>
      <c r="I129" s="970"/>
      <c r="J129" s="970"/>
      <c r="K129" s="995" t="n">
        <v>447.91</v>
      </c>
      <c r="L129" s="1181" t="n">
        <v>1422</v>
      </c>
      <c r="M129" s="1084" t="n">
        <f aca="false">L129/365</f>
        <v>3.8958904109589</v>
      </c>
      <c r="N129" s="974" t="n">
        <v>45688</v>
      </c>
      <c r="O129" s="975" t="n">
        <v>316.23</v>
      </c>
      <c r="P129" s="1001"/>
      <c r="Q129" s="1001" t="s">
        <v>966</v>
      </c>
      <c r="R129" s="1001"/>
      <c r="S129" s="978"/>
      <c r="T129" s="1180" t="s">
        <v>966</v>
      </c>
      <c r="U129" s="979" t="n">
        <v>1</v>
      </c>
      <c r="V129" s="980" t="n">
        <f aca="false">+O129*40000000/1000</f>
        <v>12649200</v>
      </c>
      <c r="W129" s="981" t="n">
        <v>6</v>
      </c>
      <c r="X129" s="1014" t="s">
        <v>302</v>
      </c>
      <c r="Y129" s="999" t="s">
        <v>1009</v>
      </c>
      <c r="Z129" s="979" t="s">
        <v>362</v>
      </c>
      <c r="AA129" s="979" t="s">
        <v>362</v>
      </c>
      <c r="AB129" s="979" t="s">
        <v>362</v>
      </c>
      <c r="AC129" s="984" t="s">
        <v>1423</v>
      </c>
      <c r="AD129" s="985" t="s">
        <v>505</v>
      </c>
      <c r="AE129" s="986"/>
      <c r="AF129" s="987" t="n">
        <v>40000</v>
      </c>
      <c r="AG129" s="988" t="n">
        <f aca="false">40000000*O129/1000</f>
        <v>12649200</v>
      </c>
      <c r="AH129" s="997" t="n">
        <v>5</v>
      </c>
      <c r="AI129" s="1085" t="n">
        <f aca="false">AG129*AH129</f>
        <v>63246000</v>
      </c>
      <c r="AJ129" s="988" t="n">
        <f aca="false">200000000*O129/1000</f>
        <v>63246000</v>
      </c>
      <c r="AK129" s="1224" t="n">
        <f aca="false">300000000*O129/1000</f>
        <v>94869000</v>
      </c>
      <c r="AL129" s="988" t="n">
        <f aca="false">1050000000*O129/1000</f>
        <v>332041500</v>
      </c>
      <c r="AO129" s="929" t="n">
        <f aca="false">(AJ129/O129)*1000</f>
        <v>200000000</v>
      </c>
    </row>
    <row r="130" customFormat="false" ht="16.5" hidden="false" customHeight="false" outlineLevel="0" collapsed="false">
      <c r="A130" s="1004"/>
      <c r="B130" s="1179" t="s">
        <v>1424</v>
      </c>
      <c r="C130" s="965" t="s">
        <v>1425</v>
      </c>
      <c r="D130" s="1246" t="s">
        <v>1426</v>
      </c>
      <c r="E130" s="967"/>
      <c r="F130" s="979" t="s">
        <v>373</v>
      </c>
      <c r="G130" s="994" t="s">
        <v>1254</v>
      </c>
      <c r="H130" s="970" t="n">
        <v>0.089</v>
      </c>
      <c r="I130" s="970" t="n">
        <v>0.092</v>
      </c>
      <c r="J130" s="970" t="n">
        <v>0.093</v>
      </c>
      <c r="K130" s="995" t="n">
        <v>2022.950615</v>
      </c>
      <c r="L130" s="1181" t="n">
        <v>1409</v>
      </c>
      <c r="M130" s="1084" t="n">
        <f aca="false">L130/365</f>
        <v>3.86027397260274</v>
      </c>
      <c r="N130" s="974" t="n">
        <v>45751</v>
      </c>
      <c r="O130" s="975" t="n">
        <v>1435.735</v>
      </c>
      <c r="P130" s="1001"/>
      <c r="Q130" s="1001" t="s">
        <v>966</v>
      </c>
      <c r="R130" s="1001"/>
      <c r="S130" s="978"/>
      <c r="T130" s="1180" t="s">
        <v>966</v>
      </c>
      <c r="U130" s="979" t="n">
        <v>1</v>
      </c>
      <c r="V130" s="980"/>
      <c r="W130" s="981" t="n">
        <v>6</v>
      </c>
      <c r="X130" s="1014" t="s">
        <v>794</v>
      </c>
      <c r="Y130" s="999" t="s">
        <v>1009</v>
      </c>
      <c r="Z130" s="979" t="s">
        <v>362</v>
      </c>
      <c r="AA130" s="979" t="s">
        <v>362</v>
      </c>
      <c r="AB130" s="979" t="s">
        <v>362</v>
      </c>
      <c r="AC130" s="984" t="s">
        <v>1427</v>
      </c>
      <c r="AD130" s="985" t="s">
        <v>505</v>
      </c>
      <c r="AE130" s="986"/>
      <c r="AF130" s="987" t="n">
        <v>40000</v>
      </c>
      <c r="AG130" s="988" t="n">
        <f aca="false">+O130*AF130</f>
        <v>57429400</v>
      </c>
      <c r="AH130" s="997" t="n">
        <v>5</v>
      </c>
      <c r="AI130" s="1085" t="n">
        <f aca="false">AG130*AH130</f>
        <v>287147000</v>
      </c>
      <c r="AJ130" s="988" t="n">
        <f aca="false">200000000*O130/1000</f>
        <v>287147000</v>
      </c>
      <c r="AK130" s="1224" t="n">
        <f aca="false">300000000*O130/1000</f>
        <v>430720500</v>
      </c>
      <c r="AL130" s="988" t="n">
        <f aca="false">1050000000*O130/1000</f>
        <v>1507521750</v>
      </c>
      <c r="AM130" s="991" t="s">
        <v>1357</v>
      </c>
    </row>
    <row r="131" customFormat="false" ht="16.5" hidden="false" customHeight="false" outlineLevel="0" collapsed="false">
      <c r="A131" s="1004"/>
      <c r="B131" s="1234"/>
      <c r="C131" s="1190"/>
      <c r="D131" s="1142"/>
      <c r="E131" s="1192"/>
      <c r="F131" s="1063"/>
      <c r="G131" s="1063"/>
      <c r="H131" s="1216"/>
      <c r="I131" s="1216"/>
      <c r="J131" s="1216"/>
      <c r="K131" s="1247"/>
      <c r="L131" s="1248"/>
      <c r="M131" s="1249"/>
      <c r="N131" s="1150"/>
      <c r="O131" s="1059"/>
      <c r="P131" s="1060"/>
      <c r="Q131" s="1060"/>
      <c r="R131" s="1060"/>
      <c r="S131" s="1062"/>
      <c r="T131" s="1250"/>
      <c r="U131" s="1063"/>
      <c r="V131" s="1064"/>
      <c r="W131" s="1106"/>
      <c r="X131" s="1251"/>
      <c r="Y131" s="1252"/>
      <c r="Z131" s="1063"/>
      <c r="AA131" s="1063"/>
      <c r="AB131" s="1063"/>
      <c r="AC131" s="1108"/>
      <c r="AD131" s="1109"/>
      <c r="AE131" s="1110"/>
      <c r="AF131" s="1112"/>
      <c r="AG131" s="1112"/>
      <c r="AH131" s="1113"/>
      <c r="AI131" s="1253"/>
      <c r="AJ131" s="1112"/>
      <c r="AK131" s="1254"/>
      <c r="AL131" s="1112"/>
      <c r="AM131" s="1255"/>
    </row>
    <row r="132" customFormat="false" ht="16.5" hidden="false" customHeight="false" outlineLevel="0" collapsed="false">
      <c r="A132" s="1256" t="s">
        <v>1428</v>
      </c>
      <c r="B132" s="1257" t="n">
        <f aca="false">SUM(A11,A27,A57,A73,A86,A110)</f>
        <v>132991.79</v>
      </c>
      <c r="C132" s="932"/>
      <c r="D132" s="1097"/>
      <c r="E132" s="932"/>
      <c r="F132" s="934"/>
      <c r="G132" s="934"/>
      <c r="H132" s="1258"/>
      <c r="I132" s="1258"/>
      <c r="J132" s="1258"/>
      <c r="K132" s="1259"/>
      <c r="L132" s="1260"/>
      <c r="M132" s="1261"/>
      <c r="N132" s="934"/>
      <c r="O132" s="938"/>
      <c r="P132" s="940"/>
      <c r="Q132" s="940"/>
      <c r="R132" s="934"/>
      <c r="S132" s="934"/>
      <c r="T132" s="934"/>
      <c r="U132" s="934"/>
      <c r="V132" s="1262"/>
      <c r="W132" s="936"/>
      <c r="X132" s="1263"/>
      <c r="Y132" s="934"/>
      <c r="Z132" s="934"/>
      <c r="AA132" s="934"/>
      <c r="AB132" s="934"/>
      <c r="AC132" s="1264"/>
      <c r="AD132" s="917"/>
      <c r="AE132" s="934"/>
      <c r="AF132" s="917"/>
      <c r="AG132" s="917"/>
      <c r="AH132" s="1265"/>
      <c r="AI132" s="1266"/>
      <c r="AJ132" s="917"/>
      <c r="AK132" s="917"/>
      <c r="AL132" s="917"/>
      <c r="AM132" s="1267"/>
    </row>
    <row r="133" customFormat="false" ht="16.5" hidden="false" customHeight="false" outlineLevel="0" collapsed="false">
      <c r="D133" s="1268"/>
      <c r="H133" s="1269"/>
      <c r="I133" s="1269"/>
      <c r="J133" s="1269"/>
      <c r="U133" s="912"/>
      <c r="X133" s="1270"/>
      <c r="Y133" s="912"/>
    </row>
    <row r="134" customFormat="false" ht="16.5" hidden="false" customHeight="false" outlineLevel="0" collapsed="false">
      <c r="H134" s="1269"/>
      <c r="I134" s="1269"/>
      <c r="J134" s="1269"/>
      <c r="U134" s="912"/>
      <c r="X134" s="1270"/>
      <c r="Y134" s="912"/>
    </row>
    <row r="135" customFormat="false" ht="16.5" hidden="false" customHeight="false" outlineLevel="0" collapsed="false">
      <c r="B135" s="914"/>
      <c r="H135" s="1269"/>
      <c r="I135" s="1269"/>
      <c r="J135" s="1269"/>
      <c r="U135" s="912"/>
      <c r="X135" s="1270"/>
      <c r="Y135" s="912"/>
    </row>
    <row r="136" customFormat="false" ht="16.5" hidden="false" customHeight="false" outlineLevel="0" collapsed="false">
      <c r="D136" s="912"/>
      <c r="E136" s="912"/>
      <c r="K136" s="1271"/>
      <c r="L136" s="912"/>
      <c r="M136" s="1272"/>
      <c r="P136" s="912"/>
      <c r="Q136" s="912"/>
      <c r="U136" s="912"/>
      <c r="X136" s="1270"/>
      <c r="Y136" s="912"/>
    </row>
    <row r="137" customFormat="false" ht="16.5" hidden="false" customHeight="false" outlineLevel="0" collapsed="false">
      <c r="D137" s="912"/>
      <c r="E137" s="912"/>
      <c r="K137" s="1271"/>
      <c r="L137" s="912"/>
      <c r="M137" s="1272"/>
      <c r="P137" s="912"/>
      <c r="Q137" s="912"/>
      <c r="U137" s="912"/>
      <c r="X137" s="1270"/>
      <c r="Y137" s="912"/>
    </row>
    <row r="138" customFormat="false" ht="16.5" hidden="false" customHeight="false" outlineLevel="0" collapsed="false">
      <c r="D138" s="912"/>
      <c r="E138" s="912"/>
      <c r="K138" s="1271"/>
      <c r="L138" s="912"/>
      <c r="M138" s="1272"/>
      <c r="P138" s="912"/>
      <c r="Q138" s="912"/>
      <c r="U138" s="912"/>
      <c r="X138" s="1270"/>
      <c r="Y138" s="912"/>
    </row>
    <row r="139" customFormat="false" ht="16.5" hidden="false" customHeight="false" outlineLevel="0" collapsed="false">
      <c r="D139" s="912"/>
      <c r="E139" s="912"/>
      <c r="K139" s="1271"/>
      <c r="L139" s="912"/>
      <c r="M139" s="1272"/>
      <c r="P139" s="912"/>
      <c r="Q139" s="912"/>
      <c r="U139" s="912"/>
    </row>
    <row r="140" s="920" customFormat="true" ht="16.5" hidden="false" customHeight="false" outlineLevel="0" collapsed="false">
      <c r="A140" s="912"/>
      <c r="B140" s="913"/>
      <c r="C140" s="914"/>
      <c r="D140" s="912"/>
      <c r="E140" s="912"/>
      <c r="F140" s="912"/>
      <c r="G140" s="912"/>
      <c r="H140" s="912"/>
      <c r="I140" s="912"/>
      <c r="J140" s="912"/>
      <c r="K140" s="1271"/>
      <c r="L140" s="912"/>
      <c r="M140" s="1272"/>
      <c r="N140" s="912"/>
      <c r="O140" s="919"/>
      <c r="P140" s="912"/>
      <c r="Q140" s="912"/>
      <c r="R140" s="912"/>
      <c r="S140" s="912"/>
      <c r="T140" s="912"/>
      <c r="U140" s="912"/>
      <c r="V140" s="921"/>
      <c r="W140" s="912"/>
      <c r="X140" s="922"/>
      <c r="Y140" s="923"/>
      <c r="Z140" s="912"/>
      <c r="AA140" s="912"/>
      <c r="AB140" s="912"/>
      <c r="AC140" s="924"/>
      <c r="AD140" s="925"/>
      <c r="AE140" s="912"/>
      <c r="AF140" s="925"/>
      <c r="AG140" s="925"/>
      <c r="AH140" s="1273"/>
      <c r="AI140" s="1274"/>
      <c r="AJ140" s="925"/>
      <c r="AK140" s="925"/>
      <c r="AL140" s="925"/>
      <c r="AM140" s="928"/>
      <c r="AO140" s="1272"/>
    </row>
    <row r="141" s="920" customFormat="true" ht="16.5" hidden="false" customHeight="false" outlineLevel="0" collapsed="false">
      <c r="A141" s="912"/>
      <c r="B141" s="913"/>
      <c r="C141" s="914"/>
      <c r="D141" s="912"/>
      <c r="E141" s="912"/>
      <c r="F141" s="912"/>
      <c r="G141" s="912"/>
      <c r="H141" s="912"/>
      <c r="I141" s="912"/>
      <c r="J141" s="912"/>
      <c r="K141" s="1271"/>
      <c r="L141" s="912"/>
      <c r="M141" s="1272"/>
      <c r="N141" s="912"/>
      <c r="O141" s="919"/>
      <c r="P141" s="912"/>
      <c r="Q141" s="912"/>
      <c r="R141" s="912"/>
      <c r="S141" s="912"/>
      <c r="T141" s="912"/>
      <c r="U141" s="912"/>
      <c r="V141" s="921"/>
      <c r="W141" s="912"/>
      <c r="X141" s="922"/>
      <c r="Y141" s="923"/>
      <c r="Z141" s="912"/>
      <c r="AA141" s="912"/>
      <c r="AB141" s="912"/>
      <c r="AC141" s="924"/>
      <c r="AD141" s="925"/>
      <c r="AE141" s="912"/>
      <c r="AF141" s="925"/>
      <c r="AG141" s="925"/>
      <c r="AH141" s="1273"/>
      <c r="AI141" s="1274"/>
      <c r="AJ141" s="925"/>
      <c r="AK141" s="925"/>
      <c r="AL141" s="925"/>
      <c r="AM141" s="928"/>
      <c r="AO141" s="1272"/>
    </row>
    <row r="142" s="920" customFormat="true" ht="16.5" hidden="false" customHeight="false" outlineLevel="0" collapsed="false">
      <c r="A142" s="912"/>
      <c r="B142" s="913"/>
      <c r="C142" s="914"/>
      <c r="D142" s="915"/>
      <c r="E142" s="914"/>
      <c r="F142" s="912"/>
      <c r="G142" s="912"/>
      <c r="H142" s="1269"/>
      <c r="I142" s="1269"/>
      <c r="J142" s="1269"/>
      <c r="K142" s="916"/>
      <c r="L142" s="917"/>
      <c r="M142" s="918"/>
      <c r="N142" s="912"/>
      <c r="O142" s="919"/>
      <c r="R142" s="912"/>
      <c r="S142" s="912"/>
      <c r="T142" s="912"/>
      <c r="U142" s="912"/>
      <c r="V142" s="921"/>
      <c r="W142" s="912"/>
      <c r="X142" s="922"/>
      <c r="Y142" s="923"/>
      <c r="Z142" s="912"/>
      <c r="AA142" s="912"/>
      <c r="AB142" s="912"/>
      <c r="AC142" s="924"/>
      <c r="AD142" s="925"/>
      <c r="AE142" s="912"/>
      <c r="AF142" s="925"/>
      <c r="AG142" s="925"/>
      <c r="AH142" s="1273"/>
      <c r="AI142" s="1274"/>
      <c r="AJ142" s="925"/>
      <c r="AK142" s="925"/>
      <c r="AL142" s="925"/>
      <c r="AM142" s="928"/>
      <c r="AO142" s="1272"/>
    </row>
    <row r="143" s="920" customFormat="true" ht="16.5" hidden="false" customHeight="false" outlineLevel="0" collapsed="false">
      <c r="A143" s="912"/>
      <c r="B143" s="913"/>
      <c r="C143" s="914"/>
      <c r="D143" s="915"/>
      <c r="E143" s="914"/>
      <c r="F143" s="912"/>
      <c r="G143" s="912"/>
      <c r="H143" s="1269"/>
      <c r="I143" s="1269"/>
      <c r="J143" s="1269"/>
      <c r="K143" s="916"/>
      <c r="L143" s="917"/>
      <c r="M143" s="918"/>
      <c r="N143" s="912"/>
      <c r="O143" s="919"/>
      <c r="R143" s="912"/>
      <c r="S143" s="912"/>
      <c r="T143" s="912"/>
      <c r="U143" s="912"/>
      <c r="V143" s="921"/>
      <c r="W143" s="912"/>
      <c r="X143" s="922"/>
      <c r="Y143" s="923"/>
      <c r="Z143" s="912"/>
      <c r="AA143" s="912"/>
      <c r="AB143" s="912"/>
      <c r="AC143" s="924"/>
      <c r="AD143" s="925"/>
      <c r="AE143" s="912"/>
      <c r="AF143" s="925"/>
      <c r="AG143" s="925"/>
      <c r="AH143" s="1273"/>
      <c r="AI143" s="1274"/>
      <c r="AJ143" s="925"/>
      <c r="AK143" s="925"/>
      <c r="AL143" s="925"/>
      <c r="AM143" s="928"/>
      <c r="AO143" s="1272"/>
    </row>
    <row r="144" s="920" customFormat="true" ht="16.5" hidden="false" customHeight="false" outlineLevel="0" collapsed="false">
      <c r="A144" s="912"/>
      <c r="B144" s="913"/>
      <c r="C144" s="914"/>
      <c r="D144" s="915"/>
      <c r="E144" s="914"/>
      <c r="F144" s="912"/>
      <c r="G144" s="912"/>
      <c r="H144" s="1269"/>
      <c r="I144" s="1269"/>
      <c r="J144" s="1269"/>
      <c r="K144" s="916"/>
      <c r="L144" s="917"/>
      <c r="M144" s="918"/>
      <c r="N144" s="912"/>
      <c r="O144" s="919"/>
      <c r="R144" s="912"/>
      <c r="S144" s="912"/>
      <c r="T144" s="912"/>
      <c r="U144" s="912"/>
      <c r="V144" s="921"/>
      <c r="W144" s="912"/>
      <c r="X144" s="922"/>
      <c r="Y144" s="923"/>
      <c r="Z144" s="912"/>
      <c r="AA144" s="912"/>
      <c r="AB144" s="912"/>
      <c r="AC144" s="924"/>
      <c r="AD144" s="925"/>
      <c r="AE144" s="912"/>
      <c r="AF144" s="925"/>
      <c r="AG144" s="925"/>
      <c r="AH144" s="1273"/>
      <c r="AI144" s="1274"/>
      <c r="AJ144" s="925"/>
      <c r="AK144" s="925"/>
      <c r="AL144" s="925"/>
      <c r="AM144" s="928"/>
      <c r="AO144" s="1272"/>
    </row>
    <row r="145" s="920" customFormat="true" ht="16.5" hidden="false" customHeight="false" outlineLevel="0" collapsed="false">
      <c r="A145" s="912"/>
      <c r="B145" s="913"/>
      <c r="C145" s="914"/>
      <c r="D145" s="915"/>
      <c r="E145" s="914"/>
      <c r="F145" s="912"/>
      <c r="G145" s="912"/>
      <c r="H145" s="1269"/>
      <c r="I145" s="1269"/>
      <c r="J145" s="1269"/>
      <c r="K145" s="916"/>
      <c r="L145" s="917"/>
      <c r="M145" s="918"/>
      <c r="N145" s="912"/>
      <c r="O145" s="919"/>
      <c r="R145" s="912"/>
      <c r="S145" s="912"/>
      <c r="T145" s="912"/>
      <c r="U145" s="912"/>
      <c r="V145" s="921"/>
      <c r="W145" s="912"/>
      <c r="X145" s="922"/>
      <c r="Y145" s="923"/>
      <c r="Z145" s="912"/>
      <c r="AA145" s="912"/>
      <c r="AB145" s="912"/>
      <c r="AC145" s="924"/>
      <c r="AD145" s="925"/>
      <c r="AE145" s="912"/>
      <c r="AF145" s="925"/>
      <c r="AG145" s="925"/>
      <c r="AH145" s="1273"/>
      <c r="AI145" s="1274"/>
      <c r="AJ145" s="925"/>
      <c r="AK145" s="925"/>
      <c r="AL145" s="925"/>
      <c r="AM145" s="928"/>
      <c r="AO145" s="1272"/>
    </row>
    <row r="146" s="920" customFormat="true" ht="16.5" hidden="false" customHeight="false" outlineLevel="0" collapsed="false">
      <c r="A146" s="912"/>
      <c r="B146" s="913"/>
      <c r="C146" s="914"/>
      <c r="D146" s="915"/>
      <c r="E146" s="914"/>
      <c r="F146" s="912"/>
      <c r="G146" s="912"/>
      <c r="H146" s="1269"/>
      <c r="I146" s="1269"/>
      <c r="J146" s="1269"/>
      <c r="K146" s="916"/>
      <c r="L146" s="917"/>
      <c r="M146" s="918"/>
      <c r="N146" s="912"/>
      <c r="O146" s="919"/>
      <c r="R146" s="912"/>
      <c r="S146" s="912"/>
      <c r="T146" s="912"/>
      <c r="U146" s="912"/>
      <c r="V146" s="921"/>
      <c r="W146" s="912"/>
      <c r="X146" s="922"/>
      <c r="Y146" s="923"/>
      <c r="Z146" s="912"/>
      <c r="AA146" s="912"/>
      <c r="AB146" s="912"/>
      <c r="AC146" s="924"/>
      <c r="AD146" s="925"/>
      <c r="AE146" s="912"/>
      <c r="AF146" s="925"/>
      <c r="AG146" s="925"/>
      <c r="AH146" s="1273"/>
      <c r="AI146" s="1274"/>
      <c r="AJ146" s="925"/>
      <c r="AK146" s="925"/>
      <c r="AL146" s="925"/>
      <c r="AM146" s="928"/>
      <c r="AO146" s="1272"/>
    </row>
    <row r="147" s="920" customFormat="true" ht="16.5" hidden="false" customHeight="false" outlineLevel="0" collapsed="false">
      <c r="A147" s="912"/>
      <c r="B147" s="913"/>
      <c r="C147" s="914"/>
      <c r="D147" s="915"/>
      <c r="E147" s="914"/>
      <c r="F147" s="912"/>
      <c r="G147" s="912"/>
      <c r="H147" s="1269"/>
      <c r="I147" s="1269"/>
      <c r="J147" s="1269"/>
      <c r="K147" s="916"/>
      <c r="L147" s="917"/>
      <c r="M147" s="918"/>
      <c r="N147" s="912"/>
      <c r="O147" s="919"/>
      <c r="R147" s="912"/>
      <c r="S147" s="912"/>
      <c r="T147" s="912"/>
      <c r="U147" s="912"/>
      <c r="V147" s="921"/>
      <c r="W147" s="912"/>
      <c r="X147" s="922"/>
      <c r="Y147" s="923"/>
      <c r="Z147" s="912"/>
      <c r="AA147" s="912"/>
      <c r="AB147" s="912"/>
      <c r="AC147" s="924"/>
      <c r="AD147" s="925"/>
      <c r="AE147" s="912"/>
      <c r="AF147" s="925"/>
      <c r="AG147" s="925"/>
      <c r="AH147" s="1273"/>
      <c r="AI147" s="1274"/>
      <c r="AJ147" s="925"/>
      <c r="AK147" s="925"/>
      <c r="AL147" s="925"/>
      <c r="AM147" s="928"/>
      <c r="AO147" s="1272"/>
    </row>
    <row r="148" s="920" customFormat="true" ht="16.5" hidden="false" customHeight="false" outlineLevel="0" collapsed="false">
      <c r="A148" s="912"/>
      <c r="B148" s="913"/>
      <c r="C148" s="914"/>
      <c r="D148" s="915"/>
      <c r="E148" s="914"/>
      <c r="F148" s="912"/>
      <c r="G148" s="912"/>
      <c r="H148" s="1269"/>
      <c r="I148" s="1269"/>
      <c r="J148" s="1269"/>
      <c r="K148" s="916"/>
      <c r="L148" s="917"/>
      <c r="M148" s="918"/>
      <c r="N148" s="912"/>
      <c r="O148" s="919"/>
      <c r="R148" s="912"/>
      <c r="S148" s="912"/>
      <c r="T148" s="912"/>
      <c r="U148" s="912"/>
      <c r="V148" s="921"/>
      <c r="W148" s="912"/>
      <c r="X148" s="922"/>
      <c r="Y148" s="923"/>
      <c r="Z148" s="912"/>
      <c r="AA148" s="912"/>
      <c r="AB148" s="912"/>
      <c r="AC148" s="924"/>
      <c r="AD148" s="925"/>
      <c r="AE148" s="912"/>
      <c r="AF148" s="925"/>
      <c r="AG148" s="925"/>
      <c r="AH148" s="1273"/>
      <c r="AI148" s="1274"/>
      <c r="AJ148" s="925"/>
      <c r="AK148" s="925"/>
      <c r="AL148" s="925"/>
      <c r="AM148" s="928"/>
      <c r="AO148" s="1272"/>
    </row>
    <row r="149" s="920" customFormat="true" ht="16.5" hidden="false" customHeight="false" outlineLevel="0" collapsed="false">
      <c r="A149" s="912"/>
      <c r="B149" s="913"/>
      <c r="C149" s="914"/>
      <c r="D149" s="915"/>
      <c r="E149" s="914"/>
      <c r="F149" s="912"/>
      <c r="G149" s="912"/>
      <c r="H149" s="1269"/>
      <c r="I149" s="1269"/>
      <c r="J149" s="1269"/>
      <c r="K149" s="916"/>
      <c r="L149" s="917"/>
      <c r="M149" s="918"/>
      <c r="N149" s="912"/>
      <c r="O149" s="919"/>
      <c r="R149" s="912"/>
      <c r="S149" s="912"/>
      <c r="T149" s="912"/>
      <c r="U149" s="912"/>
      <c r="V149" s="921"/>
      <c r="W149" s="912"/>
      <c r="X149" s="922"/>
      <c r="Y149" s="923"/>
      <c r="Z149" s="912"/>
      <c r="AA149" s="912"/>
      <c r="AB149" s="912"/>
      <c r="AC149" s="924"/>
      <c r="AD149" s="925"/>
      <c r="AE149" s="912"/>
      <c r="AF149" s="925"/>
      <c r="AG149" s="925"/>
      <c r="AH149" s="1273"/>
      <c r="AI149" s="1274"/>
      <c r="AJ149" s="925"/>
      <c r="AK149" s="925"/>
      <c r="AL149" s="925"/>
      <c r="AM149" s="928"/>
      <c r="AO149" s="1272"/>
    </row>
    <row r="150" s="920" customFormat="true" ht="16.5" hidden="false" customHeight="false" outlineLevel="0" collapsed="false">
      <c r="A150" s="912"/>
      <c r="B150" s="913"/>
      <c r="C150" s="914"/>
      <c r="D150" s="915"/>
      <c r="E150" s="914"/>
      <c r="F150" s="912"/>
      <c r="G150" s="912"/>
      <c r="H150" s="1269"/>
      <c r="I150" s="1269"/>
      <c r="J150" s="1269"/>
      <c r="K150" s="916"/>
      <c r="L150" s="917"/>
      <c r="M150" s="918"/>
      <c r="N150" s="912"/>
      <c r="O150" s="919"/>
      <c r="R150" s="912"/>
      <c r="S150" s="912"/>
      <c r="T150" s="912"/>
      <c r="U150" s="912"/>
      <c r="V150" s="921"/>
      <c r="W150" s="912"/>
      <c r="X150" s="922"/>
      <c r="Y150" s="923"/>
      <c r="Z150" s="912"/>
      <c r="AA150" s="912"/>
      <c r="AB150" s="912"/>
      <c r="AC150" s="924"/>
      <c r="AD150" s="925"/>
      <c r="AE150" s="912"/>
      <c r="AF150" s="925"/>
      <c r="AG150" s="925"/>
      <c r="AH150" s="1273"/>
      <c r="AI150" s="1274"/>
      <c r="AJ150" s="925"/>
      <c r="AK150" s="925"/>
      <c r="AL150" s="925"/>
      <c r="AM150" s="928"/>
      <c r="AO150" s="1272"/>
    </row>
    <row r="151" s="920" customFormat="true" ht="16.5" hidden="false" customHeight="false" outlineLevel="0" collapsed="false">
      <c r="A151" s="912"/>
      <c r="B151" s="913"/>
      <c r="C151" s="914"/>
      <c r="D151" s="915"/>
      <c r="E151" s="914"/>
      <c r="F151" s="912"/>
      <c r="G151" s="912"/>
      <c r="H151" s="1269"/>
      <c r="I151" s="1269"/>
      <c r="J151" s="1269"/>
      <c r="K151" s="916"/>
      <c r="L151" s="917"/>
      <c r="M151" s="918"/>
      <c r="N151" s="912"/>
      <c r="O151" s="919"/>
      <c r="R151" s="912"/>
      <c r="S151" s="912"/>
      <c r="T151" s="912"/>
      <c r="U151" s="912"/>
      <c r="V151" s="921"/>
      <c r="W151" s="912"/>
      <c r="X151" s="922"/>
      <c r="Y151" s="923"/>
      <c r="Z151" s="912"/>
      <c r="AA151" s="912"/>
      <c r="AB151" s="912"/>
      <c r="AC151" s="924"/>
      <c r="AD151" s="925"/>
      <c r="AE151" s="912"/>
      <c r="AF151" s="925"/>
      <c r="AG151" s="925"/>
      <c r="AH151" s="1273"/>
      <c r="AI151" s="1274"/>
      <c r="AJ151" s="925"/>
      <c r="AK151" s="925"/>
      <c r="AL151" s="925"/>
      <c r="AM151" s="928"/>
      <c r="AO151" s="1272"/>
    </row>
    <row r="152" s="920" customFormat="true" ht="16.5" hidden="false" customHeight="false" outlineLevel="0" collapsed="false">
      <c r="A152" s="912"/>
      <c r="B152" s="913"/>
      <c r="C152" s="914"/>
      <c r="D152" s="915"/>
      <c r="E152" s="914"/>
      <c r="F152" s="912"/>
      <c r="G152" s="912"/>
      <c r="H152" s="1269"/>
      <c r="I152" s="1269"/>
      <c r="J152" s="1269"/>
      <c r="K152" s="916"/>
      <c r="L152" s="917"/>
      <c r="M152" s="918"/>
      <c r="N152" s="912"/>
      <c r="O152" s="919"/>
      <c r="R152" s="912"/>
      <c r="S152" s="912"/>
      <c r="T152" s="912"/>
      <c r="U152" s="912"/>
      <c r="V152" s="921"/>
      <c r="W152" s="912"/>
      <c r="X152" s="922"/>
      <c r="Y152" s="923"/>
      <c r="Z152" s="912"/>
      <c r="AA152" s="912"/>
      <c r="AB152" s="912"/>
      <c r="AC152" s="924"/>
      <c r="AD152" s="925"/>
      <c r="AE152" s="912"/>
      <c r="AF152" s="925"/>
      <c r="AG152" s="925"/>
      <c r="AH152" s="1273"/>
      <c r="AI152" s="1274"/>
      <c r="AJ152" s="925"/>
      <c r="AK152" s="925"/>
      <c r="AL152" s="925"/>
      <c r="AM152" s="928"/>
      <c r="AO152" s="1272"/>
    </row>
    <row r="153" s="920" customFormat="true" ht="16.5" hidden="false" customHeight="false" outlineLevel="0" collapsed="false">
      <c r="A153" s="912"/>
      <c r="B153" s="913"/>
      <c r="C153" s="914"/>
      <c r="D153" s="915"/>
      <c r="E153" s="914"/>
      <c r="F153" s="912"/>
      <c r="G153" s="912"/>
      <c r="H153" s="1269"/>
      <c r="I153" s="1269"/>
      <c r="J153" s="1269"/>
      <c r="K153" s="916"/>
      <c r="L153" s="917"/>
      <c r="M153" s="918"/>
      <c r="N153" s="912"/>
      <c r="O153" s="919"/>
      <c r="R153" s="912"/>
      <c r="S153" s="912"/>
      <c r="T153" s="912"/>
      <c r="U153" s="912"/>
      <c r="V153" s="921"/>
      <c r="W153" s="912"/>
      <c r="X153" s="922"/>
      <c r="Y153" s="923"/>
      <c r="Z153" s="912"/>
      <c r="AA153" s="912"/>
      <c r="AB153" s="912"/>
      <c r="AC153" s="924"/>
      <c r="AD153" s="925"/>
      <c r="AE153" s="912"/>
      <c r="AF153" s="925"/>
      <c r="AG153" s="925"/>
      <c r="AH153" s="1273"/>
      <c r="AI153" s="1274"/>
      <c r="AJ153" s="925"/>
      <c r="AK153" s="925"/>
      <c r="AL153" s="925"/>
      <c r="AM153" s="928"/>
      <c r="AO153" s="1272"/>
    </row>
    <row r="154" s="920" customFormat="true" ht="16.5" hidden="false" customHeight="false" outlineLevel="0" collapsed="false">
      <c r="A154" s="912"/>
      <c r="B154" s="913"/>
      <c r="C154" s="914"/>
      <c r="D154" s="915"/>
      <c r="E154" s="914"/>
      <c r="F154" s="912"/>
      <c r="G154" s="912"/>
      <c r="H154" s="1269"/>
      <c r="I154" s="1269"/>
      <c r="J154" s="1269"/>
      <c r="K154" s="916"/>
      <c r="L154" s="917"/>
      <c r="M154" s="918"/>
      <c r="N154" s="912"/>
      <c r="O154" s="919"/>
      <c r="R154" s="912"/>
      <c r="S154" s="912"/>
      <c r="T154" s="912"/>
      <c r="U154" s="912"/>
      <c r="V154" s="921"/>
      <c r="W154" s="912"/>
      <c r="X154" s="922"/>
      <c r="Y154" s="923"/>
      <c r="Z154" s="912"/>
      <c r="AA154" s="912"/>
      <c r="AB154" s="912"/>
      <c r="AC154" s="924"/>
      <c r="AD154" s="925"/>
      <c r="AE154" s="912"/>
      <c r="AF154" s="925"/>
      <c r="AG154" s="925"/>
      <c r="AH154" s="1273"/>
      <c r="AI154" s="1274"/>
      <c r="AJ154" s="925"/>
      <c r="AK154" s="925"/>
      <c r="AL154" s="925"/>
      <c r="AM154" s="928"/>
      <c r="AO154" s="1272"/>
    </row>
    <row r="155" s="920" customFormat="true" ht="16.5" hidden="false" customHeight="false" outlineLevel="0" collapsed="false">
      <c r="A155" s="912"/>
      <c r="B155" s="913"/>
      <c r="C155" s="914"/>
      <c r="D155" s="915"/>
      <c r="E155" s="914"/>
      <c r="F155" s="912"/>
      <c r="G155" s="912"/>
      <c r="H155" s="1269"/>
      <c r="I155" s="1269"/>
      <c r="J155" s="1269"/>
      <c r="K155" s="916"/>
      <c r="L155" s="917"/>
      <c r="M155" s="918"/>
      <c r="N155" s="912"/>
      <c r="O155" s="919"/>
      <c r="R155" s="912"/>
      <c r="S155" s="912"/>
      <c r="T155" s="912"/>
      <c r="U155" s="912"/>
      <c r="V155" s="921"/>
      <c r="W155" s="912"/>
      <c r="X155" s="922"/>
      <c r="Y155" s="923"/>
      <c r="Z155" s="912"/>
      <c r="AA155" s="912"/>
      <c r="AB155" s="912"/>
      <c r="AC155" s="924"/>
      <c r="AD155" s="925"/>
      <c r="AE155" s="912"/>
      <c r="AF155" s="925"/>
      <c r="AG155" s="925"/>
      <c r="AH155" s="1273"/>
      <c r="AI155" s="1274"/>
      <c r="AJ155" s="925"/>
      <c r="AK155" s="925"/>
      <c r="AL155" s="925"/>
      <c r="AM155" s="928"/>
      <c r="AO155" s="1272"/>
    </row>
    <row r="156" s="920" customFormat="true" ht="16.5" hidden="false" customHeight="false" outlineLevel="0" collapsed="false">
      <c r="A156" s="912"/>
      <c r="B156" s="913"/>
      <c r="C156" s="914"/>
      <c r="D156" s="915"/>
      <c r="E156" s="914"/>
      <c r="F156" s="912"/>
      <c r="G156" s="912"/>
      <c r="H156" s="1269"/>
      <c r="I156" s="1269"/>
      <c r="J156" s="1269"/>
      <c r="K156" s="916"/>
      <c r="L156" s="917"/>
      <c r="M156" s="918"/>
      <c r="N156" s="912"/>
      <c r="O156" s="919"/>
      <c r="R156" s="912"/>
      <c r="S156" s="912"/>
      <c r="T156" s="912"/>
      <c r="U156" s="912"/>
      <c r="V156" s="921"/>
      <c r="W156" s="912"/>
      <c r="X156" s="922"/>
      <c r="Y156" s="923"/>
      <c r="Z156" s="912"/>
      <c r="AA156" s="912"/>
      <c r="AB156" s="912"/>
      <c r="AC156" s="924"/>
      <c r="AD156" s="925"/>
      <c r="AE156" s="912"/>
      <c r="AF156" s="925"/>
      <c r="AG156" s="925"/>
      <c r="AH156" s="1273"/>
      <c r="AI156" s="1274"/>
      <c r="AJ156" s="925"/>
      <c r="AK156" s="925"/>
      <c r="AL156" s="925"/>
      <c r="AM156" s="928"/>
      <c r="AO156" s="1272"/>
    </row>
    <row r="157" s="920" customFormat="true" ht="16.5" hidden="false" customHeight="false" outlineLevel="0" collapsed="false">
      <c r="A157" s="912"/>
      <c r="B157" s="1275"/>
      <c r="C157" s="914"/>
      <c r="D157" s="915"/>
      <c r="E157" s="914"/>
      <c r="F157" s="912"/>
      <c r="G157" s="912"/>
      <c r="H157" s="1269"/>
      <c r="I157" s="1269"/>
      <c r="J157" s="1269"/>
      <c r="K157" s="916"/>
      <c r="L157" s="917"/>
      <c r="M157" s="918"/>
      <c r="N157" s="912"/>
      <c r="O157" s="919"/>
      <c r="R157" s="912"/>
      <c r="S157" s="912"/>
      <c r="T157" s="912"/>
      <c r="U157" s="912"/>
      <c r="V157" s="921"/>
      <c r="W157" s="912"/>
      <c r="X157" s="922"/>
      <c r="Y157" s="923"/>
      <c r="Z157" s="912"/>
      <c r="AA157" s="912"/>
      <c r="AB157" s="912"/>
      <c r="AC157" s="924"/>
      <c r="AD157" s="925"/>
      <c r="AE157" s="912"/>
      <c r="AF157" s="925"/>
      <c r="AG157" s="925"/>
      <c r="AH157" s="1273"/>
      <c r="AI157" s="1274"/>
      <c r="AJ157" s="925"/>
      <c r="AK157" s="925"/>
      <c r="AL157" s="925"/>
      <c r="AM157" s="928"/>
      <c r="AO157" s="1272"/>
    </row>
    <row r="158" s="920" customFormat="true" ht="16.5" hidden="false" customHeight="false" outlineLevel="0" collapsed="false">
      <c r="A158" s="912"/>
      <c r="B158" s="1275"/>
      <c r="C158" s="914"/>
      <c r="D158" s="915"/>
      <c r="E158" s="914"/>
      <c r="F158" s="912"/>
      <c r="G158" s="912"/>
      <c r="H158" s="1269"/>
      <c r="I158" s="1269"/>
      <c r="J158" s="1269"/>
      <c r="K158" s="916"/>
      <c r="L158" s="917"/>
      <c r="M158" s="918"/>
      <c r="N158" s="912"/>
      <c r="O158" s="919"/>
      <c r="R158" s="912"/>
      <c r="S158" s="912"/>
      <c r="T158" s="912"/>
      <c r="U158" s="912"/>
      <c r="V158" s="921"/>
      <c r="W158" s="912"/>
      <c r="X158" s="922"/>
      <c r="Y158" s="923"/>
      <c r="Z158" s="912"/>
      <c r="AA158" s="912"/>
      <c r="AB158" s="912"/>
      <c r="AC158" s="924"/>
      <c r="AD158" s="925"/>
      <c r="AE158" s="912"/>
      <c r="AF158" s="925"/>
      <c r="AG158" s="925"/>
      <c r="AH158" s="1273"/>
      <c r="AI158" s="1274"/>
      <c r="AJ158" s="925"/>
      <c r="AK158" s="925"/>
      <c r="AL158" s="925"/>
      <c r="AM158" s="928"/>
      <c r="AO158" s="1272"/>
    </row>
    <row r="159" s="920" customFormat="true" ht="16.5" hidden="false" customHeight="false" outlineLevel="0" collapsed="false">
      <c r="A159" s="912"/>
      <c r="B159" s="1275"/>
      <c r="C159" s="914"/>
      <c r="D159" s="915"/>
      <c r="E159" s="914"/>
      <c r="F159" s="912"/>
      <c r="G159" s="912"/>
      <c r="H159" s="1269"/>
      <c r="I159" s="1269"/>
      <c r="J159" s="1269"/>
      <c r="K159" s="916"/>
      <c r="L159" s="917"/>
      <c r="M159" s="918"/>
      <c r="N159" s="912"/>
      <c r="O159" s="919"/>
      <c r="R159" s="912"/>
      <c r="S159" s="912"/>
      <c r="T159" s="912"/>
      <c r="U159" s="912"/>
      <c r="V159" s="921"/>
      <c r="W159" s="912"/>
      <c r="X159" s="922"/>
      <c r="Y159" s="923"/>
      <c r="Z159" s="912"/>
      <c r="AA159" s="912"/>
      <c r="AB159" s="912"/>
      <c r="AC159" s="924"/>
      <c r="AD159" s="925"/>
      <c r="AE159" s="912"/>
      <c r="AF159" s="925"/>
      <c r="AG159" s="925"/>
      <c r="AH159" s="1273"/>
      <c r="AI159" s="1274"/>
      <c r="AJ159" s="925"/>
      <c r="AK159" s="925"/>
      <c r="AL159" s="925"/>
      <c r="AM159" s="928"/>
      <c r="AO159" s="1272"/>
    </row>
    <row r="160" s="920" customFormat="true" ht="16.5" hidden="false" customHeight="false" outlineLevel="0" collapsed="false">
      <c r="A160" s="912"/>
      <c r="B160" s="1275"/>
      <c r="C160" s="914"/>
      <c r="D160" s="915"/>
      <c r="E160" s="914"/>
      <c r="F160" s="912"/>
      <c r="G160" s="912"/>
      <c r="H160" s="912"/>
      <c r="I160" s="912"/>
      <c r="J160" s="912"/>
      <c r="K160" s="916"/>
      <c r="L160" s="917"/>
      <c r="M160" s="918"/>
      <c r="N160" s="912"/>
      <c r="O160" s="919"/>
      <c r="R160" s="912"/>
      <c r="S160" s="912"/>
      <c r="T160" s="912"/>
      <c r="U160" s="912"/>
      <c r="V160" s="921"/>
      <c r="W160" s="912"/>
      <c r="X160" s="922"/>
      <c r="Y160" s="923"/>
      <c r="Z160" s="912"/>
      <c r="AA160" s="912"/>
      <c r="AB160" s="912"/>
      <c r="AC160" s="924"/>
      <c r="AD160" s="925"/>
      <c r="AE160" s="912"/>
      <c r="AF160" s="925"/>
      <c r="AG160" s="925"/>
      <c r="AH160" s="1273"/>
      <c r="AI160" s="1274"/>
      <c r="AJ160" s="925"/>
      <c r="AK160" s="925"/>
      <c r="AL160" s="925"/>
      <c r="AM160" s="928"/>
      <c r="AO160" s="1272"/>
    </row>
    <row r="161" s="920" customFormat="true" ht="16.5" hidden="false" customHeight="false" outlineLevel="0" collapsed="false">
      <c r="A161" s="912"/>
      <c r="B161" s="1275"/>
      <c r="C161" s="914"/>
      <c r="D161" s="915"/>
      <c r="E161" s="914"/>
      <c r="F161" s="912"/>
      <c r="G161" s="912"/>
      <c r="H161" s="912"/>
      <c r="I161" s="912"/>
      <c r="J161" s="912"/>
      <c r="K161" s="916"/>
      <c r="L161" s="917"/>
      <c r="M161" s="918"/>
      <c r="N161" s="912"/>
      <c r="O161" s="919"/>
      <c r="R161" s="912"/>
      <c r="S161" s="912"/>
      <c r="T161" s="912"/>
      <c r="U161" s="912"/>
      <c r="V161" s="921"/>
      <c r="W161" s="912"/>
      <c r="X161" s="922"/>
      <c r="Y161" s="923"/>
      <c r="Z161" s="912"/>
      <c r="AA161" s="912"/>
      <c r="AB161" s="912"/>
      <c r="AC161" s="924"/>
      <c r="AD161" s="925"/>
      <c r="AE161" s="912"/>
      <c r="AF161" s="925"/>
      <c r="AG161" s="925"/>
      <c r="AH161" s="1273"/>
      <c r="AI161" s="1274"/>
      <c r="AJ161" s="925"/>
      <c r="AK161" s="925"/>
      <c r="AL161" s="925"/>
      <c r="AM161" s="928"/>
      <c r="AO161" s="1272"/>
    </row>
    <row r="162" s="920" customFormat="true" ht="16.5" hidden="false" customHeight="false" outlineLevel="0" collapsed="false">
      <c r="A162" s="912"/>
      <c r="B162" s="1275"/>
      <c r="C162" s="914"/>
      <c r="D162" s="915"/>
      <c r="E162" s="914"/>
      <c r="F162" s="912"/>
      <c r="G162" s="912"/>
      <c r="H162" s="912"/>
      <c r="I162" s="912"/>
      <c r="J162" s="912"/>
      <c r="K162" s="916"/>
      <c r="L162" s="917"/>
      <c r="M162" s="918"/>
      <c r="N162" s="912"/>
      <c r="O162" s="919"/>
      <c r="R162" s="912"/>
      <c r="S162" s="912"/>
      <c r="T162" s="912"/>
      <c r="U162" s="912"/>
      <c r="V162" s="921"/>
      <c r="W162" s="912"/>
      <c r="X162" s="922"/>
      <c r="Y162" s="923"/>
      <c r="Z162" s="912"/>
      <c r="AA162" s="912"/>
      <c r="AB162" s="912"/>
      <c r="AC162" s="924"/>
      <c r="AD162" s="925"/>
      <c r="AE162" s="912"/>
      <c r="AF162" s="925"/>
      <c r="AG162" s="925"/>
      <c r="AH162" s="1273"/>
      <c r="AI162" s="1274"/>
      <c r="AJ162" s="925"/>
      <c r="AK162" s="925"/>
      <c r="AL162" s="925"/>
      <c r="AM162" s="928"/>
      <c r="AO162" s="1272"/>
    </row>
    <row r="163" s="920" customFormat="true" ht="16.5" hidden="false" customHeight="false" outlineLevel="0" collapsed="false">
      <c r="A163" s="912"/>
      <c r="B163" s="1275"/>
      <c r="C163" s="914"/>
      <c r="D163" s="915"/>
      <c r="E163" s="914"/>
      <c r="F163" s="912"/>
      <c r="G163" s="912"/>
      <c r="H163" s="912"/>
      <c r="I163" s="912"/>
      <c r="J163" s="912"/>
      <c r="K163" s="916"/>
      <c r="L163" s="917"/>
      <c r="M163" s="918"/>
      <c r="N163" s="912"/>
      <c r="O163" s="919"/>
      <c r="R163" s="912"/>
      <c r="S163" s="912"/>
      <c r="T163" s="912"/>
      <c r="U163" s="912"/>
      <c r="V163" s="921"/>
      <c r="W163" s="912"/>
      <c r="X163" s="922"/>
      <c r="Y163" s="923"/>
      <c r="Z163" s="912"/>
      <c r="AA163" s="912"/>
      <c r="AB163" s="912"/>
      <c r="AC163" s="924"/>
      <c r="AD163" s="925"/>
      <c r="AE163" s="912"/>
      <c r="AF163" s="925"/>
      <c r="AG163" s="925"/>
      <c r="AH163" s="1273"/>
      <c r="AI163" s="1274"/>
      <c r="AJ163" s="925"/>
      <c r="AK163" s="925"/>
      <c r="AL163" s="925"/>
      <c r="AM163" s="928"/>
      <c r="AO163" s="1272"/>
    </row>
    <row r="164" s="920" customFormat="true" ht="16.5" hidden="false" customHeight="false" outlineLevel="0" collapsed="false">
      <c r="A164" s="912"/>
      <c r="B164" s="1275"/>
      <c r="C164" s="914"/>
      <c r="D164" s="915"/>
      <c r="E164" s="914"/>
      <c r="F164" s="912"/>
      <c r="G164" s="912"/>
      <c r="H164" s="912"/>
      <c r="I164" s="912"/>
      <c r="J164" s="912"/>
      <c r="K164" s="916"/>
      <c r="L164" s="917"/>
      <c r="M164" s="918"/>
      <c r="N164" s="912"/>
      <c r="O164" s="919"/>
      <c r="R164" s="912"/>
      <c r="S164" s="912"/>
      <c r="T164" s="912"/>
      <c r="U164" s="912"/>
      <c r="V164" s="921"/>
      <c r="W164" s="912"/>
      <c r="X164" s="922"/>
      <c r="Y164" s="923"/>
      <c r="Z164" s="912"/>
      <c r="AA164" s="912"/>
      <c r="AB164" s="912"/>
      <c r="AC164" s="924"/>
      <c r="AD164" s="925"/>
      <c r="AE164" s="912"/>
      <c r="AF164" s="925"/>
      <c r="AG164" s="925"/>
      <c r="AH164" s="1273"/>
      <c r="AI164" s="1274"/>
      <c r="AJ164" s="925"/>
      <c r="AK164" s="925"/>
      <c r="AL164" s="925"/>
      <c r="AM164" s="928"/>
      <c r="AO164" s="1272"/>
    </row>
    <row r="165" s="920" customFormat="true" ht="16.5" hidden="false" customHeight="false" outlineLevel="0" collapsed="false">
      <c r="A165" s="912"/>
      <c r="B165" s="1275"/>
      <c r="C165" s="914"/>
      <c r="D165" s="915"/>
      <c r="E165" s="914"/>
      <c r="F165" s="912"/>
      <c r="G165" s="912"/>
      <c r="H165" s="912"/>
      <c r="I165" s="912"/>
      <c r="J165" s="912"/>
      <c r="K165" s="916"/>
      <c r="L165" s="917"/>
      <c r="M165" s="918"/>
      <c r="N165" s="912"/>
      <c r="O165" s="919"/>
      <c r="R165" s="912"/>
      <c r="S165" s="912"/>
      <c r="T165" s="912"/>
      <c r="U165" s="912"/>
      <c r="V165" s="921"/>
      <c r="W165" s="912"/>
      <c r="X165" s="922"/>
      <c r="Y165" s="923"/>
      <c r="Z165" s="912"/>
      <c r="AA165" s="912"/>
      <c r="AB165" s="912"/>
      <c r="AC165" s="924"/>
      <c r="AD165" s="925"/>
      <c r="AE165" s="912"/>
      <c r="AF165" s="925"/>
      <c r="AG165" s="925"/>
      <c r="AH165" s="1273"/>
      <c r="AI165" s="1274"/>
      <c r="AJ165" s="925"/>
      <c r="AK165" s="925"/>
      <c r="AL165" s="925"/>
      <c r="AM165" s="928"/>
      <c r="AO165" s="1272"/>
    </row>
    <row r="166" s="920" customFormat="true" ht="16.5" hidden="false" customHeight="false" outlineLevel="0" collapsed="false">
      <c r="A166" s="912"/>
      <c r="B166" s="1275"/>
      <c r="C166" s="914"/>
      <c r="D166" s="915"/>
      <c r="E166" s="914"/>
      <c r="F166" s="912"/>
      <c r="G166" s="912"/>
      <c r="H166" s="912"/>
      <c r="I166" s="912"/>
      <c r="J166" s="912"/>
      <c r="K166" s="916"/>
      <c r="L166" s="917"/>
      <c r="M166" s="918"/>
      <c r="N166" s="912"/>
      <c r="O166" s="919"/>
      <c r="R166" s="912"/>
      <c r="S166" s="912"/>
      <c r="T166" s="912"/>
      <c r="U166" s="912"/>
      <c r="V166" s="921"/>
      <c r="W166" s="912"/>
      <c r="X166" s="922"/>
      <c r="Y166" s="923"/>
      <c r="Z166" s="912"/>
      <c r="AA166" s="912"/>
      <c r="AB166" s="912"/>
      <c r="AC166" s="924"/>
      <c r="AD166" s="925"/>
      <c r="AE166" s="912"/>
      <c r="AF166" s="925"/>
      <c r="AG166" s="925"/>
      <c r="AH166" s="1273"/>
      <c r="AI166" s="1274"/>
      <c r="AJ166" s="925"/>
      <c r="AK166" s="925"/>
      <c r="AL166" s="925"/>
      <c r="AM166" s="928"/>
      <c r="AO166" s="1272"/>
    </row>
    <row r="167" s="920" customFormat="true" ht="16.5" hidden="false" customHeight="false" outlineLevel="0" collapsed="false">
      <c r="A167" s="912"/>
      <c r="B167" s="1275"/>
      <c r="C167" s="914"/>
      <c r="D167" s="915"/>
      <c r="E167" s="914"/>
      <c r="F167" s="912"/>
      <c r="G167" s="912"/>
      <c r="H167" s="912"/>
      <c r="I167" s="912"/>
      <c r="J167" s="912"/>
      <c r="K167" s="916"/>
      <c r="L167" s="917"/>
      <c r="M167" s="918"/>
      <c r="N167" s="912"/>
      <c r="O167" s="919"/>
      <c r="R167" s="912"/>
      <c r="S167" s="912"/>
      <c r="T167" s="912"/>
      <c r="U167" s="912"/>
      <c r="V167" s="921"/>
      <c r="W167" s="912"/>
      <c r="X167" s="922"/>
      <c r="Y167" s="923"/>
      <c r="Z167" s="912"/>
      <c r="AA167" s="912"/>
      <c r="AB167" s="912"/>
      <c r="AC167" s="924"/>
      <c r="AD167" s="925"/>
      <c r="AE167" s="912"/>
      <c r="AF167" s="925"/>
      <c r="AG167" s="925"/>
      <c r="AH167" s="1273"/>
      <c r="AI167" s="1274"/>
      <c r="AJ167" s="925"/>
      <c r="AK167" s="925"/>
      <c r="AL167" s="925"/>
      <c r="AM167" s="928"/>
      <c r="AO167" s="1272"/>
    </row>
    <row r="168" s="920" customFormat="true" ht="16.5" hidden="false" customHeight="false" outlineLevel="0" collapsed="false">
      <c r="A168" s="912"/>
      <c r="B168" s="1275"/>
      <c r="C168" s="914"/>
      <c r="D168" s="915"/>
      <c r="E168" s="914"/>
      <c r="F168" s="912"/>
      <c r="G168" s="912"/>
      <c r="H168" s="912"/>
      <c r="I168" s="912"/>
      <c r="J168" s="912"/>
      <c r="K168" s="916"/>
      <c r="L168" s="917"/>
      <c r="M168" s="918"/>
      <c r="N168" s="912"/>
      <c r="O168" s="919"/>
      <c r="R168" s="912"/>
      <c r="S168" s="912"/>
      <c r="T168" s="912"/>
      <c r="U168" s="912"/>
      <c r="V168" s="921"/>
      <c r="W168" s="912"/>
      <c r="X168" s="922"/>
      <c r="Y168" s="923"/>
      <c r="Z168" s="912"/>
      <c r="AA168" s="912"/>
      <c r="AB168" s="912"/>
      <c r="AC168" s="924"/>
      <c r="AD168" s="925"/>
      <c r="AE168" s="912"/>
      <c r="AF168" s="925"/>
      <c r="AG168" s="925"/>
      <c r="AH168" s="1273"/>
      <c r="AI168" s="1274"/>
      <c r="AJ168" s="925"/>
      <c r="AK168" s="925"/>
      <c r="AL168" s="925"/>
      <c r="AM168" s="928"/>
      <c r="AO168" s="1272"/>
    </row>
    <row r="169" s="920" customFormat="true" ht="16.5" hidden="false" customHeight="false" outlineLevel="0" collapsed="false">
      <c r="A169" s="912"/>
      <c r="B169" s="1275"/>
      <c r="C169" s="914"/>
      <c r="D169" s="915"/>
      <c r="E169" s="914"/>
      <c r="F169" s="912"/>
      <c r="G169" s="912"/>
      <c r="H169" s="912"/>
      <c r="I169" s="912"/>
      <c r="J169" s="912"/>
      <c r="K169" s="916"/>
      <c r="L169" s="917"/>
      <c r="M169" s="918"/>
      <c r="N169" s="912"/>
      <c r="O169" s="919"/>
      <c r="R169" s="912"/>
      <c r="S169" s="912"/>
      <c r="T169" s="912"/>
      <c r="U169" s="912"/>
      <c r="V169" s="921"/>
      <c r="W169" s="912"/>
      <c r="X169" s="922"/>
      <c r="Y169" s="923"/>
      <c r="Z169" s="912"/>
      <c r="AA169" s="912"/>
      <c r="AB169" s="912"/>
      <c r="AC169" s="924"/>
      <c r="AD169" s="925"/>
      <c r="AE169" s="912"/>
      <c r="AF169" s="925"/>
      <c r="AG169" s="925"/>
      <c r="AH169" s="1273"/>
      <c r="AI169" s="1274"/>
      <c r="AJ169" s="925"/>
      <c r="AK169" s="925"/>
      <c r="AL169" s="925"/>
      <c r="AM169" s="928"/>
      <c r="AO169" s="1272"/>
    </row>
    <row r="170" s="920" customFormat="true" ht="16.5" hidden="false" customHeight="false" outlineLevel="0" collapsed="false">
      <c r="A170" s="912"/>
      <c r="B170" s="1275"/>
      <c r="C170" s="914"/>
      <c r="D170" s="915"/>
      <c r="E170" s="914"/>
      <c r="F170" s="912"/>
      <c r="G170" s="912"/>
      <c r="H170" s="912"/>
      <c r="I170" s="912"/>
      <c r="J170" s="912"/>
      <c r="K170" s="916"/>
      <c r="L170" s="917"/>
      <c r="M170" s="918"/>
      <c r="N170" s="912"/>
      <c r="O170" s="919"/>
      <c r="R170" s="912"/>
      <c r="S170" s="912"/>
      <c r="T170" s="912"/>
      <c r="U170" s="912"/>
      <c r="V170" s="921"/>
      <c r="W170" s="912"/>
      <c r="X170" s="922"/>
      <c r="Y170" s="923"/>
      <c r="Z170" s="912"/>
      <c r="AA170" s="912"/>
      <c r="AB170" s="912"/>
      <c r="AC170" s="924"/>
      <c r="AD170" s="925"/>
      <c r="AE170" s="912"/>
      <c r="AF170" s="925"/>
      <c r="AG170" s="925"/>
      <c r="AH170" s="1273"/>
      <c r="AI170" s="1274"/>
      <c r="AJ170" s="925"/>
      <c r="AK170" s="925"/>
      <c r="AL170" s="925"/>
      <c r="AM170" s="928"/>
      <c r="AO170" s="1272"/>
    </row>
    <row r="171" s="920" customFormat="true" ht="16.5" hidden="false" customHeight="false" outlineLevel="0" collapsed="false">
      <c r="A171" s="912"/>
      <c r="B171" s="1275"/>
      <c r="C171" s="914"/>
      <c r="D171" s="915"/>
      <c r="E171" s="914"/>
      <c r="F171" s="912"/>
      <c r="G171" s="912"/>
      <c r="H171" s="912"/>
      <c r="I171" s="912"/>
      <c r="J171" s="912"/>
      <c r="K171" s="916"/>
      <c r="L171" s="917"/>
      <c r="M171" s="918"/>
      <c r="N171" s="912"/>
      <c r="O171" s="919"/>
      <c r="R171" s="912"/>
      <c r="S171" s="912"/>
      <c r="T171" s="912"/>
      <c r="U171" s="912"/>
      <c r="V171" s="921"/>
      <c r="W171" s="912"/>
      <c r="X171" s="922"/>
      <c r="Y171" s="923"/>
      <c r="Z171" s="912"/>
      <c r="AA171" s="912"/>
      <c r="AB171" s="912"/>
      <c r="AC171" s="924"/>
      <c r="AD171" s="925"/>
      <c r="AE171" s="912"/>
      <c r="AF171" s="925"/>
      <c r="AG171" s="925"/>
      <c r="AH171" s="1273"/>
      <c r="AI171" s="1274"/>
      <c r="AJ171" s="925"/>
      <c r="AK171" s="925"/>
      <c r="AL171" s="925"/>
      <c r="AM171" s="928"/>
      <c r="AO171" s="1272"/>
    </row>
    <row r="172" s="920" customFormat="true" ht="16.5" hidden="false" customHeight="false" outlineLevel="0" collapsed="false">
      <c r="A172" s="912"/>
      <c r="B172" s="1275"/>
      <c r="C172" s="914"/>
      <c r="D172" s="915"/>
      <c r="E172" s="914"/>
      <c r="F172" s="912"/>
      <c r="G172" s="912"/>
      <c r="H172" s="912"/>
      <c r="I172" s="912"/>
      <c r="J172" s="912"/>
      <c r="K172" s="916"/>
      <c r="L172" s="917"/>
      <c r="M172" s="918"/>
      <c r="N172" s="912"/>
      <c r="O172" s="919"/>
      <c r="R172" s="912"/>
      <c r="S172" s="912"/>
      <c r="T172" s="912"/>
      <c r="U172" s="912"/>
      <c r="V172" s="921"/>
      <c r="W172" s="912"/>
      <c r="X172" s="922"/>
      <c r="Y172" s="923"/>
      <c r="Z172" s="912"/>
      <c r="AA172" s="912"/>
      <c r="AB172" s="912"/>
      <c r="AC172" s="924"/>
      <c r="AD172" s="925"/>
      <c r="AE172" s="912"/>
      <c r="AF172" s="925"/>
      <c r="AG172" s="925"/>
      <c r="AH172" s="1273"/>
      <c r="AI172" s="1274"/>
      <c r="AJ172" s="925"/>
      <c r="AK172" s="925"/>
      <c r="AL172" s="925"/>
      <c r="AM172" s="928"/>
      <c r="AO172" s="1272"/>
    </row>
    <row r="173" s="920" customFormat="true" ht="16.5" hidden="false" customHeight="false" outlineLevel="0" collapsed="false">
      <c r="A173" s="912"/>
      <c r="B173" s="1275"/>
      <c r="C173" s="914"/>
      <c r="D173" s="915"/>
      <c r="E173" s="914"/>
      <c r="F173" s="912"/>
      <c r="G173" s="912"/>
      <c r="H173" s="912"/>
      <c r="I173" s="912"/>
      <c r="J173" s="912"/>
      <c r="K173" s="916"/>
      <c r="L173" s="917"/>
      <c r="M173" s="918"/>
      <c r="N173" s="912"/>
      <c r="O173" s="919"/>
      <c r="R173" s="912"/>
      <c r="S173" s="912"/>
      <c r="T173" s="912"/>
      <c r="U173" s="912"/>
      <c r="V173" s="921"/>
      <c r="W173" s="912"/>
      <c r="X173" s="922"/>
      <c r="Y173" s="923"/>
      <c r="Z173" s="912"/>
      <c r="AA173" s="912"/>
      <c r="AB173" s="912"/>
      <c r="AC173" s="924"/>
      <c r="AD173" s="925"/>
      <c r="AE173" s="912"/>
      <c r="AF173" s="925"/>
      <c r="AG173" s="925"/>
      <c r="AH173" s="1273"/>
      <c r="AI173" s="1274"/>
      <c r="AJ173" s="925"/>
      <c r="AK173" s="925"/>
      <c r="AL173" s="925"/>
      <c r="AM173" s="928"/>
      <c r="AO173" s="1272"/>
    </row>
    <row r="174" s="920" customFormat="true" ht="16.5" hidden="false" customHeight="false" outlineLevel="0" collapsed="false">
      <c r="A174" s="912"/>
      <c r="B174" s="1275"/>
      <c r="C174" s="914"/>
      <c r="D174" s="915"/>
      <c r="E174" s="914"/>
      <c r="F174" s="912"/>
      <c r="G174" s="912"/>
      <c r="H174" s="912"/>
      <c r="I174" s="912"/>
      <c r="J174" s="912"/>
      <c r="K174" s="916"/>
      <c r="L174" s="917"/>
      <c r="M174" s="918"/>
      <c r="N174" s="912"/>
      <c r="O174" s="919"/>
      <c r="R174" s="912"/>
      <c r="S174" s="912"/>
      <c r="T174" s="912"/>
      <c r="U174" s="912"/>
      <c r="V174" s="921"/>
      <c r="W174" s="912"/>
      <c r="X174" s="922"/>
      <c r="Y174" s="923"/>
      <c r="Z174" s="912"/>
      <c r="AA174" s="912"/>
      <c r="AB174" s="912"/>
      <c r="AC174" s="924"/>
      <c r="AD174" s="925"/>
      <c r="AE174" s="912"/>
      <c r="AF174" s="925"/>
      <c r="AG174" s="925"/>
      <c r="AH174" s="1273"/>
      <c r="AI174" s="1274"/>
      <c r="AJ174" s="925"/>
      <c r="AK174" s="925"/>
      <c r="AL174" s="925"/>
      <c r="AM174" s="928"/>
      <c r="AO174" s="1272"/>
    </row>
    <row r="175" s="920" customFormat="true" ht="16.5" hidden="false" customHeight="false" outlineLevel="0" collapsed="false">
      <c r="A175" s="912"/>
      <c r="B175" s="913"/>
      <c r="C175" s="914"/>
      <c r="D175" s="915"/>
      <c r="E175" s="914"/>
      <c r="F175" s="912"/>
      <c r="G175" s="912"/>
      <c r="H175" s="912"/>
      <c r="I175" s="912"/>
      <c r="J175" s="912"/>
      <c r="K175" s="916"/>
      <c r="L175" s="917"/>
      <c r="M175" s="918"/>
      <c r="N175" s="912"/>
      <c r="O175" s="919"/>
      <c r="R175" s="912"/>
      <c r="S175" s="912"/>
      <c r="T175" s="912"/>
      <c r="U175" s="912"/>
      <c r="V175" s="921"/>
      <c r="W175" s="912"/>
      <c r="X175" s="922"/>
      <c r="Y175" s="923"/>
      <c r="Z175" s="912"/>
      <c r="AA175" s="912"/>
      <c r="AB175" s="912"/>
      <c r="AC175" s="924"/>
      <c r="AD175" s="925"/>
      <c r="AE175" s="912"/>
      <c r="AF175" s="925"/>
      <c r="AG175" s="925"/>
      <c r="AH175" s="1273"/>
      <c r="AI175" s="1274"/>
      <c r="AJ175" s="925"/>
      <c r="AK175" s="925"/>
      <c r="AL175" s="925"/>
      <c r="AM175" s="928"/>
      <c r="AO175" s="1272"/>
    </row>
    <row r="176" s="920" customFormat="true" ht="16.5" hidden="false" customHeight="false" outlineLevel="0" collapsed="false">
      <c r="A176" s="912"/>
      <c r="B176" s="913"/>
      <c r="C176" s="914"/>
      <c r="D176" s="915"/>
      <c r="E176" s="914"/>
      <c r="F176" s="912"/>
      <c r="G176" s="912"/>
      <c r="H176" s="912"/>
      <c r="I176" s="912"/>
      <c r="J176" s="912"/>
      <c r="K176" s="916"/>
      <c r="L176" s="917"/>
      <c r="M176" s="918"/>
      <c r="N176" s="912"/>
      <c r="O176" s="919"/>
      <c r="R176" s="912"/>
      <c r="S176" s="912"/>
      <c r="T176" s="912"/>
      <c r="U176" s="912"/>
      <c r="V176" s="921"/>
      <c r="W176" s="912"/>
      <c r="X176" s="922"/>
      <c r="Y176" s="923"/>
      <c r="Z176" s="912"/>
      <c r="AA176" s="912"/>
      <c r="AB176" s="912"/>
      <c r="AC176" s="924"/>
      <c r="AD176" s="925"/>
      <c r="AE176" s="912"/>
      <c r="AF176" s="925"/>
      <c r="AG176" s="925"/>
      <c r="AH176" s="1273"/>
      <c r="AI176" s="1274"/>
      <c r="AJ176" s="925"/>
      <c r="AK176" s="925"/>
      <c r="AL176" s="925"/>
      <c r="AM176" s="928"/>
      <c r="AO176" s="1272"/>
    </row>
    <row r="177" s="920" customFormat="true" ht="16.5" hidden="false" customHeight="false" outlineLevel="0" collapsed="false">
      <c r="A177" s="912"/>
      <c r="B177" s="913"/>
      <c r="C177" s="914"/>
      <c r="D177" s="915"/>
      <c r="E177" s="914"/>
      <c r="F177" s="912"/>
      <c r="G177" s="912"/>
      <c r="H177" s="912"/>
      <c r="I177" s="912"/>
      <c r="J177" s="912"/>
      <c r="K177" s="916"/>
      <c r="L177" s="917"/>
      <c r="M177" s="918"/>
      <c r="N177" s="912"/>
      <c r="O177" s="919"/>
      <c r="R177" s="912"/>
      <c r="S177" s="912"/>
      <c r="T177" s="912"/>
      <c r="U177" s="912"/>
      <c r="V177" s="921"/>
      <c r="W177" s="912"/>
      <c r="X177" s="922"/>
      <c r="Y177" s="923"/>
      <c r="Z177" s="912"/>
      <c r="AA177" s="912"/>
      <c r="AB177" s="912"/>
      <c r="AC177" s="924"/>
      <c r="AD177" s="925"/>
      <c r="AE177" s="912"/>
      <c r="AF177" s="925"/>
      <c r="AG177" s="925"/>
      <c r="AH177" s="1273"/>
      <c r="AI177" s="1274"/>
      <c r="AJ177" s="925"/>
      <c r="AK177" s="925"/>
      <c r="AL177" s="925"/>
      <c r="AM177" s="928"/>
      <c r="AO177" s="1272"/>
    </row>
    <row r="178" s="920" customFormat="true" ht="16.5" hidden="false" customHeight="false" outlineLevel="0" collapsed="false">
      <c r="A178" s="912"/>
      <c r="B178" s="913"/>
      <c r="C178" s="914"/>
      <c r="D178" s="915"/>
      <c r="E178" s="914"/>
      <c r="F178" s="912"/>
      <c r="G178" s="912"/>
      <c r="H178" s="912"/>
      <c r="I178" s="912"/>
      <c r="J178" s="912"/>
      <c r="K178" s="916"/>
      <c r="L178" s="917"/>
      <c r="M178" s="918"/>
      <c r="N178" s="912"/>
      <c r="O178" s="919"/>
      <c r="R178" s="912"/>
      <c r="S178" s="912"/>
      <c r="T178" s="912"/>
      <c r="U178" s="912"/>
      <c r="V178" s="921"/>
      <c r="W178" s="912"/>
      <c r="X178" s="922"/>
      <c r="Y178" s="923"/>
      <c r="Z178" s="912"/>
      <c r="AA178" s="912"/>
      <c r="AB178" s="912"/>
      <c r="AC178" s="924"/>
      <c r="AD178" s="925"/>
      <c r="AE178" s="912"/>
      <c r="AF178" s="925"/>
      <c r="AG178" s="925"/>
      <c r="AH178" s="1273"/>
      <c r="AI178" s="1274"/>
      <c r="AJ178" s="925"/>
      <c r="AK178" s="925"/>
      <c r="AL178" s="925"/>
      <c r="AM178" s="928"/>
      <c r="AO178" s="1272"/>
    </row>
    <row r="179" s="920" customFormat="true" ht="16.5" hidden="false" customHeight="false" outlineLevel="0" collapsed="false">
      <c r="A179" s="912"/>
      <c r="B179" s="913"/>
      <c r="C179" s="914"/>
      <c r="D179" s="915"/>
      <c r="E179" s="914"/>
      <c r="F179" s="912"/>
      <c r="G179" s="912"/>
      <c r="H179" s="912"/>
      <c r="I179" s="912"/>
      <c r="J179" s="912"/>
      <c r="K179" s="916"/>
      <c r="L179" s="917"/>
      <c r="M179" s="918"/>
      <c r="N179" s="912"/>
      <c r="O179" s="919"/>
      <c r="R179" s="912"/>
      <c r="S179" s="912"/>
      <c r="T179" s="912"/>
      <c r="U179" s="912"/>
      <c r="V179" s="921"/>
      <c r="W179" s="912"/>
      <c r="X179" s="922"/>
      <c r="Y179" s="923"/>
      <c r="Z179" s="912"/>
      <c r="AA179" s="912"/>
      <c r="AB179" s="912"/>
      <c r="AC179" s="924"/>
      <c r="AD179" s="925"/>
      <c r="AE179" s="912"/>
      <c r="AF179" s="925"/>
      <c r="AG179" s="925"/>
      <c r="AH179" s="1273"/>
      <c r="AI179" s="1274"/>
      <c r="AJ179" s="925"/>
      <c r="AK179" s="925"/>
      <c r="AL179" s="925"/>
      <c r="AM179" s="928"/>
      <c r="AO179" s="1272"/>
    </row>
    <row r="180" s="920" customFormat="true" ht="16.5" hidden="false" customHeight="false" outlineLevel="0" collapsed="false">
      <c r="A180" s="912"/>
      <c r="B180" s="913"/>
      <c r="C180" s="914"/>
      <c r="D180" s="915"/>
      <c r="E180" s="914"/>
      <c r="F180" s="912"/>
      <c r="G180" s="912"/>
      <c r="H180" s="912"/>
      <c r="I180" s="912"/>
      <c r="J180" s="912"/>
      <c r="K180" s="916"/>
      <c r="L180" s="917"/>
      <c r="M180" s="918"/>
      <c r="N180" s="912"/>
      <c r="O180" s="919"/>
      <c r="R180" s="912"/>
      <c r="S180" s="912"/>
      <c r="T180" s="912"/>
      <c r="U180" s="912"/>
      <c r="V180" s="921"/>
      <c r="W180" s="912"/>
      <c r="X180" s="922"/>
      <c r="Y180" s="923"/>
      <c r="Z180" s="912"/>
      <c r="AA180" s="912"/>
      <c r="AB180" s="912"/>
      <c r="AC180" s="924"/>
      <c r="AD180" s="925"/>
      <c r="AE180" s="912"/>
      <c r="AF180" s="925"/>
      <c r="AG180" s="925"/>
      <c r="AH180" s="1273"/>
      <c r="AI180" s="1274"/>
      <c r="AJ180" s="925"/>
      <c r="AK180" s="925"/>
      <c r="AL180" s="925"/>
      <c r="AM180" s="928"/>
      <c r="AO180" s="1272"/>
    </row>
    <row r="181" s="920" customFormat="true" ht="16.5" hidden="false" customHeight="false" outlineLevel="0" collapsed="false">
      <c r="A181" s="912"/>
      <c r="B181" s="913"/>
      <c r="C181" s="914"/>
      <c r="D181" s="915"/>
      <c r="E181" s="914"/>
      <c r="F181" s="912"/>
      <c r="G181" s="912"/>
      <c r="H181" s="912"/>
      <c r="I181" s="912"/>
      <c r="J181" s="912"/>
      <c r="K181" s="916"/>
      <c r="L181" s="917"/>
      <c r="M181" s="918"/>
      <c r="N181" s="912"/>
      <c r="O181" s="919"/>
      <c r="R181" s="912"/>
      <c r="S181" s="912"/>
      <c r="T181" s="912"/>
      <c r="U181" s="912"/>
      <c r="V181" s="921"/>
      <c r="W181" s="912"/>
      <c r="X181" s="922"/>
      <c r="Y181" s="923"/>
      <c r="Z181" s="912"/>
      <c r="AA181" s="912"/>
      <c r="AB181" s="912"/>
      <c r="AC181" s="924"/>
      <c r="AD181" s="925"/>
      <c r="AE181" s="912"/>
      <c r="AF181" s="925"/>
      <c r="AG181" s="925"/>
      <c r="AH181" s="1273"/>
      <c r="AI181" s="1274"/>
      <c r="AJ181" s="925"/>
      <c r="AK181" s="925"/>
      <c r="AL181" s="925"/>
      <c r="AM181" s="928"/>
      <c r="AO181" s="1272"/>
    </row>
    <row r="182" s="920" customFormat="true" ht="16.5" hidden="false" customHeight="false" outlineLevel="0" collapsed="false">
      <c r="A182" s="912"/>
      <c r="B182" s="913"/>
      <c r="C182" s="914"/>
      <c r="D182" s="915"/>
      <c r="E182" s="914"/>
      <c r="F182" s="912"/>
      <c r="G182" s="912"/>
      <c r="H182" s="912"/>
      <c r="I182" s="912"/>
      <c r="J182" s="912"/>
      <c r="K182" s="916"/>
      <c r="L182" s="917"/>
      <c r="M182" s="918"/>
      <c r="N182" s="912"/>
      <c r="O182" s="919"/>
      <c r="R182" s="912"/>
      <c r="S182" s="912"/>
      <c r="T182" s="912"/>
      <c r="U182" s="912"/>
      <c r="V182" s="921"/>
      <c r="W182" s="912"/>
      <c r="X182" s="922"/>
      <c r="Y182" s="923"/>
      <c r="Z182" s="912"/>
      <c r="AA182" s="912"/>
      <c r="AB182" s="912"/>
      <c r="AC182" s="924"/>
      <c r="AD182" s="925"/>
      <c r="AE182" s="912"/>
      <c r="AF182" s="925"/>
      <c r="AG182" s="925"/>
      <c r="AH182" s="1273"/>
      <c r="AI182" s="1274"/>
      <c r="AJ182" s="925"/>
      <c r="AK182" s="925"/>
      <c r="AL182" s="925"/>
      <c r="AM182" s="928"/>
      <c r="AO182" s="1272"/>
    </row>
    <row r="183" s="920" customFormat="true" ht="16.5" hidden="false" customHeight="false" outlineLevel="0" collapsed="false">
      <c r="A183" s="912"/>
      <c r="B183" s="913"/>
      <c r="C183" s="914"/>
      <c r="D183" s="915"/>
      <c r="E183" s="914"/>
      <c r="F183" s="912"/>
      <c r="G183" s="912"/>
      <c r="H183" s="912"/>
      <c r="I183" s="912"/>
      <c r="J183" s="912"/>
      <c r="K183" s="916"/>
      <c r="L183" s="917"/>
      <c r="M183" s="918"/>
      <c r="N183" s="912"/>
      <c r="O183" s="919"/>
      <c r="R183" s="912"/>
      <c r="S183" s="912"/>
      <c r="T183" s="912"/>
      <c r="U183" s="912"/>
      <c r="V183" s="921"/>
      <c r="W183" s="912"/>
      <c r="X183" s="922"/>
      <c r="Y183" s="923"/>
      <c r="Z183" s="912"/>
      <c r="AA183" s="912"/>
      <c r="AB183" s="912"/>
      <c r="AC183" s="924"/>
      <c r="AD183" s="925"/>
      <c r="AE183" s="912"/>
      <c r="AF183" s="925"/>
      <c r="AG183" s="925"/>
      <c r="AH183" s="1273"/>
      <c r="AI183" s="1274"/>
      <c r="AJ183" s="925"/>
      <c r="AK183" s="925"/>
      <c r="AL183" s="925"/>
      <c r="AM183" s="928"/>
      <c r="AO183" s="1272"/>
    </row>
    <row r="184" s="920" customFormat="true" ht="16.5" hidden="false" customHeight="false" outlineLevel="0" collapsed="false">
      <c r="A184" s="912"/>
      <c r="B184" s="913"/>
      <c r="C184" s="914"/>
      <c r="D184" s="915"/>
      <c r="E184" s="914"/>
      <c r="F184" s="912"/>
      <c r="G184" s="912"/>
      <c r="H184" s="912"/>
      <c r="I184" s="912"/>
      <c r="J184" s="912"/>
      <c r="K184" s="916"/>
      <c r="L184" s="917"/>
      <c r="M184" s="918"/>
      <c r="N184" s="912"/>
      <c r="O184" s="919"/>
      <c r="R184" s="912"/>
      <c r="S184" s="912"/>
      <c r="T184" s="912"/>
      <c r="U184" s="912"/>
      <c r="V184" s="921"/>
      <c r="W184" s="912"/>
      <c r="X184" s="922"/>
      <c r="Y184" s="923"/>
      <c r="Z184" s="912"/>
      <c r="AA184" s="912"/>
      <c r="AB184" s="912"/>
      <c r="AC184" s="924"/>
      <c r="AD184" s="925"/>
      <c r="AE184" s="912"/>
      <c r="AF184" s="925"/>
      <c r="AG184" s="925"/>
      <c r="AH184" s="1273"/>
      <c r="AI184" s="1274"/>
      <c r="AJ184" s="925"/>
      <c r="AK184" s="925"/>
      <c r="AL184" s="925"/>
      <c r="AM184" s="928"/>
      <c r="AO184" s="1272"/>
    </row>
    <row r="185" s="920" customFormat="true" ht="16.5" hidden="false" customHeight="false" outlineLevel="0" collapsed="false">
      <c r="A185" s="912"/>
      <c r="B185" s="913"/>
      <c r="C185" s="914"/>
      <c r="D185" s="915"/>
      <c r="E185" s="914"/>
      <c r="F185" s="912"/>
      <c r="G185" s="912"/>
      <c r="H185" s="912"/>
      <c r="I185" s="912"/>
      <c r="J185" s="912"/>
      <c r="K185" s="916"/>
      <c r="L185" s="917"/>
      <c r="M185" s="918"/>
      <c r="N185" s="912"/>
      <c r="O185" s="919"/>
      <c r="R185" s="912"/>
      <c r="S185" s="912"/>
      <c r="T185" s="912"/>
      <c r="U185" s="912"/>
      <c r="V185" s="921"/>
      <c r="W185" s="912"/>
      <c r="X185" s="922"/>
      <c r="Y185" s="923"/>
      <c r="Z185" s="912"/>
      <c r="AA185" s="912"/>
      <c r="AB185" s="912"/>
      <c r="AC185" s="924"/>
      <c r="AD185" s="925"/>
      <c r="AE185" s="912"/>
      <c r="AF185" s="925"/>
      <c r="AG185" s="925"/>
      <c r="AH185" s="1273"/>
      <c r="AI185" s="1274"/>
      <c r="AJ185" s="925"/>
      <c r="AK185" s="925"/>
      <c r="AL185" s="925"/>
      <c r="AM185" s="928"/>
      <c r="AO185" s="1272"/>
    </row>
    <row r="186" s="920" customFormat="true" ht="16.5" hidden="false" customHeight="false" outlineLevel="0" collapsed="false">
      <c r="A186" s="912"/>
      <c r="B186" s="913"/>
      <c r="C186" s="914"/>
      <c r="D186" s="915"/>
      <c r="E186" s="914"/>
      <c r="F186" s="912"/>
      <c r="G186" s="912"/>
      <c r="H186" s="912"/>
      <c r="I186" s="912"/>
      <c r="J186" s="912"/>
      <c r="K186" s="916"/>
      <c r="L186" s="917"/>
      <c r="M186" s="918"/>
      <c r="N186" s="912"/>
      <c r="O186" s="919"/>
      <c r="R186" s="912"/>
      <c r="S186" s="912"/>
      <c r="T186" s="912"/>
      <c r="U186" s="912"/>
      <c r="V186" s="921"/>
      <c r="W186" s="912"/>
      <c r="X186" s="922"/>
      <c r="Y186" s="923"/>
      <c r="Z186" s="912"/>
      <c r="AA186" s="912"/>
      <c r="AB186" s="912"/>
      <c r="AC186" s="924"/>
      <c r="AD186" s="925"/>
      <c r="AE186" s="912"/>
      <c r="AF186" s="925"/>
      <c r="AG186" s="925"/>
      <c r="AH186" s="1273"/>
      <c r="AI186" s="1274"/>
      <c r="AJ186" s="925"/>
      <c r="AK186" s="925"/>
      <c r="AL186" s="925"/>
      <c r="AM186" s="928"/>
      <c r="AO186" s="1272"/>
    </row>
    <row r="187" s="920" customFormat="true" ht="16.5" hidden="false" customHeight="false" outlineLevel="0" collapsed="false">
      <c r="A187" s="912"/>
      <c r="B187" s="913"/>
      <c r="C187" s="914"/>
      <c r="D187" s="915"/>
      <c r="E187" s="914"/>
      <c r="F187" s="912"/>
      <c r="G187" s="912"/>
      <c r="H187" s="912"/>
      <c r="I187" s="912"/>
      <c r="J187" s="912"/>
      <c r="K187" s="916"/>
      <c r="L187" s="917"/>
      <c r="M187" s="918"/>
      <c r="N187" s="912"/>
      <c r="O187" s="919"/>
      <c r="R187" s="912"/>
      <c r="S187" s="912"/>
      <c r="T187" s="912"/>
      <c r="U187" s="912"/>
      <c r="V187" s="921"/>
      <c r="W187" s="912"/>
      <c r="X187" s="922"/>
      <c r="Y187" s="923"/>
      <c r="Z187" s="912"/>
      <c r="AA187" s="912"/>
      <c r="AB187" s="912"/>
      <c r="AC187" s="924"/>
      <c r="AD187" s="925"/>
      <c r="AE187" s="912"/>
      <c r="AF187" s="925"/>
      <c r="AG187" s="925"/>
      <c r="AH187" s="1273"/>
      <c r="AI187" s="1274"/>
      <c r="AJ187" s="925"/>
      <c r="AK187" s="925"/>
      <c r="AL187" s="925"/>
      <c r="AM187" s="928"/>
      <c r="AO187" s="1272"/>
    </row>
    <row r="188" s="920" customFormat="true" ht="16.5" hidden="false" customHeight="false" outlineLevel="0" collapsed="false">
      <c r="A188" s="912"/>
      <c r="B188" s="913"/>
      <c r="C188" s="914"/>
      <c r="D188" s="915"/>
      <c r="E188" s="914"/>
      <c r="F188" s="912"/>
      <c r="G188" s="912"/>
      <c r="H188" s="912"/>
      <c r="I188" s="912"/>
      <c r="J188" s="912"/>
      <c r="K188" s="916"/>
      <c r="L188" s="917"/>
      <c r="M188" s="918"/>
      <c r="N188" s="912"/>
      <c r="O188" s="919"/>
      <c r="R188" s="912"/>
      <c r="S188" s="912"/>
      <c r="T188" s="912"/>
      <c r="U188" s="912"/>
      <c r="V188" s="921"/>
      <c r="W188" s="912"/>
      <c r="X188" s="922"/>
      <c r="Y188" s="923"/>
      <c r="Z188" s="912"/>
      <c r="AA188" s="912"/>
      <c r="AB188" s="912"/>
      <c r="AC188" s="924"/>
      <c r="AD188" s="925"/>
      <c r="AE188" s="912"/>
      <c r="AF188" s="925"/>
      <c r="AG188" s="925"/>
      <c r="AH188" s="1273"/>
      <c r="AI188" s="1274"/>
      <c r="AJ188" s="925"/>
      <c r="AK188" s="925"/>
      <c r="AL188" s="925"/>
      <c r="AM188" s="928"/>
      <c r="AO188" s="1272"/>
    </row>
    <row r="189" s="920" customFormat="true" ht="16.5" hidden="false" customHeight="false" outlineLevel="0" collapsed="false">
      <c r="A189" s="912"/>
      <c r="B189" s="913"/>
      <c r="C189" s="914"/>
      <c r="D189" s="915"/>
      <c r="E189" s="914"/>
      <c r="F189" s="912"/>
      <c r="G189" s="912"/>
      <c r="H189" s="912"/>
      <c r="I189" s="912"/>
      <c r="J189" s="912"/>
      <c r="K189" s="916"/>
      <c r="L189" s="917"/>
      <c r="M189" s="918"/>
      <c r="N189" s="912"/>
      <c r="O189" s="919"/>
      <c r="R189" s="912"/>
      <c r="S189" s="912"/>
      <c r="T189" s="912"/>
      <c r="U189" s="912"/>
      <c r="V189" s="921"/>
      <c r="W189" s="912"/>
      <c r="X189" s="922"/>
      <c r="Y189" s="923"/>
      <c r="Z189" s="912"/>
      <c r="AA189" s="912"/>
      <c r="AB189" s="912"/>
      <c r="AC189" s="924"/>
      <c r="AD189" s="925"/>
      <c r="AE189" s="912"/>
      <c r="AF189" s="925"/>
      <c r="AG189" s="925"/>
      <c r="AH189" s="1273"/>
      <c r="AI189" s="1274"/>
      <c r="AJ189" s="925"/>
      <c r="AK189" s="925"/>
      <c r="AL189" s="925"/>
      <c r="AM189" s="928"/>
      <c r="AO189" s="1272"/>
    </row>
    <row r="190" s="920" customFormat="true" ht="16.5" hidden="false" customHeight="false" outlineLevel="0" collapsed="false">
      <c r="A190" s="912"/>
      <c r="B190" s="913"/>
      <c r="C190" s="914"/>
      <c r="D190" s="915"/>
      <c r="E190" s="914"/>
      <c r="F190" s="912"/>
      <c r="G190" s="912"/>
      <c r="H190" s="912"/>
      <c r="I190" s="912"/>
      <c r="J190" s="912"/>
      <c r="K190" s="916"/>
      <c r="L190" s="917"/>
      <c r="M190" s="918"/>
      <c r="N190" s="912"/>
      <c r="O190" s="919"/>
      <c r="R190" s="912"/>
      <c r="S190" s="912"/>
      <c r="T190" s="912"/>
      <c r="U190" s="912"/>
      <c r="V190" s="921"/>
      <c r="W190" s="912"/>
      <c r="X190" s="922"/>
      <c r="Y190" s="923"/>
      <c r="Z190" s="912"/>
      <c r="AA190" s="912"/>
      <c r="AB190" s="912"/>
      <c r="AC190" s="924"/>
      <c r="AD190" s="925"/>
      <c r="AE190" s="912"/>
      <c r="AF190" s="925"/>
      <c r="AG190" s="925"/>
      <c r="AH190" s="1273"/>
      <c r="AI190" s="1274"/>
      <c r="AJ190" s="925"/>
      <c r="AK190" s="925"/>
      <c r="AL190" s="925"/>
      <c r="AM190" s="928"/>
      <c r="AO190" s="1272"/>
    </row>
    <row r="191" s="920" customFormat="true" ht="16.5" hidden="false" customHeight="false" outlineLevel="0" collapsed="false">
      <c r="A191" s="912"/>
      <c r="B191" s="913"/>
      <c r="C191" s="914"/>
      <c r="D191" s="915"/>
      <c r="E191" s="914"/>
      <c r="F191" s="912"/>
      <c r="G191" s="912"/>
      <c r="H191" s="912"/>
      <c r="I191" s="912"/>
      <c r="J191" s="912"/>
      <c r="K191" s="916"/>
      <c r="L191" s="917"/>
      <c r="M191" s="918"/>
      <c r="N191" s="912"/>
      <c r="O191" s="919"/>
      <c r="R191" s="912"/>
      <c r="S191" s="912"/>
      <c r="T191" s="912"/>
      <c r="U191" s="912"/>
      <c r="V191" s="921"/>
      <c r="W191" s="912"/>
      <c r="X191" s="922"/>
      <c r="Y191" s="923"/>
      <c r="Z191" s="912"/>
      <c r="AA191" s="912"/>
      <c r="AB191" s="912"/>
      <c r="AC191" s="924"/>
      <c r="AD191" s="925"/>
      <c r="AE191" s="912"/>
      <c r="AF191" s="925"/>
      <c r="AG191" s="925"/>
      <c r="AH191" s="1273"/>
      <c r="AI191" s="1274"/>
      <c r="AJ191" s="925"/>
      <c r="AK191" s="925"/>
      <c r="AL191" s="925"/>
      <c r="AM191" s="928"/>
      <c r="AO191" s="1272"/>
    </row>
    <row r="192" s="920" customFormat="true" ht="16.5" hidden="false" customHeight="false" outlineLevel="0" collapsed="false">
      <c r="A192" s="912"/>
      <c r="B192" s="913"/>
      <c r="C192" s="914"/>
      <c r="D192" s="915"/>
      <c r="E192" s="914"/>
      <c r="F192" s="912"/>
      <c r="G192" s="912"/>
      <c r="H192" s="912"/>
      <c r="I192" s="912"/>
      <c r="J192" s="912"/>
      <c r="K192" s="916"/>
      <c r="L192" s="917"/>
      <c r="M192" s="918"/>
      <c r="N192" s="912"/>
      <c r="O192" s="919"/>
      <c r="R192" s="912"/>
      <c r="S192" s="912"/>
      <c r="T192" s="912"/>
      <c r="U192" s="912"/>
      <c r="V192" s="921"/>
      <c r="W192" s="912"/>
      <c r="X192" s="922"/>
      <c r="Y192" s="923"/>
      <c r="Z192" s="912"/>
      <c r="AA192" s="912"/>
      <c r="AB192" s="912"/>
      <c r="AC192" s="924"/>
      <c r="AD192" s="925"/>
      <c r="AE192" s="912"/>
      <c r="AF192" s="925"/>
      <c r="AG192" s="925"/>
      <c r="AH192" s="1273"/>
      <c r="AI192" s="1274"/>
      <c r="AJ192" s="925"/>
      <c r="AK192" s="925"/>
      <c r="AL192" s="925"/>
      <c r="AM192" s="928"/>
      <c r="AO192" s="1272"/>
    </row>
    <row r="193" s="920" customFormat="true" ht="16.5" hidden="false" customHeight="false" outlineLevel="0" collapsed="false">
      <c r="A193" s="912"/>
      <c r="B193" s="913"/>
      <c r="C193" s="914"/>
      <c r="D193" s="915"/>
      <c r="E193" s="914"/>
      <c r="F193" s="912"/>
      <c r="G193" s="912"/>
      <c r="H193" s="912"/>
      <c r="I193" s="912"/>
      <c r="J193" s="912"/>
      <c r="K193" s="916"/>
      <c r="L193" s="917"/>
      <c r="M193" s="918"/>
      <c r="N193" s="912"/>
      <c r="O193" s="919"/>
      <c r="R193" s="912"/>
      <c r="S193" s="912"/>
      <c r="T193" s="912"/>
      <c r="U193" s="912"/>
      <c r="V193" s="921"/>
      <c r="W193" s="912"/>
      <c r="X193" s="922"/>
      <c r="Y193" s="923"/>
      <c r="Z193" s="912"/>
      <c r="AA193" s="912"/>
      <c r="AB193" s="912"/>
      <c r="AC193" s="924"/>
      <c r="AD193" s="925"/>
      <c r="AE193" s="912"/>
      <c r="AF193" s="925"/>
      <c r="AG193" s="925"/>
      <c r="AH193" s="1273"/>
      <c r="AI193" s="1274"/>
      <c r="AJ193" s="925"/>
      <c r="AK193" s="925"/>
      <c r="AL193" s="925"/>
      <c r="AM193" s="928"/>
      <c r="AO193" s="1272"/>
    </row>
    <row r="194" s="920" customFormat="true" ht="16.5" hidden="false" customHeight="false" outlineLevel="0" collapsed="false">
      <c r="A194" s="912"/>
      <c r="B194" s="913"/>
      <c r="C194" s="914"/>
      <c r="D194" s="915"/>
      <c r="E194" s="914"/>
      <c r="F194" s="912"/>
      <c r="G194" s="912"/>
      <c r="H194" s="912"/>
      <c r="I194" s="912"/>
      <c r="J194" s="912"/>
      <c r="K194" s="916"/>
      <c r="L194" s="917"/>
      <c r="M194" s="918"/>
      <c r="N194" s="912"/>
      <c r="O194" s="919"/>
      <c r="R194" s="912"/>
      <c r="S194" s="912"/>
      <c r="T194" s="912"/>
      <c r="U194" s="912"/>
      <c r="V194" s="921"/>
      <c r="W194" s="912"/>
      <c r="X194" s="922"/>
      <c r="Y194" s="923"/>
      <c r="Z194" s="912"/>
      <c r="AA194" s="912"/>
      <c r="AB194" s="912"/>
      <c r="AC194" s="924"/>
      <c r="AD194" s="925"/>
      <c r="AE194" s="912"/>
      <c r="AF194" s="925"/>
      <c r="AG194" s="925"/>
      <c r="AH194" s="1273"/>
      <c r="AI194" s="1274"/>
      <c r="AJ194" s="925"/>
      <c r="AK194" s="925"/>
      <c r="AL194" s="925"/>
      <c r="AM194" s="928"/>
      <c r="AO194" s="1272"/>
    </row>
    <row r="195" s="920" customFormat="true" ht="16.5" hidden="false" customHeight="false" outlineLevel="0" collapsed="false">
      <c r="A195" s="912"/>
      <c r="B195" s="913"/>
      <c r="C195" s="914"/>
      <c r="D195" s="915"/>
      <c r="E195" s="914"/>
      <c r="F195" s="912"/>
      <c r="G195" s="912"/>
      <c r="H195" s="912"/>
      <c r="I195" s="912"/>
      <c r="J195" s="912"/>
      <c r="K195" s="916"/>
      <c r="L195" s="917"/>
      <c r="M195" s="918"/>
      <c r="N195" s="912"/>
      <c r="O195" s="919"/>
      <c r="R195" s="912"/>
      <c r="S195" s="912"/>
      <c r="T195" s="912"/>
      <c r="U195" s="912"/>
      <c r="V195" s="921"/>
      <c r="W195" s="912"/>
      <c r="X195" s="922"/>
      <c r="Y195" s="923"/>
      <c r="Z195" s="912"/>
      <c r="AA195" s="912"/>
      <c r="AB195" s="912"/>
      <c r="AC195" s="924"/>
      <c r="AD195" s="925"/>
      <c r="AE195" s="912"/>
      <c r="AF195" s="925"/>
      <c r="AG195" s="925"/>
      <c r="AH195" s="1273"/>
      <c r="AI195" s="1274"/>
      <c r="AJ195" s="925"/>
      <c r="AK195" s="925"/>
      <c r="AL195" s="925"/>
      <c r="AM195" s="928"/>
      <c r="AO195" s="1272"/>
    </row>
    <row r="196" s="920" customFormat="true" ht="16.5" hidden="false" customHeight="false" outlineLevel="0" collapsed="false">
      <c r="A196" s="912"/>
      <c r="B196" s="913"/>
      <c r="C196" s="914"/>
      <c r="D196" s="915"/>
      <c r="E196" s="914"/>
      <c r="F196" s="912"/>
      <c r="G196" s="912"/>
      <c r="H196" s="912"/>
      <c r="I196" s="912"/>
      <c r="J196" s="912"/>
      <c r="K196" s="916"/>
      <c r="L196" s="917"/>
      <c r="M196" s="918"/>
      <c r="N196" s="912"/>
      <c r="O196" s="919"/>
      <c r="R196" s="912"/>
      <c r="S196" s="912"/>
      <c r="T196" s="912"/>
      <c r="U196" s="912"/>
      <c r="V196" s="921"/>
      <c r="W196" s="912"/>
      <c r="X196" s="922"/>
      <c r="Y196" s="923"/>
      <c r="Z196" s="912"/>
      <c r="AA196" s="912"/>
      <c r="AB196" s="912"/>
      <c r="AC196" s="924"/>
      <c r="AD196" s="925"/>
      <c r="AE196" s="912"/>
      <c r="AF196" s="925"/>
      <c r="AG196" s="925"/>
      <c r="AH196" s="1273"/>
      <c r="AI196" s="1274"/>
      <c r="AJ196" s="925"/>
      <c r="AK196" s="925"/>
      <c r="AL196" s="925"/>
      <c r="AM196" s="928"/>
      <c r="AO196" s="1272"/>
    </row>
    <row r="197" s="920" customFormat="true" ht="16.5" hidden="false" customHeight="false" outlineLevel="0" collapsed="false">
      <c r="A197" s="912"/>
      <c r="B197" s="913"/>
      <c r="C197" s="914"/>
      <c r="D197" s="915"/>
      <c r="E197" s="914"/>
      <c r="F197" s="912"/>
      <c r="G197" s="912"/>
      <c r="H197" s="912"/>
      <c r="I197" s="912"/>
      <c r="J197" s="912"/>
      <c r="K197" s="916"/>
      <c r="L197" s="917"/>
      <c r="M197" s="918"/>
      <c r="N197" s="912"/>
      <c r="O197" s="919"/>
      <c r="R197" s="912"/>
      <c r="S197" s="912"/>
      <c r="T197" s="912"/>
      <c r="U197" s="912"/>
      <c r="V197" s="921"/>
      <c r="W197" s="912"/>
      <c r="X197" s="922"/>
      <c r="Y197" s="923"/>
      <c r="Z197" s="912"/>
      <c r="AA197" s="912"/>
      <c r="AB197" s="912"/>
      <c r="AC197" s="924"/>
      <c r="AD197" s="925"/>
      <c r="AE197" s="912"/>
      <c r="AF197" s="925"/>
      <c r="AG197" s="925"/>
      <c r="AH197" s="1273"/>
      <c r="AI197" s="1274"/>
      <c r="AJ197" s="925"/>
      <c r="AK197" s="925"/>
      <c r="AL197" s="925"/>
      <c r="AM197" s="928"/>
      <c r="AO197" s="1272"/>
    </row>
    <row r="198" s="920" customFormat="true" ht="16.5" hidden="false" customHeight="false" outlineLevel="0" collapsed="false">
      <c r="A198" s="912"/>
      <c r="B198" s="913"/>
      <c r="C198" s="914"/>
      <c r="D198" s="915"/>
      <c r="E198" s="914"/>
      <c r="F198" s="912"/>
      <c r="G198" s="912"/>
      <c r="H198" s="912"/>
      <c r="I198" s="912"/>
      <c r="J198" s="912"/>
      <c r="K198" s="916"/>
      <c r="L198" s="917"/>
      <c r="M198" s="918"/>
      <c r="N198" s="912"/>
      <c r="O198" s="919"/>
      <c r="R198" s="912"/>
      <c r="S198" s="912"/>
      <c r="T198" s="912"/>
      <c r="U198" s="912"/>
      <c r="V198" s="921"/>
      <c r="W198" s="912"/>
      <c r="X198" s="922"/>
      <c r="Y198" s="923"/>
      <c r="Z198" s="912"/>
      <c r="AA198" s="912"/>
      <c r="AB198" s="912"/>
      <c r="AC198" s="924"/>
      <c r="AD198" s="925"/>
      <c r="AE198" s="912"/>
      <c r="AF198" s="925"/>
      <c r="AG198" s="925"/>
      <c r="AH198" s="1273"/>
      <c r="AI198" s="1274"/>
      <c r="AJ198" s="925"/>
      <c r="AK198" s="925"/>
      <c r="AL198" s="925"/>
      <c r="AM198" s="928"/>
      <c r="AO198" s="1272"/>
    </row>
    <row r="199" s="920" customFormat="true" ht="16.5" hidden="false" customHeight="false" outlineLevel="0" collapsed="false">
      <c r="A199" s="912"/>
      <c r="B199" s="913"/>
      <c r="C199" s="914"/>
      <c r="D199" s="915"/>
      <c r="E199" s="914"/>
      <c r="F199" s="912"/>
      <c r="G199" s="912"/>
      <c r="H199" s="912"/>
      <c r="I199" s="912"/>
      <c r="J199" s="912"/>
      <c r="K199" s="916"/>
      <c r="L199" s="917"/>
      <c r="M199" s="918"/>
      <c r="N199" s="912"/>
      <c r="O199" s="919"/>
      <c r="R199" s="912"/>
      <c r="S199" s="912"/>
      <c r="T199" s="912"/>
      <c r="U199" s="912"/>
      <c r="V199" s="921"/>
      <c r="W199" s="912"/>
      <c r="X199" s="922"/>
      <c r="Y199" s="923"/>
      <c r="Z199" s="912"/>
      <c r="AA199" s="912"/>
      <c r="AB199" s="912"/>
      <c r="AC199" s="924"/>
      <c r="AD199" s="925"/>
      <c r="AE199" s="912"/>
      <c r="AF199" s="925"/>
      <c r="AG199" s="925"/>
      <c r="AH199" s="1273"/>
      <c r="AI199" s="1274"/>
      <c r="AJ199" s="925"/>
      <c r="AK199" s="925"/>
      <c r="AL199" s="925"/>
      <c r="AM199" s="928"/>
      <c r="AO199" s="1272"/>
    </row>
    <row r="200" s="920" customFormat="true" ht="16.5" hidden="false" customHeight="false" outlineLevel="0" collapsed="false">
      <c r="A200" s="912"/>
      <c r="B200" s="913"/>
      <c r="C200" s="914"/>
      <c r="D200" s="915"/>
      <c r="E200" s="914"/>
      <c r="F200" s="912"/>
      <c r="G200" s="912"/>
      <c r="H200" s="912"/>
      <c r="I200" s="912"/>
      <c r="J200" s="912"/>
      <c r="K200" s="916"/>
      <c r="L200" s="917"/>
      <c r="M200" s="918"/>
      <c r="N200" s="912"/>
      <c r="O200" s="919"/>
      <c r="R200" s="912"/>
      <c r="S200" s="912"/>
      <c r="T200" s="912"/>
      <c r="U200" s="912"/>
      <c r="V200" s="921"/>
      <c r="W200" s="912"/>
      <c r="X200" s="922"/>
      <c r="Y200" s="923"/>
      <c r="Z200" s="912"/>
      <c r="AA200" s="912"/>
      <c r="AB200" s="912"/>
      <c r="AC200" s="924"/>
      <c r="AD200" s="925"/>
      <c r="AE200" s="912"/>
      <c r="AF200" s="925"/>
      <c r="AG200" s="925"/>
      <c r="AH200" s="1273"/>
      <c r="AI200" s="1274"/>
      <c r="AJ200" s="925"/>
      <c r="AK200" s="925"/>
      <c r="AL200" s="925"/>
      <c r="AM200" s="928"/>
      <c r="AO200" s="1272"/>
    </row>
    <row r="201" s="920" customFormat="true" ht="16.5" hidden="false" customHeight="false" outlineLevel="0" collapsed="false">
      <c r="A201" s="912"/>
      <c r="B201" s="913"/>
      <c r="C201" s="914"/>
      <c r="D201" s="915"/>
      <c r="E201" s="914"/>
      <c r="F201" s="912"/>
      <c r="G201" s="912"/>
      <c r="H201" s="912"/>
      <c r="I201" s="912"/>
      <c r="J201" s="912"/>
      <c r="K201" s="916"/>
      <c r="L201" s="917"/>
      <c r="M201" s="918"/>
      <c r="N201" s="912"/>
      <c r="O201" s="919"/>
      <c r="R201" s="912"/>
      <c r="S201" s="912"/>
      <c r="T201" s="912"/>
      <c r="U201" s="912"/>
      <c r="V201" s="921"/>
      <c r="W201" s="912"/>
      <c r="X201" s="922"/>
      <c r="Y201" s="923"/>
      <c r="Z201" s="912"/>
      <c r="AA201" s="912"/>
      <c r="AB201" s="912"/>
      <c r="AC201" s="924"/>
      <c r="AD201" s="925"/>
      <c r="AE201" s="912"/>
      <c r="AF201" s="925"/>
      <c r="AG201" s="925"/>
      <c r="AH201" s="1273"/>
      <c r="AI201" s="1274"/>
      <c r="AJ201" s="925"/>
      <c r="AK201" s="925"/>
      <c r="AL201" s="925"/>
      <c r="AM201" s="928"/>
      <c r="AO201" s="1272"/>
    </row>
    <row r="202" s="920" customFormat="true" ht="16.5" hidden="false" customHeight="false" outlineLevel="0" collapsed="false">
      <c r="A202" s="912"/>
      <c r="B202" s="913"/>
      <c r="C202" s="914"/>
      <c r="D202" s="915"/>
      <c r="E202" s="914"/>
      <c r="F202" s="912"/>
      <c r="G202" s="912"/>
      <c r="H202" s="912"/>
      <c r="I202" s="912"/>
      <c r="J202" s="912"/>
      <c r="K202" s="916"/>
      <c r="L202" s="917"/>
      <c r="M202" s="918"/>
      <c r="N202" s="912"/>
      <c r="O202" s="919"/>
      <c r="R202" s="912"/>
      <c r="S202" s="912"/>
      <c r="T202" s="912"/>
      <c r="U202" s="912"/>
      <c r="V202" s="921"/>
      <c r="W202" s="912"/>
      <c r="X202" s="922"/>
      <c r="Y202" s="923"/>
      <c r="Z202" s="912"/>
      <c r="AA202" s="912"/>
      <c r="AB202" s="912"/>
      <c r="AC202" s="924"/>
      <c r="AD202" s="925"/>
      <c r="AE202" s="912"/>
      <c r="AF202" s="925"/>
      <c r="AG202" s="925"/>
      <c r="AH202" s="1273"/>
      <c r="AI202" s="1274"/>
      <c r="AJ202" s="925"/>
      <c r="AK202" s="925"/>
      <c r="AL202" s="925"/>
      <c r="AM202" s="928"/>
      <c r="AO202" s="1272"/>
    </row>
    <row r="203" s="920" customFormat="true" ht="16.5" hidden="false" customHeight="false" outlineLevel="0" collapsed="false">
      <c r="A203" s="912"/>
      <c r="B203" s="913"/>
      <c r="C203" s="914"/>
      <c r="D203" s="915"/>
      <c r="E203" s="914"/>
      <c r="F203" s="912"/>
      <c r="G203" s="912"/>
      <c r="H203" s="912"/>
      <c r="I203" s="912"/>
      <c r="J203" s="912"/>
      <c r="K203" s="916"/>
      <c r="L203" s="917"/>
      <c r="M203" s="918"/>
      <c r="N203" s="912"/>
      <c r="O203" s="919"/>
      <c r="R203" s="912"/>
      <c r="S203" s="912"/>
      <c r="T203" s="912"/>
      <c r="U203" s="912"/>
      <c r="V203" s="921"/>
      <c r="W203" s="912"/>
      <c r="X203" s="922"/>
      <c r="Y203" s="923"/>
      <c r="Z203" s="912"/>
      <c r="AA203" s="912"/>
      <c r="AB203" s="912"/>
      <c r="AC203" s="924"/>
      <c r="AD203" s="925"/>
      <c r="AE203" s="912"/>
      <c r="AF203" s="925"/>
      <c r="AG203" s="925"/>
      <c r="AH203" s="1273"/>
      <c r="AI203" s="1274"/>
      <c r="AJ203" s="925"/>
      <c r="AK203" s="925"/>
      <c r="AL203" s="925"/>
      <c r="AM203" s="928"/>
      <c r="AO203" s="1272"/>
    </row>
    <row r="204" s="920" customFormat="true" ht="16.5" hidden="false" customHeight="false" outlineLevel="0" collapsed="false">
      <c r="A204" s="912"/>
      <c r="B204" s="913"/>
      <c r="C204" s="914"/>
      <c r="D204" s="915"/>
      <c r="E204" s="914"/>
      <c r="F204" s="912"/>
      <c r="G204" s="912"/>
      <c r="H204" s="912"/>
      <c r="I204" s="912"/>
      <c r="J204" s="912"/>
      <c r="K204" s="916"/>
      <c r="L204" s="917"/>
      <c r="M204" s="918"/>
      <c r="N204" s="912"/>
      <c r="O204" s="919"/>
      <c r="R204" s="912"/>
      <c r="S204" s="912"/>
      <c r="T204" s="912"/>
      <c r="U204" s="912"/>
      <c r="V204" s="921"/>
      <c r="W204" s="912"/>
      <c r="X204" s="922"/>
      <c r="Y204" s="923"/>
      <c r="Z204" s="912"/>
      <c r="AA204" s="912"/>
      <c r="AB204" s="912"/>
      <c r="AC204" s="924"/>
      <c r="AD204" s="925"/>
      <c r="AE204" s="912"/>
      <c r="AF204" s="925"/>
      <c r="AG204" s="925"/>
      <c r="AH204" s="1273"/>
      <c r="AI204" s="1274"/>
      <c r="AJ204" s="925"/>
      <c r="AK204" s="925"/>
      <c r="AL204" s="925"/>
      <c r="AM204" s="928"/>
      <c r="AO204" s="1272"/>
    </row>
    <row r="205" s="920" customFormat="true" ht="16.5" hidden="false" customHeight="false" outlineLevel="0" collapsed="false">
      <c r="A205" s="912"/>
      <c r="B205" s="913"/>
      <c r="C205" s="914"/>
      <c r="D205" s="915"/>
      <c r="E205" s="914"/>
      <c r="F205" s="912"/>
      <c r="G205" s="912"/>
      <c r="H205" s="912"/>
      <c r="I205" s="912"/>
      <c r="J205" s="912"/>
      <c r="K205" s="916"/>
      <c r="L205" s="917"/>
      <c r="M205" s="918"/>
      <c r="N205" s="912"/>
      <c r="O205" s="919"/>
      <c r="R205" s="912"/>
      <c r="S205" s="912"/>
      <c r="T205" s="912"/>
      <c r="U205" s="912"/>
      <c r="V205" s="921"/>
      <c r="W205" s="912"/>
      <c r="X205" s="922"/>
      <c r="Y205" s="923"/>
      <c r="Z205" s="912"/>
      <c r="AA205" s="912"/>
      <c r="AB205" s="912"/>
      <c r="AC205" s="924"/>
      <c r="AD205" s="925"/>
      <c r="AE205" s="912"/>
      <c r="AF205" s="925"/>
      <c r="AG205" s="925"/>
      <c r="AH205" s="1273"/>
      <c r="AI205" s="1274"/>
      <c r="AJ205" s="925"/>
      <c r="AK205" s="925"/>
      <c r="AL205" s="925"/>
      <c r="AM205" s="928"/>
      <c r="AO205" s="1272"/>
    </row>
    <row r="206" s="920" customFormat="true" ht="16.5" hidden="false" customHeight="false" outlineLevel="0" collapsed="false">
      <c r="A206" s="912"/>
      <c r="B206" s="913"/>
      <c r="C206" s="914"/>
      <c r="D206" s="915"/>
      <c r="E206" s="914"/>
      <c r="F206" s="912"/>
      <c r="G206" s="912"/>
      <c r="H206" s="912"/>
      <c r="I206" s="912"/>
      <c r="J206" s="912"/>
      <c r="K206" s="916"/>
      <c r="L206" s="917"/>
      <c r="M206" s="918"/>
      <c r="N206" s="912"/>
      <c r="O206" s="919"/>
      <c r="R206" s="912"/>
      <c r="S206" s="912"/>
      <c r="T206" s="912"/>
      <c r="U206" s="912"/>
      <c r="V206" s="921"/>
      <c r="W206" s="912"/>
      <c r="X206" s="922"/>
      <c r="Y206" s="923"/>
      <c r="Z206" s="912"/>
      <c r="AA206" s="912"/>
      <c r="AB206" s="912"/>
      <c r="AC206" s="924"/>
      <c r="AD206" s="925"/>
      <c r="AE206" s="912"/>
      <c r="AF206" s="925"/>
      <c r="AG206" s="925"/>
      <c r="AH206" s="1273"/>
      <c r="AI206" s="1274"/>
      <c r="AJ206" s="925"/>
      <c r="AK206" s="925"/>
      <c r="AL206" s="925"/>
      <c r="AM206" s="928"/>
      <c r="AO206" s="1272"/>
    </row>
    <row r="207" s="920" customFormat="true" ht="16.5" hidden="false" customHeight="false" outlineLevel="0" collapsed="false">
      <c r="A207" s="912"/>
      <c r="B207" s="913"/>
      <c r="C207" s="914"/>
      <c r="D207" s="915"/>
      <c r="E207" s="914"/>
      <c r="F207" s="912"/>
      <c r="G207" s="912"/>
      <c r="H207" s="912"/>
      <c r="I207" s="912"/>
      <c r="J207" s="912"/>
      <c r="K207" s="916"/>
      <c r="L207" s="917"/>
      <c r="M207" s="918"/>
      <c r="N207" s="912"/>
      <c r="O207" s="919"/>
      <c r="R207" s="912"/>
      <c r="S207" s="912"/>
      <c r="T207" s="912"/>
      <c r="U207" s="912"/>
      <c r="V207" s="921"/>
      <c r="W207" s="912"/>
      <c r="X207" s="922"/>
      <c r="Y207" s="923"/>
      <c r="Z207" s="912"/>
      <c r="AA207" s="912"/>
      <c r="AB207" s="912"/>
      <c r="AC207" s="924"/>
      <c r="AD207" s="925"/>
      <c r="AE207" s="912"/>
      <c r="AF207" s="925"/>
      <c r="AG207" s="925"/>
      <c r="AH207" s="1273"/>
      <c r="AI207" s="1274"/>
      <c r="AJ207" s="925"/>
      <c r="AK207" s="925"/>
      <c r="AL207" s="925"/>
      <c r="AM207" s="928"/>
      <c r="AO207" s="1272"/>
    </row>
    <row r="208" s="920" customFormat="true" ht="16.5" hidden="false" customHeight="false" outlineLevel="0" collapsed="false">
      <c r="A208" s="912"/>
      <c r="B208" s="913"/>
      <c r="C208" s="914"/>
      <c r="D208" s="915"/>
      <c r="E208" s="914"/>
      <c r="F208" s="912"/>
      <c r="G208" s="912"/>
      <c r="H208" s="912"/>
      <c r="I208" s="912"/>
      <c r="J208" s="912"/>
      <c r="K208" s="916"/>
      <c r="L208" s="917"/>
      <c r="M208" s="918"/>
      <c r="N208" s="912"/>
      <c r="O208" s="919"/>
      <c r="R208" s="912"/>
      <c r="S208" s="912"/>
      <c r="T208" s="912"/>
      <c r="U208" s="912"/>
      <c r="V208" s="921"/>
      <c r="W208" s="912"/>
      <c r="X208" s="922"/>
      <c r="Y208" s="923"/>
      <c r="Z208" s="912"/>
      <c r="AA208" s="912"/>
      <c r="AB208" s="912"/>
      <c r="AC208" s="924"/>
      <c r="AD208" s="925"/>
      <c r="AE208" s="912"/>
      <c r="AF208" s="925"/>
      <c r="AG208" s="925"/>
      <c r="AH208" s="1273"/>
      <c r="AI208" s="1274"/>
      <c r="AJ208" s="925"/>
      <c r="AK208" s="925"/>
      <c r="AL208" s="925"/>
      <c r="AM208" s="928"/>
      <c r="AO208" s="1272"/>
    </row>
    <row r="209" s="920" customFormat="true" ht="16.5" hidden="false" customHeight="false" outlineLevel="0" collapsed="false">
      <c r="A209" s="912"/>
      <c r="B209" s="913"/>
      <c r="C209" s="914"/>
      <c r="D209" s="915"/>
      <c r="E209" s="914"/>
      <c r="F209" s="912"/>
      <c r="G209" s="912"/>
      <c r="H209" s="912"/>
      <c r="I209" s="912"/>
      <c r="J209" s="912"/>
      <c r="K209" s="916"/>
      <c r="L209" s="917"/>
      <c r="M209" s="918"/>
      <c r="N209" s="912"/>
      <c r="O209" s="919"/>
      <c r="R209" s="912"/>
      <c r="S209" s="912"/>
      <c r="T209" s="912"/>
      <c r="U209" s="912"/>
      <c r="V209" s="921"/>
      <c r="W209" s="912"/>
      <c r="X209" s="922"/>
      <c r="Y209" s="923"/>
      <c r="Z209" s="912"/>
      <c r="AA209" s="912"/>
      <c r="AB209" s="912"/>
      <c r="AC209" s="924"/>
      <c r="AD209" s="925"/>
      <c r="AE209" s="912"/>
      <c r="AF209" s="925"/>
      <c r="AG209" s="925"/>
      <c r="AH209" s="1273"/>
      <c r="AI209" s="1274"/>
      <c r="AJ209" s="925"/>
      <c r="AK209" s="925"/>
      <c r="AL209" s="925"/>
      <c r="AM209" s="928"/>
      <c r="AO209" s="1272"/>
    </row>
    <row r="210" s="920" customFormat="true" ht="16.5" hidden="false" customHeight="false" outlineLevel="0" collapsed="false">
      <c r="A210" s="912"/>
      <c r="B210" s="913"/>
      <c r="C210" s="914"/>
      <c r="D210" s="915"/>
      <c r="E210" s="914"/>
      <c r="F210" s="912"/>
      <c r="G210" s="912"/>
      <c r="H210" s="912"/>
      <c r="I210" s="912"/>
      <c r="J210" s="912"/>
      <c r="K210" s="916"/>
      <c r="L210" s="917"/>
      <c r="M210" s="918"/>
      <c r="N210" s="912"/>
      <c r="O210" s="919"/>
      <c r="R210" s="912"/>
      <c r="S210" s="912"/>
      <c r="T210" s="912"/>
      <c r="U210" s="912"/>
      <c r="V210" s="921"/>
      <c r="W210" s="912"/>
      <c r="X210" s="922"/>
      <c r="Y210" s="923"/>
      <c r="Z210" s="912"/>
      <c r="AA210" s="912"/>
      <c r="AB210" s="912"/>
      <c r="AC210" s="924"/>
      <c r="AD210" s="925"/>
      <c r="AE210" s="912"/>
      <c r="AF210" s="925"/>
      <c r="AG210" s="925"/>
      <c r="AH210" s="1273"/>
      <c r="AI210" s="1274"/>
      <c r="AJ210" s="925"/>
      <c r="AK210" s="925"/>
      <c r="AL210" s="925"/>
      <c r="AM210" s="928"/>
      <c r="AO210" s="1272"/>
    </row>
    <row r="211" s="920" customFormat="true" ht="16.5" hidden="false" customHeight="false" outlineLevel="0" collapsed="false">
      <c r="A211" s="912"/>
      <c r="B211" s="913"/>
      <c r="C211" s="914"/>
      <c r="D211" s="915"/>
      <c r="E211" s="914"/>
      <c r="F211" s="912"/>
      <c r="G211" s="912"/>
      <c r="H211" s="912"/>
      <c r="I211" s="912"/>
      <c r="J211" s="912"/>
      <c r="K211" s="916"/>
      <c r="L211" s="917"/>
      <c r="M211" s="918"/>
      <c r="N211" s="912"/>
      <c r="O211" s="919"/>
      <c r="R211" s="912"/>
      <c r="S211" s="912"/>
      <c r="T211" s="912"/>
      <c r="U211" s="912"/>
      <c r="V211" s="921"/>
      <c r="W211" s="912"/>
      <c r="X211" s="922"/>
      <c r="Y211" s="923"/>
      <c r="Z211" s="912"/>
      <c r="AA211" s="912"/>
      <c r="AB211" s="912"/>
      <c r="AC211" s="924"/>
      <c r="AD211" s="925"/>
      <c r="AE211" s="912"/>
      <c r="AF211" s="925"/>
      <c r="AG211" s="925"/>
      <c r="AH211" s="1273"/>
      <c r="AI211" s="1274"/>
      <c r="AJ211" s="925"/>
      <c r="AK211" s="925"/>
      <c r="AL211" s="925"/>
      <c r="AM211" s="928"/>
      <c r="AO211" s="1272"/>
    </row>
    <row r="212" s="920" customFormat="true" ht="16.5" hidden="false" customHeight="false" outlineLevel="0" collapsed="false">
      <c r="A212" s="912"/>
      <c r="B212" s="913"/>
      <c r="C212" s="914"/>
      <c r="D212" s="915"/>
      <c r="E212" s="914"/>
      <c r="F212" s="912"/>
      <c r="G212" s="912"/>
      <c r="H212" s="912"/>
      <c r="I212" s="912"/>
      <c r="J212" s="912"/>
      <c r="K212" s="916"/>
      <c r="L212" s="917"/>
      <c r="M212" s="918"/>
      <c r="N212" s="912"/>
      <c r="O212" s="919"/>
      <c r="R212" s="912"/>
      <c r="S212" s="912"/>
      <c r="T212" s="912"/>
      <c r="U212" s="912"/>
      <c r="V212" s="921"/>
      <c r="W212" s="912"/>
      <c r="X212" s="922"/>
      <c r="Y212" s="923"/>
      <c r="Z212" s="912"/>
      <c r="AA212" s="912"/>
      <c r="AB212" s="912"/>
      <c r="AC212" s="924"/>
      <c r="AD212" s="925"/>
      <c r="AE212" s="912"/>
      <c r="AF212" s="925"/>
      <c r="AG212" s="925"/>
      <c r="AH212" s="1273"/>
      <c r="AI212" s="1274"/>
      <c r="AJ212" s="925"/>
      <c r="AK212" s="925"/>
      <c r="AL212" s="925"/>
      <c r="AM212" s="928"/>
      <c r="AO212" s="1272"/>
    </row>
    <row r="213" s="920" customFormat="true" ht="16.5" hidden="false" customHeight="false" outlineLevel="0" collapsed="false">
      <c r="A213" s="912"/>
      <c r="B213" s="913"/>
      <c r="C213" s="914"/>
      <c r="D213" s="915"/>
      <c r="E213" s="914"/>
      <c r="F213" s="912"/>
      <c r="G213" s="912"/>
      <c r="H213" s="912"/>
      <c r="I213" s="912"/>
      <c r="J213" s="912"/>
      <c r="K213" s="916"/>
      <c r="L213" s="917"/>
      <c r="M213" s="918"/>
      <c r="N213" s="912"/>
      <c r="O213" s="919"/>
      <c r="R213" s="912"/>
      <c r="S213" s="912"/>
      <c r="T213" s="912"/>
      <c r="U213" s="912"/>
      <c r="V213" s="921"/>
      <c r="W213" s="912"/>
      <c r="X213" s="922"/>
      <c r="Y213" s="923"/>
      <c r="Z213" s="912"/>
      <c r="AA213" s="912"/>
      <c r="AB213" s="912"/>
      <c r="AC213" s="924"/>
      <c r="AD213" s="925"/>
      <c r="AE213" s="912"/>
      <c r="AF213" s="925"/>
      <c r="AG213" s="925"/>
      <c r="AH213" s="1273"/>
      <c r="AI213" s="1274"/>
      <c r="AJ213" s="925"/>
      <c r="AK213" s="925"/>
      <c r="AL213" s="925"/>
      <c r="AM213" s="928"/>
      <c r="AO213" s="1272"/>
    </row>
    <row r="214" s="920" customFormat="true" ht="16.5" hidden="false" customHeight="false" outlineLevel="0" collapsed="false">
      <c r="A214" s="912"/>
      <c r="B214" s="913"/>
      <c r="C214" s="914"/>
      <c r="D214" s="915"/>
      <c r="E214" s="914"/>
      <c r="F214" s="912"/>
      <c r="G214" s="912"/>
      <c r="H214" s="912"/>
      <c r="I214" s="912"/>
      <c r="J214" s="912"/>
      <c r="K214" s="916"/>
      <c r="L214" s="917"/>
      <c r="M214" s="918"/>
      <c r="N214" s="912"/>
      <c r="O214" s="919"/>
      <c r="R214" s="912"/>
      <c r="S214" s="912"/>
      <c r="T214" s="912"/>
      <c r="U214" s="912"/>
      <c r="V214" s="921"/>
      <c r="W214" s="912"/>
      <c r="X214" s="922"/>
      <c r="Y214" s="923"/>
      <c r="Z214" s="912"/>
      <c r="AA214" s="912"/>
      <c r="AB214" s="912"/>
      <c r="AC214" s="924"/>
      <c r="AD214" s="925"/>
      <c r="AE214" s="912"/>
      <c r="AF214" s="925"/>
      <c r="AG214" s="925"/>
      <c r="AH214" s="1273"/>
      <c r="AI214" s="1274"/>
      <c r="AJ214" s="925"/>
      <c r="AK214" s="925"/>
      <c r="AL214" s="925"/>
      <c r="AM214" s="928"/>
      <c r="AO214" s="1272"/>
    </row>
    <row r="215" s="920" customFormat="true" ht="16.5" hidden="false" customHeight="false" outlineLevel="0" collapsed="false">
      <c r="A215" s="912"/>
      <c r="B215" s="913"/>
      <c r="C215" s="914"/>
      <c r="D215" s="915"/>
      <c r="E215" s="914"/>
      <c r="F215" s="912"/>
      <c r="G215" s="912"/>
      <c r="H215" s="912"/>
      <c r="I215" s="912"/>
      <c r="J215" s="912"/>
      <c r="K215" s="916"/>
      <c r="L215" s="917"/>
      <c r="M215" s="918"/>
      <c r="N215" s="912"/>
      <c r="O215" s="919"/>
      <c r="R215" s="912"/>
      <c r="S215" s="912"/>
      <c r="T215" s="912"/>
      <c r="U215" s="912"/>
      <c r="V215" s="921"/>
      <c r="W215" s="912"/>
      <c r="X215" s="922"/>
      <c r="Y215" s="923"/>
      <c r="Z215" s="912"/>
      <c r="AA215" s="912"/>
      <c r="AB215" s="912"/>
      <c r="AC215" s="924"/>
      <c r="AD215" s="925"/>
      <c r="AE215" s="912"/>
      <c r="AF215" s="925"/>
      <c r="AG215" s="925"/>
      <c r="AH215" s="1273"/>
      <c r="AI215" s="1274"/>
      <c r="AJ215" s="925"/>
      <c r="AK215" s="925"/>
      <c r="AL215" s="925"/>
      <c r="AM215" s="928"/>
      <c r="AO215" s="1272"/>
    </row>
    <row r="216" s="920" customFormat="true" ht="16.5" hidden="false" customHeight="false" outlineLevel="0" collapsed="false">
      <c r="A216" s="912"/>
      <c r="B216" s="913"/>
      <c r="C216" s="914"/>
      <c r="D216" s="915"/>
      <c r="E216" s="914"/>
      <c r="F216" s="912"/>
      <c r="G216" s="912"/>
      <c r="H216" s="912"/>
      <c r="I216" s="912"/>
      <c r="J216" s="912"/>
      <c r="K216" s="916"/>
      <c r="L216" s="917"/>
      <c r="M216" s="918"/>
      <c r="N216" s="912"/>
      <c r="O216" s="919"/>
      <c r="R216" s="912"/>
      <c r="S216" s="912"/>
      <c r="T216" s="912"/>
      <c r="U216" s="912"/>
      <c r="V216" s="921"/>
      <c r="W216" s="912"/>
      <c r="X216" s="922"/>
      <c r="Y216" s="923"/>
      <c r="Z216" s="912"/>
      <c r="AA216" s="912"/>
      <c r="AB216" s="912"/>
      <c r="AC216" s="924"/>
      <c r="AD216" s="925"/>
      <c r="AE216" s="912"/>
      <c r="AF216" s="925"/>
      <c r="AG216" s="925"/>
      <c r="AH216" s="1273"/>
      <c r="AI216" s="1274"/>
      <c r="AJ216" s="925"/>
      <c r="AK216" s="925"/>
      <c r="AL216" s="925"/>
      <c r="AM216" s="928"/>
      <c r="AO216" s="1272"/>
    </row>
    <row r="217" s="920" customFormat="true" ht="16.5" hidden="false" customHeight="false" outlineLevel="0" collapsed="false">
      <c r="A217" s="912"/>
      <c r="B217" s="913"/>
      <c r="C217" s="914"/>
      <c r="D217" s="915"/>
      <c r="E217" s="914"/>
      <c r="F217" s="912"/>
      <c r="G217" s="912"/>
      <c r="H217" s="912"/>
      <c r="I217" s="912"/>
      <c r="J217" s="912"/>
      <c r="K217" s="916"/>
      <c r="L217" s="917"/>
      <c r="M217" s="918"/>
      <c r="N217" s="912"/>
      <c r="O217" s="919"/>
      <c r="R217" s="912"/>
      <c r="S217" s="912"/>
      <c r="T217" s="912"/>
      <c r="U217" s="912"/>
      <c r="V217" s="921"/>
      <c r="W217" s="912"/>
      <c r="X217" s="922"/>
      <c r="Y217" s="923"/>
      <c r="Z217" s="912"/>
      <c r="AA217" s="912"/>
      <c r="AB217" s="912"/>
      <c r="AC217" s="924"/>
      <c r="AD217" s="925"/>
      <c r="AE217" s="912"/>
      <c r="AF217" s="925"/>
      <c r="AG217" s="925"/>
      <c r="AH217" s="1273"/>
      <c r="AI217" s="1274"/>
      <c r="AJ217" s="925"/>
      <c r="AK217" s="925"/>
      <c r="AL217" s="925"/>
      <c r="AM217" s="928"/>
      <c r="AO217" s="1272"/>
    </row>
    <row r="218" s="920" customFormat="true" ht="16.5" hidden="false" customHeight="false" outlineLevel="0" collapsed="false">
      <c r="A218" s="912"/>
      <c r="B218" s="913"/>
      <c r="C218" s="914"/>
      <c r="D218" s="915"/>
      <c r="E218" s="914"/>
      <c r="F218" s="912"/>
      <c r="G218" s="912"/>
      <c r="H218" s="912"/>
      <c r="I218" s="912"/>
      <c r="J218" s="912"/>
      <c r="K218" s="916"/>
      <c r="L218" s="917"/>
      <c r="M218" s="918"/>
      <c r="N218" s="912"/>
      <c r="O218" s="919"/>
      <c r="R218" s="912"/>
      <c r="S218" s="912"/>
      <c r="T218" s="912"/>
      <c r="U218" s="912"/>
      <c r="V218" s="921"/>
      <c r="W218" s="912"/>
      <c r="X218" s="922"/>
      <c r="Y218" s="923"/>
      <c r="Z218" s="912"/>
      <c r="AA218" s="912"/>
      <c r="AB218" s="912"/>
      <c r="AC218" s="924"/>
      <c r="AD218" s="925"/>
      <c r="AE218" s="912"/>
      <c r="AF218" s="925"/>
      <c r="AG218" s="925"/>
      <c r="AH218" s="1273"/>
      <c r="AI218" s="1274"/>
      <c r="AJ218" s="925"/>
      <c r="AK218" s="925"/>
      <c r="AL218" s="925"/>
      <c r="AM218" s="928"/>
      <c r="AO218" s="1272"/>
    </row>
    <row r="219" s="920" customFormat="true" ht="16.5" hidden="false" customHeight="false" outlineLevel="0" collapsed="false">
      <c r="A219" s="912"/>
      <c r="B219" s="913"/>
      <c r="C219" s="914"/>
      <c r="D219" s="915"/>
      <c r="E219" s="914"/>
      <c r="F219" s="912"/>
      <c r="G219" s="912"/>
      <c r="H219" s="912"/>
      <c r="I219" s="912"/>
      <c r="J219" s="912"/>
      <c r="K219" s="916"/>
      <c r="L219" s="917"/>
      <c r="M219" s="918"/>
      <c r="N219" s="912"/>
      <c r="O219" s="919"/>
      <c r="R219" s="912"/>
      <c r="S219" s="912"/>
      <c r="T219" s="912"/>
      <c r="U219" s="912"/>
      <c r="V219" s="921"/>
      <c r="W219" s="912"/>
      <c r="X219" s="922"/>
      <c r="Y219" s="923"/>
      <c r="Z219" s="912"/>
      <c r="AA219" s="912"/>
      <c r="AB219" s="912"/>
      <c r="AC219" s="924"/>
      <c r="AD219" s="925"/>
      <c r="AE219" s="912"/>
      <c r="AF219" s="925"/>
      <c r="AG219" s="925"/>
      <c r="AH219" s="1273"/>
      <c r="AI219" s="1274"/>
      <c r="AJ219" s="925"/>
      <c r="AK219" s="925"/>
      <c r="AL219" s="925"/>
      <c r="AM219" s="928"/>
      <c r="AO219" s="1272"/>
    </row>
    <row r="220" s="920" customFormat="true" ht="16.5" hidden="false" customHeight="false" outlineLevel="0" collapsed="false">
      <c r="A220" s="912"/>
      <c r="B220" s="913"/>
      <c r="C220" s="914"/>
      <c r="D220" s="915"/>
      <c r="E220" s="914"/>
      <c r="F220" s="912"/>
      <c r="G220" s="912"/>
      <c r="H220" s="912"/>
      <c r="I220" s="912"/>
      <c r="J220" s="912"/>
      <c r="K220" s="916"/>
      <c r="L220" s="917"/>
      <c r="M220" s="918"/>
      <c r="N220" s="912"/>
      <c r="O220" s="919"/>
      <c r="R220" s="912"/>
      <c r="S220" s="912"/>
      <c r="T220" s="912"/>
      <c r="U220" s="912"/>
      <c r="V220" s="921"/>
      <c r="W220" s="912"/>
      <c r="X220" s="922"/>
      <c r="Y220" s="923"/>
      <c r="Z220" s="912"/>
      <c r="AA220" s="912"/>
      <c r="AB220" s="912"/>
      <c r="AC220" s="924"/>
      <c r="AD220" s="925"/>
      <c r="AE220" s="912"/>
      <c r="AF220" s="925"/>
      <c r="AG220" s="925"/>
      <c r="AH220" s="1273"/>
      <c r="AI220" s="1274"/>
      <c r="AJ220" s="925"/>
      <c r="AK220" s="925"/>
      <c r="AL220" s="925"/>
      <c r="AM220" s="928"/>
      <c r="AO220" s="1272"/>
    </row>
    <row r="221" s="920" customFormat="true" ht="16.5" hidden="false" customHeight="false" outlineLevel="0" collapsed="false">
      <c r="A221" s="912"/>
      <c r="B221" s="913"/>
      <c r="C221" s="914"/>
      <c r="D221" s="915"/>
      <c r="E221" s="914"/>
      <c r="F221" s="912"/>
      <c r="G221" s="912"/>
      <c r="H221" s="912"/>
      <c r="I221" s="912"/>
      <c r="J221" s="912"/>
      <c r="K221" s="916"/>
      <c r="L221" s="917"/>
      <c r="M221" s="918"/>
      <c r="N221" s="912"/>
      <c r="O221" s="919"/>
      <c r="R221" s="912"/>
      <c r="S221" s="912"/>
      <c r="T221" s="912"/>
      <c r="U221" s="912"/>
      <c r="V221" s="921"/>
      <c r="W221" s="912"/>
      <c r="X221" s="922"/>
      <c r="Y221" s="923"/>
      <c r="Z221" s="912"/>
      <c r="AA221" s="912"/>
      <c r="AB221" s="912"/>
      <c r="AC221" s="924"/>
      <c r="AD221" s="925"/>
      <c r="AE221" s="912"/>
      <c r="AF221" s="925"/>
      <c r="AG221" s="925"/>
      <c r="AH221" s="1273"/>
      <c r="AI221" s="1274"/>
      <c r="AJ221" s="925"/>
      <c r="AK221" s="925"/>
      <c r="AL221" s="925"/>
      <c r="AM221" s="928"/>
      <c r="AO221" s="1272"/>
    </row>
    <row r="222" s="920" customFormat="true" ht="16.5" hidden="false" customHeight="false" outlineLevel="0" collapsed="false">
      <c r="A222" s="912"/>
      <c r="B222" s="913"/>
      <c r="C222" s="914"/>
      <c r="D222" s="915"/>
      <c r="E222" s="914"/>
      <c r="F222" s="912"/>
      <c r="G222" s="912"/>
      <c r="H222" s="912"/>
      <c r="I222" s="912"/>
      <c r="J222" s="912"/>
      <c r="K222" s="916"/>
      <c r="L222" s="917"/>
      <c r="M222" s="918"/>
      <c r="N222" s="912"/>
      <c r="O222" s="919"/>
      <c r="R222" s="912"/>
      <c r="S222" s="912"/>
      <c r="T222" s="912"/>
      <c r="U222" s="912"/>
      <c r="V222" s="921"/>
      <c r="W222" s="912"/>
      <c r="X222" s="922"/>
      <c r="Y222" s="923"/>
      <c r="Z222" s="912"/>
      <c r="AA222" s="912"/>
      <c r="AB222" s="912"/>
      <c r="AC222" s="924"/>
      <c r="AD222" s="925"/>
      <c r="AE222" s="912"/>
      <c r="AF222" s="925"/>
      <c r="AG222" s="925"/>
      <c r="AH222" s="1273"/>
      <c r="AI222" s="1274"/>
      <c r="AJ222" s="925"/>
      <c r="AK222" s="925"/>
      <c r="AL222" s="925"/>
      <c r="AM222" s="928"/>
      <c r="AO222" s="1272"/>
    </row>
    <row r="223" s="920" customFormat="true" ht="16.5" hidden="false" customHeight="false" outlineLevel="0" collapsed="false">
      <c r="A223" s="912"/>
      <c r="B223" s="913"/>
      <c r="C223" s="914"/>
      <c r="D223" s="915"/>
      <c r="E223" s="914"/>
      <c r="F223" s="912"/>
      <c r="G223" s="912"/>
      <c r="H223" s="912"/>
      <c r="I223" s="912"/>
      <c r="J223" s="912"/>
      <c r="K223" s="916"/>
      <c r="L223" s="917"/>
      <c r="M223" s="918"/>
      <c r="N223" s="912"/>
      <c r="O223" s="919"/>
      <c r="R223" s="912"/>
      <c r="S223" s="912"/>
      <c r="T223" s="912"/>
      <c r="U223" s="912"/>
      <c r="V223" s="921"/>
      <c r="W223" s="912"/>
      <c r="X223" s="922"/>
      <c r="Y223" s="923"/>
      <c r="Z223" s="912"/>
      <c r="AA223" s="912"/>
      <c r="AB223" s="912"/>
      <c r="AC223" s="924"/>
      <c r="AD223" s="925"/>
      <c r="AE223" s="912"/>
      <c r="AF223" s="925"/>
      <c r="AG223" s="925"/>
      <c r="AH223" s="1273"/>
      <c r="AI223" s="1274"/>
      <c r="AJ223" s="925"/>
      <c r="AK223" s="925"/>
      <c r="AL223" s="925"/>
      <c r="AM223" s="928"/>
      <c r="AO223" s="1272"/>
    </row>
    <row r="224" s="920" customFormat="true" ht="16.5" hidden="false" customHeight="false" outlineLevel="0" collapsed="false">
      <c r="A224" s="912"/>
      <c r="B224" s="913"/>
      <c r="C224" s="914"/>
      <c r="D224" s="915"/>
      <c r="E224" s="914"/>
      <c r="F224" s="912"/>
      <c r="G224" s="912"/>
      <c r="H224" s="912"/>
      <c r="I224" s="912"/>
      <c r="J224" s="912"/>
      <c r="K224" s="916"/>
      <c r="L224" s="917"/>
      <c r="M224" s="918"/>
      <c r="N224" s="912"/>
      <c r="O224" s="919"/>
      <c r="R224" s="912"/>
      <c r="S224" s="912"/>
      <c r="T224" s="912"/>
      <c r="U224" s="912"/>
      <c r="V224" s="921"/>
      <c r="W224" s="912"/>
      <c r="X224" s="922"/>
      <c r="Y224" s="923"/>
      <c r="Z224" s="912"/>
      <c r="AA224" s="912"/>
      <c r="AB224" s="912"/>
      <c r="AC224" s="924"/>
      <c r="AD224" s="925"/>
      <c r="AE224" s="912"/>
      <c r="AF224" s="925"/>
      <c r="AG224" s="925"/>
      <c r="AH224" s="1273"/>
      <c r="AI224" s="1274"/>
      <c r="AJ224" s="925"/>
      <c r="AK224" s="925"/>
      <c r="AL224" s="925"/>
      <c r="AM224" s="928"/>
      <c r="AO224" s="1272"/>
    </row>
    <row r="225" s="920" customFormat="true" ht="16.5" hidden="false" customHeight="false" outlineLevel="0" collapsed="false">
      <c r="A225" s="912"/>
      <c r="B225" s="913"/>
      <c r="C225" s="914"/>
      <c r="D225" s="915"/>
      <c r="E225" s="914"/>
      <c r="F225" s="912"/>
      <c r="G225" s="912"/>
      <c r="H225" s="912"/>
      <c r="I225" s="912"/>
      <c r="J225" s="912"/>
      <c r="K225" s="916"/>
      <c r="L225" s="917"/>
      <c r="M225" s="918"/>
      <c r="N225" s="912"/>
      <c r="O225" s="919"/>
      <c r="R225" s="912"/>
      <c r="S225" s="912"/>
      <c r="T225" s="912"/>
      <c r="U225" s="912"/>
      <c r="V225" s="921"/>
      <c r="W225" s="912"/>
      <c r="X225" s="922"/>
      <c r="Y225" s="923"/>
      <c r="Z225" s="912"/>
      <c r="AA225" s="912"/>
      <c r="AB225" s="912"/>
      <c r="AC225" s="924"/>
      <c r="AD225" s="925"/>
      <c r="AE225" s="912"/>
      <c r="AF225" s="925"/>
      <c r="AG225" s="925"/>
      <c r="AH225" s="1273"/>
      <c r="AI225" s="1274"/>
      <c r="AJ225" s="925"/>
      <c r="AK225" s="925"/>
      <c r="AL225" s="925"/>
      <c r="AM225" s="928"/>
      <c r="AO225" s="1272"/>
    </row>
    <row r="226" s="920" customFormat="true" ht="16.5" hidden="false" customHeight="false" outlineLevel="0" collapsed="false">
      <c r="A226" s="912"/>
      <c r="B226" s="913"/>
      <c r="C226" s="914"/>
      <c r="D226" s="915"/>
      <c r="E226" s="914"/>
      <c r="F226" s="912"/>
      <c r="G226" s="912"/>
      <c r="H226" s="912"/>
      <c r="I226" s="912"/>
      <c r="J226" s="912"/>
      <c r="K226" s="916"/>
      <c r="L226" s="917"/>
      <c r="M226" s="918"/>
      <c r="N226" s="912"/>
      <c r="O226" s="919"/>
      <c r="R226" s="912"/>
      <c r="S226" s="912"/>
      <c r="T226" s="912"/>
      <c r="U226" s="912"/>
      <c r="V226" s="921"/>
      <c r="W226" s="912"/>
      <c r="X226" s="922"/>
      <c r="Y226" s="923"/>
      <c r="Z226" s="912"/>
      <c r="AA226" s="912"/>
      <c r="AB226" s="912"/>
      <c r="AC226" s="924"/>
      <c r="AD226" s="925"/>
      <c r="AE226" s="912"/>
      <c r="AF226" s="925"/>
      <c r="AG226" s="925"/>
      <c r="AH226" s="1273"/>
      <c r="AI226" s="1274"/>
      <c r="AJ226" s="925"/>
      <c r="AK226" s="925"/>
      <c r="AL226" s="925"/>
      <c r="AM226" s="928"/>
      <c r="AO226" s="1272"/>
    </row>
    <row r="227" s="920" customFormat="true" ht="16.5" hidden="false" customHeight="false" outlineLevel="0" collapsed="false">
      <c r="A227" s="912"/>
      <c r="B227" s="913"/>
      <c r="C227" s="914"/>
      <c r="D227" s="915"/>
      <c r="E227" s="914"/>
      <c r="F227" s="912"/>
      <c r="G227" s="912"/>
      <c r="H227" s="912"/>
      <c r="I227" s="912"/>
      <c r="J227" s="912"/>
      <c r="K227" s="916"/>
      <c r="L227" s="917"/>
      <c r="M227" s="918"/>
      <c r="N227" s="912"/>
      <c r="O227" s="919"/>
      <c r="R227" s="912"/>
      <c r="S227" s="912"/>
      <c r="T227" s="912"/>
      <c r="U227" s="912"/>
      <c r="V227" s="921"/>
      <c r="W227" s="912"/>
      <c r="X227" s="922"/>
      <c r="Y227" s="923"/>
      <c r="Z227" s="912"/>
      <c r="AA227" s="912"/>
      <c r="AB227" s="912"/>
      <c r="AC227" s="924"/>
      <c r="AD227" s="925"/>
      <c r="AE227" s="912"/>
      <c r="AF227" s="925"/>
      <c r="AG227" s="925"/>
      <c r="AH227" s="1273"/>
      <c r="AI227" s="1274"/>
      <c r="AJ227" s="925"/>
      <c r="AK227" s="925"/>
      <c r="AL227" s="925"/>
      <c r="AM227" s="928"/>
      <c r="AO227" s="1272"/>
    </row>
    <row r="228" s="920" customFormat="true" ht="16.5" hidden="false" customHeight="false" outlineLevel="0" collapsed="false">
      <c r="A228" s="912"/>
      <c r="B228" s="913"/>
      <c r="C228" s="914"/>
      <c r="D228" s="915"/>
      <c r="E228" s="914"/>
      <c r="F228" s="912"/>
      <c r="G228" s="912"/>
      <c r="H228" s="912"/>
      <c r="I228" s="912"/>
      <c r="J228" s="912"/>
      <c r="K228" s="916"/>
      <c r="L228" s="917"/>
      <c r="M228" s="918"/>
      <c r="N228" s="912"/>
      <c r="O228" s="919"/>
      <c r="R228" s="912"/>
      <c r="S228" s="912"/>
      <c r="T228" s="912"/>
      <c r="U228" s="912"/>
      <c r="V228" s="921"/>
      <c r="W228" s="912"/>
      <c r="X228" s="922"/>
      <c r="Y228" s="923"/>
      <c r="Z228" s="912"/>
      <c r="AA228" s="912"/>
      <c r="AB228" s="912"/>
      <c r="AC228" s="924"/>
      <c r="AD228" s="925"/>
      <c r="AE228" s="912"/>
      <c r="AF228" s="925"/>
      <c r="AG228" s="925"/>
      <c r="AH228" s="1273"/>
      <c r="AI228" s="1274"/>
      <c r="AJ228" s="925"/>
      <c r="AK228" s="925"/>
      <c r="AL228" s="925"/>
      <c r="AM228" s="928"/>
      <c r="AO228" s="1272"/>
    </row>
  </sheetData>
  <autoFilter ref="A2:AD37"/>
  <mergeCells count="16">
    <mergeCell ref="AF1:AL1"/>
    <mergeCell ref="L2:M2"/>
    <mergeCell ref="B9:B10"/>
    <mergeCell ref="G9:G10"/>
    <mergeCell ref="O9:O10"/>
    <mergeCell ref="V9:V10"/>
    <mergeCell ref="AE9:AE10"/>
    <mergeCell ref="AF9:AF10"/>
    <mergeCell ref="AG9:AG10"/>
    <mergeCell ref="AH9:AH10"/>
    <mergeCell ref="AI9:AI10"/>
    <mergeCell ref="AJ9:AJ10"/>
    <mergeCell ref="AK9:AK10"/>
    <mergeCell ref="AL9:AL10"/>
    <mergeCell ref="AM9:AM10"/>
    <mergeCell ref="A70:A72"/>
  </mergeCells>
  <conditionalFormatting sqref="Y3:Y35 Y38:Y229">
    <cfRule type="containsText" priority="2" operator="containsText" aboveAverage="0" equalAverage="0" bottom="0" percent="0" rank="0" text="Under Lease" dxfId="11">
      <formula>NOT(ISERROR(SEARCH("Under Lease",Y3)))</formula>
    </cfRule>
    <cfRule type="containsText" priority="3" operator="containsText" aboveAverage="0" equalAverage="0" bottom="0" percent="0" rank="0" text="Yes" dxfId="12">
      <formula>NOT(ISERROR(SEARCH("Yes",Y3)))</formula>
    </cfRule>
  </conditionalFormatting>
  <conditionalFormatting sqref="AC3:AF9 AC10:AD10 AC11:AF16 AC17:AE17 AC18:AF23 AC24:AE37 AC38:AF68 AC69:AE76 AC70:AF89 AC90:AE90 AC91:AF113 AC114:AE114 AC115:AF130 AC131:AE131 AC132:AF229">
    <cfRule type="containsText" priority="4" operator="containsText" aboveAverage="0" equalAverage="0" bottom="0" percent="0" rank="0" text="No" dxfId="13">
      <formula>NOT(ISERROR(SEARCH("No",AC3)))</formula>
    </cfRule>
  </conditionalFormatting>
  <dataValidations count="1">
    <dataValidation allowBlank="true" errorStyle="stop" operator="between" showDropDown="false" showErrorMessage="true" showInputMessage="true" sqref="AA132:AA1132" type="list">
      <formula1>"YES,NO,-"</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BO94"/>
  <sheetViews>
    <sheetView showFormulas="false" showGridLines="false" showRowColHeaders="true" showZeros="true" rightToLeft="false" tabSelected="false" showOutlineSymbols="true" defaultGridColor="true" view="normal" topLeftCell="A1" colorId="64" zoomScale="85" zoomScaleNormal="85" zoomScalePageLayoutView="55"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J25" activeCellId="0" sqref="J25"/>
    </sheetView>
  </sheetViews>
  <sheetFormatPr defaultColWidth="9" defaultRowHeight="16.5" zeroHeight="false" outlineLevelRow="0" outlineLevelCol="0"/>
  <cols>
    <col collapsed="false" customWidth="true" hidden="false" outlineLevel="0" max="1" min="1" style="39" width="1.63"/>
    <col collapsed="false" customWidth="true" hidden="false" outlineLevel="0" max="2" min="2" style="39" width="4.88"/>
    <col collapsed="false" customWidth="true" hidden="false" outlineLevel="0" max="3" min="3" style="39" width="8.12"/>
    <col collapsed="false" customWidth="true" hidden="false" outlineLevel="0" max="4" min="4" style="39" width="8.63"/>
    <col collapsed="false" customWidth="true" hidden="false" outlineLevel="0" max="5" min="5" style="39" width="16.75"/>
    <col collapsed="false" customWidth="true" hidden="false" outlineLevel="0" max="6" min="6" style="39" width="17.38"/>
    <col collapsed="false" customWidth="true" hidden="false" outlineLevel="0" max="7" min="7" style="39" width="8.88"/>
    <col collapsed="false" customWidth="true" hidden="false" outlineLevel="0" max="10" min="8" style="39" width="8.63"/>
    <col collapsed="false" customWidth="true" hidden="false" outlineLevel="0" max="11" min="11" style="39" width="16.51"/>
    <col collapsed="false" customWidth="true" hidden="false" outlineLevel="0" max="16" min="12" style="39" width="13.63"/>
    <col collapsed="false" customWidth="true" hidden="true" outlineLevel="0" max="17" min="17" style="39" width="4.88"/>
    <col collapsed="false" customWidth="true" hidden="false" outlineLevel="0" max="18" min="18" style="39" width="6.88"/>
    <col collapsed="false" customWidth="true" hidden="false" outlineLevel="0" max="19" min="19" style="39" width="13.63"/>
    <col collapsed="false" customWidth="true" hidden="false" outlineLevel="0" max="20" min="20" style="39" width="6.37"/>
    <col collapsed="false" customWidth="true" hidden="false" outlineLevel="0" max="21" min="21" style="39" width="13.63"/>
    <col collapsed="false" customWidth="true" hidden="false" outlineLevel="0" max="22" min="22" style="39" width="6.88"/>
    <col collapsed="false" customWidth="true" hidden="false" outlineLevel="0" max="24" min="23" style="39" width="12.12"/>
    <col collapsed="false" customWidth="true" hidden="false" outlineLevel="0" max="25" min="25" style="39" width="6.88"/>
    <col collapsed="false" customWidth="true" hidden="false" outlineLevel="0" max="27" min="26" style="39" width="12.12"/>
    <col collapsed="false" customWidth="true" hidden="false" outlineLevel="0" max="28" min="28" style="39" width="6.88"/>
    <col collapsed="false" customWidth="true" hidden="false" outlineLevel="0" max="30" min="29" style="39" width="12.12"/>
    <col collapsed="false" customWidth="true" hidden="false" outlineLevel="0" max="31" min="31" style="39" width="6.88"/>
    <col collapsed="false" customWidth="true" hidden="false" outlineLevel="0" max="33" min="32" style="39" width="12.12"/>
    <col collapsed="false" customWidth="true" hidden="false" outlineLevel="0" max="34" min="34" style="39" width="6.88"/>
    <col collapsed="false" customWidth="true" hidden="false" outlineLevel="0" max="36" min="35" style="39" width="12.12"/>
    <col collapsed="false" customWidth="true" hidden="true" outlineLevel="0" max="37" min="37" style="39" width="6.75"/>
    <col collapsed="false" customWidth="true" hidden="true" outlineLevel="0" max="39" min="38" style="39" width="12.37"/>
    <col collapsed="false" customWidth="true" hidden="false" outlineLevel="0" max="42" min="40" style="39" width="13.63"/>
    <col collapsed="false" customWidth="true" hidden="false" outlineLevel="0" max="43" min="43" style="1276" width="3.63"/>
    <col collapsed="false" customWidth="true" hidden="false" outlineLevel="0" max="53" min="44" style="39" width="13.63"/>
    <col collapsed="false" customWidth="true" hidden="false" outlineLevel="0" max="54" min="54" style="69" width="22.25"/>
    <col collapsed="false" customWidth="false" hidden="false" outlineLevel="0" max="16384" min="55" style="39" width="9"/>
  </cols>
  <sheetData>
    <row r="1" s="1276" customFormat="true" ht="16.5" hidden="false" customHeight="false" outlineLevel="0" collapsed="false">
      <c r="BB1" s="1277"/>
    </row>
    <row r="2" customFormat="false" ht="16.5" hidden="false" customHeight="false" outlineLevel="0" collapsed="false">
      <c r="A2" s="1278"/>
      <c r="B2" s="1279" t="s">
        <v>1429</v>
      </c>
      <c r="C2" s="1280"/>
      <c r="D2" s="1280"/>
      <c r="E2" s="1280"/>
      <c r="F2" s="1280"/>
      <c r="G2" s="1280"/>
      <c r="H2" s="1278"/>
      <c r="I2" s="1278"/>
      <c r="J2" s="1278"/>
      <c r="K2" s="1278"/>
      <c r="L2" s="1281"/>
      <c r="M2" s="1281"/>
      <c r="N2" s="1281"/>
      <c r="O2" s="1278"/>
      <c r="P2" s="1278"/>
      <c r="Q2" s="1278"/>
      <c r="R2" s="1278"/>
      <c r="S2" s="1278"/>
      <c r="T2" s="1278"/>
      <c r="U2" s="1278"/>
      <c r="V2" s="1278"/>
      <c r="W2" s="1278"/>
      <c r="X2" s="1278"/>
      <c r="Y2" s="1278"/>
      <c r="Z2" s="1278"/>
      <c r="AA2" s="1278"/>
      <c r="AB2" s="1278"/>
      <c r="AC2" s="1282"/>
      <c r="AD2" s="1283"/>
      <c r="AE2" s="1278"/>
      <c r="AF2" s="1278"/>
      <c r="AG2" s="1278"/>
      <c r="AH2" s="1278"/>
      <c r="AI2" s="1278"/>
      <c r="AJ2" s="1278"/>
      <c r="AK2" s="1278"/>
      <c r="AL2" s="1278"/>
      <c r="AM2" s="1278"/>
      <c r="AN2" s="1284"/>
      <c r="AO2" s="1284"/>
      <c r="AP2" s="1278"/>
      <c r="AQ2" s="1278"/>
      <c r="AR2" s="1278"/>
      <c r="AS2" s="1278"/>
      <c r="AT2" s="1278"/>
      <c r="AU2" s="1278"/>
      <c r="AV2" s="1278"/>
      <c r="AW2" s="1278"/>
      <c r="AX2" s="1278"/>
      <c r="AY2" s="1285"/>
      <c r="AZ2" s="1285"/>
      <c r="BA2" s="1285"/>
      <c r="BB2" s="1280"/>
      <c r="BC2" s="1286"/>
      <c r="BD2" s="1286"/>
      <c r="BE2" s="1278"/>
      <c r="BF2" s="1278"/>
      <c r="BG2" s="1278"/>
      <c r="BH2" s="1278"/>
      <c r="BI2" s="1278"/>
      <c r="BJ2" s="1278"/>
      <c r="BK2" s="1278"/>
      <c r="BL2" s="1278"/>
      <c r="BM2" s="1278"/>
      <c r="BN2" s="1278"/>
      <c r="BO2" s="1278"/>
    </row>
    <row r="3" s="40" customFormat="true" ht="27.75" hidden="false" customHeight="true" outlineLevel="0" collapsed="false">
      <c r="A3" s="621"/>
      <c r="B3" s="1287" t="s">
        <v>24</v>
      </c>
      <c r="C3" s="1288" t="s">
        <v>1430</v>
      </c>
      <c r="D3" s="1289" t="s">
        <v>147</v>
      </c>
      <c r="E3" s="1290" t="s">
        <v>122</v>
      </c>
      <c r="F3" s="1290"/>
      <c r="G3" s="1291" t="s">
        <v>123</v>
      </c>
      <c r="H3" s="1291" t="s">
        <v>1431</v>
      </c>
      <c r="I3" s="1291" t="s">
        <v>1432</v>
      </c>
      <c r="J3" s="1291" t="s">
        <v>1433</v>
      </c>
      <c r="K3" s="1291" t="s">
        <v>488</v>
      </c>
      <c r="L3" s="1291" t="s">
        <v>489</v>
      </c>
      <c r="M3" s="1291" t="s">
        <v>490</v>
      </c>
      <c r="N3" s="1291" t="s">
        <v>491</v>
      </c>
      <c r="O3" s="1291" t="s">
        <v>1434</v>
      </c>
      <c r="P3" s="1291" t="s">
        <v>1435</v>
      </c>
      <c r="Q3" s="1292"/>
      <c r="R3" s="1293" t="s">
        <v>1436</v>
      </c>
      <c r="S3" s="1293"/>
      <c r="T3" s="1293"/>
      <c r="U3" s="1293"/>
      <c r="V3" s="1293" t="s">
        <v>435</v>
      </c>
      <c r="W3" s="1293"/>
      <c r="X3" s="1293"/>
      <c r="Y3" s="1293" t="s">
        <v>436</v>
      </c>
      <c r="Z3" s="1293"/>
      <c r="AA3" s="1293"/>
      <c r="AB3" s="1293" t="s">
        <v>437</v>
      </c>
      <c r="AC3" s="1293"/>
      <c r="AD3" s="1293"/>
      <c r="AE3" s="1293" t="s">
        <v>438</v>
      </c>
      <c r="AF3" s="1293"/>
      <c r="AG3" s="1293"/>
      <c r="AH3" s="1293" t="s">
        <v>493</v>
      </c>
      <c r="AI3" s="1293"/>
      <c r="AJ3" s="1293"/>
      <c r="AK3" s="1293" t="s">
        <v>494</v>
      </c>
      <c r="AL3" s="1293"/>
      <c r="AM3" s="1293"/>
      <c r="AN3" s="1294" t="s">
        <v>1437</v>
      </c>
      <c r="AO3" s="1294" t="s">
        <v>1438</v>
      </c>
      <c r="AP3" s="1295" t="s">
        <v>1439</v>
      </c>
      <c r="AQ3" s="1296"/>
      <c r="AR3" s="1297" t="s">
        <v>1440</v>
      </c>
      <c r="AS3" s="1297"/>
      <c r="AT3" s="1293" t="s">
        <v>1441</v>
      </c>
      <c r="AU3" s="1293"/>
      <c r="AV3" s="1293" t="s">
        <v>1442</v>
      </c>
      <c r="AW3" s="1293"/>
      <c r="AX3" s="1293" t="s">
        <v>1443</v>
      </c>
      <c r="AY3" s="1293"/>
      <c r="AZ3" s="1293" t="s">
        <v>1444</v>
      </c>
      <c r="BA3" s="1293"/>
      <c r="BB3" s="1298" t="s">
        <v>1445</v>
      </c>
      <c r="BC3" s="1299"/>
      <c r="BD3" s="1299"/>
      <c r="BE3" s="621"/>
      <c r="BF3" s="621"/>
      <c r="BG3" s="621"/>
      <c r="BH3" s="621"/>
      <c r="BI3" s="621"/>
      <c r="BJ3" s="621"/>
      <c r="BK3" s="621"/>
      <c r="BL3" s="621"/>
      <c r="BM3" s="621"/>
      <c r="BN3" s="625"/>
      <c r="BO3" s="625"/>
    </row>
    <row r="4" s="40" customFormat="true" ht="27.75" hidden="false" customHeight="true" outlineLevel="0" collapsed="false">
      <c r="A4" s="621"/>
      <c r="B4" s="1287"/>
      <c r="C4" s="1288"/>
      <c r="D4" s="1289"/>
      <c r="E4" s="1290"/>
      <c r="F4" s="1290"/>
      <c r="G4" s="1291"/>
      <c r="H4" s="1291"/>
      <c r="I4" s="1291"/>
      <c r="J4" s="1291"/>
      <c r="K4" s="1291"/>
      <c r="L4" s="1291"/>
      <c r="M4" s="1291"/>
      <c r="N4" s="1291"/>
      <c r="O4" s="1291"/>
      <c r="P4" s="1291"/>
      <c r="Q4" s="1300"/>
      <c r="R4" s="1301" t="s">
        <v>339</v>
      </c>
      <c r="S4" s="1302" t="s">
        <v>1446</v>
      </c>
      <c r="T4" s="1303" t="s">
        <v>1447</v>
      </c>
      <c r="U4" s="1302" t="s">
        <v>1448</v>
      </c>
      <c r="V4" s="1304" t="s">
        <v>339</v>
      </c>
      <c r="W4" s="1304" t="s">
        <v>1449</v>
      </c>
      <c r="X4" s="1304" t="s">
        <v>1450</v>
      </c>
      <c r="Y4" s="1304" t="s">
        <v>339</v>
      </c>
      <c r="Z4" s="1304" t="s">
        <v>1449</v>
      </c>
      <c r="AA4" s="1304" t="s">
        <v>1450</v>
      </c>
      <c r="AB4" s="1304" t="s">
        <v>339</v>
      </c>
      <c r="AC4" s="1304" t="s">
        <v>1449</v>
      </c>
      <c r="AD4" s="1304" t="s">
        <v>1450</v>
      </c>
      <c r="AE4" s="1304" t="s">
        <v>339</v>
      </c>
      <c r="AF4" s="1304" t="s">
        <v>1449</v>
      </c>
      <c r="AG4" s="1304" t="s">
        <v>1450</v>
      </c>
      <c r="AH4" s="1304" t="s">
        <v>339</v>
      </c>
      <c r="AI4" s="1304" t="s">
        <v>1449</v>
      </c>
      <c r="AJ4" s="1304" t="s">
        <v>1450</v>
      </c>
      <c r="AK4" s="1304" t="s">
        <v>339</v>
      </c>
      <c r="AL4" s="1304" t="s">
        <v>1449</v>
      </c>
      <c r="AM4" s="1304" t="s">
        <v>1450</v>
      </c>
      <c r="AN4" s="1294"/>
      <c r="AO4" s="1294"/>
      <c r="AP4" s="1295"/>
      <c r="AQ4" s="1296"/>
      <c r="AR4" s="1305" t="s">
        <v>1451</v>
      </c>
      <c r="AS4" s="1306" t="s">
        <v>192</v>
      </c>
      <c r="AT4" s="1306" t="s">
        <v>1451</v>
      </c>
      <c r="AU4" s="1306" t="s">
        <v>192</v>
      </c>
      <c r="AV4" s="1306" t="s">
        <v>1451</v>
      </c>
      <c r="AW4" s="1306" t="s">
        <v>192</v>
      </c>
      <c r="AX4" s="1306" t="s">
        <v>1451</v>
      </c>
      <c r="AY4" s="1306" t="s">
        <v>192</v>
      </c>
      <c r="AZ4" s="1306" t="s">
        <v>1451</v>
      </c>
      <c r="BA4" s="1306" t="s">
        <v>192</v>
      </c>
      <c r="BB4" s="1298"/>
      <c r="BC4" s="621"/>
      <c r="BD4" s="621"/>
      <c r="BE4" s="621"/>
      <c r="BF4" s="621"/>
      <c r="BG4" s="621"/>
      <c r="BH4" s="621"/>
      <c r="BI4" s="621"/>
      <c r="BJ4" s="621"/>
      <c r="BK4" s="621"/>
      <c r="BL4" s="621"/>
      <c r="BM4" s="621"/>
      <c r="BN4" s="625"/>
      <c r="BO4" s="625"/>
    </row>
    <row r="5" customFormat="false" ht="16.5" hidden="false" customHeight="true" outlineLevel="0" collapsed="false">
      <c r="A5" s="1307"/>
      <c r="B5" s="629" t="n">
        <v>1</v>
      </c>
      <c r="C5" s="1308" t="n">
        <v>14</v>
      </c>
      <c r="D5" s="1309" t="s">
        <v>1452</v>
      </c>
      <c r="E5" s="1310" t="s">
        <v>1453</v>
      </c>
      <c r="F5" s="1311" t="s">
        <v>170</v>
      </c>
      <c r="G5" s="1312" t="n">
        <v>999.58</v>
      </c>
      <c r="H5" s="1313" t="n">
        <v>0.0647</v>
      </c>
      <c r="I5" s="1313"/>
      <c r="J5" s="1313" t="s">
        <v>1454</v>
      </c>
      <c r="K5" s="1314" t="s">
        <v>112</v>
      </c>
      <c r="L5" s="1315" t="n">
        <f aca="false">+'ref.지급기준 (2)'!F4*'ref.지급기준 (2)'!D4/'ref.지급기준 (2)'!$Q$2</f>
        <v>1049559000</v>
      </c>
      <c r="M5" s="1315" t="n">
        <f aca="false">+L5*10%</f>
        <v>104955900</v>
      </c>
      <c r="N5" s="1316" t="n">
        <f aca="false">SUM(L5:M5)</f>
        <v>1154514900</v>
      </c>
      <c r="O5" s="1317" t="s">
        <v>1455</v>
      </c>
      <c r="P5" s="1318" t="s">
        <v>1456</v>
      </c>
      <c r="Q5" s="1319" t="b">
        <f aca="false">+AN5=N5</f>
        <v>1</v>
      </c>
      <c r="R5" s="1320" t="n">
        <v>0</v>
      </c>
      <c r="S5" s="645"/>
      <c r="T5" s="1321" t="n">
        <v>1470</v>
      </c>
      <c r="U5" s="1322" t="n">
        <f aca="false">+S5/T5</f>
        <v>0</v>
      </c>
      <c r="V5" s="1323" t="str">
        <f aca="false">+IFERROR(W5/$N5,"-")</f>
        <v>-</v>
      </c>
      <c r="W5" s="1324" t="s">
        <v>373</v>
      </c>
      <c r="X5" s="1325" t="n">
        <v>45716</v>
      </c>
      <c r="Y5" s="1324" t="n">
        <f aca="false">+IFERROR(Z5/$N5,"-")</f>
        <v>0</v>
      </c>
      <c r="Z5" s="1324"/>
      <c r="AA5" s="1325" t="n">
        <f aca="false">+EDATE(X5,1)+3</f>
        <v>45747</v>
      </c>
      <c r="AB5" s="1324" t="n">
        <f aca="false">+IFERROR(AC5/$N5,"-")</f>
        <v>0</v>
      </c>
      <c r="AC5" s="1324"/>
      <c r="AD5" s="1325" t="n">
        <f aca="false">+EDATE(AA5,3)</f>
        <v>45838</v>
      </c>
      <c r="AE5" s="1324" t="n">
        <f aca="false">+IFERROR(AF5/$N5,"-")</f>
        <v>0</v>
      </c>
      <c r="AF5" s="1324"/>
      <c r="AG5" s="1325" t="n">
        <f aca="false">+EDATE(AA5,4)</f>
        <v>45869</v>
      </c>
      <c r="AH5" s="1324" t="n">
        <f aca="false">+IFERROR(AI5/$N$6,"-")</f>
        <v>0</v>
      </c>
      <c r="AI5" s="1324"/>
      <c r="AJ5" s="1325" t="n">
        <f aca="false">+EDATE(AA5,6)</f>
        <v>45930</v>
      </c>
      <c r="AK5" s="1324"/>
      <c r="AL5" s="1324"/>
      <c r="AM5" s="1324"/>
      <c r="AN5" s="1326" t="n">
        <f aca="false">+N5</f>
        <v>1154514900</v>
      </c>
      <c r="AO5" s="1326" t="n">
        <f aca="false">+AN5*'ref.지급기준 (2)'!G4</f>
        <v>115451490</v>
      </c>
      <c r="AP5" s="1327" t="n">
        <f aca="false">X5</f>
        <v>45716</v>
      </c>
      <c r="AQ5" s="1328"/>
      <c r="AR5" s="1329" t="n">
        <f aca="false">+$AN5*'ref.지급기준 (2)'!G4</f>
        <v>115451490</v>
      </c>
      <c r="AS5" s="1326" t="str">
        <f aca="false">+W5</f>
        <v>-</v>
      </c>
      <c r="AT5" s="1326" t="n">
        <f aca="false">+$AN5*'ref.지급기준 (2)'!I4</f>
        <v>230902980</v>
      </c>
      <c r="AU5" s="1326" t="n">
        <f aca="false">+Z5</f>
        <v>0</v>
      </c>
      <c r="AV5" s="1326" t="n">
        <f aca="false">+$AN5*'ref.지급기준 (2)'!K4</f>
        <v>461805960</v>
      </c>
      <c r="AW5" s="1326"/>
      <c r="AX5" s="1326" t="n">
        <f aca="false">+$AN5*'ref.지급기준 (2)'!M4</f>
        <v>288628725</v>
      </c>
      <c r="AY5" s="1326"/>
      <c r="AZ5" s="1326" t="n">
        <f aca="false">+$AN5*'ref.지급기준 (2)'!O4</f>
        <v>57725745</v>
      </c>
      <c r="BA5" s="1330"/>
      <c r="BB5" s="1331" t="s">
        <v>1457</v>
      </c>
      <c r="BC5" s="1278"/>
      <c r="BD5" s="1332" t="b">
        <f aca="false">+(AZ5+AX5+AV5+AT5+AR5)=N5</f>
        <v>1</v>
      </c>
      <c r="BE5" s="1278"/>
      <c r="BF5" s="1278"/>
      <c r="BG5" s="1278"/>
      <c r="BH5" s="1278"/>
      <c r="BI5" s="1278"/>
      <c r="BJ5" s="1278"/>
      <c r="BK5" s="1278"/>
      <c r="BL5" s="1278"/>
      <c r="BM5" s="1278"/>
      <c r="BN5" s="1333"/>
      <c r="BO5" s="1333"/>
    </row>
    <row r="6" customFormat="false" ht="16.5" hidden="false" customHeight="true" outlineLevel="0" collapsed="false">
      <c r="A6" s="1307"/>
      <c r="B6" s="629"/>
      <c r="C6" s="1308"/>
      <c r="D6" s="1309"/>
      <c r="E6" s="1310"/>
      <c r="F6" s="1311"/>
      <c r="G6" s="1312"/>
      <c r="H6" s="1313"/>
      <c r="I6" s="1313"/>
      <c r="J6" s="1313"/>
      <c r="K6" s="1334" t="s">
        <v>114</v>
      </c>
      <c r="L6" s="1335" t="n">
        <f aca="false">+'ref.지급기준 (2)'!F5*'ref.지급기준 (2)'!D5/'ref.지급기준 (2)'!$Q$2</f>
        <v>549769000</v>
      </c>
      <c r="M6" s="1335" t="s">
        <v>373</v>
      </c>
      <c r="N6" s="1336" t="n">
        <f aca="false">SUM(L6:M6)</f>
        <v>549769000</v>
      </c>
      <c r="O6" s="1317"/>
      <c r="P6" s="1318"/>
      <c r="Q6" s="1319" t="b">
        <f aca="false">+AN6=N6</f>
        <v>1</v>
      </c>
      <c r="R6" s="1337" t="n">
        <f aca="false">+IFERROR(S6/N6,"-")</f>
        <v>0.644489685667981</v>
      </c>
      <c r="S6" s="1338" t="n">
        <f aca="false">+IFERROR(W6+Z6+AC6+AF6+AI6+AL6,"-")</f>
        <v>354320450</v>
      </c>
      <c r="T6" s="1321"/>
      <c r="U6" s="1339" t="n">
        <f aca="false">+S6/T5</f>
        <v>241034.319727891</v>
      </c>
      <c r="V6" s="1340" t="n">
        <f aca="false">+IFERROR(W6/$N6,"-")</f>
        <v>0.55</v>
      </c>
      <c r="W6" s="1341" t="n">
        <v>302372950</v>
      </c>
      <c r="X6" s="1342" t="n">
        <v>45450</v>
      </c>
      <c r="Y6" s="1343" t="n">
        <f aca="false">+IFERROR(Z6/$N6,"-")</f>
        <v>0.0944896856679806</v>
      </c>
      <c r="Z6" s="1344" t="n">
        <v>51947500</v>
      </c>
      <c r="AA6" s="1342" t="n">
        <v>45456</v>
      </c>
      <c r="AB6" s="1345" t="n">
        <f aca="false">+IFERROR(AC6/$N6,"-")</f>
        <v>0</v>
      </c>
      <c r="AC6" s="1345"/>
      <c r="AD6" s="1346" t="n">
        <f aca="false">EDATE(AA5,6)</f>
        <v>45930</v>
      </c>
      <c r="AE6" s="1345" t="n">
        <f aca="false">+IFERROR(AF6/$N6,"-")</f>
        <v>0</v>
      </c>
      <c r="AF6" s="1345"/>
      <c r="AG6" s="1346"/>
      <c r="AH6" s="1345" t="n">
        <f aca="false">+IFERROR(AI6/$N$6,"-")</f>
        <v>0</v>
      </c>
      <c r="AI6" s="1345"/>
      <c r="AJ6" s="1345"/>
      <c r="AK6" s="1345" t="n">
        <f aca="false">+IFERROR(AL6/$N$6,"-")</f>
        <v>0</v>
      </c>
      <c r="AL6" s="1345"/>
      <c r="AM6" s="1345"/>
      <c r="AN6" s="1347" t="n">
        <f aca="false">+N6</f>
        <v>549769000</v>
      </c>
      <c r="AO6" s="1347" t="n">
        <f aca="false">+AN6*'ref.지급기준 (2)'!K5+AN6*('ref.지급기준 (2)'!G5+'ref.지급기준 (2)'!I5)-S6</f>
        <v>195448550</v>
      </c>
      <c r="AP6" s="1348" t="n">
        <f aca="false">+AD6</f>
        <v>45930</v>
      </c>
      <c r="AQ6" s="1328"/>
      <c r="AR6" s="1349" t="n">
        <f aca="false">+$AN6*'ref.지급기준 (2)'!G5</f>
        <v>302372950</v>
      </c>
      <c r="AS6" s="1347" t="n">
        <f aca="false">+W6</f>
        <v>302372950</v>
      </c>
      <c r="AT6" s="1347" t="n">
        <f aca="false">+$AN6*'ref.지급기준 (2)'!I5</f>
        <v>82465350</v>
      </c>
      <c r="AU6" s="1347" t="n">
        <f aca="false">+Z6</f>
        <v>51947500</v>
      </c>
      <c r="AV6" s="1347" t="n">
        <f aca="false">+$AN6*'ref.지급기준 (2)'!K5</f>
        <v>164930700</v>
      </c>
      <c r="AW6" s="1347"/>
      <c r="AX6" s="1347" t="n">
        <f aca="false">+$AN6*'ref.지급기준 (2)'!M5</f>
        <v>0</v>
      </c>
      <c r="AY6" s="1347"/>
      <c r="AZ6" s="1347" t="n">
        <f aca="false">+$AN6*'ref.지급기준 (2)'!O5</f>
        <v>0</v>
      </c>
      <c r="BA6" s="1350"/>
      <c r="BB6" s="1331"/>
      <c r="BC6" s="1278"/>
      <c r="BD6" s="1332" t="b">
        <f aca="false">+(AZ6+AX6+AV6+AT6+AR6)=N6</f>
        <v>1</v>
      </c>
      <c r="BE6" s="1278"/>
      <c r="BF6" s="1278"/>
      <c r="BG6" s="1278"/>
      <c r="BH6" s="1278"/>
      <c r="BI6" s="1278"/>
      <c r="BJ6" s="1278"/>
      <c r="BK6" s="1278"/>
      <c r="BL6" s="1278"/>
      <c r="BM6" s="1278"/>
      <c r="BN6" s="1333"/>
      <c r="BO6" s="1333"/>
    </row>
    <row r="7" customFormat="false" ht="16.5" hidden="false" customHeight="true" outlineLevel="0" collapsed="false">
      <c r="A7" s="1307"/>
      <c r="B7" s="629"/>
      <c r="C7" s="1308"/>
      <c r="D7" s="1309"/>
      <c r="E7" s="1310"/>
      <c r="F7" s="1311"/>
      <c r="G7" s="1312"/>
      <c r="H7" s="1313"/>
      <c r="I7" s="1313"/>
      <c r="J7" s="1313"/>
      <c r="K7" s="1334" t="s">
        <v>404</v>
      </c>
      <c r="L7" s="1335" t="n">
        <f aca="false">+'ref.지급기준 (2)'!F6*'ref.지급기준 (2)'!D6/'ref.지급기준 (2)'!$Q$2</f>
        <v>0</v>
      </c>
      <c r="M7" s="1335" t="s">
        <v>373</v>
      </c>
      <c r="N7" s="1336" t="n">
        <f aca="false">SUM(L7:M7)</f>
        <v>0</v>
      </c>
      <c r="O7" s="1317"/>
      <c r="P7" s="1318"/>
      <c r="Q7" s="1319" t="b">
        <f aca="false">+AN7=N7</f>
        <v>1</v>
      </c>
      <c r="R7" s="1337" t="str">
        <f aca="false">+IFERROR(S7/N7,"-")</f>
        <v>-</v>
      </c>
      <c r="S7" s="1338"/>
      <c r="T7" s="1321"/>
      <c r="U7" s="1339" t="n">
        <f aca="false">+S7/T5</f>
        <v>0</v>
      </c>
      <c r="V7" s="1337" t="str">
        <f aca="false">+IFERROR(W7/$N7,"-")</f>
        <v>-</v>
      </c>
      <c r="W7" s="1345"/>
      <c r="X7" s="1345"/>
      <c r="Y7" s="1345" t="str">
        <f aca="false">+IFERROR(Z7/$N7,"-")</f>
        <v>-</v>
      </c>
      <c r="Z7" s="1345"/>
      <c r="AA7" s="1346"/>
      <c r="AB7" s="1345" t="str">
        <f aca="false">+IFERROR(AC7/$N7,"-")</f>
        <v>-</v>
      </c>
      <c r="AC7" s="1345"/>
      <c r="AD7" s="1346"/>
      <c r="AE7" s="1345" t="str">
        <f aca="false">+IFERROR(AF7/$N7,"-")</f>
        <v>-</v>
      </c>
      <c r="AF7" s="1345"/>
      <c r="AG7" s="1346"/>
      <c r="AH7" s="1345" t="n">
        <f aca="false">+IFERROR(AI7/$N$6,"-")</f>
        <v>0</v>
      </c>
      <c r="AI7" s="1345"/>
      <c r="AJ7" s="1345"/>
      <c r="AK7" s="1345" t="n">
        <f aca="false">+IFERROR(AL7/$N$6,"-")</f>
        <v>0</v>
      </c>
      <c r="AL7" s="1345"/>
      <c r="AM7" s="1345"/>
      <c r="AN7" s="1347" t="n">
        <f aca="false">+N7</f>
        <v>0</v>
      </c>
      <c r="AO7" s="1347" t="n">
        <f aca="false">+AR7+AT7</f>
        <v>0</v>
      </c>
      <c r="AP7" s="1348"/>
      <c r="AQ7" s="1328"/>
      <c r="AR7" s="1349" t="n">
        <f aca="false">+$AN7*'ref.지급기준 (2)'!G6</f>
        <v>0</v>
      </c>
      <c r="AS7" s="1347" t="n">
        <f aca="false">+W7</f>
        <v>0</v>
      </c>
      <c r="AT7" s="1347" t="n">
        <f aca="false">+$AN7*'ref.지급기준 (2)'!I6</f>
        <v>0</v>
      </c>
      <c r="AU7" s="1347" t="n">
        <f aca="false">+Z7</f>
        <v>0</v>
      </c>
      <c r="AV7" s="1347" t="n">
        <f aca="false">+$AN7*'ref.지급기준 (2)'!K6</f>
        <v>0</v>
      </c>
      <c r="AW7" s="1347"/>
      <c r="AX7" s="1347" t="n">
        <f aca="false">+$AN7*'ref.지급기준 (2)'!M6</f>
        <v>0</v>
      </c>
      <c r="AY7" s="1347"/>
      <c r="AZ7" s="1347" t="n">
        <f aca="false">+$AN7*'ref.지급기준 (2)'!O6</f>
        <v>0</v>
      </c>
      <c r="BA7" s="1350"/>
      <c r="BB7" s="1331"/>
      <c r="BC7" s="1278"/>
      <c r="BD7" s="1332" t="b">
        <f aca="false">+(AZ7+AX7+AV7+AT7+AR7)=N7</f>
        <v>1</v>
      </c>
      <c r="BE7" s="1278"/>
      <c r="BF7" s="1278"/>
      <c r="BG7" s="1278"/>
      <c r="BH7" s="1278"/>
      <c r="BI7" s="1278"/>
      <c r="BJ7" s="1278"/>
      <c r="BK7" s="1278"/>
      <c r="BL7" s="1278"/>
      <c r="BM7" s="1278"/>
      <c r="BN7" s="1333"/>
      <c r="BO7" s="1333"/>
    </row>
    <row r="8" customFormat="false" ht="16.5" hidden="false" customHeight="true" outlineLevel="0" collapsed="false">
      <c r="A8" s="1307"/>
      <c r="B8" s="629"/>
      <c r="C8" s="1308"/>
      <c r="D8" s="1309"/>
      <c r="E8" s="1310"/>
      <c r="F8" s="1311"/>
      <c r="G8" s="1312"/>
      <c r="H8" s="1313"/>
      <c r="I8" s="1313"/>
      <c r="J8" s="1313"/>
      <c r="K8" s="1334" t="s">
        <v>507</v>
      </c>
      <c r="L8" s="1335" t="n">
        <f aca="false">+'ref.지급기준 (2)'!F7*'ref.지급기준 (2)'!D7/'ref.지급기준 (2)'!$Q$2</f>
        <v>0</v>
      </c>
      <c r="M8" s="1335" t="s">
        <v>373</v>
      </c>
      <c r="N8" s="1336" t="n">
        <f aca="false">SUM(L8:M8)</f>
        <v>0</v>
      </c>
      <c r="O8" s="1317"/>
      <c r="P8" s="1318"/>
      <c r="Q8" s="1319" t="b">
        <f aca="false">+AN8=N8</f>
        <v>1</v>
      </c>
      <c r="R8" s="1337" t="str">
        <f aca="false">+IFERROR(S8/N8,"-")</f>
        <v>-</v>
      </c>
      <c r="S8" s="1338"/>
      <c r="T8" s="1321"/>
      <c r="U8" s="1339" t="n">
        <f aca="false">+S8/T5</f>
        <v>0</v>
      </c>
      <c r="V8" s="1337" t="str">
        <f aca="false">+IFERROR(W8/$N8,"-")</f>
        <v>-</v>
      </c>
      <c r="W8" s="1345"/>
      <c r="X8" s="1345"/>
      <c r="Y8" s="1345" t="str">
        <f aca="false">+IFERROR(Z8/$N8,"-")</f>
        <v>-</v>
      </c>
      <c r="Z8" s="1345"/>
      <c r="AA8" s="1346"/>
      <c r="AB8" s="1345" t="str">
        <f aca="false">+IFERROR(AC8/$N8,"-")</f>
        <v>-</v>
      </c>
      <c r="AC8" s="1345"/>
      <c r="AD8" s="1346"/>
      <c r="AE8" s="1345" t="str">
        <f aca="false">+IFERROR(AF8/$N8,"-")</f>
        <v>-</v>
      </c>
      <c r="AF8" s="1345"/>
      <c r="AG8" s="1346"/>
      <c r="AH8" s="1345" t="n">
        <f aca="false">+IFERROR(AI8/$N$6,"-")</f>
        <v>0</v>
      </c>
      <c r="AI8" s="1345"/>
      <c r="AJ8" s="1345"/>
      <c r="AK8" s="1345" t="n">
        <f aca="false">+IFERROR(AL8/$N$6,"-")</f>
        <v>0</v>
      </c>
      <c r="AL8" s="1345"/>
      <c r="AM8" s="1345"/>
      <c r="AN8" s="1347" t="n">
        <f aca="false">+N8</f>
        <v>0</v>
      </c>
      <c r="AO8" s="1347" t="n">
        <f aca="false">+AR8+AT8</f>
        <v>0</v>
      </c>
      <c r="AP8" s="1348"/>
      <c r="AQ8" s="1328"/>
      <c r="AR8" s="1349" t="n">
        <f aca="false">+$AN8*'ref.지급기준 (2)'!G7</f>
        <v>0</v>
      </c>
      <c r="AS8" s="1347" t="n">
        <f aca="false">+W8</f>
        <v>0</v>
      </c>
      <c r="AT8" s="1347" t="n">
        <f aca="false">+$AN8*'ref.지급기준 (2)'!I7</f>
        <v>0</v>
      </c>
      <c r="AU8" s="1347" t="n">
        <f aca="false">+Z8</f>
        <v>0</v>
      </c>
      <c r="AV8" s="1347" t="n">
        <f aca="false">+$AN8*'ref.지급기준 (2)'!K7</f>
        <v>0</v>
      </c>
      <c r="AW8" s="1347"/>
      <c r="AX8" s="1347" t="n">
        <f aca="false">+$AN8*'ref.지급기준 (2)'!M7</f>
        <v>0</v>
      </c>
      <c r="AY8" s="1347"/>
      <c r="AZ8" s="1347" t="n">
        <f aca="false">+$AN8*'ref.지급기준 (2)'!O7</f>
        <v>0</v>
      </c>
      <c r="BA8" s="1350"/>
      <c r="BB8" s="1331"/>
      <c r="BC8" s="1278"/>
      <c r="BD8" s="1332" t="b">
        <f aca="false">+(AZ8+AX8+AV8+AT8+AR8)=N8</f>
        <v>1</v>
      </c>
      <c r="BE8" s="1278"/>
      <c r="BF8" s="1278"/>
      <c r="BG8" s="1278"/>
      <c r="BH8" s="1278"/>
      <c r="BI8" s="1278"/>
      <c r="BJ8" s="1278"/>
      <c r="BK8" s="1278"/>
      <c r="BL8" s="1278"/>
      <c r="BM8" s="1278"/>
      <c r="BN8" s="1333"/>
      <c r="BO8" s="1333"/>
    </row>
    <row r="9" customFormat="false" ht="16.5" hidden="false" customHeight="true" outlineLevel="0" collapsed="false">
      <c r="A9" s="1307"/>
      <c r="B9" s="629"/>
      <c r="C9" s="1308"/>
      <c r="D9" s="1309"/>
      <c r="E9" s="1310"/>
      <c r="F9" s="1311"/>
      <c r="G9" s="1312"/>
      <c r="H9" s="1313"/>
      <c r="I9" s="1313"/>
      <c r="J9" s="1313"/>
      <c r="K9" s="1351" t="s">
        <v>508</v>
      </c>
      <c r="L9" s="1352"/>
      <c r="M9" s="1352"/>
      <c r="N9" s="1353" t="n">
        <f aca="false">SUM(L9:M9)</f>
        <v>0</v>
      </c>
      <c r="O9" s="1317"/>
      <c r="P9" s="1318"/>
      <c r="Q9" s="1354"/>
      <c r="R9" s="1355"/>
      <c r="S9" s="668"/>
      <c r="T9" s="1321"/>
      <c r="U9" s="1356" t="n">
        <f aca="false">+S9/T5</f>
        <v>0</v>
      </c>
      <c r="V9" s="1355" t="str">
        <f aca="false">+IFERROR(W9/$N9,"-")</f>
        <v>-</v>
      </c>
      <c r="W9" s="1357"/>
      <c r="X9" s="1357"/>
      <c r="Y9" s="1357" t="str">
        <f aca="false">+IFERROR(Z9/$N9,"-")</f>
        <v>-</v>
      </c>
      <c r="Z9" s="1357"/>
      <c r="AA9" s="1358"/>
      <c r="AB9" s="1357" t="str">
        <f aca="false">+IFERROR(AC9/$N9,"-")</f>
        <v>-</v>
      </c>
      <c r="AC9" s="1357"/>
      <c r="AD9" s="1358"/>
      <c r="AE9" s="1357" t="str">
        <f aca="false">+IFERROR(AF9/$N9,"-")</f>
        <v>-</v>
      </c>
      <c r="AF9" s="1357"/>
      <c r="AG9" s="1358"/>
      <c r="AH9" s="1357" t="n">
        <f aca="false">+IFERROR(AI9/$N$6,"-")</f>
        <v>0</v>
      </c>
      <c r="AI9" s="1357"/>
      <c r="AJ9" s="1357"/>
      <c r="AK9" s="1357"/>
      <c r="AL9" s="1357"/>
      <c r="AM9" s="1357"/>
      <c r="AN9" s="1359" t="n">
        <f aca="false">+N9</f>
        <v>0</v>
      </c>
      <c r="AO9" s="1359" t="n">
        <f aca="false">+AR9+AT9</f>
        <v>0</v>
      </c>
      <c r="AP9" s="1360"/>
      <c r="AQ9" s="1328"/>
      <c r="AR9" s="1361" t="n">
        <f aca="false">+$AN9*'ref.지급기준 (2)'!G8</f>
        <v>0</v>
      </c>
      <c r="AS9" s="1359" t="n">
        <f aca="false">+W9</f>
        <v>0</v>
      </c>
      <c r="AT9" s="1359" t="n">
        <f aca="false">+$AN9*'ref.지급기준 (2)'!I8</f>
        <v>0</v>
      </c>
      <c r="AU9" s="1359" t="n">
        <f aca="false">+Z9</f>
        <v>0</v>
      </c>
      <c r="AV9" s="1359" t="n">
        <f aca="false">+$AN9*'ref.지급기준 (2)'!K8</f>
        <v>0</v>
      </c>
      <c r="AW9" s="1359"/>
      <c r="AX9" s="1359" t="n">
        <f aca="false">+$AN9*'ref.지급기준 (2)'!M8</f>
        <v>0</v>
      </c>
      <c r="AY9" s="1359"/>
      <c r="AZ9" s="1359" t="n">
        <f aca="false">+$AN9*'ref.지급기준 (2)'!O8</f>
        <v>0</v>
      </c>
      <c r="BA9" s="1362"/>
      <c r="BB9" s="1331"/>
      <c r="BC9" s="1278"/>
      <c r="BD9" s="1278"/>
      <c r="BE9" s="1278"/>
      <c r="BF9" s="1278"/>
      <c r="BG9" s="1278"/>
      <c r="BH9" s="1278"/>
      <c r="BI9" s="1278"/>
      <c r="BJ9" s="1278"/>
      <c r="BK9" s="1278"/>
      <c r="BL9" s="1278"/>
      <c r="BM9" s="1278"/>
      <c r="BN9" s="1333"/>
      <c r="BO9" s="1333"/>
    </row>
    <row r="10" customFormat="false" ht="16.5" hidden="false" customHeight="true" outlineLevel="0" collapsed="false">
      <c r="A10" s="1307"/>
      <c r="B10" s="629"/>
      <c r="C10" s="1308"/>
      <c r="D10" s="1309"/>
      <c r="E10" s="1310"/>
      <c r="F10" s="1311" t="s">
        <v>171</v>
      </c>
      <c r="G10" s="1363" t="n">
        <v>999.58</v>
      </c>
      <c r="H10" s="1364" t="n">
        <v>0.0647</v>
      </c>
      <c r="I10" s="1364"/>
      <c r="J10" s="1364" t="s">
        <v>1454</v>
      </c>
      <c r="K10" s="1365" t="s">
        <v>112</v>
      </c>
      <c r="L10" s="1366" t="n">
        <f aca="false">+'ref.지급기준 (2)'!F9*'ref.지급기준 (2)'!D9/'ref.지급기준 (2)'!$Q$2</f>
        <v>1049559000</v>
      </c>
      <c r="M10" s="1366" t="n">
        <f aca="false">+L10*10%</f>
        <v>104955900</v>
      </c>
      <c r="N10" s="1367" t="n">
        <f aca="false">SUM(L10:M10)</f>
        <v>1154514900</v>
      </c>
      <c r="O10" s="1317"/>
      <c r="P10" s="1318"/>
      <c r="Q10" s="1319" t="b">
        <f aca="false">+AN10=N10</f>
        <v>1</v>
      </c>
      <c r="R10" s="1323" t="n">
        <f aca="false">+IFERROR(S10/N10,"-")</f>
        <v>0</v>
      </c>
      <c r="S10" s="1368"/>
      <c r="T10" s="1369" t="n">
        <v>1470</v>
      </c>
      <c r="U10" s="1370" t="n">
        <f aca="false">+S10/T10</f>
        <v>0</v>
      </c>
      <c r="V10" s="1371" t="n">
        <f aca="false">+IFERROR(W10/$N10,"-")</f>
        <v>0</v>
      </c>
      <c r="W10" s="1371"/>
      <c r="X10" s="1372" t="n">
        <v>45716</v>
      </c>
      <c r="Y10" s="1371" t="n">
        <f aca="false">+IFERROR(Z10/$N10,"-")</f>
        <v>0</v>
      </c>
      <c r="Z10" s="1371"/>
      <c r="AA10" s="1372" t="n">
        <f aca="false">+EDATE(X10,1)+3</f>
        <v>45747</v>
      </c>
      <c r="AB10" s="1371" t="n">
        <f aca="false">+IFERROR(AC10/$N10,"-")</f>
        <v>0</v>
      </c>
      <c r="AC10" s="1371"/>
      <c r="AD10" s="1372" t="n">
        <f aca="false">+EDATE(AA10,3)</f>
        <v>45838</v>
      </c>
      <c r="AE10" s="1371" t="n">
        <f aca="false">+IFERROR(AF10/$N10,"-")</f>
        <v>0</v>
      </c>
      <c r="AF10" s="1371"/>
      <c r="AG10" s="1372" t="n">
        <f aca="false">+EDATE(AA10,4)</f>
        <v>45869</v>
      </c>
      <c r="AH10" s="1371" t="n">
        <f aca="false">+IFERROR(AI10/$N$6,"-")</f>
        <v>0</v>
      </c>
      <c r="AI10" s="1371"/>
      <c r="AJ10" s="1372" t="n">
        <f aca="false">+EDATE(AA10,6)</f>
        <v>45930</v>
      </c>
      <c r="AK10" s="1371" t="n">
        <f aca="false">+IFERROR(AL10/$N$6,"-")</f>
        <v>0</v>
      </c>
      <c r="AL10" s="1371"/>
      <c r="AM10" s="1371"/>
      <c r="AN10" s="1373" t="n">
        <f aca="false">+N10</f>
        <v>1154514900</v>
      </c>
      <c r="AO10" s="1373" t="n">
        <f aca="false">+AN10*'ref.지급기준 (2)'!G9</f>
        <v>115451490</v>
      </c>
      <c r="AP10" s="1374" t="n">
        <f aca="false">+X10</f>
        <v>45716</v>
      </c>
      <c r="AQ10" s="1328"/>
      <c r="AR10" s="1329" t="n">
        <f aca="false">+$AN10*'ref.지급기준 (2)'!G9</f>
        <v>115451490</v>
      </c>
      <c r="AS10" s="1326" t="n">
        <f aca="false">+W10</f>
        <v>0</v>
      </c>
      <c r="AT10" s="1326" t="n">
        <f aca="false">+$AN10*'ref.지급기준 (2)'!I9</f>
        <v>230902980</v>
      </c>
      <c r="AU10" s="1326" t="n">
        <f aca="false">+Z10</f>
        <v>0</v>
      </c>
      <c r="AV10" s="1326" t="n">
        <f aca="false">+$AN10*'ref.지급기준 (2)'!K9</f>
        <v>461805960</v>
      </c>
      <c r="AW10" s="1326"/>
      <c r="AX10" s="1326" t="n">
        <f aca="false">+$AN10*'ref.지급기준 (2)'!M9</f>
        <v>288628725</v>
      </c>
      <c r="AY10" s="1326"/>
      <c r="AZ10" s="1326" t="n">
        <f aca="false">+$AN10*'ref.지급기준 (2)'!O9</f>
        <v>57725745</v>
      </c>
      <c r="BA10" s="1330"/>
      <c r="BB10" s="1331"/>
      <c r="BC10" s="1278"/>
      <c r="BD10" s="1332" t="b">
        <f aca="false">+(AZ10+AX10+AV10+AT10+AR10)=N10</f>
        <v>1</v>
      </c>
      <c r="BE10" s="1278"/>
      <c r="BF10" s="1278"/>
      <c r="BG10" s="1278"/>
      <c r="BH10" s="1278"/>
      <c r="BI10" s="1278"/>
      <c r="BJ10" s="1278"/>
      <c r="BK10" s="1278"/>
      <c r="BL10" s="1278"/>
      <c r="BM10" s="1278"/>
      <c r="BN10" s="1333"/>
      <c r="BO10" s="1333"/>
    </row>
    <row r="11" customFormat="false" ht="16.5" hidden="false" customHeight="true" outlineLevel="0" collapsed="false">
      <c r="A11" s="1307"/>
      <c r="B11" s="629"/>
      <c r="C11" s="1308"/>
      <c r="D11" s="1309"/>
      <c r="E11" s="1310"/>
      <c r="F11" s="1311"/>
      <c r="G11" s="1363"/>
      <c r="H11" s="1364"/>
      <c r="I11" s="1364"/>
      <c r="J11" s="1364"/>
      <c r="K11" s="1334" t="s">
        <v>114</v>
      </c>
      <c r="L11" s="1335" t="n">
        <f aca="false">+'ref.지급기준 (2)'!F10*'ref.지급기준 (2)'!D10/'ref.지급기준 (2)'!$Q$2</f>
        <v>549769000</v>
      </c>
      <c r="M11" s="1335" t="s">
        <v>373</v>
      </c>
      <c r="N11" s="1336" t="n">
        <f aca="false">SUM(L11:M11)</f>
        <v>549769000</v>
      </c>
      <c r="O11" s="1317"/>
      <c r="P11" s="1318"/>
      <c r="Q11" s="1319" t="b">
        <f aca="false">+AN11=N11</f>
        <v>1</v>
      </c>
      <c r="R11" s="1337" t="n">
        <f aca="false">+IFERROR(S11/N11,"-")</f>
        <v>0.644489685667981</v>
      </c>
      <c r="S11" s="1338" t="n">
        <f aca="false">+IFERROR(W11+Z11+AC11+AF11+AI11+AL11,"-")</f>
        <v>354320450</v>
      </c>
      <c r="T11" s="1369"/>
      <c r="U11" s="1339" t="n">
        <f aca="false">+S11/T10</f>
        <v>241034.319727891</v>
      </c>
      <c r="V11" s="1343" t="n">
        <f aca="false">+IFERROR(W11/$N11,"-")</f>
        <v>0.55</v>
      </c>
      <c r="W11" s="1341" t="n">
        <v>302372950</v>
      </c>
      <c r="X11" s="1342" t="n">
        <v>45450</v>
      </c>
      <c r="Y11" s="1343" t="n">
        <f aca="false">+IFERROR(Z11/$N11,"-")</f>
        <v>0.0944896856679806</v>
      </c>
      <c r="Z11" s="1344" t="n">
        <v>51947500</v>
      </c>
      <c r="AA11" s="1342" t="n">
        <v>45456</v>
      </c>
      <c r="AB11" s="1345" t="n">
        <f aca="false">+IFERROR(AC11/$N11,"-")</f>
        <v>0</v>
      </c>
      <c r="AC11" s="1345"/>
      <c r="AD11" s="1346" t="n">
        <f aca="false">EDATE(AA10,6)</f>
        <v>45930</v>
      </c>
      <c r="AE11" s="1345" t="n">
        <f aca="false">+IFERROR(AF11/$N11,"-")</f>
        <v>0</v>
      </c>
      <c r="AF11" s="1345"/>
      <c r="AG11" s="1346"/>
      <c r="AH11" s="1345" t="n">
        <f aca="false">+IFERROR(AI11/$N$6,"-")</f>
        <v>0</v>
      </c>
      <c r="AI11" s="1345"/>
      <c r="AJ11" s="1345"/>
      <c r="AK11" s="1345" t="n">
        <f aca="false">+IFERROR(AL11/$N$6,"-")</f>
        <v>0</v>
      </c>
      <c r="AL11" s="1345"/>
      <c r="AM11" s="1345"/>
      <c r="AN11" s="1347" t="n">
        <f aca="false">+N11</f>
        <v>549769000</v>
      </c>
      <c r="AO11" s="1347" t="n">
        <f aca="false">+AN11*'ref.지급기준 (2)'!K10+AN11*('ref.지급기준 (2)'!G10+'ref.지급기준 (2)'!I10)-S11</f>
        <v>195448550</v>
      </c>
      <c r="AP11" s="1348" t="n">
        <f aca="false">+AD11</f>
        <v>45930</v>
      </c>
      <c r="AQ11" s="1328"/>
      <c r="AR11" s="1349" t="n">
        <f aca="false">+$AN11*'ref.지급기준 (2)'!G10</f>
        <v>302372950</v>
      </c>
      <c r="AS11" s="1347" t="n">
        <f aca="false">+W11</f>
        <v>302372950</v>
      </c>
      <c r="AT11" s="1347" t="n">
        <f aca="false">+$AN11*'ref.지급기준 (2)'!I10</f>
        <v>82465350</v>
      </c>
      <c r="AU11" s="1347" t="n">
        <f aca="false">+Z11</f>
        <v>51947500</v>
      </c>
      <c r="AV11" s="1347" t="n">
        <f aca="false">+$AN11*'ref.지급기준 (2)'!K10</f>
        <v>164930700</v>
      </c>
      <c r="AW11" s="1347"/>
      <c r="AX11" s="1347" t="n">
        <f aca="false">+$AN11*'ref.지급기준 (2)'!M10</f>
        <v>0</v>
      </c>
      <c r="AY11" s="1347"/>
      <c r="AZ11" s="1347" t="n">
        <f aca="false">+$AN11*'ref.지급기준 (2)'!O10</f>
        <v>0</v>
      </c>
      <c r="BA11" s="1350"/>
      <c r="BB11" s="1331"/>
      <c r="BC11" s="1278"/>
      <c r="BD11" s="1332" t="b">
        <f aca="false">+(AZ11+AX11+AV11+AT11+AR11)=N11</f>
        <v>1</v>
      </c>
      <c r="BE11" s="1278"/>
      <c r="BF11" s="1278"/>
      <c r="BG11" s="1278"/>
      <c r="BH11" s="1278"/>
      <c r="BI11" s="1278"/>
      <c r="BJ11" s="1278"/>
      <c r="BK11" s="1278"/>
      <c r="BL11" s="1278"/>
      <c r="BM11" s="1278"/>
      <c r="BN11" s="1333"/>
      <c r="BO11" s="1333"/>
    </row>
    <row r="12" customFormat="false" ht="16.5" hidden="false" customHeight="true" outlineLevel="0" collapsed="false">
      <c r="A12" s="1307"/>
      <c r="B12" s="629"/>
      <c r="C12" s="1308"/>
      <c r="D12" s="1309"/>
      <c r="E12" s="1310"/>
      <c r="F12" s="1311"/>
      <c r="G12" s="1363"/>
      <c r="H12" s="1364"/>
      <c r="I12" s="1364"/>
      <c r="J12" s="1364"/>
      <c r="K12" s="1334" t="s">
        <v>404</v>
      </c>
      <c r="L12" s="1335" t="n">
        <f aca="false">+'ref.지급기준 (2)'!F11*'ref.지급기준 (2)'!D11/'ref.지급기준 (2)'!$Q$2</f>
        <v>0</v>
      </c>
      <c r="M12" s="1335" t="s">
        <v>373</v>
      </c>
      <c r="N12" s="1336" t="n">
        <f aca="false">SUM(L12:M12)</f>
        <v>0</v>
      </c>
      <c r="O12" s="1317"/>
      <c r="P12" s="1318"/>
      <c r="Q12" s="1319" t="b">
        <f aca="false">+AN12=N12</f>
        <v>1</v>
      </c>
      <c r="R12" s="1337" t="str">
        <f aca="false">+IFERROR(S12/N12,"-")</f>
        <v>-</v>
      </c>
      <c r="S12" s="1338"/>
      <c r="T12" s="1369"/>
      <c r="U12" s="1339" t="n">
        <f aca="false">+S12/T10</f>
        <v>0</v>
      </c>
      <c r="V12" s="1345" t="str">
        <f aca="false">+IFERROR(W12/$N12,"-")</f>
        <v>-</v>
      </c>
      <c r="W12" s="1345"/>
      <c r="X12" s="1346"/>
      <c r="Y12" s="1345" t="str">
        <f aca="false">+IFERROR(Z12/$N12,"-")</f>
        <v>-</v>
      </c>
      <c r="Z12" s="1345"/>
      <c r="AA12" s="1346"/>
      <c r="AB12" s="1345" t="str">
        <f aca="false">+IFERROR(AC12/$N12,"-")</f>
        <v>-</v>
      </c>
      <c r="AC12" s="1345"/>
      <c r="AD12" s="1346"/>
      <c r="AE12" s="1345" t="str">
        <f aca="false">+IFERROR(AF12/$N12,"-")</f>
        <v>-</v>
      </c>
      <c r="AF12" s="1345"/>
      <c r="AG12" s="1346"/>
      <c r="AH12" s="1345" t="n">
        <f aca="false">+IFERROR(AI12/$N$6,"-")</f>
        <v>0</v>
      </c>
      <c r="AI12" s="1345"/>
      <c r="AJ12" s="1345"/>
      <c r="AK12" s="1345" t="n">
        <f aca="false">+IFERROR(AL12/$N$6,"-")</f>
        <v>0</v>
      </c>
      <c r="AL12" s="1345"/>
      <c r="AM12" s="1345"/>
      <c r="AN12" s="1347" t="n">
        <f aca="false">+N12</f>
        <v>0</v>
      </c>
      <c r="AO12" s="1347" t="n">
        <f aca="false">+AR12+AT12</f>
        <v>0</v>
      </c>
      <c r="AP12" s="1348"/>
      <c r="AQ12" s="1328"/>
      <c r="AR12" s="1349" t="n">
        <f aca="false">+$AN12*'ref.지급기준 (2)'!G11</f>
        <v>0</v>
      </c>
      <c r="AS12" s="1347" t="n">
        <f aca="false">+W12</f>
        <v>0</v>
      </c>
      <c r="AT12" s="1347" t="n">
        <f aca="false">+$AN12*'ref.지급기준 (2)'!I11</f>
        <v>0</v>
      </c>
      <c r="AU12" s="1347" t="n">
        <f aca="false">+Z12</f>
        <v>0</v>
      </c>
      <c r="AV12" s="1347" t="n">
        <f aca="false">+$AN12*'ref.지급기준 (2)'!K11</f>
        <v>0</v>
      </c>
      <c r="AW12" s="1347"/>
      <c r="AX12" s="1347" t="n">
        <f aca="false">+$AN12*'ref.지급기준 (2)'!M11</f>
        <v>0</v>
      </c>
      <c r="AY12" s="1347"/>
      <c r="AZ12" s="1347" t="n">
        <f aca="false">+$AN12*'ref.지급기준 (2)'!O11</f>
        <v>0</v>
      </c>
      <c r="BA12" s="1350"/>
      <c r="BB12" s="1331"/>
      <c r="BC12" s="1278"/>
      <c r="BD12" s="1332" t="b">
        <f aca="false">+(AZ12+AX12+AV12+AT12+AR12)=N12</f>
        <v>1</v>
      </c>
      <c r="BE12" s="1278"/>
      <c r="BF12" s="1278"/>
      <c r="BG12" s="1278"/>
      <c r="BH12" s="1278"/>
      <c r="BI12" s="1278"/>
      <c r="BJ12" s="1278"/>
      <c r="BK12" s="1278"/>
      <c r="BL12" s="1278"/>
      <c r="BM12" s="1278"/>
      <c r="BN12" s="1333"/>
      <c r="BO12" s="1333"/>
    </row>
    <row r="13" customFormat="false" ht="16.5" hidden="false" customHeight="true" outlineLevel="0" collapsed="false">
      <c r="A13" s="1307"/>
      <c r="B13" s="629"/>
      <c r="C13" s="1308"/>
      <c r="D13" s="1309"/>
      <c r="E13" s="1310"/>
      <c r="F13" s="1311"/>
      <c r="G13" s="1363"/>
      <c r="H13" s="1364"/>
      <c r="I13" s="1364"/>
      <c r="J13" s="1364"/>
      <c r="K13" s="1334" t="s">
        <v>507</v>
      </c>
      <c r="L13" s="1335" t="n">
        <f aca="false">+'ref.지급기준 (2)'!F12*'ref.지급기준 (2)'!D12/'ref.지급기준 (2)'!$Q$2</f>
        <v>0</v>
      </c>
      <c r="M13" s="1335" t="s">
        <v>373</v>
      </c>
      <c r="N13" s="1336" t="n">
        <f aca="false">SUM(L13:M13)</f>
        <v>0</v>
      </c>
      <c r="O13" s="1317"/>
      <c r="P13" s="1318"/>
      <c r="Q13" s="1319" t="b">
        <f aca="false">+AN13=N13</f>
        <v>1</v>
      </c>
      <c r="R13" s="1337" t="str">
        <f aca="false">+IFERROR(S13/N13,"-")</f>
        <v>-</v>
      </c>
      <c r="S13" s="1338"/>
      <c r="T13" s="1369"/>
      <c r="U13" s="1339" t="n">
        <f aca="false">+S13/T10</f>
        <v>0</v>
      </c>
      <c r="V13" s="1345" t="str">
        <f aca="false">+IFERROR(W13/$N13,"-")</f>
        <v>-</v>
      </c>
      <c r="W13" s="1345"/>
      <c r="X13" s="1346"/>
      <c r="Y13" s="1345" t="str">
        <f aca="false">+IFERROR(Z13/$N13,"-")</f>
        <v>-</v>
      </c>
      <c r="Z13" s="1345"/>
      <c r="AA13" s="1346"/>
      <c r="AB13" s="1345" t="str">
        <f aca="false">+IFERROR(AC13/$N13,"-")</f>
        <v>-</v>
      </c>
      <c r="AC13" s="1345"/>
      <c r="AD13" s="1346"/>
      <c r="AE13" s="1345" t="str">
        <f aca="false">+IFERROR(AF13/$N13,"-")</f>
        <v>-</v>
      </c>
      <c r="AF13" s="1345"/>
      <c r="AG13" s="1346"/>
      <c r="AH13" s="1345" t="n">
        <f aca="false">+IFERROR(AI13/$N$6,"-")</f>
        <v>0</v>
      </c>
      <c r="AI13" s="1345"/>
      <c r="AJ13" s="1345"/>
      <c r="AK13" s="1345" t="n">
        <f aca="false">+IFERROR(AL13/$N$6,"-")</f>
        <v>0</v>
      </c>
      <c r="AL13" s="1345"/>
      <c r="AM13" s="1345"/>
      <c r="AN13" s="1347" t="n">
        <f aca="false">+N13</f>
        <v>0</v>
      </c>
      <c r="AO13" s="1347" t="n">
        <f aca="false">+AR13+AT13</f>
        <v>0</v>
      </c>
      <c r="AP13" s="1348"/>
      <c r="AQ13" s="1328"/>
      <c r="AR13" s="1349" t="n">
        <f aca="false">+$AN13*'ref.지급기준 (2)'!G12</f>
        <v>0</v>
      </c>
      <c r="AS13" s="1347" t="n">
        <f aca="false">+W13</f>
        <v>0</v>
      </c>
      <c r="AT13" s="1347" t="n">
        <f aca="false">+$AN13*'ref.지급기준 (2)'!I12</f>
        <v>0</v>
      </c>
      <c r="AU13" s="1347" t="n">
        <f aca="false">+Z13</f>
        <v>0</v>
      </c>
      <c r="AV13" s="1347" t="n">
        <f aca="false">+$AN13*'ref.지급기준 (2)'!K12</f>
        <v>0</v>
      </c>
      <c r="AW13" s="1347"/>
      <c r="AX13" s="1347" t="n">
        <f aca="false">+$AN13*'ref.지급기준 (2)'!M12</f>
        <v>0</v>
      </c>
      <c r="AY13" s="1347"/>
      <c r="AZ13" s="1347" t="n">
        <f aca="false">+$AN13*'ref.지급기준 (2)'!O12</f>
        <v>0</v>
      </c>
      <c r="BA13" s="1350"/>
      <c r="BB13" s="1331"/>
      <c r="BC13" s="1278"/>
      <c r="BD13" s="1332" t="b">
        <f aca="false">+(AZ13+AX13+AV13+AT13+AR13)=N13</f>
        <v>1</v>
      </c>
      <c r="BE13" s="1278"/>
      <c r="BF13" s="1278"/>
      <c r="BG13" s="1278"/>
      <c r="BH13" s="1278"/>
      <c r="BI13" s="1278"/>
      <c r="BJ13" s="1278"/>
      <c r="BK13" s="1278"/>
      <c r="BL13" s="1278"/>
      <c r="BM13" s="1278"/>
      <c r="BN13" s="1333"/>
      <c r="BO13" s="1333"/>
    </row>
    <row r="14" customFormat="false" ht="16.5" hidden="false" customHeight="true" outlineLevel="0" collapsed="false">
      <c r="A14" s="1307"/>
      <c r="B14" s="629"/>
      <c r="C14" s="1308"/>
      <c r="D14" s="1309"/>
      <c r="E14" s="1310"/>
      <c r="F14" s="1311"/>
      <c r="G14" s="1363"/>
      <c r="H14" s="1364"/>
      <c r="I14" s="1364"/>
      <c r="J14" s="1364"/>
      <c r="K14" s="1351" t="s">
        <v>508</v>
      </c>
      <c r="L14" s="1352"/>
      <c r="M14" s="1352"/>
      <c r="N14" s="1353"/>
      <c r="O14" s="1317"/>
      <c r="P14" s="1318"/>
      <c r="Q14" s="1354"/>
      <c r="R14" s="1355"/>
      <c r="S14" s="668"/>
      <c r="T14" s="1369"/>
      <c r="U14" s="1356" t="n">
        <f aca="false">+S14/T10</f>
        <v>0</v>
      </c>
      <c r="V14" s="1355" t="str">
        <f aca="false">+IFERROR(W14/$N14,"-")</f>
        <v>-</v>
      </c>
      <c r="W14" s="1357"/>
      <c r="X14" s="1357"/>
      <c r="Y14" s="1357" t="str">
        <f aca="false">+IFERROR(Z14/$N14,"-")</f>
        <v>-</v>
      </c>
      <c r="Z14" s="1357"/>
      <c r="AA14" s="1358"/>
      <c r="AB14" s="1357" t="str">
        <f aca="false">+IFERROR(AC14/$N14,"-")</f>
        <v>-</v>
      </c>
      <c r="AC14" s="1357"/>
      <c r="AD14" s="1358"/>
      <c r="AE14" s="1357" t="str">
        <f aca="false">+IFERROR(AF14/$N14,"-")</f>
        <v>-</v>
      </c>
      <c r="AF14" s="1357"/>
      <c r="AG14" s="1358"/>
      <c r="AH14" s="1357" t="n">
        <f aca="false">+IFERROR(AI14/$N$6,"-")</f>
        <v>0</v>
      </c>
      <c r="AI14" s="1357"/>
      <c r="AJ14" s="1357"/>
      <c r="AK14" s="1357"/>
      <c r="AL14" s="1357"/>
      <c r="AM14" s="1357"/>
      <c r="AN14" s="1359" t="n">
        <f aca="false">+N14</f>
        <v>0</v>
      </c>
      <c r="AO14" s="1359" t="n">
        <f aca="false">+AR14+AT14</f>
        <v>0</v>
      </c>
      <c r="AP14" s="1360"/>
      <c r="AQ14" s="1328"/>
      <c r="AR14" s="1361" t="n">
        <f aca="false">+$AN14*'ref.지급기준 (2)'!G13</f>
        <v>0</v>
      </c>
      <c r="AS14" s="1359" t="n">
        <f aca="false">+W14</f>
        <v>0</v>
      </c>
      <c r="AT14" s="1359" t="n">
        <f aca="false">+$AN14*'ref.지급기준 (2)'!I13</f>
        <v>0</v>
      </c>
      <c r="AU14" s="1359" t="n">
        <f aca="false">+Z14</f>
        <v>0</v>
      </c>
      <c r="AV14" s="1359" t="n">
        <f aca="false">+$AN14*'ref.지급기준 (2)'!K13</f>
        <v>0</v>
      </c>
      <c r="AW14" s="1359"/>
      <c r="AX14" s="1359" t="n">
        <f aca="false">+$AN14*'ref.지급기준 (2)'!M13</f>
        <v>0</v>
      </c>
      <c r="AY14" s="1359"/>
      <c r="AZ14" s="1359" t="n">
        <f aca="false">+$AN14*'ref.지급기준 (2)'!O13</f>
        <v>0</v>
      </c>
      <c r="BA14" s="1362"/>
      <c r="BB14" s="1331"/>
      <c r="BC14" s="1278"/>
      <c r="BD14" s="1278"/>
      <c r="BE14" s="1278"/>
      <c r="BF14" s="1278"/>
      <c r="BG14" s="1278"/>
      <c r="BH14" s="1278"/>
      <c r="BI14" s="1278"/>
      <c r="BJ14" s="1278"/>
      <c r="BK14" s="1278"/>
      <c r="BL14" s="1278"/>
      <c r="BM14" s="1278"/>
      <c r="BN14" s="1333"/>
      <c r="BO14" s="1333"/>
    </row>
    <row r="15" customFormat="false" ht="16.5" hidden="false" customHeight="true" outlineLevel="0" collapsed="false">
      <c r="A15" s="1307"/>
      <c r="B15" s="629"/>
      <c r="C15" s="1308"/>
      <c r="D15" s="1309"/>
      <c r="E15" s="1310"/>
      <c r="F15" s="1311" t="s">
        <v>172</v>
      </c>
      <c r="G15" s="1363" t="n">
        <v>999.6</v>
      </c>
      <c r="H15" s="1364" t="n">
        <v>0.0619</v>
      </c>
      <c r="I15" s="1364"/>
      <c r="J15" s="1364" t="s">
        <v>1454</v>
      </c>
      <c r="K15" s="1365" t="s">
        <v>112</v>
      </c>
      <c r="L15" s="1366" t="n">
        <f aca="false">+'ref.지급기준 (2)'!F14*'ref.지급기준 (2)'!D14/'ref.지급기준 (2)'!$Q$2</f>
        <v>1049580000</v>
      </c>
      <c r="M15" s="1366" t="n">
        <f aca="false">+L15*10%</f>
        <v>104958000</v>
      </c>
      <c r="N15" s="1367" t="n">
        <f aca="false">SUM(L15:M15)</f>
        <v>1154538000</v>
      </c>
      <c r="O15" s="1317"/>
      <c r="P15" s="1318"/>
      <c r="Q15" s="1319" t="b">
        <f aca="false">+AN15=N15</f>
        <v>1</v>
      </c>
      <c r="R15" s="1323" t="n">
        <f aca="false">+IFERROR(S15/N15,"-")</f>
        <v>0</v>
      </c>
      <c r="S15" s="1368"/>
      <c r="T15" s="1369" t="n">
        <v>1470</v>
      </c>
      <c r="U15" s="1370" t="n">
        <f aca="false">+S15/T15</f>
        <v>0</v>
      </c>
      <c r="V15" s="1375" t="n">
        <f aca="false">+IFERROR(W15/$N15,"-")</f>
        <v>0</v>
      </c>
      <c r="W15" s="1345"/>
      <c r="X15" s="1346" t="n">
        <v>45716</v>
      </c>
      <c r="Y15" s="1345" t="n">
        <f aca="false">+IFERROR(Z15/$N15,"-")</f>
        <v>0</v>
      </c>
      <c r="Z15" s="1345"/>
      <c r="AA15" s="1346" t="n">
        <f aca="false">+EDATE(X15,1)+3</f>
        <v>45747</v>
      </c>
      <c r="AB15" s="1345" t="n">
        <f aca="false">+IFERROR(AC15/$N15,"-")</f>
        <v>0</v>
      </c>
      <c r="AC15" s="1345"/>
      <c r="AD15" s="1346" t="n">
        <f aca="false">+EDATE(AA15,3)</f>
        <v>45838</v>
      </c>
      <c r="AE15" s="1345" t="n">
        <f aca="false">+IFERROR(AF15/$N15,"-")</f>
        <v>0</v>
      </c>
      <c r="AF15" s="1345"/>
      <c r="AG15" s="1346" t="n">
        <f aca="false">+EDATE(AA15,4)</f>
        <v>45869</v>
      </c>
      <c r="AH15" s="1345" t="n">
        <f aca="false">+IFERROR(AI15/$N$6,"-")</f>
        <v>0</v>
      </c>
      <c r="AI15" s="1345"/>
      <c r="AJ15" s="1346" t="n">
        <f aca="false">+EDATE(AA15,6)</f>
        <v>45930</v>
      </c>
      <c r="AK15" s="1345" t="n">
        <f aca="false">+IFERROR(AL15/$N$6,"-")</f>
        <v>0</v>
      </c>
      <c r="AL15" s="1345"/>
      <c r="AM15" s="1345"/>
      <c r="AN15" s="1347" t="n">
        <f aca="false">+N15</f>
        <v>1154538000</v>
      </c>
      <c r="AO15" s="1347" t="n">
        <f aca="false">+AN15*'ref.지급기준 (2)'!G14</f>
        <v>115453800</v>
      </c>
      <c r="AP15" s="1348" t="n">
        <f aca="false">+X15</f>
        <v>45716</v>
      </c>
      <c r="AQ15" s="1328"/>
      <c r="AR15" s="1329" t="n">
        <f aca="false">+$AN15*'ref.지급기준 (2)'!G14</f>
        <v>115453800</v>
      </c>
      <c r="AS15" s="1326" t="n">
        <f aca="false">+W15</f>
        <v>0</v>
      </c>
      <c r="AT15" s="1326" t="n">
        <f aca="false">+$AN15*'ref.지급기준 (2)'!I14</f>
        <v>230907600</v>
      </c>
      <c r="AU15" s="1326" t="n">
        <f aca="false">+Z15</f>
        <v>0</v>
      </c>
      <c r="AV15" s="1326" t="n">
        <f aca="false">+$AN15*'ref.지급기준 (2)'!K14</f>
        <v>461815200</v>
      </c>
      <c r="AW15" s="1326"/>
      <c r="AX15" s="1326" t="n">
        <f aca="false">+$AN15*'ref.지급기준 (2)'!M14</f>
        <v>288634500</v>
      </c>
      <c r="AY15" s="1326"/>
      <c r="AZ15" s="1326" t="n">
        <f aca="false">+$AN15*'ref.지급기준 (2)'!O14</f>
        <v>57726900</v>
      </c>
      <c r="BA15" s="1330"/>
      <c r="BB15" s="1331"/>
      <c r="BC15" s="1278"/>
      <c r="BD15" s="1332" t="b">
        <f aca="false">+(AZ15+AX15+AV15+AT15+AR15)=N15</f>
        <v>1</v>
      </c>
      <c r="BE15" s="1278"/>
      <c r="BF15" s="1278"/>
      <c r="BG15" s="1278"/>
      <c r="BH15" s="1278"/>
      <c r="BI15" s="1278"/>
      <c r="BJ15" s="1278"/>
      <c r="BK15" s="1278"/>
      <c r="BL15" s="1278"/>
      <c r="BM15" s="1278"/>
      <c r="BN15" s="1333"/>
      <c r="BO15" s="1333"/>
    </row>
    <row r="16" customFormat="false" ht="16.5" hidden="false" customHeight="true" outlineLevel="0" collapsed="false">
      <c r="A16" s="1307"/>
      <c r="B16" s="629"/>
      <c r="C16" s="1308"/>
      <c r="D16" s="1309"/>
      <c r="E16" s="1310"/>
      <c r="F16" s="1311"/>
      <c r="G16" s="1363"/>
      <c r="H16" s="1364"/>
      <c r="I16" s="1364"/>
      <c r="J16" s="1364"/>
      <c r="K16" s="1334" t="s">
        <v>114</v>
      </c>
      <c r="L16" s="1335" t="n">
        <f aca="false">+'ref.지급기준 (2)'!F15*'ref.지급기준 (2)'!D15/'ref.지급기준 (2)'!$Q$2</f>
        <v>549780000</v>
      </c>
      <c r="M16" s="1335" t="s">
        <v>373</v>
      </c>
      <c r="N16" s="1336" t="n">
        <f aca="false">SUM(L16:M16)</f>
        <v>549780000</v>
      </c>
      <c r="O16" s="1317"/>
      <c r="P16" s="1318"/>
      <c r="Q16" s="1319" t="b">
        <f aca="false">+AN16=N16</f>
        <v>1</v>
      </c>
      <c r="R16" s="1337" t="n">
        <f aca="false">+IFERROR(S16/N16,"-")</f>
        <v>0.644487795118047</v>
      </c>
      <c r="S16" s="1338" t="n">
        <f aca="false">+IFERROR(W16+Z16+AC16+AF16+AI16+AL16,"-")</f>
        <v>354326500</v>
      </c>
      <c r="T16" s="1369"/>
      <c r="U16" s="1339" t="n">
        <f aca="false">+S16/T15</f>
        <v>241038.43537415</v>
      </c>
      <c r="V16" s="1343" t="n">
        <f aca="false">+IFERROR(W16/$N16,"-")</f>
        <v>0.55</v>
      </c>
      <c r="W16" s="1341" t="n">
        <v>302379000</v>
      </c>
      <c r="X16" s="1342" t="n">
        <v>45450</v>
      </c>
      <c r="Y16" s="1343" t="n">
        <f aca="false">+IFERROR(Z16/$N16,"-")</f>
        <v>0.0944877951180472</v>
      </c>
      <c r="Z16" s="1344" t="n">
        <v>51947500</v>
      </c>
      <c r="AA16" s="1342" t="n">
        <v>45456</v>
      </c>
      <c r="AB16" s="1345" t="n">
        <f aca="false">+IFERROR(AC16/$N16,"-")</f>
        <v>0</v>
      </c>
      <c r="AC16" s="1345"/>
      <c r="AD16" s="1346" t="n">
        <f aca="false">EDATE(AA15,6)</f>
        <v>45930</v>
      </c>
      <c r="AE16" s="1345" t="n">
        <f aca="false">+IFERROR(AF16/$N16,"-")</f>
        <v>0</v>
      </c>
      <c r="AF16" s="1345"/>
      <c r="AG16" s="1346"/>
      <c r="AH16" s="1345" t="n">
        <f aca="false">+IFERROR(AI16/$N$6,"-")</f>
        <v>0</v>
      </c>
      <c r="AI16" s="1345"/>
      <c r="AJ16" s="1345"/>
      <c r="AK16" s="1345" t="n">
        <f aca="false">+IFERROR(AL16/$N$6,"-")</f>
        <v>0</v>
      </c>
      <c r="AL16" s="1345"/>
      <c r="AM16" s="1345"/>
      <c r="AN16" s="1347" t="n">
        <f aca="false">+N16</f>
        <v>549780000</v>
      </c>
      <c r="AO16" s="1347" t="n">
        <f aca="false">+AN16*'ref.지급기준 (2)'!K15+AN16*('ref.지급기준 (2)'!G15+'ref.지급기준 (2)'!I15)-S16</f>
        <v>195453500</v>
      </c>
      <c r="AP16" s="1348" t="n">
        <f aca="false">+AD16</f>
        <v>45930</v>
      </c>
      <c r="AQ16" s="1328"/>
      <c r="AR16" s="1349" t="n">
        <f aca="false">+$AN16*'ref.지급기준 (2)'!G15</f>
        <v>302379000</v>
      </c>
      <c r="AS16" s="1347" t="n">
        <f aca="false">+W16</f>
        <v>302379000</v>
      </c>
      <c r="AT16" s="1347" t="n">
        <f aca="false">+$AN16*'ref.지급기준 (2)'!I15</f>
        <v>82467000</v>
      </c>
      <c r="AU16" s="1347" t="n">
        <f aca="false">+Z16</f>
        <v>51947500</v>
      </c>
      <c r="AV16" s="1347" t="n">
        <f aca="false">+$AN16*'ref.지급기준 (2)'!K15</f>
        <v>164934000</v>
      </c>
      <c r="AW16" s="1347"/>
      <c r="AX16" s="1347" t="n">
        <f aca="false">+$AN16*'ref.지급기준 (2)'!M15</f>
        <v>0</v>
      </c>
      <c r="AY16" s="1347"/>
      <c r="AZ16" s="1347" t="n">
        <f aca="false">+$AN16*'ref.지급기준 (2)'!O15</f>
        <v>0</v>
      </c>
      <c r="BA16" s="1350"/>
      <c r="BB16" s="1331"/>
      <c r="BC16" s="1278"/>
      <c r="BD16" s="1332" t="b">
        <f aca="false">+(AZ16+AX16+AV16+AT16+AR16)=N16</f>
        <v>1</v>
      </c>
      <c r="BE16" s="1278"/>
      <c r="BF16" s="1278"/>
      <c r="BG16" s="1278"/>
      <c r="BH16" s="1278"/>
      <c r="BI16" s="1278"/>
      <c r="BJ16" s="1278"/>
      <c r="BK16" s="1278"/>
      <c r="BL16" s="1278"/>
      <c r="BM16" s="1278"/>
      <c r="BN16" s="1333"/>
      <c r="BO16" s="1333"/>
    </row>
    <row r="17" customFormat="false" ht="16.5" hidden="false" customHeight="true" outlineLevel="0" collapsed="false">
      <c r="A17" s="1307"/>
      <c r="B17" s="629"/>
      <c r="C17" s="1308"/>
      <c r="D17" s="1309"/>
      <c r="E17" s="1310"/>
      <c r="F17" s="1311"/>
      <c r="G17" s="1363"/>
      <c r="H17" s="1364"/>
      <c r="I17" s="1364"/>
      <c r="J17" s="1364"/>
      <c r="K17" s="1334" t="s">
        <v>404</v>
      </c>
      <c r="L17" s="1335" t="n">
        <f aca="false">+'ref.지급기준 (2)'!F16*'ref.지급기준 (2)'!D16/'ref.지급기준 (2)'!$Q$2</f>
        <v>0</v>
      </c>
      <c r="M17" s="1335" t="s">
        <v>373</v>
      </c>
      <c r="N17" s="1336" t="n">
        <f aca="false">SUM(L17:M17)</f>
        <v>0</v>
      </c>
      <c r="O17" s="1317"/>
      <c r="P17" s="1318"/>
      <c r="Q17" s="1319" t="b">
        <f aca="false">+AN17=N17</f>
        <v>1</v>
      </c>
      <c r="R17" s="1337" t="str">
        <f aca="false">+IFERROR(S17/N17,"-")</f>
        <v>-</v>
      </c>
      <c r="S17" s="1338"/>
      <c r="T17" s="1369"/>
      <c r="U17" s="1339" t="n">
        <f aca="false">+S17/T15</f>
        <v>0</v>
      </c>
      <c r="V17" s="1345" t="str">
        <f aca="false">+IFERROR(W17/$N17,"-")</f>
        <v>-</v>
      </c>
      <c r="W17" s="1345"/>
      <c r="X17" s="1346"/>
      <c r="Y17" s="1345" t="str">
        <f aca="false">+IFERROR(Z17/$N17,"-")</f>
        <v>-</v>
      </c>
      <c r="Z17" s="1345"/>
      <c r="AA17" s="1346"/>
      <c r="AB17" s="1345" t="str">
        <f aca="false">+IFERROR(AC17/$N17,"-")</f>
        <v>-</v>
      </c>
      <c r="AC17" s="1345"/>
      <c r="AD17" s="1346"/>
      <c r="AE17" s="1345" t="str">
        <f aca="false">+IFERROR(AF17/$N17,"-")</f>
        <v>-</v>
      </c>
      <c r="AF17" s="1345"/>
      <c r="AG17" s="1346"/>
      <c r="AH17" s="1345" t="n">
        <f aca="false">+IFERROR(AI17/$N$6,"-")</f>
        <v>0</v>
      </c>
      <c r="AI17" s="1345"/>
      <c r="AJ17" s="1345"/>
      <c r="AK17" s="1345" t="n">
        <f aca="false">+IFERROR(AL17/$N$6,"-")</f>
        <v>0</v>
      </c>
      <c r="AL17" s="1345"/>
      <c r="AM17" s="1345"/>
      <c r="AN17" s="1347" t="n">
        <f aca="false">+N17</f>
        <v>0</v>
      </c>
      <c r="AO17" s="1347" t="n">
        <f aca="false">+AR17+AT17</f>
        <v>0</v>
      </c>
      <c r="AP17" s="1348"/>
      <c r="AQ17" s="1328"/>
      <c r="AR17" s="1349" t="n">
        <f aca="false">+$AN17*'ref.지급기준 (2)'!G16</f>
        <v>0</v>
      </c>
      <c r="AS17" s="1347" t="n">
        <f aca="false">+W17</f>
        <v>0</v>
      </c>
      <c r="AT17" s="1347" t="n">
        <f aca="false">+$AN17*'ref.지급기준 (2)'!I16</f>
        <v>0</v>
      </c>
      <c r="AU17" s="1347" t="n">
        <f aca="false">+Z17</f>
        <v>0</v>
      </c>
      <c r="AV17" s="1347" t="n">
        <f aca="false">+$AN17*'ref.지급기준 (2)'!K16</f>
        <v>0</v>
      </c>
      <c r="AW17" s="1347"/>
      <c r="AX17" s="1347" t="n">
        <f aca="false">+$AN17*'ref.지급기준 (2)'!M16</f>
        <v>0</v>
      </c>
      <c r="AY17" s="1347"/>
      <c r="AZ17" s="1347" t="n">
        <f aca="false">+$AN17*'ref.지급기준 (2)'!O16</f>
        <v>0</v>
      </c>
      <c r="BA17" s="1350"/>
      <c r="BB17" s="1331"/>
      <c r="BC17" s="1278"/>
      <c r="BD17" s="1332" t="b">
        <f aca="false">+(AZ17+AX17+AV17+AT17+AR17)=N17</f>
        <v>1</v>
      </c>
      <c r="BE17" s="1278"/>
      <c r="BF17" s="1278"/>
      <c r="BG17" s="1278"/>
      <c r="BH17" s="1278"/>
      <c r="BI17" s="1278"/>
      <c r="BJ17" s="1278"/>
      <c r="BK17" s="1278"/>
      <c r="BL17" s="1278"/>
      <c r="BM17" s="1278"/>
      <c r="BN17" s="1333"/>
      <c r="BO17" s="1333"/>
    </row>
    <row r="18" customFormat="false" ht="16.5" hidden="false" customHeight="true" outlineLevel="0" collapsed="false">
      <c r="A18" s="1307"/>
      <c r="B18" s="629"/>
      <c r="C18" s="1308"/>
      <c r="D18" s="1309"/>
      <c r="E18" s="1310"/>
      <c r="F18" s="1311"/>
      <c r="G18" s="1363"/>
      <c r="H18" s="1364"/>
      <c r="I18" s="1364"/>
      <c r="J18" s="1364"/>
      <c r="K18" s="1334" t="s">
        <v>507</v>
      </c>
      <c r="L18" s="1335" t="n">
        <f aca="false">+'ref.지급기준 (2)'!F17*'ref.지급기준 (2)'!D17/'ref.지급기준 (2)'!$Q$2</f>
        <v>0</v>
      </c>
      <c r="M18" s="1335" t="s">
        <v>373</v>
      </c>
      <c r="N18" s="1336" t="n">
        <f aca="false">SUM(L18:M18)</f>
        <v>0</v>
      </c>
      <c r="O18" s="1317"/>
      <c r="P18" s="1318"/>
      <c r="Q18" s="1319" t="b">
        <f aca="false">+AN18=N18</f>
        <v>1</v>
      </c>
      <c r="R18" s="1337" t="str">
        <f aca="false">+IFERROR(S18/N18,"-")</f>
        <v>-</v>
      </c>
      <c r="S18" s="1338"/>
      <c r="T18" s="1369"/>
      <c r="U18" s="1339" t="n">
        <f aca="false">+S18/T15</f>
        <v>0</v>
      </c>
      <c r="V18" s="1345" t="str">
        <f aca="false">+IFERROR(W18/$N18,"-")</f>
        <v>-</v>
      </c>
      <c r="W18" s="1345"/>
      <c r="X18" s="1346"/>
      <c r="Y18" s="1345" t="str">
        <f aca="false">+IFERROR(Z18/$N18,"-")</f>
        <v>-</v>
      </c>
      <c r="Z18" s="1345"/>
      <c r="AA18" s="1346"/>
      <c r="AB18" s="1345" t="str">
        <f aca="false">+IFERROR(AC18/$N18,"-")</f>
        <v>-</v>
      </c>
      <c r="AC18" s="1345"/>
      <c r="AD18" s="1346"/>
      <c r="AE18" s="1345" t="str">
        <f aca="false">+IFERROR(AF18/$N18,"-")</f>
        <v>-</v>
      </c>
      <c r="AF18" s="1345"/>
      <c r="AG18" s="1346"/>
      <c r="AH18" s="1345" t="n">
        <f aca="false">+IFERROR(AI18/$N$6,"-")</f>
        <v>0</v>
      </c>
      <c r="AI18" s="1345"/>
      <c r="AJ18" s="1345"/>
      <c r="AK18" s="1345" t="n">
        <f aca="false">+IFERROR(AL18/$N$6,"-")</f>
        <v>0</v>
      </c>
      <c r="AL18" s="1345"/>
      <c r="AM18" s="1345"/>
      <c r="AN18" s="1347" t="n">
        <f aca="false">+N18</f>
        <v>0</v>
      </c>
      <c r="AO18" s="1347" t="n">
        <f aca="false">+AR18+AT18</f>
        <v>0</v>
      </c>
      <c r="AP18" s="1348"/>
      <c r="AQ18" s="1328"/>
      <c r="AR18" s="1349" t="n">
        <f aca="false">+$AN18*'ref.지급기준 (2)'!G17</f>
        <v>0</v>
      </c>
      <c r="AS18" s="1347" t="n">
        <f aca="false">+W18</f>
        <v>0</v>
      </c>
      <c r="AT18" s="1347" t="n">
        <f aca="false">+$AN18*'ref.지급기준 (2)'!I17</f>
        <v>0</v>
      </c>
      <c r="AU18" s="1347" t="n">
        <f aca="false">+Z18</f>
        <v>0</v>
      </c>
      <c r="AV18" s="1347" t="n">
        <f aca="false">+$AN18*'ref.지급기준 (2)'!K17</f>
        <v>0</v>
      </c>
      <c r="AW18" s="1347" t="n">
        <f aca="false">+$AN22*'ref.지급기준 (2)'!O21</f>
        <v>0</v>
      </c>
      <c r="AX18" s="1347" t="n">
        <f aca="false">+$AN18*'ref.지급기준 (2)'!M17</f>
        <v>0</v>
      </c>
      <c r="AY18" s="1347"/>
      <c r="AZ18" s="1347" t="n">
        <f aca="false">+$AN18*'ref.지급기준 (2)'!O17</f>
        <v>0</v>
      </c>
      <c r="BA18" s="1350"/>
      <c r="BB18" s="1331"/>
      <c r="BC18" s="1278"/>
      <c r="BD18" s="1332" t="b">
        <f aca="false">+(AZ18+AX18+AV18+AT18+AR18)=N18</f>
        <v>1</v>
      </c>
      <c r="BE18" s="1278"/>
      <c r="BF18" s="1278"/>
      <c r="BG18" s="1278"/>
      <c r="BH18" s="1278"/>
      <c r="BI18" s="1278"/>
      <c r="BJ18" s="1278"/>
      <c r="BK18" s="1278"/>
      <c r="BL18" s="1278"/>
      <c r="BM18" s="1278"/>
      <c r="BN18" s="1333"/>
      <c r="BO18" s="1333"/>
    </row>
    <row r="19" customFormat="false" ht="16.5" hidden="false" customHeight="true" outlineLevel="0" collapsed="false">
      <c r="A19" s="1307"/>
      <c r="B19" s="629"/>
      <c r="C19" s="1308"/>
      <c r="D19" s="1309"/>
      <c r="E19" s="1310"/>
      <c r="F19" s="1311"/>
      <c r="G19" s="1363"/>
      <c r="H19" s="1364"/>
      <c r="I19" s="1364"/>
      <c r="J19" s="1364"/>
      <c r="K19" s="1351" t="s">
        <v>508</v>
      </c>
      <c r="L19" s="1352"/>
      <c r="M19" s="1352"/>
      <c r="N19" s="1353"/>
      <c r="O19" s="1317"/>
      <c r="P19" s="1318"/>
      <c r="Q19" s="1354"/>
      <c r="R19" s="1355"/>
      <c r="S19" s="668"/>
      <c r="T19" s="1369"/>
      <c r="U19" s="1356" t="n">
        <f aca="false">+S19/T15</f>
        <v>0</v>
      </c>
      <c r="V19" s="1355" t="str">
        <f aca="false">+IFERROR(W19/$N19,"-")</f>
        <v>-</v>
      </c>
      <c r="W19" s="1357"/>
      <c r="X19" s="1357"/>
      <c r="Y19" s="1357" t="str">
        <f aca="false">+IFERROR(Z19/$N19,"-")</f>
        <v>-</v>
      </c>
      <c r="Z19" s="1357"/>
      <c r="AA19" s="1358"/>
      <c r="AB19" s="1357" t="str">
        <f aca="false">+IFERROR(AC19/$N19,"-")</f>
        <v>-</v>
      </c>
      <c r="AC19" s="1357"/>
      <c r="AD19" s="1358"/>
      <c r="AE19" s="1357" t="str">
        <f aca="false">+IFERROR(AF19/$N19,"-")</f>
        <v>-</v>
      </c>
      <c r="AF19" s="1357"/>
      <c r="AG19" s="1358"/>
      <c r="AH19" s="1357" t="n">
        <f aca="false">+IFERROR(AI19/$N$6,"-")</f>
        <v>0</v>
      </c>
      <c r="AI19" s="1357"/>
      <c r="AJ19" s="1357"/>
      <c r="AK19" s="1357"/>
      <c r="AL19" s="1357"/>
      <c r="AM19" s="1357"/>
      <c r="AN19" s="1359" t="n">
        <f aca="false">+N19</f>
        <v>0</v>
      </c>
      <c r="AO19" s="1359" t="n">
        <f aca="false">+AR19+AT19</f>
        <v>0</v>
      </c>
      <c r="AP19" s="1360"/>
      <c r="AQ19" s="1328"/>
      <c r="AR19" s="1361" t="n">
        <f aca="false">+$AN19*'ref.지급기준 (2)'!G18</f>
        <v>0</v>
      </c>
      <c r="AS19" s="1359" t="n">
        <f aca="false">+W19</f>
        <v>0</v>
      </c>
      <c r="AT19" s="1359" t="n">
        <f aca="false">+$AN19*'ref.지급기준 (2)'!I18</f>
        <v>0</v>
      </c>
      <c r="AU19" s="1359" t="n">
        <f aca="false">+Z19</f>
        <v>0</v>
      </c>
      <c r="AV19" s="1359" t="n">
        <f aca="false">+$AN19*'ref.지급기준 (2)'!K18</f>
        <v>0</v>
      </c>
      <c r="AW19" s="1359"/>
      <c r="AX19" s="1359" t="n">
        <f aca="false">+$AN19*'ref.지급기준 (2)'!M18</f>
        <v>0</v>
      </c>
      <c r="AY19" s="1359"/>
      <c r="AZ19" s="1359" t="n">
        <f aca="false">+$AN19*'ref.지급기준 (2)'!O18</f>
        <v>0</v>
      </c>
      <c r="BA19" s="1362"/>
      <c r="BB19" s="1331"/>
      <c r="BC19" s="1278"/>
      <c r="BD19" s="1278"/>
      <c r="BE19" s="1278"/>
      <c r="BF19" s="1278"/>
      <c r="BG19" s="1278"/>
      <c r="BH19" s="1278"/>
      <c r="BI19" s="1278"/>
      <c r="BJ19" s="1278"/>
      <c r="BK19" s="1278"/>
      <c r="BL19" s="1278"/>
      <c r="BM19" s="1278"/>
      <c r="BN19" s="1333"/>
      <c r="BO19" s="1333"/>
    </row>
    <row r="20" customFormat="false" ht="16.5" hidden="false" customHeight="true" outlineLevel="0" collapsed="false">
      <c r="A20" s="1307"/>
      <c r="B20" s="629"/>
      <c r="C20" s="1308"/>
      <c r="D20" s="1309"/>
      <c r="E20" s="1310"/>
      <c r="F20" s="1311" t="s">
        <v>173</v>
      </c>
      <c r="G20" s="1363" t="n">
        <v>999.6</v>
      </c>
      <c r="H20" s="1376" t="n">
        <v>0.0619</v>
      </c>
      <c r="I20" s="1364"/>
      <c r="J20" s="1364" t="s">
        <v>1454</v>
      </c>
      <c r="K20" s="1365" t="s">
        <v>112</v>
      </c>
      <c r="L20" s="1366" t="n">
        <f aca="false">+'ref.지급기준 (2)'!F19*'ref.지급기준 (2)'!D19/'ref.지급기준 (2)'!$Q$2</f>
        <v>1049580000</v>
      </c>
      <c r="M20" s="1366" t="s">
        <v>373</v>
      </c>
      <c r="N20" s="1367" t="n">
        <f aca="false">SUM(L20:M20)</f>
        <v>1049580000</v>
      </c>
      <c r="O20" s="1317"/>
      <c r="P20" s="1318"/>
      <c r="Q20" s="1319" t="b">
        <f aca="false">+AN20=N20</f>
        <v>1</v>
      </c>
      <c r="R20" s="1323" t="n">
        <f aca="false">+IFERROR(S20/N20,"-")</f>
        <v>0</v>
      </c>
      <c r="S20" s="1368"/>
      <c r="T20" s="1369" t="n">
        <v>1470</v>
      </c>
      <c r="U20" s="1370" t="n">
        <f aca="false">+S20/T20</f>
        <v>0</v>
      </c>
      <c r="V20" s="1375" t="n">
        <f aca="false">+IFERROR(W20/$N20,"-")</f>
        <v>0</v>
      </c>
      <c r="W20" s="1345"/>
      <c r="X20" s="1346" t="n">
        <v>45716</v>
      </c>
      <c r="Y20" s="1345" t="n">
        <f aca="false">+IFERROR(Z20/$N20,"-")</f>
        <v>0</v>
      </c>
      <c r="Z20" s="1345"/>
      <c r="AA20" s="1346" t="n">
        <f aca="false">+EDATE(X20,1)+3</f>
        <v>45747</v>
      </c>
      <c r="AB20" s="1345" t="n">
        <f aca="false">+IFERROR(AC20/$N20,"-")</f>
        <v>0</v>
      </c>
      <c r="AC20" s="1345"/>
      <c r="AD20" s="1346" t="n">
        <f aca="false">+EDATE(AA20,3)</f>
        <v>45838</v>
      </c>
      <c r="AE20" s="1345" t="n">
        <f aca="false">+IFERROR(AF20/$N20,"-")</f>
        <v>0</v>
      </c>
      <c r="AF20" s="1345"/>
      <c r="AG20" s="1346" t="n">
        <f aca="false">+EDATE(AA20,4)</f>
        <v>45869</v>
      </c>
      <c r="AH20" s="1345" t="n">
        <f aca="false">+IFERROR(AI20/$N$6,"-")</f>
        <v>0</v>
      </c>
      <c r="AI20" s="1345"/>
      <c r="AJ20" s="1346" t="n">
        <f aca="false">+EDATE(AA20,6)</f>
        <v>45930</v>
      </c>
      <c r="AK20" s="1345" t="n">
        <f aca="false">+IFERROR(AL20/$N$6,"-")</f>
        <v>0</v>
      </c>
      <c r="AL20" s="1345"/>
      <c r="AM20" s="1345"/>
      <c r="AN20" s="1347" t="n">
        <f aca="false">+N20</f>
        <v>1049580000</v>
      </c>
      <c r="AO20" s="1347" t="n">
        <f aca="false">+AN20*'ref.지급기준 (2)'!G19</f>
        <v>104958000</v>
      </c>
      <c r="AP20" s="1348" t="n">
        <f aca="false">+X20</f>
        <v>45716</v>
      </c>
      <c r="AQ20" s="1328"/>
      <c r="AR20" s="1329" t="n">
        <f aca="false">+$AN20*'ref.지급기준 (2)'!G19</f>
        <v>104958000</v>
      </c>
      <c r="AS20" s="1326" t="n">
        <f aca="false">+W20</f>
        <v>0</v>
      </c>
      <c r="AT20" s="1326" t="n">
        <f aca="false">+$AN20*'ref.지급기준 (2)'!I19</f>
        <v>209916000</v>
      </c>
      <c r="AU20" s="1326" t="n">
        <f aca="false">+Z20</f>
        <v>0</v>
      </c>
      <c r="AV20" s="1326" t="n">
        <f aca="false">+$AN20*'ref.지급기준 (2)'!K19</f>
        <v>419832000</v>
      </c>
      <c r="AW20" s="1326" t="n">
        <f aca="false">+$AN23*'ref.지급기준 (2)'!O22</f>
        <v>0</v>
      </c>
      <c r="AX20" s="1326" t="n">
        <f aca="false">+$AN20*'ref.지급기준 (2)'!M19</f>
        <v>262395000</v>
      </c>
      <c r="AY20" s="1326"/>
      <c r="AZ20" s="1326" t="n">
        <f aca="false">+$AN20*'ref.지급기준 (2)'!O19</f>
        <v>52479000</v>
      </c>
      <c r="BA20" s="1330"/>
      <c r="BB20" s="1331"/>
      <c r="BC20" s="1278"/>
      <c r="BD20" s="1332" t="b">
        <f aca="false">+(AZ20+AX20+AV20+AT20+AR20)=N20</f>
        <v>1</v>
      </c>
      <c r="BE20" s="1278"/>
      <c r="BF20" s="1278"/>
      <c r="BG20" s="1278"/>
      <c r="BH20" s="1278"/>
      <c r="BI20" s="1278"/>
      <c r="BJ20" s="1278"/>
      <c r="BK20" s="1278"/>
      <c r="BL20" s="1278"/>
      <c r="BM20" s="1278"/>
      <c r="BN20" s="1333"/>
      <c r="BO20" s="1333"/>
    </row>
    <row r="21" customFormat="false" ht="16.5" hidden="false" customHeight="true" outlineLevel="0" collapsed="false">
      <c r="A21" s="1307"/>
      <c r="B21" s="629"/>
      <c r="C21" s="1308"/>
      <c r="D21" s="1309"/>
      <c r="E21" s="1310"/>
      <c r="F21" s="1311"/>
      <c r="G21" s="1363"/>
      <c r="H21" s="1376"/>
      <c r="I21" s="1364"/>
      <c r="J21" s="1364"/>
      <c r="K21" s="1334" t="s">
        <v>114</v>
      </c>
      <c r="L21" s="1335" t="n">
        <f aca="false">+'ref.지급기준 (2)'!F20*'ref.지급기준 (2)'!D20/'ref.지급기준 (2)'!$Q$2</f>
        <v>549780000</v>
      </c>
      <c r="M21" s="1335" t="s">
        <v>373</v>
      </c>
      <c r="N21" s="1336" t="n">
        <f aca="false">SUM(L21:M21)</f>
        <v>549780000</v>
      </c>
      <c r="O21" s="1317"/>
      <c r="P21" s="1318"/>
      <c r="Q21" s="1319" t="b">
        <f aca="false">+AN21=N21</f>
        <v>1</v>
      </c>
      <c r="R21" s="1337" t="n">
        <f aca="false">+IFERROR(S21/N21,"-")</f>
        <v>0.644487795118047</v>
      </c>
      <c r="S21" s="1338" t="n">
        <f aca="false">+IFERROR(W21+Z21+AC21+AF21+AI21+AL21,"-")</f>
        <v>354326500</v>
      </c>
      <c r="T21" s="1369"/>
      <c r="U21" s="1339" t="n">
        <f aca="false">+S21/T20</f>
        <v>241038.43537415</v>
      </c>
      <c r="V21" s="1343" t="n">
        <f aca="false">+IFERROR(W21/$N21,"-")</f>
        <v>0.55</v>
      </c>
      <c r="W21" s="1341" t="n">
        <v>302379000</v>
      </c>
      <c r="X21" s="1342" t="n">
        <v>45450</v>
      </c>
      <c r="Y21" s="1343" t="n">
        <f aca="false">+IFERROR(Z21/$N21,"-")</f>
        <v>0.0944877951180472</v>
      </c>
      <c r="Z21" s="1344" t="n">
        <v>51947500</v>
      </c>
      <c r="AA21" s="1342" t="n">
        <v>45456</v>
      </c>
      <c r="AB21" s="1345" t="n">
        <f aca="false">+IFERROR(AC21/$N21,"-")</f>
        <v>0</v>
      </c>
      <c r="AC21" s="1345"/>
      <c r="AD21" s="1346" t="n">
        <f aca="false">EDATE(AA20,6)</f>
        <v>45930</v>
      </c>
      <c r="AE21" s="1345" t="n">
        <f aca="false">+IFERROR(AF21/$N21,"-")</f>
        <v>0</v>
      </c>
      <c r="AF21" s="1345"/>
      <c r="AG21" s="1346"/>
      <c r="AH21" s="1345" t="n">
        <f aca="false">+IFERROR(AI21/$N$6,"-")</f>
        <v>0</v>
      </c>
      <c r="AI21" s="1345"/>
      <c r="AJ21" s="1345"/>
      <c r="AK21" s="1345" t="n">
        <f aca="false">+IFERROR(AL21/$N$6,"-")</f>
        <v>0</v>
      </c>
      <c r="AL21" s="1345"/>
      <c r="AM21" s="1345"/>
      <c r="AN21" s="1347" t="n">
        <f aca="false">+N21</f>
        <v>549780000</v>
      </c>
      <c r="AO21" s="1347" t="n">
        <f aca="false">+AN21*'ref.지급기준 (2)'!K20+AN21*('ref.지급기준 (2)'!G20+'ref.지급기준 (2)'!I20)-S21</f>
        <v>195453500</v>
      </c>
      <c r="AP21" s="1348" t="n">
        <f aca="false">+AD21</f>
        <v>45930</v>
      </c>
      <c r="AQ21" s="1328"/>
      <c r="AR21" s="1349" t="n">
        <f aca="false">+$AN21*'ref.지급기준 (2)'!G20</f>
        <v>302379000</v>
      </c>
      <c r="AS21" s="1347" t="n">
        <f aca="false">+W21</f>
        <v>302379000</v>
      </c>
      <c r="AT21" s="1347" t="n">
        <f aca="false">+$AN21*'ref.지급기준 (2)'!I20</f>
        <v>82467000</v>
      </c>
      <c r="AU21" s="1347" t="n">
        <f aca="false">+Z21</f>
        <v>51947500</v>
      </c>
      <c r="AV21" s="1347" t="n">
        <f aca="false">+$AN21*'ref.지급기준 (2)'!K20</f>
        <v>164934000</v>
      </c>
      <c r="AW21" s="1347"/>
      <c r="AX21" s="1347" t="n">
        <f aca="false">+$AN21*'ref.지급기준 (2)'!M20</f>
        <v>0</v>
      </c>
      <c r="AY21" s="1347"/>
      <c r="AZ21" s="1347" t="n">
        <f aca="false">+$AN21*'ref.지급기준 (2)'!O20</f>
        <v>0</v>
      </c>
      <c r="BA21" s="1350"/>
      <c r="BB21" s="1331"/>
      <c r="BC21" s="1278"/>
      <c r="BD21" s="1332" t="b">
        <f aca="false">+(AZ21+AX21+AV21+AT21+AR21)=N21</f>
        <v>1</v>
      </c>
      <c r="BE21" s="1278"/>
      <c r="BF21" s="1278"/>
      <c r="BG21" s="1278"/>
      <c r="BH21" s="1278"/>
      <c r="BI21" s="1278"/>
      <c r="BJ21" s="1278"/>
      <c r="BK21" s="1278"/>
      <c r="BL21" s="1278"/>
      <c r="BM21" s="1278"/>
      <c r="BN21" s="1333"/>
      <c r="BO21" s="1333"/>
    </row>
    <row r="22" customFormat="false" ht="16.5" hidden="false" customHeight="true" outlineLevel="0" collapsed="false">
      <c r="A22" s="1307"/>
      <c r="B22" s="629"/>
      <c r="C22" s="1308"/>
      <c r="D22" s="1309"/>
      <c r="E22" s="1310"/>
      <c r="F22" s="1311"/>
      <c r="G22" s="1363"/>
      <c r="H22" s="1376"/>
      <c r="I22" s="1364"/>
      <c r="J22" s="1364"/>
      <c r="K22" s="1334" t="s">
        <v>404</v>
      </c>
      <c r="L22" s="1335" t="n">
        <f aca="false">+'ref.지급기준 (2)'!F21*'ref.지급기준 (2)'!D21/'ref.지급기준 (2)'!$Q$2</f>
        <v>0</v>
      </c>
      <c r="M22" s="1335" t="s">
        <v>373</v>
      </c>
      <c r="N22" s="1336" t="n">
        <f aca="false">SUM(L22:M22)</f>
        <v>0</v>
      </c>
      <c r="O22" s="1317"/>
      <c r="P22" s="1318"/>
      <c r="Q22" s="1319" t="b">
        <f aca="false">+AN22=N22</f>
        <v>1</v>
      </c>
      <c r="R22" s="1337" t="str">
        <f aca="false">+IFERROR(S22/N22,"-")</f>
        <v>-</v>
      </c>
      <c r="S22" s="1338"/>
      <c r="T22" s="1369"/>
      <c r="U22" s="1339" t="n">
        <f aca="false">+S22/T20</f>
        <v>0</v>
      </c>
      <c r="V22" s="1345" t="str">
        <f aca="false">+IFERROR(W22/$N22,"-")</f>
        <v>-</v>
      </c>
      <c r="W22" s="1345"/>
      <c r="X22" s="1346"/>
      <c r="Y22" s="1345" t="str">
        <f aca="false">+IFERROR(Z22/$N22,"-")</f>
        <v>-</v>
      </c>
      <c r="Z22" s="1345"/>
      <c r="AA22" s="1346"/>
      <c r="AB22" s="1345" t="str">
        <f aca="false">+IFERROR(AC22/$N22,"-")</f>
        <v>-</v>
      </c>
      <c r="AC22" s="1345"/>
      <c r="AD22" s="1346"/>
      <c r="AE22" s="1345" t="str">
        <f aca="false">+IFERROR(AF22/$N22,"-")</f>
        <v>-</v>
      </c>
      <c r="AF22" s="1345"/>
      <c r="AG22" s="1346"/>
      <c r="AH22" s="1345" t="n">
        <f aca="false">+IFERROR(AI22/$N$6,"-")</f>
        <v>0</v>
      </c>
      <c r="AI22" s="1345"/>
      <c r="AJ22" s="1345"/>
      <c r="AK22" s="1345" t="n">
        <f aca="false">+IFERROR(AL22/$N$6,"-")</f>
        <v>0</v>
      </c>
      <c r="AL22" s="1345"/>
      <c r="AM22" s="1345"/>
      <c r="AN22" s="1347" t="n">
        <f aca="false">+N22</f>
        <v>0</v>
      </c>
      <c r="AO22" s="1347" t="n">
        <f aca="false">+AR22+AT22</f>
        <v>0</v>
      </c>
      <c r="AP22" s="1348"/>
      <c r="AQ22" s="1328"/>
      <c r="AR22" s="1349" t="n">
        <f aca="false">+$AN22*'ref.지급기준 (2)'!G21</f>
        <v>0</v>
      </c>
      <c r="AS22" s="1347" t="n">
        <f aca="false">+W22</f>
        <v>0</v>
      </c>
      <c r="AT22" s="1347" t="n">
        <f aca="false">+$AN22*'ref.지급기준 (2)'!I21</f>
        <v>0</v>
      </c>
      <c r="AU22" s="1347" t="n">
        <f aca="false">+Z22</f>
        <v>0</v>
      </c>
      <c r="AV22" s="1347" t="n">
        <f aca="false">+$AN22*'ref.지급기준 (2)'!K21</f>
        <v>0</v>
      </c>
      <c r="AW22" s="1347"/>
      <c r="AX22" s="1347" t="n">
        <f aca="false">+$AN22*'ref.지급기준 (2)'!M21</f>
        <v>0</v>
      </c>
      <c r="AY22" s="1347"/>
      <c r="AZ22" s="1377"/>
      <c r="BA22" s="1350"/>
      <c r="BB22" s="1331"/>
      <c r="BC22" s="1278"/>
      <c r="BD22" s="1332" t="b">
        <f aca="false">+(AZ22+AX22+AV22+AT22+AR22)=N22</f>
        <v>1</v>
      </c>
      <c r="BE22" s="1278"/>
      <c r="BF22" s="1278"/>
      <c r="BG22" s="1278"/>
      <c r="BH22" s="1278"/>
      <c r="BI22" s="1278"/>
      <c r="BJ22" s="1278"/>
      <c r="BK22" s="1278"/>
      <c r="BL22" s="1278"/>
      <c r="BM22" s="1278"/>
      <c r="BN22" s="1333"/>
      <c r="BO22" s="1333"/>
    </row>
    <row r="23" customFormat="false" ht="16.5" hidden="false" customHeight="true" outlineLevel="0" collapsed="false">
      <c r="A23" s="1307"/>
      <c r="B23" s="629"/>
      <c r="C23" s="1308"/>
      <c r="D23" s="1309"/>
      <c r="E23" s="1310"/>
      <c r="F23" s="1311"/>
      <c r="G23" s="1363"/>
      <c r="H23" s="1376"/>
      <c r="I23" s="1364"/>
      <c r="J23" s="1364"/>
      <c r="K23" s="1334" t="s">
        <v>507</v>
      </c>
      <c r="L23" s="1335" t="n">
        <f aca="false">+'ref.지급기준 (2)'!F22*'ref.지급기준 (2)'!D22/'ref.지급기준 (2)'!$Q$2</f>
        <v>0</v>
      </c>
      <c r="M23" s="1335"/>
      <c r="N23" s="1336" t="n">
        <f aca="false">SUM(L23:M23)</f>
        <v>0</v>
      </c>
      <c r="O23" s="1317"/>
      <c r="P23" s="1318"/>
      <c r="Q23" s="1319" t="b">
        <f aca="false">+AN23=N23</f>
        <v>1</v>
      </c>
      <c r="R23" s="1337" t="str">
        <f aca="false">+IFERROR(S23/N23,"-")</f>
        <v>-</v>
      </c>
      <c r="S23" s="1338"/>
      <c r="T23" s="1369"/>
      <c r="U23" s="1339" t="n">
        <f aca="false">+S23/T20</f>
        <v>0</v>
      </c>
      <c r="V23" s="1345" t="str">
        <f aca="false">+IFERROR(W23/$N23,"-")</f>
        <v>-</v>
      </c>
      <c r="W23" s="1345"/>
      <c r="X23" s="1346"/>
      <c r="Y23" s="1345" t="str">
        <f aca="false">+IFERROR(Z23/$N23,"-")</f>
        <v>-</v>
      </c>
      <c r="Z23" s="1345"/>
      <c r="AA23" s="1346"/>
      <c r="AB23" s="1345" t="str">
        <f aca="false">+IFERROR(AC23/$N23,"-")</f>
        <v>-</v>
      </c>
      <c r="AC23" s="1345"/>
      <c r="AD23" s="1346"/>
      <c r="AE23" s="1345" t="str">
        <f aca="false">+IFERROR(AF23/$N23,"-")</f>
        <v>-</v>
      </c>
      <c r="AF23" s="1345"/>
      <c r="AG23" s="1346"/>
      <c r="AH23" s="1345" t="n">
        <f aca="false">+IFERROR(AI23/$N$6,"-")</f>
        <v>0</v>
      </c>
      <c r="AI23" s="1345"/>
      <c r="AJ23" s="1345"/>
      <c r="AK23" s="1345" t="n">
        <f aca="false">+IFERROR(AL23/$N$6,"-")</f>
        <v>0</v>
      </c>
      <c r="AL23" s="1345"/>
      <c r="AM23" s="1345"/>
      <c r="AN23" s="1347" t="n">
        <f aca="false">+N23</f>
        <v>0</v>
      </c>
      <c r="AO23" s="1347" t="n">
        <f aca="false">+AR23+AT23</f>
        <v>0</v>
      </c>
      <c r="AP23" s="1348"/>
      <c r="AQ23" s="1328"/>
      <c r="AR23" s="1349" t="n">
        <f aca="false">+$AN23*'ref.지급기준 (2)'!G22</f>
        <v>0</v>
      </c>
      <c r="AS23" s="1347" t="n">
        <f aca="false">+W23</f>
        <v>0</v>
      </c>
      <c r="AT23" s="1347" t="n">
        <f aca="false">+$AN23*'ref.지급기준 (2)'!I22</f>
        <v>0</v>
      </c>
      <c r="AU23" s="1347" t="n">
        <f aca="false">+Z23</f>
        <v>0</v>
      </c>
      <c r="AV23" s="1347" t="n">
        <f aca="false">+$AN23*'ref.지급기준 (2)'!K22</f>
        <v>0</v>
      </c>
      <c r="AW23" s="1347"/>
      <c r="AX23" s="1347" t="n">
        <f aca="false">+$AN23*'ref.지급기준 (2)'!M22</f>
        <v>0</v>
      </c>
      <c r="AY23" s="1347"/>
      <c r="AZ23" s="1377"/>
      <c r="BA23" s="1350"/>
      <c r="BB23" s="1331"/>
      <c r="BC23" s="1278"/>
      <c r="BD23" s="1332" t="b">
        <f aca="false">+(AZ23+AX23+AV23+AT23+AR23)=N23</f>
        <v>1</v>
      </c>
      <c r="BE23" s="1278"/>
      <c r="BF23" s="1278"/>
      <c r="BG23" s="1278"/>
      <c r="BH23" s="1278"/>
      <c r="BI23" s="1278"/>
      <c r="BJ23" s="1278"/>
      <c r="BK23" s="1278"/>
      <c r="BL23" s="1278"/>
      <c r="BM23" s="1278"/>
      <c r="BN23" s="1333"/>
      <c r="BO23" s="1333"/>
    </row>
    <row r="24" customFormat="false" ht="16.5" hidden="false" customHeight="true" outlineLevel="0" collapsed="false">
      <c r="A24" s="1307"/>
      <c r="B24" s="629"/>
      <c r="C24" s="1308"/>
      <c r="D24" s="1309"/>
      <c r="E24" s="1310"/>
      <c r="F24" s="1311"/>
      <c r="G24" s="1363"/>
      <c r="H24" s="1376"/>
      <c r="I24" s="1364"/>
      <c r="J24" s="1364"/>
      <c r="K24" s="1351" t="s">
        <v>508</v>
      </c>
      <c r="L24" s="1352"/>
      <c r="M24" s="1352"/>
      <c r="N24" s="1353"/>
      <c r="O24" s="1317"/>
      <c r="P24" s="1318"/>
      <c r="Q24" s="1354"/>
      <c r="R24" s="1355"/>
      <c r="S24" s="668"/>
      <c r="T24" s="1369"/>
      <c r="U24" s="1356" t="n">
        <f aca="false">+S24/T20</f>
        <v>0</v>
      </c>
      <c r="V24" s="1355" t="str">
        <f aca="false">+IFERROR(W24/$N24,"-")</f>
        <v>-</v>
      </c>
      <c r="W24" s="1357"/>
      <c r="X24" s="1357"/>
      <c r="Y24" s="1357" t="str">
        <f aca="false">+IFERROR(Z24/$N24,"-")</f>
        <v>-</v>
      </c>
      <c r="Z24" s="1357"/>
      <c r="AA24" s="1358"/>
      <c r="AB24" s="1357" t="str">
        <f aca="false">+IFERROR(AC24/$N24,"-")</f>
        <v>-</v>
      </c>
      <c r="AC24" s="1357"/>
      <c r="AD24" s="1358"/>
      <c r="AE24" s="1357" t="str">
        <f aca="false">+IFERROR(AF24/$N24,"-")</f>
        <v>-</v>
      </c>
      <c r="AF24" s="1357"/>
      <c r="AG24" s="1358"/>
      <c r="AH24" s="1357" t="n">
        <f aca="false">+IFERROR(AI24/$N$6,"-")</f>
        <v>0</v>
      </c>
      <c r="AI24" s="1357"/>
      <c r="AJ24" s="1357"/>
      <c r="AK24" s="1357"/>
      <c r="AL24" s="1357"/>
      <c r="AM24" s="1357"/>
      <c r="AN24" s="1359" t="n">
        <f aca="false">+N24</f>
        <v>0</v>
      </c>
      <c r="AO24" s="1359" t="n">
        <f aca="false">+AR24+AT24</f>
        <v>0</v>
      </c>
      <c r="AP24" s="1360"/>
      <c r="AQ24" s="1328"/>
      <c r="AR24" s="1361" t="n">
        <f aca="false">+$AN24*'ref.지급기준 (2)'!G23</f>
        <v>0</v>
      </c>
      <c r="AS24" s="1359" t="n">
        <f aca="false">+W24</f>
        <v>0</v>
      </c>
      <c r="AT24" s="1359" t="n">
        <f aca="false">+$AN24*'ref.지급기준 (2)'!I23</f>
        <v>0</v>
      </c>
      <c r="AU24" s="1359" t="n">
        <f aca="false">+Z24</f>
        <v>0</v>
      </c>
      <c r="AV24" s="1359" t="n">
        <f aca="false">+$AN24*'ref.지급기준 (2)'!K23</f>
        <v>0</v>
      </c>
      <c r="AW24" s="1359"/>
      <c r="AX24" s="1359" t="n">
        <f aca="false">+$AN24*'ref.지급기준 (2)'!M23</f>
        <v>0</v>
      </c>
      <c r="AY24" s="1359"/>
      <c r="AZ24" s="1359" t="n">
        <f aca="false">+$AN24*'ref.지급기준 (2)'!O23</f>
        <v>0</v>
      </c>
      <c r="BA24" s="1362"/>
      <c r="BB24" s="1331"/>
      <c r="BC24" s="1278"/>
      <c r="BD24" s="1278"/>
      <c r="BE24" s="1278"/>
      <c r="BF24" s="1278"/>
      <c r="BG24" s="1278"/>
      <c r="BH24" s="1278"/>
      <c r="BI24" s="1278"/>
      <c r="BJ24" s="1278"/>
      <c r="BK24" s="1278"/>
      <c r="BL24" s="1278"/>
      <c r="BM24" s="1278"/>
      <c r="BN24" s="1333"/>
      <c r="BO24" s="1333"/>
    </row>
    <row r="25" customFormat="false" ht="16.5" hidden="false" customHeight="true" outlineLevel="0" collapsed="false">
      <c r="A25" s="1307"/>
      <c r="B25" s="629"/>
      <c r="C25" s="1308"/>
      <c r="D25" s="1309"/>
      <c r="E25" s="1310"/>
      <c r="F25" s="1311" t="s">
        <v>174</v>
      </c>
      <c r="G25" s="1363" t="n">
        <v>999.24</v>
      </c>
      <c r="H25" s="1376" t="n">
        <v>0.0734</v>
      </c>
      <c r="I25" s="1364"/>
      <c r="J25" s="1364" t="s">
        <v>1454</v>
      </c>
      <c r="K25" s="1365" t="s">
        <v>112</v>
      </c>
      <c r="L25" s="1366" t="n">
        <f aca="false">+'ref.지급기준 (2)'!F24*'ref.지급기준 (2)'!D24/'ref.지급기준 (2)'!$Q$2</f>
        <v>1049202000</v>
      </c>
      <c r="M25" s="1366" t="n">
        <f aca="false">+L25*10%</f>
        <v>104920200</v>
      </c>
      <c r="N25" s="1367" t="n">
        <f aca="false">SUM(L25:M25)</f>
        <v>1154122200</v>
      </c>
      <c r="O25" s="1317"/>
      <c r="P25" s="1318"/>
      <c r="Q25" s="1319" t="b">
        <f aca="false">+AN25=N25</f>
        <v>1</v>
      </c>
      <c r="R25" s="1323" t="n">
        <f aca="false">+IFERROR(S25/N25,"-")</f>
        <v>0</v>
      </c>
      <c r="S25" s="1368"/>
      <c r="T25" s="1369" t="n">
        <v>1470</v>
      </c>
      <c r="U25" s="1370" t="n">
        <f aca="false">+S25/T25</f>
        <v>0</v>
      </c>
      <c r="V25" s="1375" t="n">
        <f aca="false">+IFERROR(W25/$N25,"-")</f>
        <v>0</v>
      </c>
      <c r="W25" s="1345"/>
      <c r="X25" s="1346" t="n">
        <v>45716</v>
      </c>
      <c r="Y25" s="1345" t="n">
        <f aca="false">+IFERROR(Z25/$N25,"-")</f>
        <v>0</v>
      </c>
      <c r="Z25" s="1345"/>
      <c r="AA25" s="1346" t="n">
        <f aca="false">+EDATE(X25,1)+3</f>
        <v>45747</v>
      </c>
      <c r="AB25" s="1345" t="n">
        <f aca="false">+IFERROR(AC25/$N25,"-")</f>
        <v>0</v>
      </c>
      <c r="AC25" s="1345"/>
      <c r="AD25" s="1346" t="n">
        <f aca="false">+EDATE(AA25,3)</f>
        <v>45838</v>
      </c>
      <c r="AE25" s="1345" t="n">
        <f aca="false">+IFERROR(AF25/$N25,"-")</f>
        <v>0</v>
      </c>
      <c r="AF25" s="1345"/>
      <c r="AG25" s="1346" t="n">
        <f aca="false">+EDATE(AA25,4)</f>
        <v>45869</v>
      </c>
      <c r="AH25" s="1345" t="n">
        <f aca="false">+IFERROR(AI25/$N$6,"-")</f>
        <v>0</v>
      </c>
      <c r="AI25" s="1345"/>
      <c r="AJ25" s="1346" t="n">
        <f aca="false">+EDATE(AA25,6)</f>
        <v>45930</v>
      </c>
      <c r="AK25" s="1345" t="n">
        <f aca="false">+IFERROR(AL25/$N$6,"-")</f>
        <v>0</v>
      </c>
      <c r="AL25" s="1345"/>
      <c r="AM25" s="1345"/>
      <c r="AN25" s="1347" t="n">
        <f aca="false">+N25</f>
        <v>1154122200</v>
      </c>
      <c r="AO25" s="1347" t="n">
        <f aca="false">+AN25*'ref.지급기준 (2)'!G24</f>
        <v>115412220</v>
      </c>
      <c r="AP25" s="1348" t="n">
        <f aca="false">+X25</f>
        <v>45716</v>
      </c>
      <c r="AQ25" s="1328"/>
      <c r="AR25" s="1329" t="n">
        <f aca="false">+$AN25*'ref.지급기준 (2)'!G24</f>
        <v>115412220</v>
      </c>
      <c r="AS25" s="1326" t="n">
        <f aca="false">+W25</f>
        <v>0</v>
      </c>
      <c r="AT25" s="1326" t="n">
        <f aca="false">+$AN25*'ref.지급기준 (2)'!I24</f>
        <v>230824440</v>
      </c>
      <c r="AU25" s="1326" t="n">
        <f aca="false">+Z25</f>
        <v>0</v>
      </c>
      <c r="AV25" s="1326" t="n">
        <f aca="false">+$AN25*'ref.지급기준 (2)'!K24</f>
        <v>461648880</v>
      </c>
      <c r="AW25" s="1326"/>
      <c r="AX25" s="1326" t="n">
        <f aca="false">+$AN25*'ref.지급기준 (2)'!M24</f>
        <v>288530550</v>
      </c>
      <c r="AY25" s="1326"/>
      <c r="AZ25" s="1326" t="n">
        <f aca="false">+$AN25*'ref.지급기준 (2)'!O24</f>
        <v>57706110</v>
      </c>
      <c r="BA25" s="1330"/>
      <c r="BB25" s="1331"/>
      <c r="BC25" s="1278"/>
      <c r="BD25" s="1332" t="b">
        <f aca="false">+(AZ25+AX25+AV25+AT25+AR25)=N25</f>
        <v>1</v>
      </c>
      <c r="BE25" s="1278"/>
      <c r="BF25" s="1278"/>
      <c r="BG25" s="1278"/>
      <c r="BH25" s="1278"/>
      <c r="BI25" s="1278"/>
      <c r="BJ25" s="1278"/>
      <c r="BK25" s="1278"/>
      <c r="BL25" s="1278"/>
      <c r="BM25" s="1278"/>
      <c r="BN25" s="1333"/>
      <c r="BO25" s="1333"/>
    </row>
    <row r="26" customFormat="false" ht="16.5" hidden="false" customHeight="true" outlineLevel="0" collapsed="false">
      <c r="A26" s="1307"/>
      <c r="B26" s="629"/>
      <c r="C26" s="1308"/>
      <c r="D26" s="1309"/>
      <c r="E26" s="1310"/>
      <c r="F26" s="1311"/>
      <c r="G26" s="1363"/>
      <c r="H26" s="1376"/>
      <c r="I26" s="1364"/>
      <c r="J26" s="1364"/>
      <c r="K26" s="1334" t="s">
        <v>114</v>
      </c>
      <c r="L26" s="1335" t="n">
        <f aca="false">+'ref.지급기준 (2)'!F25*'ref.지급기준 (2)'!D25/'ref.지급기준 (2)'!$Q$2</f>
        <v>549582000</v>
      </c>
      <c r="M26" s="1335" t="s">
        <v>373</v>
      </c>
      <c r="N26" s="1336" t="n">
        <f aca="false">SUM(L26:M26)</f>
        <v>549582000</v>
      </c>
      <c r="O26" s="1317"/>
      <c r="P26" s="1318"/>
      <c r="Q26" s="1319" t="b">
        <f aca="false">+AN26=N26</f>
        <v>1</v>
      </c>
      <c r="R26" s="1337" t="n">
        <f aca="false">+IFERROR(S26/N26,"-")</f>
        <v>0.648701613226052</v>
      </c>
      <c r="S26" s="1338" t="n">
        <f aca="false">+IFERROR(W26+Z26+AC26+AF26+AI26+AL26,"-")</f>
        <v>356514730</v>
      </c>
      <c r="T26" s="1369"/>
      <c r="U26" s="1339" t="n">
        <f aca="false">+S26/T25</f>
        <v>242527.027210884</v>
      </c>
      <c r="V26" s="1343" t="n">
        <f aca="false">+IFERROR(W26/$N26,"-")</f>
        <v>0.552553540690925</v>
      </c>
      <c r="W26" s="1341" t="n">
        <v>303673480</v>
      </c>
      <c r="X26" s="1342" t="n">
        <v>45450</v>
      </c>
      <c r="Y26" s="1343" t="n">
        <f aca="false">+IFERROR(Z26/$N26,"-")</f>
        <v>0.0961480725351267</v>
      </c>
      <c r="Z26" s="1344" t="n">
        <v>52841250</v>
      </c>
      <c r="AA26" s="1342" t="n">
        <v>45456</v>
      </c>
      <c r="AB26" s="1345" t="n">
        <f aca="false">+IFERROR(AC26/$N26,"-")</f>
        <v>0</v>
      </c>
      <c r="AC26" s="1345"/>
      <c r="AD26" s="1346" t="n">
        <f aca="false">EDATE(AA25,6)</f>
        <v>45930</v>
      </c>
      <c r="AE26" s="1345" t="n">
        <f aca="false">+IFERROR(AF26/$N26,"-")</f>
        <v>0</v>
      </c>
      <c r="AF26" s="1345"/>
      <c r="AG26" s="1346"/>
      <c r="AH26" s="1345" t="n">
        <f aca="false">+IFERROR(AI26/$N$6,"-")</f>
        <v>0</v>
      </c>
      <c r="AI26" s="1345"/>
      <c r="AJ26" s="1345"/>
      <c r="AK26" s="1345" t="n">
        <f aca="false">+IFERROR(AL26/$N$6,"-")</f>
        <v>0</v>
      </c>
      <c r="AL26" s="1345"/>
      <c r="AM26" s="1345"/>
      <c r="AN26" s="1347" t="n">
        <f aca="false">+N26</f>
        <v>549582000</v>
      </c>
      <c r="AO26" s="1347" t="n">
        <f aca="false">+AN26*'ref.지급기준 (2)'!K25+AN26*('ref.지급기준 (2)'!G25+'ref.지급기준 (2)'!I25)-S26</f>
        <v>193067270</v>
      </c>
      <c r="AP26" s="1348" t="n">
        <f aca="false">+AD26</f>
        <v>45930</v>
      </c>
      <c r="AQ26" s="1328"/>
      <c r="AR26" s="1349" t="n">
        <f aca="false">+$AN26*'ref.지급기준 (2)'!G25</f>
        <v>302270100</v>
      </c>
      <c r="AS26" s="1347" t="n">
        <f aca="false">+W26</f>
        <v>303673480</v>
      </c>
      <c r="AT26" s="1347" t="n">
        <f aca="false">+$AN26*'ref.지급기준 (2)'!I25</f>
        <v>82437300</v>
      </c>
      <c r="AU26" s="1347" t="n">
        <f aca="false">+Z26</f>
        <v>52841250</v>
      </c>
      <c r="AV26" s="1347" t="n">
        <f aca="false">+$AN26*'ref.지급기준 (2)'!K25</f>
        <v>164874600</v>
      </c>
      <c r="AW26" s="1347"/>
      <c r="AX26" s="1347" t="n">
        <f aca="false">+$AN26*'ref.지급기준 (2)'!M25</f>
        <v>0</v>
      </c>
      <c r="AY26" s="1347"/>
      <c r="AZ26" s="1347" t="n">
        <f aca="false">+$AN26*'ref.지급기준 (2)'!O25</f>
        <v>0</v>
      </c>
      <c r="BA26" s="1350"/>
      <c r="BB26" s="1331"/>
      <c r="BC26" s="1278"/>
      <c r="BD26" s="1332" t="b">
        <f aca="false">+(AZ26+AX26+AV26+AT26+AR26)=N26</f>
        <v>1</v>
      </c>
      <c r="BE26" s="1278"/>
      <c r="BF26" s="1278"/>
      <c r="BG26" s="1278"/>
      <c r="BH26" s="1278"/>
      <c r="BI26" s="1278"/>
      <c r="BJ26" s="1278"/>
      <c r="BK26" s="1278"/>
      <c r="BL26" s="1278"/>
      <c r="BM26" s="1278"/>
      <c r="BN26" s="1333"/>
      <c r="BO26" s="1333"/>
    </row>
    <row r="27" customFormat="false" ht="16.5" hidden="false" customHeight="true" outlineLevel="0" collapsed="false">
      <c r="A27" s="1307"/>
      <c r="B27" s="629"/>
      <c r="C27" s="1308"/>
      <c r="D27" s="1309"/>
      <c r="E27" s="1310"/>
      <c r="F27" s="1311"/>
      <c r="G27" s="1363"/>
      <c r="H27" s="1376"/>
      <c r="I27" s="1364"/>
      <c r="J27" s="1364"/>
      <c r="K27" s="1334" t="s">
        <v>404</v>
      </c>
      <c r="L27" s="1335" t="n">
        <f aca="false">+'ref.지급기준 (2)'!F26*'ref.지급기준 (2)'!D26/'ref.지급기준 (2)'!$Q$2</f>
        <v>0</v>
      </c>
      <c r="M27" s="1335" t="s">
        <v>373</v>
      </c>
      <c r="N27" s="1336" t="n">
        <f aca="false">SUM(L27:M27)</f>
        <v>0</v>
      </c>
      <c r="O27" s="1317"/>
      <c r="P27" s="1318"/>
      <c r="Q27" s="1319" t="b">
        <f aca="false">+AN27=N27</f>
        <v>1</v>
      </c>
      <c r="R27" s="1337" t="str">
        <f aca="false">+IFERROR(S27/N27,"-")</f>
        <v>-</v>
      </c>
      <c r="S27" s="1338"/>
      <c r="T27" s="1369"/>
      <c r="U27" s="1339" t="n">
        <f aca="false">+S27/T25</f>
        <v>0</v>
      </c>
      <c r="V27" s="1345" t="str">
        <f aca="false">+IFERROR(W27/$N27,"-")</f>
        <v>-</v>
      </c>
      <c r="W27" s="1345"/>
      <c r="X27" s="1346"/>
      <c r="Y27" s="1345" t="str">
        <f aca="false">+IFERROR(Z27/$N27,"-")</f>
        <v>-</v>
      </c>
      <c r="Z27" s="1345"/>
      <c r="AA27" s="1346"/>
      <c r="AB27" s="1345" t="str">
        <f aca="false">+IFERROR(AC27/$N27,"-")</f>
        <v>-</v>
      </c>
      <c r="AC27" s="1345"/>
      <c r="AD27" s="1346"/>
      <c r="AE27" s="1345" t="str">
        <f aca="false">+IFERROR(AF27/$N27,"-")</f>
        <v>-</v>
      </c>
      <c r="AF27" s="1345"/>
      <c r="AG27" s="1346"/>
      <c r="AH27" s="1345" t="n">
        <f aca="false">+IFERROR(AI27/$N$6,"-")</f>
        <v>0</v>
      </c>
      <c r="AI27" s="1345"/>
      <c r="AJ27" s="1345"/>
      <c r="AK27" s="1345" t="n">
        <f aca="false">+IFERROR(AL27/$N$6,"-")</f>
        <v>0</v>
      </c>
      <c r="AL27" s="1345"/>
      <c r="AM27" s="1345"/>
      <c r="AN27" s="1347" t="n">
        <f aca="false">+N27</f>
        <v>0</v>
      </c>
      <c r="AO27" s="1347" t="n">
        <f aca="false">+AR27+AT27</f>
        <v>0</v>
      </c>
      <c r="AP27" s="1348"/>
      <c r="AQ27" s="1328"/>
      <c r="AR27" s="1349" t="n">
        <f aca="false">+$AN27*'ref.지급기준 (2)'!G26</f>
        <v>0</v>
      </c>
      <c r="AS27" s="1347" t="n">
        <f aca="false">+W27</f>
        <v>0</v>
      </c>
      <c r="AT27" s="1347" t="n">
        <f aca="false">+$AN27*'ref.지급기준 (2)'!I26</f>
        <v>0</v>
      </c>
      <c r="AU27" s="1347" t="n">
        <f aca="false">+Z27</f>
        <v>0</v>
      </c>
      <c r="AV27" s="1347" t="n">
        <f aca="false">+$AN27*'ref.지급기준 (2)'!K26</f>
        <v>0</v>
      </c>
      <c r="AW27" s="1347"/>
      <c r="AX27" s="1347" t="n">
        <f aca="false">+$AN27*'ref.지급기준 (2)'!M26</f>
        <v>0</v>
      </c>
      <c r="AY27" s="1347"/>
      <c r="AZ27" s="1347" t="n">
        <f aca="false">+$AN27*'ref.지급기준 (2)'!O26</f>
        <v>0</v>
      </c>
      <c r="BA27" s="1350"/>
      <c r="BB27" s="1331"/>
      <c r="BC27" s="1278"/>
      <c r="BD27" s="1332" t="b">
        <f aca="false">+(AZ27+AX27+AV27+AT27+AR27)=N27</f>
        <v>1</v>
      </c>
      <c r="BE27" s="1278"/>
      <c r="BF27" s="1278"/>
      <c r="BG27" s="1278"/>
      <c r="BH27" s="1278"/>
      <c r="BI27" s="1278"/>
      <c r="BJ27" s="1278"/>
      <c r="BK27" s="1278"/>
      <c r="BL27" s="1278"/>
      <c r="BM27" s="1278"/>
      <c r="BN27" s="1333"/>
      <c r="BO27" s="1333"/>
    </row>
    <row r="28" customFormat="false" ht="16.5" hidden="false" customHeight="true" outlineLevel="0" collapsed="false">
      <c r="A28" s="1307"/>
      <c r="B28" s="629"/>
      <c r="C28" s="1308"/>
      <c r="D28" s="1309"/>
      <c r="E28" s="1310"/>
      <c r="F28" s="1311"/>
      <c r="G28" s="1363"/>
      <c r="H28" s="1376"/>
      <c r="I28" s="1364"/>
      <c r="J28" s="1364"/>
      <c r="K28" s="1334" t="s">
        <v>507</v>
      </c>
      <c r="L28" s="1335" t="n">
        <f aca="false">+'ref.지급기준 (2)'!F27*'ref.지급기준 (2)'!D27/'ref.지급기준 (2)'!$Q$2</f>
        <v>0</v>
      </c>
      <c r="M28" s="1335" t="s">
        <v>373</v>
      </c>
      <c r="N28" s="1336" t="n">
        <f aca="false">SUM(L28:M28)</f>
        <v>0</v>
      </c>
      <c r="O28" s="1317"/>
      <c r="P28" s="1318"/>
      <c r="Q28" s="1319" t="b">
        <f aca="false">+AN28=N28</f>
        <v>1</v>
      </c>
      <c r="R28" s="1337" t="str">
        <f aca="false">+IFERROR(S28/N28,"-")</f>
        <v>-</v>
      </c>
      <c r="S28" s="1338"/>
      <c r="T28" s="1369"/>
      <c r="U28" s="1339" t="n">
        <f aca="false">+S28/T25</f>
        <v>0</v>
      </c>
      <c r="V28" s="1345" t="str">
        <f aca="false">+IFERROR(W28/$N28,"-")</f>
        <v>-</v>
      </c>
      <c r="W28" s="1345"/>
      <c r="X28" s="1346"/>
      <c r="Y28" s="1345" t="str">
        <f aca="false">+IFERROR(Z28/$N28,"-")</f>
        <v>-</v>
      </c>
      <c r="Z28" s="1345"/>
      <c r="AA28" s="1346"/>
      <c r="AB28" s="1345" t="str">
        <f aca="false">+IFERROR(AC28/$N28,"-")</f>
        <v>-</v>
      </c>
      <c r="AC28" s="1345"/>
      <c r="AD28" s="1346"/>
      <c r="AE28" s="1345" t="str">
        <f aca="false">+IFERROR(AF28/$N28,"-")</f>
        <v>-</v>
      </c>
      <c r="AF28" s="1345"/>
      <c r="AG28" s="1346"/>
      <c r="AH28" s="1345" t="n">
        <f aca="false">+IFERROR(AI28/$N$6,"-")</f>
        <v>0</v>
      </c>
      <c r="AI28" s="1345"/>
      <c r="AJ28" s="1345"/>
      <c r="AK28" s="1345" t="n">
        <f aca="false">+IFERROR(AL28/$N$6,"-")</f>
        <v>0</v>
      </c>
      <c r="AL28" s="1345"/>
      <c r="AM28" s="1345"/>
      <c r="AN28" s="1347" t="n">
        <f aca="false">+N28</f>
        <v>0</v>
      </c>
      <c r="AO28" s="1347" t="n">
        <f aca="false">+AR28+AT28</f>
        <v>0</v>
      </c>
      <c r="AP28" s="1348"/>
      <c r="AQ28" s="1328"/>
      <c r="AR28" s="1349" t="n">
        <f aca="false">+$AN28*'ref.지급기준 (2)'!G27</f>
        <v>0</v>
      </c>
      <c r="AS28" s="1347" t="n">
        <f aca="false">+W28</f>
        <v>0</v>
      </c>
      <c r="AT28" s="1347" t="n">
        <f aca="false">+$AN28*'ref.지급기준 (2)'!I27</f>
        <v>0</v>
      </c>
      <c r="AU28" s="1347" t="n">
        <f aca="false">+Z28</f>
        <v>0</v>
      </c>
      <c r="AV28" s="1347" t="n">
        <f aca="false">+$AN28*'ref.지급기준 (2)'!K27</f>
        <v>0</v>
      </c>
      <c r="AW28" s="1347"/>
      <c r="AX28" s="1347" t="n">
        <f aca="false">+$AN28*'ref.지급기준 (2)'!M27</f>
        <v>0</v>
      </c>
      <c r="AY28" s="1347"/>
      <c r="AZ28" s="1347" t="n">
        <f aca="false">+$AN28*'ref.지급기준 (2)'!O27</f>
        <v>0</v>
      </c>
      <c r="BA28" s="1350"/>
      <c r="BB28" s="1331"/>
      <c r="BC28" s="1278"/>
      <c r="BD28" s="1332" t="b">
        <f aca="false">+(AZ28+AX28+AV28+AT28+AR28)=N28</f>
        <v>1</v>
      </c>
      <c r="BE28" s="1278"/>
      <c r="BF28" s="1278"/>
      <c r="BG28" s="1278"/>
      <c r="BH28" s="1278"/>
      <c r="BI28" s="1278"/>
      <c r="BJ28" s="1278"/>
      <c r="BK28" s="1278"/>
      <c r="BL28" s="1278"/>
      <c r="BM28" s="1278"/>
      <c r="BN28" s="1333"/>
      <c r="BO28" s="1333"/>
    </row>
    <row r="29" customFormat="false" ht="16.5" hidden="false" customHeight="true" outlineLevel="0" collapsed="false">
      <c r="A29" s="1307"/>
      <c r="B29" s="629"/>
      <c r="C29" s="1308"/>
      <c r="D29" s="1309"/>
      <c r="E29" s="1310"/>
      <c r="F29" s="1311"/>
      <c r="G29" s="1363"/>
      <c r="H29" s="1376"/>
      <c r="I29" s="1364"/>
      <c r="J29" s="1364"/>
      <c r="K29" s="1351" t="s">
        <v>508</v>
      </c>
      <c r="L29" s="1352"/>
      <c r="M29" s="1352"/>
      <c r="N29" s="1353"/>
      <c r="O29" s="1317"/>
      <c r="P29" s="1318"/>
      <c r="Q29" s="1354"/>
      <c r="R29" s="1355"/>
      <c r="S29" s="668"/>
      <c r="T29" s="1369"/>
      <c r="U29" s="1356" t="n">
        <f aca="false">+S29/T25</f>
        <v>0</v>
      </c>
      <c r="V29" s="1355" t="str">
        <f aca="false">+IFERROR(W29/$N29,"-")</f>
        <v>-</v>
      </c>
      <c r="W29" s="1357"/>
      <c r="X29" s="1357"/>
      <c r="Y29" s="1357" t="str">
        <f aca="false">+IFERROR(Z29/$N29,"-")</f>
        <v>-</v>
      </c>
      <c r="Z29" s="1357"/>
      <c r="AA29" s="1358"/>
      <c r="AB29" s="1357" t="str">
        <f aca="false">+IFERROR(AC29/$N29,"-")</f>
        <v>-</v>
      </c>
      <c r="AC29" s="1357"/>
      <c r="AD29" s="1358"/>
      <c r="AE29" s="1357" t="str">
        <f aca="false">+IFERROR(AF29/$N29,"-")</f>
        <v>-</v>
      </c>
      <c r="AF29" s="1357"/>
      <c r="AG29" s="1358"/>
      <c r="AH29" s="1357" t="n">
        <f aca="false">+IFERROR(AI29/$N$6,"-")</f>
        <v>0</v>
      </c>
      <c r="AI29" s="1357"/>
      <c r="AJ29" s="1357"/>
      <c r="AK29" s="1357"/>
      <c r="AL29" s="1357"/>
      <c r="AM29" s="1357"/>
      <c r="AN29" s="1359" t="n">
        <f aca="false">+N29</f>
        <v>0</v>
      </c>
      <c r="AO29" s="1359" t="n">
        <f aca="false">+AR29+AT29</f>
        <v>0</v>
      </c>
      <c r="AP29" s="1360"/>
      <c r="AQ29" s="1328"/>
      <c r="AR29" s="1361" t="n">
        <f aca="false">+$AN29*'ref.지급기준 (2)'!G28</f>
        <v>0</v>
      </c>
      <c r="AS29" s="1359" t="n">
        <f aca="false">+W29</f>
        <v>0</v>
      </c>
      <c r="AT29" s="1359" t="n">
        <f aca="false">+$AN29*'ref.지급기준 (2)'!I28</f>
        <v>0</v>
      </c>
      <c r="AU29" s="1359" t="n">
        <f aca="false">+Z29</f>
        <v>0</v>
      </c>
      <c r="AV29" s="1359" t="n">
        <f aca="false">+$AN29*'ref.지급기준 (2)'!K28</f>
        <v>0</v>
      </c>
      <c r="AW29" s="1359"/>
      <c r="AX29" s="1359" t="n">
        <f aca="false">+$AN29*'ref.지급기준 (2)'!M28</f>
        <v>0</v>
      </c>
      <c r="AY29" s="1359"/>
      <c r="AZ29" s="1359" t="n">
        <f aca="false">+$AN29*'ref.지급기준 (2)'!O28</f>
        <v>0</v>
      </c>
      <c r="BA29" s="1362"/>
      <c r="BB29" s="1331"/>
      <c r="BC29" s="1278"/>
      <c r="BD29" s="1278"/>
      <c r="BE29" s="1278"/>
      <c r="BF29" s="1278"/>
      <c r="BG29" s="1278"/>
      <c r="BH29" s="1278"/>
      <c r="BI29" s="1278"/>
      <c r="BJ29" s="1278"/>
      <c r="BK29" s="1278"/>
      <c r="BL29" s="1278"/>
      <c r="BM29" s="1278"/>
      <c r="BN29" s="1333"/>
      <c r="BO29" s="1333"/>
    </row>
    <row r="30" customFormat="false" ht="16.5" hidden="false" customHeight="true" outlineLevel="0" collapsed="false">
      <c r="A30" s="1307"/>
      <c r="B30" s="629"/>
      <c r="C30" s="1308"/>
      <c r="D30" s="1309"/>
      <c r="E30" s="1310"/>
      <c r="F30" s="1311" t="s">
        <v>175</v>
      </c>
      <c r="G30" s="1363" t="n">
        <v>999.24</v>
      </c>
      <c r="H30" s="1376" t="n">
        <v>0.0734</v>
      </c>
      <c r="I30" s="1364"/>
      <c r="J30" s="1364" t="s">
        <v>1454</v>
      </c>
      <c r="K30" s="1365" t="s">
        <v>112</v>
      </c>
      <c r="L30" s="1366" t="n">
        <f aca="false">+'ref.지급기준 (2)'!F29*'ref.지급기준 (2)'!D29/'ref.지급기준 (2)'!$Q$2</f>
        <v>1049202000</v>
      </c>
      <c r="M30" s="1366" t="n">
        <f aca="false">+L30*10%</f>
        <v>104920200</v>
      </c>
      <c r="N30" s="1367" t="n">
        <f aca="false">SUM(L30:M30)</f>
        <v>1154122200</v>
      </c>
      <c r="O30" s="1317"/>
      <c r="P30" s="1318"/>
      <c r="Q30" s="1319" t="b">
        <f aca="false">+AN30=N30</f>
        <v>1</v>
      </c>
      <c r="R30" s="1323" t="n">
        <f aca="false">+IFERROR(S30/N30,"-")</f>
        <v>0</v>
      </c>
      <c r="S30" s="1368" t="n">
        <f aca="false">+IFERROR(W30+Z30+AC30+AF30+AI30+AL30,"-")</f>
        <v>0</v>
      </c>
      <c r="T30" s="1369" t="n">
        <v>1470</v>
      </c>
      <c r="U30" s="1370" t="n">
        <f aca="false">+S30/T30</f>
        <v>0</v>
      </c>
      <c r="V30" s="1375" t="n">
        <f aca="false">+IFERROR(W30/$N30,"-")</f>
        <v>0</v>
      </c>
      <c r="W30" s="1345"/>
      <c r="X30" s="1346" t="n">
        <v>45716</v>
      </c>
      <c r="Y30" s="1345" t="n">
        <f aca="false">+IFERROR(Z30/$N30,"-")</f>
        <v>0</v>
      </c>
      <c r="Z30" s="1345"/>
      <c r="AA30" s="1346" t="n">
        <f aca="false">+EDATE(X30,1)+3</f>
        <v>45747</v>
      </c>
      <c r="AB30" s="1345" t="n">
        <f aca="false">+IFERROR(AC30/$N30,"-")</f>
        <v>0</v>
      </c>
      <c r="AC30" s="1345"/>
      <c r="AD30" s="1346" t="n">
        <f aca="false">+EDATE(AA30,3)</f>
        <v>45838</v>
      </c>
      <c r="AE30" s="1345" t="n">
        <f aca="false">+IFERROR(AF30/$N30,"-")</f>
        <v>0</v>
      </c>
      <c r="AF30" s="1345"/>
      <c r="AG30" s="1346" t="n">
        <f aca="false">+EDATE(AA30,4)</f>
        <v>45869</v>
      </c>
      <c r="AH30" s="1345" t="n">
        <f aca="false">+IFERROR(AI30/$N$6,"-")</f>
        <v>0</v>
      </c>
      <c r="AI30" s="1345"/>
      <c r="AJ30" s="1346" t="n">
        <f aca="false">+EDATE(AA30,6)</f>
        <v>45930</v>
      </c>
      <c r="AK30" s="1345" t="n">
        <f aca="false">+IFERROR(AL30/$N$6,"-")</f>
        <v>0</v>
      </c>
      <c r="AL30" s="1345"/>
      <c r="AM30" s="1345"/>
      <c r="AN30" s="1347" t="n">
        <f aca="false">+N30</f>
        <v>1154122200</v>
      </c>
      <c r="AO30" s="1347" t="n">
        <f aca="false">+AN30*'ref.지급기준 (2)'!G29</f>
        <v>115412220</v>
      </c>
      <c r="AP30" s="1348" t="n">
        <f aca="false">+X30</f>
        <v>45716</v>
      </c>
      <c r="AQ30" s="1328"/>
      <c r="AR30" s="1329" t="n">
        <f aca="false">+$AN30*'ref.지급기준 (2)'!G29</f>
        <v>115412220</v>
      </c>
      <c r="AS30" s="1326" t="n">
        <f aca="false">+W30</f>
        <v>0</v>
      </c>
      <c r="AT30" s="1326" t="n">
        <f aca="false">+$AN30*'ref.지급기준 (2)'!I29</f>
        <v>230824440</v>
      </c>
      <c r="AU30" s="1326" t="n">
        <f aca="false">+Z30</f>
        <v>0</v>
      </c>
      <c r="AV30" s="1326" t="n">
        <f aca="false">+$AN30*'ref.지급기준 (2)'!K29</f>
        <v>461648880</v>
      </c>
      <c r="AW30" s="1326"/>
      <c r="AX30" s="1326" t="n">
        <f aca="false">+$AN30*'ref.지급기준 (2)'!M29</f>
        <v>288530550</v>
      </c>
      <c r="AY30" s="1326"/>
      <c r="AZ30" s="1326" t="n">
        <f aca="false">+$AN30*'ref.지급기준 (2)'!O29</f>
        <v>57706110</v>
      </c>
      <c r="BA30" s="1330"/>
      <c r="BB30" s="1331"/>
      <c r="BC30" s="1278"/>
      <c r="BD30" s="1332" t="b">
        <f aca="false">+(AZ30+AX30+AV30+AT30+AR30)=N30</f>
        <v>1</v>
      </c>
      <c r="BE30" s="1278"/>
      <c r="BF30" s="1278"/>
      <c r="BG30" s="1278"/>
      <c r="BH30" s="1278"/>
      <c r="BI30" s="1278"/>
      <c r="BJ30" s="1278"/>
      <c r="BK30" s="1278"/>
      <c r="BL30" s="1278"/>
      <c r="BM30" s="1278"/>
      <c r="BN30" s="1333"/>
      <c r="BO30" s="1333"/>
    </row>
    <row r="31" customFormat="false" ht="16.5" hidden="false" customHeight="true" outlineLevel="0" collapsed="false">
      <c r="A31" s="1307"/>
      <c r="B31" s="629"/>
      <c r="C31" s="1308"/>
      <c r="D31" s="1309"/>
      <c r="E31" s="1310"/>
      <c r="F31" s="1311"/>
      <c r="G31" s="1363"/>
      <c r="H31" s="1376"/>
      <c r="I31" s="1364"/>
      <c r="J31" s="1364"/>
      <c r="K31" s="1334" t="s">
        <v>114</v>
      </c>
      <c r="L31" s="1335" t="n">
        <f aca="false">+'ref.지급기준 (2)'!F30*'ref.지급기준 (2)'!D30/'ref.지급기준 (2)'!$Q$2</f>
        <v>549582000</v>
      </c>
      <c r="M31" s="1335" t="s">
        <v>373</v>
      </c>
      <c r="N31" s="1336" t="n">
        <f aca="false">SUM(L31:M31)</f>
        <v>549582000</v>
      </c>
      <c r="O31" s="1317"/>
      <c r="P31" s="1318"/>
      <c r="Q31" s="1319" t="b">
        <f aca="false">+AN31=N31</f>
        <v>1</v>
      </c>
      <c r="R31" s="1337" t="n">
        <f aca="false">+IFERROR(S31/N31,"-")</f>
        <v>0.646148072535127</v>
      </c>
      <c r="S31" s="1338" t="n">
        <f aca="false">+IFERROR(W31+Z31+AC31+AF31+AI31+AL31,"-")</f>
        <v>355111350</v>
      </c>
      <c r="T31" s="1369"/>
      <c r="U31" s="1339" t="n">
        <f aca="false">+S31/T30</f>
        <v>241572.346938776</v>
      </c>
      <c r="V31" s="1343" t="n">
        <f aca="false">+IFERROR(W31/$N31,"-")</f>
        <v>0.55</v>
      </c>
      <c r="W31" s="1341" t="n">
        <v>302270100</v>
      </c>
      <c r="X31" s="1342" t="n">
        <v>45450</v>
      </c>
      <c r="Y31" s="1343" t="n">
        <f aca="false">+IFERROR(Z31/$N31,"-")</f>
        <v>0.0961480725351267</v>
      </c>
      <c r="Z31" s="1344" t="n">
        <v>52841250</v>
      </c>
      <c r="AA31" s="1342" t="n">
        <v>45456</v>
      </c>
      <c r="AB31" s="1345" t="n">
        <f aca="false">+IFERROR(AC31/$N31,"-")</f>
        <v>0</v>
      </c>
      <c r="AC31" s="1345"/>
      <c r="AD31" s="1346" t="n">
        <f aca="false">EDATE(AA30,6)</f>
        <v>45930</v>
      </c>
      <c r="AE31" s="1345" t="n">
        <f aca="false">+IFERROR(AF31/$N31,"-")</f>
        <v>0</v>
      </c>
      <c r="AF31" s="1345"/>
      <c r="AG31" s="1346"/>
      <c r="AH31" s="1345" t="n">
        <f aca="false">+IFERROR(AI31/$N$6,"-")</f>
        <v>0</v>
      </c>
      <c r="AI31" s="1345"/>
      <c r="AJ31" s="1345"/>
      <c r="AK31" s="1345" t="n">
        <f aca="false">+IFERROR(AL31/$N$6,"-")</f>
        <v>0</v>
      </c>
      <c r="AL31" s="1345"/>
      <c r="AM31" s="1345"/>
      <c r="AN31" s="1347" t="n">
        <f aca="false">+N31</f>
        <v>549582000</v>
      </c>
      <c r="AO31" s="1347" t="n">
        <f aca="false">+AN31*'ref.지급기준 (2)'!K30+AN31*('ref.지급기준 (2)'!G30+'ref.지급기준 (2)'!I30)-S31</f>
        <v>194470650</v>
      </c>
      <c r="AP31" s="1348" t="n">
        <f aca="false">+AD31</f>
        <v>45930</v>
      </c>
      <c r="AQ31" s="1328"/>
      <c r="AR31" s="1349" t="n">
        <f aca="false">+$AN31*'ref.지급기준 (2)'!G30</f>
        <v>302270100</v>
      </c>
      <c r="AS31" s="1347" t="n">
        <f aca="false">+W31</f>
        <v>302270100</v>
      </c>
      <c r="AT31" s="1347" t="n">
        <f aca="false">+$AN31*'ref.지급기준 (2)'!I30</f>
        <v>82437300</v>
      </c>
      <c r="AU31" s="1347" t="n">
        <f aca="false">+Z31</f>
        <v>52841250</v>
      </c>
      <c r="AV31" s="1347" t="n">
        <f aca="false">+$AN31*'ref.지급기준 (2)'!K30</f>
        <v>164874600</v>
      </c>
      <c r="AW31" s="1347"/>
      <c r="AX31" s="1347" t="n">
        <f aca="false">+$AN31*'ref.지급기준 (2)'!M30</f>
        <v>0</v>
      </c>
      <c r="AY31" s="1347"/>
      <c r="AZ31" s="1347" t="n">
        <f aca="false">+$AN31*'ref.지급기준 (2)'!O30</f>
        <v>0</v>
      </c>
      <c r="BA31" s="1350"/>
      <c r="BB31" s="1331"/>
      <c r="BC31" s="1278"/>
      <c r="BD31" s="1332" t="b">
        <f aca="false">+(AZ31+AX31+AV31+AT31+AR31)=N31</f>
        <v>1</v>
      </c>
      <c r="BE31" s="1278"/>
      <c r="BF31" s="1278"/>
      <c r="BG31" s="1278"/>
      <c r="BH31" s="1278"/>
      <c r="BI31" s="1278"/>
      <c r="BJ31" s="1278"/>
      <c r="BK31" s="1278"/>
      <c r="BL31" s="1278"/>
      <c r="BM31" s="1278"/>
      <c r="BN31" s="1333"/>
      <c r="BO31" s="1333"/>
    </row>
    <row r="32" customFormat="false" ht="16.5" hidden="false" customHeight="true" outlineLevel="0" collapsed="false">
      <c r="A32" s="1307"/>
      <c r="B32" s="629"/>
      <c r="C32" s="1308"/>
      <c r="D32" s="1309"/>
      <c r="E32" s="1310"/>
      <c r="F32" s="1311"/>
      <c r="G32" s="1363"/>
      <c r="H32" s="1376"/>
      <c r="I32" s="1364"/>
      <c r="J32" s="1364"/>
      <c r="K32" s="1334" t="s">
        <v>404</v>
      </c>
      <c r="L32" s="1335" t="n">
        <f aca="false">+'ref.지급기준 (2)'!F31*'ref.지급기준 (2)'!D31/'ref.지급기준 (2)'!$Q$2</f>
        <v>0</v>
      </c>
      <c r="M32" s="1335" t="s">
        <v>373</v>
      </c>
      <c r="N32" s="1336" t="n">
        <f aca="false">SUM(L32:M32)</f>
        <v>0</v>
      </c>
      <c r="O32" s="1317"/>
      <c r="P32" s="1318"/>
      <c r="Q32" s="1319" t="b">
        <f aca="false">+AN32=N32</f>
        <v>1</v>
      </c>
      <c r="R32" s="1337" t="str">
        <f aca="false">+IFERROR(S32/N32,"-")</f>
        <v>-</v>
      </c>
      <c r="S32" s="1338" t="n">
        <f aca="false">+IFERROR(W32+Z32+AC32+AF32+AI32+AL32,"-")</f>
        <v>0</v>
      </c>
      <c r="T32" s="1369"/>
      <c r="U32" s="1339" t="n">
        <f aca="false">+S32/T30</f>
        <v>0</v>
      </c>
      <c r="V32" s="1345" t="str">
        <f aca="false">+IFERROR(W32/$N32,"-")</f>
        <v>-</v>
      </c>
      <c r="W32" s="1345"/>
      <c r="X32" s="1346"/>
      <c r="Y32" s="1345" t="str">
        <f aca="false">+IFERROR(Z32/$N32,"-")</f>
        <v>-</v>
      </c>
      <c r="Z32" s="1345"/>
      <c r="AA32" s="1346"/>
      <c r="AB32" s="1345" t="str">
        <f aca="false">+IFERROR(AC32/$N32,"-")</f>
        <v>-</v>
      </c>
      <c r="AC32" s="1345"/>
      <c r="AD32" s="1346"/>
      <c r="AE32" s="1345" t="str">
        <f aca="false">+IFERROR(AF32/$N32,"-")</f>
        <v>-</v>
      </c>
      <c r="AF32" s="1345"/>
      <c r="AG32" s="1346"/>
      <c r="AH32" s="1345" t="n">
        <f aca="false">+IFERROR(AI32/$N$6,"-")</f>
        <v>0</v>
      </c>
      <c r="AI32" s="1345"/>
      <c r="AJ32" s="1345"/>
      <c r="AK32" s="1345" t="n">
        <f aca="false">+IFERROR(AL32/$N$6,"-")</f>
        <v>0</v>
      </c>
      <c r="AL32" s="1345"/>
      <c r="AM32" s="1345"/>
      <c r="AN32" s="1347" t="n">
        <f aca="false">+N32</f>
        <v>0</v>
      </c>
      <c r="AO32" s="1347" t="n">
        <f aca="false">+AR32+AT32</f>
        <v>0</v>
      </c>
      <c r="AP32" s="1348"/>
      <c r="AQ32" s="1328"/>
      <c r="AR32" s="1349" t="n">
        <f aca="false">+$AN32*'ref.지급기준 (2)'!G31</f>
        <v>0</v>
      </c>
      <c r="AS32" s="1347" t="n">
        <f aca="false">+W32</f>
        <v>0</v>
      </c>
      <c r="AT32" s="1347" t="n">
        <f aca="false">+$AN32*'ref.지급기준 (2)'!I31</f>
        <v>0</v>
      </c>
      <c r="AU32" s="1347" t="n">
        <f aca="false">+Z32</f>
        <v>0</v>
      </c>
      <c r="AV32" s="1347" t="n">
        <f aca="false">+$AN32*'ref.지급기준 (2)'!K31</f>
        <v>0</v>
      </c>
      <c r="AW32" s="1347"/>
      <c r="AX32" s="1347" t="n">
        <f aca="false">+$AN32*'ref.지급기준 (2)'!M31</f>
        <v>0</v>
      </c>
      <c r="AY32" s="1347"/>
      <c r="AZ32" s="1347" t="n">
        <f aca="false">+$AN32*'ref.지급기준 (2)'!O31</f>
        <v>0</v>
      </c>
      <c r="BA32" s="1350"/>
      <c r="BB32" s="1331"/>
      <c r="BC32" s="1278"/>
      <c r="BD32" s="1332" t="b">
        <f aca="false">+(AZ32+AX32+AV32+AT32+AR32)=N32</f>
        <v>1</v>
      </c>
      <c r="BE32" s="1278"/>
      <c r="BF32" s="1278"/>
      <c r="BG32" s="1278"/>
      <c r="BH32" s="1278"/>
      <c r="BI32" s="1278"/>
      <c r="BJ32" s="1278"/>
      <c r="BK32" s="1278"/>
      <c r="BL32" s="1278"/>
      <c r="BM32" s="1278"/>
      <c r="BN32" s="1333"/>
      <c r="BO32" s="1333"/>
    </row>
    <row r="33" customFormat="false" ht="16.5" hidden="false" customHeight="true" outlineLevel="0" collapsed="false">
      <c r="A33" s="1307"/>
      <c r="B33" s="629"/>
      <c r="C33" s="1308"/>
      <c r="D33" s="1309"/>
      <c r="E33" s="1310"/>
      <c r="F33" s="1311"/>
      <c r="G33" s="1363"/>
      <c r="H33" s="1376"/>
      <c r="I33" s="1364"/>
      <c r="J33" s="1364"/>
      <c r="K33" s="1334" t="s">
        <v>507</v>
      </c>
      <c r="L33" s="1335" t="n">
        <f aca="false">+'ref.지급기준 (2)'!F32*'ref.지급기준 (2)'!D32/'ref.지급기준 (2)'!$Q$2</f>
        <v>0</v>
      </c>
      <c r="M33" s="1335" t="s">
        <v>373</v>
      </c>
      <c r="N33" s="1336" t="n">
        <f aca="false">SUM(L33:M33)</f>
        <v>0</v>
      </c>
      <c r="O33" s="1317"/>
      <c r="P33" s="1318"/>
      <c r="Q33" s="1319" t="b">
        <f aca="false">+AN33=N33</f>
        <v>1</v>
      </c>
      <c r="R33" s="1337" t="str">
        <f aca="false">+IFERROR(S33/N33,"-")</f>
        <v>-</v>
      </c>
      <c r="S33" s="1338" t="n">
        <f aca="false">+IFERROR(W33+Z33+AC33+AF33+AI33+AL33,"-")</f>
        <v>0</v>
      </c>
      <c r="T33" s="1369"/>
      <c r="U33" s="1339" t="n">
        <f aca="false">+S33/T30</f>
        <v>0</v>
      </c>
      <c r="V33" s="1345" t="str">
        <f aca="false">+IFERROR(W33/$N33,"-")</f>
        <v>-</v>
      </c>
      <c r="W33" s="1345"/>
      <c r="X33" s="1346"/>
      <c r="Y33" s="1345" t="str">
        <f aca="false">+IFERROR(Z33/$N33,"-")</f>
        <v>-</v>
      </c>
      <c r="Z33" s="1345"/>
      <c r="AA33" s="1346"/>
      <c r="AB33" s="1345" t="str">
        <f aca="false">+IFERROR(AC33/$N33,"-")</f>
        <v>-</v>
      </c>
      <c r="AC33" s="1345"/>
      <c r="AD33" s="1346"/>
      <c r="AE33" s="1345" t="str">
        <f aca="false">+IFERROR(AF33/$N33,"-")</f>
        <v>-</v>
      </c>
      <c r="AF33" s="1345"/>
      <c r="AG33" s="1346"/>
      <c r="AH33" s="1345" t="n">
        <f aca="false">+IFERROR(AI33/$N$6,"-")</f>
        <v>0</v>
      </c>
      <c r="AI33" s="1345"/>
      <c r="AJ33" s="1345"/>
      <c r="AK33" s="1345" t="n">
        <f aca="false">+IFERROR(AL33/$N$6,"-")</f>
        <v>0</v>
      </c>
      <c r="AL33" s="1345"/>
      <c r="AM33" s="1345"/>
      <c r="AN33" s="1347" t="n">
        <f aca="false">+N33</f>
        <v>0</v>
      </c>
      <c r="AO33" s="1347" t="n">
        <f aca="false">+AR33+AT33</f>
        <v>0</v>
      </c>
      <c r="AP33" s="1348"/>
      <c r="AQ33" s="1328"/>
      <c r="AR33" s="1349" t="n">
        <f aca="false">+$AN33*'ref.지급기준 (2)'!G32</f>
        <v>0</v>
      </c>
      <c r="AS33" s="1347" t="n">
        <f aca="false">+W33</f>
        <v>0</v>
      </c>
      <c r="AT33" s="1347" t="n">
        <f aca="false">+$AN33*'ref.지급기준 (2)'!I32</f>
        <v>0</v>
      </c>
      <c r="AU33" s="1347" t="n">
        <f aca="false">+Z33</f>
        <v>0</v>
      </c>
      <c r="AV33" s="1347" t="n">
        <f aca="false">+$AN33*'ref.지급기준 (2)'!K32</f>
        <v>0</v>
      </c>
      <c r="AW33" s="1347"/>
      <c r="AX33" s="1347" t="n">
        <f aca="false">+$AN33*'ref.지급기준 (2)'!M32</f>
        <v>0</v>
      </c>
      <c r="AY33" s="1347"/>
      <c r="AZ33" s="1347" t="n">
        <f aca="false">+$AN33*'ref.지급기준 (2)'!O32</f>
        <v>0</v>
      </c>
      <c r="BA33" s="1350"/>
      <c r="BB33" s="1331"/>
      <c r="BC33" s="1278"/>
      <c r="BD33" s="1332" t="b">
        <f aca="false">+(AZ33+AX33+AV33+AT33+AR33)=N33</f>
        <v>1</v>
      </c>
      <c r="BE33" s="1278"/>
      <c r="BF33" s="1278"/>
      <c r="BG33" s="1278"/>
      <c r="BH33" s="1278"/>
      <c r="BI33" s="1278"/>
      <c r="BJ33" s="1278"/>
      <c r="BK33" s="1278"/>
      <c r="BL33" s="1278"/>
      <c r="BM33" s="1278"/>
      <c r="BN33" s="1333"/>
      <c r="BO33" s="1333"/>
    </row>
    <row r="34" customFormat="false" ht="16.5" hidden="false" customHeight="true" outlineLevel="0" collapsed="false">
      <c r="A34" s="1307"/>
      <c r="B34" s="629"/>
      <c r="C34" s="1308"/>
      <c r="D34" s="1309"/>
      <c r="E34" s="1310"/>
      <c r="F34" s="1311"/>
      <c r="G34" s="1363"/>
      <c r="H34" s="1376"/>
      <c r="I34" s="1364"/>
      <c r="J34" s="1364"/>
      <c r="K34" s="1351" t="s">
        <v>508</v>
      </c>
      <c r="L34" s="1352"/>
      <c r="M34" s="1352"/>
      <c r="N34" s="1353"/>
      <c r="O34" s="1317"/>
      <c r="P34" s="1318"/>
      <c r="Q34" s="1354"/>
      <c r="R34" s="1355"/>
      <c r="S34" s="668"/>
      <c r="T34" s="1369"/>
      <c r="U34" s="1356" t="n">
        <f aca="false">+S34/T30</f>
        <v>0</v>
      </c>
      <c r="V34" s="1355" t="str">
        <f aca="false">+IFERROR(W34/$N34,"-")</f>
        <v>-</v>
      </c>
      <c r="W34" s="1357"/>
      <c r="X34" s="1357"/>
      <c r="Y34" s="1357" t="str">
        <f aca="false">+IFERROR(Z34/$N34,"-")</f>
        <v>-</v>
      </c>
      <c r="Z34" s="1357"/>
      <c r="AA34" s="1358"/>
      <c r="AB34" s="1357" t="str">
        <f aca="false">+IFERROR(AC34/$N34,"-")</f>
        <v>-</v>
      </c>
      <c r="AC34" s="1357"/>
      <c r="AD34" s="1358"/>
      <c r="AE34" s="1357" t="str">
        <f aca="false">+IFERROR(AF34/$N34,"-")</f>
        <v>-</v>
      </c>
      <c r="AF34" s="1357"/>
      <c r="AG34" s="1358"/>
      <c r="AH34" s="1357" t="n">
        <f aca="false">+IFERROR(AI34/$N$6,"-")</f>
        <v>0</v>
      </c>
      <c r="AI34" s="1357"/>
      <c r="AJ34" s="1357"/>
      <c r="AK34" s="1357"/>
      <c r="AL34" s="1357"/>
      <c r="AM34" s="1357"/>
      <c r="AN34" s="1359" t="n">
        <f aca="false">+N34</f>
        <v>0</v>
      </c>
      <c r="AO34" s="1359" t="n">
        <f aca="false">+AR34+AT34</f>
        <v>0</v>
      </c>
      <c r="AP34" s="1360"/>
      <c r="AQ34" s="1328"/>
      <c r="AR34" s="1361" t="n">
        <f aca="false">+$AN34*'ref.지급기준 (2)'!G33</f>
        <v>0</v>
      </c>
      <c r="AS34" s="1359" t="n">
        <f aca="false">+W34</f>
        <v>0</v>
      </c>
      <c r="AT34" s="1359" t="n">
        <f aca="false">+$AN34*'ref.지급기준 (2)'!I33</f>
        <v>0</v>
      </c>
      <c r="AU34" s="1359" t="n">
        <f aca="false">+Z34</f>
        <v>0</v>
      </c>
      <c r="AV34" s="1359" t="n">
        <f aca="false">+$AN34*'ref.지급기준 (2)'!K33</f>
        <v>0</v>
      </c>
      <c r="AW34" s="1359"/>
      <c r="AX34" s="1359" t="n">
        <f aca="false">+$AN34*'ref.지급기준 (2)'!M33</f>
        <v>0</v>
      </c>
      <c r="AY34" s="1359"/>
      <c r="AZ34" s="1359" t="n">
        <f aca="false">+$AN34*'ref.지급기준 (2)'!O33</f>
        <v>0</v>
      </c>
      <c r="BA34" s="1362"/>
      <c r="BB34" s="1331"/>
      <c r="BC34" s="1278"/>
      <c r="BD34" s="1278"/>
      <c r="BE34" s="1278"/>
      <c r="BF34" s="1278"/>
      <c r="BG34" s="1278"/>
      <c r="BH34" s="1278"/>
      <c r="BI34" s="1278"/>
      <c r="BJ34" s="1278"/>
      <c r="BK34" s="1278"/>
      <c r="BL34" s="1278"/>
      <c r="BM34" s="1278"/>
      <c r="BN34" s="1333"/>
      <c r="BO34" s="1333"/>
    </row>
    <row r="35" customFormat="false" ht="16.5" hidden="false" customHeight="true" outlineLevel="0" collapsed="false">
      <c r="A35" s="1307"/>
      <c r="B35" s="629"/>
      <c r="C35" s="1308"/>
      <c r="D35" s="1309"/>
      <c r="E35" s="1310"/>
      <c r="F35" s="1378" t="s">
        <v>176</v>
      </c>
      <c r="G35" s="1379" t="n">
        <v>999.44</v>
      </c>
      <c r="H35" s="1380" t="n">
        <v>0.0685</v>
      </c>
      <c r="I35" s="1381"/>
      <c r="J35" s="1382" t="s">
        <v>1454</v>
      </c>
      <c r="K35" s="1314" t="s">
        <v>112</v>
      </c>
      <c r="L35" s="1315" t="n">
        <f aca="false">+'ref.지급기준 (2)'!F34*'ref.지급기준 (2)'!D34/'ref.지급기준 (2)'!$Q$2</f>
        <v>1049412000</v>
      </c>
      <c r="M35" s="1315" t="n">
        <f aca="false">+L35*10%</f>
        <v>104941200</v>
      </c>
      <c r="N35" s="1383" t="n">
        <f aca="false">SUM(L35:M35)</f>
        <v>1154353200</v>
      </c>
      <c r="O35" s="1317"/>
      <c r="P35" s="1318"/>
      <c r="Q35" s="1319" t="b">
        <f aca="false">+AN35=N35</f>
        <v>1</v>
      </c>
      <c r="R35" s="1323" t="n">
        <f aca="false">+IFERROR(S35/N35,"-")</f>
        <v>0</v>
      </c>
      <c r="S35" s="1368" t="n">
        <f aca="false">+IFERROR(W35+Z35+AC35+AF35+AI35+AL35,"-")</f>
        <v>0</v>
      </c>
      <c r="T35" s="1369" t="n">
        <v>1470</v>
      </c>
      <c r="U35" s="1370" t="n">
        <f aca="false">+S35/T35</f>
        <v>0</v>
      </c>
      <c r="V35" s="1375" t="n">
        <f aca="false">+IFERROR(W35/$N35,"-")</f>
        <v>0</v>
      </c>
      <c r="W35" s="1345"/>
      <c r="X35" s="1346" t="n">
        <v>45716</v>
      </c>
      <c r="Y35" s="1345" t="n">
        <f aca="false">+IFERROR(Z35/$N35,"-")</f>
        <v>0</v>
      </c>
      <c r="Z35" s="1345"/>
      <c r="AA35" s="1346" t="n">
        <f aca="false">+EDATE(X35,1)+3</f>
        <v>45747</v>
      </c>
      <c r="AB35" s="1345" t="n">
        <f aca="false">+IFERROR(AC35/$N35,"-")</f>
        <v>0</v>
      </c>
      <c r="AC35" s="1345"/>
      <c r="AD35" s="1346" t="n">
        <f aca="false">+EDATE(AA35,3)</f>
        <v>45838</v>
      </c>
      <c r="AE35" s="1345" t="n">
        <f aca="false">+IFERROR(AF35/$N35,"-")</f>
        <v>0</v>
      </c>
      <c r="AF35" s="1345"/>
      <c r="AG35" s="1346" t="n">
        <f aca="false">+EDATE(AA35,4)</f>
        <v>45869</v>
      </c>
      <c r="AH35" s="1345" t="n">
        <f aca="false">+IFERROR(AI35/$N$6,"-")</f>
        <v>0</v>
      </c>
      <c r="AI35" s="1345"/>
      <c r="AJ35" s="1346" t="n">
        <f aca="false">+EDATE(AA35,6)</f>
        <v>45930</v>
      </c>
      <c r="AK35" s="1345" t="n">
        <f aca="false">+IFERROR(AL35/$N$6,"-")</f>
        <v>0</v>
      </c>
      <c r="AL35" s="1345"/>
      <c r="AM35" s="1345"/>
      <c r="AN35" s="1347" t="n">
        <f aca="false">+N35</f>
        <v>1154353200</v>
      </c>
      <c r="AO35" s="1347" t="n">
        <f aca="false">+AN35*'ref.지급기준 (2)'!G34</f>
        <v>115435320</v>
      </c>
      <c r="AP35" s="1348" t="n">
        <f aca="false">+X35</f>
        <v>45716</v>
      </c>
      <c r="AQ35" s="1328"/>
      <c r="AR35" s="1329" t="n">
        <f aca="false">+$AN35*'ref.지급기준 (2)'!G34</f>
        <v>115435320</v>
      </c>
      <c r="AS35" s="1326" t="n">
        <f aca="false">+W35</f>
        <v>0</v>
      </c>
      <c r="AT35" s="1326" t="n">
        <f aca="false">+$AN35*'ref.지급기준 (2)'!I34</f>
        <v>230870640</v>
      </c>
      <c r="AU35" s="1326" t="n">
        <f aca="false">+Z35</f>
        <v>0</v>
      </c>
      <c r="AV35" s="1326" t="n">
        <f aca="false">+$AN35*'ref.지급기준 (2)'!K34</f>
        <v>461741280</v>
      </c>
      <c r="AW35" s="1326"/>
      <c r="AX35" s="1326" t="n">
        <f aca="false">+$AN35*'ref.지급기준 (2)'!M34</f>
        <v>288588300</v>
      </c>
      <c r="AY35" s="1326"/>
      <c r="AZ35" s="1326" t="n">
        <f aca="false">+$AN35*'ref.지급기준 (2)'!O34</f>
        <v>57717660</v>
      </c>
      <c r="BA35" s="1330"/>
      <c r="BB35" s="1331"/>
      <c r="BC35" s="1278"/>
      <c r="BD35" s="1332" t="b">
        <f aca="false">+(AZ35+AX35+AV35+AT35+AR35)=N35</f>
        <v>1</v>
      </c>
      <c r="BE35" s="1278"/>
      <c r="BF35" s="1278"/>
      <c r="BG35" s="1278"/>
      <c r="BH35" s="1278"/>
      <c r="BI35" s="1278"/>
      <c r="BJ35" s="1278"/>
      <c r="BK35" s="1278"/>
      <c r="BL35" s="1278"/>
      <c r="BM35" s="1278"/>
      <c r="BN35" s="1333"/>
      <c r="BO35" s="1333"/>
    </row>
    <row r="36" customFormat="false" ht="16.5" hidden="false" customHeight="true" outlineLevel="0" collapsed="false">
      <c r="A36" s="1307"/>
      <c r="B36" s="629"/>
      <c r="C36" s="1308"/>
      <c r="D36" s="1309"/>
      <c r="E36" s="1310"/>
      <c r="F36" s="1378"/>
      <c r="G36" s="1379"/>
      <c r="H36" s="1380"/>
      <c r="I36" s="1381"/>
      <c r="J36" s="1381"/>
      <c r="K36" s="1334" t="s">
        <v>114</v>
      </c>
      <c r="L36" s="1335" t="n">
        <f aca="false">+'ref.지급기준 (2)'!F35*'ref.지급기준 (2)'!D35/'ref.지급기준 (2)'!$Q$2</f>
        <v>549692000</v>
      </c>
      <c r="M36" s="1335" t="s">
        <v>373</v>
      </c>
      <c r="N36" s="1384" t="n">
        <f aca="false">SUM(L36:M36)</f>
        <v>549692000</v>
      </c>
      <c r="O36" s="1317"/>
      <c r="P36" s="1318"/>
      <c r="Q36" s="1319" t="b">
        <f aca="false">+AN36=N36</f>
        <v>1</v>
      </c>
      <c r="R36" s="1337" t="n">
        <f aca="false">+IFERROR(S36/N36,"-")</f>
        <v>0.646128832146002</v>
      </c>
      <c r="S36" s="1338" t="n">
        <f aca="false">+IFERROR(W36+Z36+AC36+AF36+AI36+AL36,"-")</f>
        <v>355171850</v>
      </c>
      <c r="T36" s="1369"/>
      <c r="U36" s="1339" t="n">
        <f aca="false">+S36/T35</f>
        <v>241613.503401361</v>
      </c>
      <c r="V36" s="1343" t="n">
        <f aca="false">+IFERROR(W36/$N36,"-")</f>
        <v>0.55</v>
      </c>
      <c r="W36" s="1341" t="n">
        <v>302330600</v>
      </c>
      <c r="X36" s="1342" t="n">
        <v>45450</v>
      </c>
      <c r="Y36" s="1343" t="n">
        <f aca="false">+IFERROR(Z36/$N36,"-")</f>
        <v>0.0961288321460018</v>
      </c>
      <c r="Z36" s="1344" t="n">
        <v>52841250</v>
      </c>
      <c r="AA36" s="1342" t="n">
        <v>45456</v>
      </c>
      <c r="AB36" s="1345" t="n">
        <f aca="false">+IFERROR(AC36/$N36,"-")</f>
        <v>0</v>
      </c>
      <c r="AC36" s="1345"/>
      <c r="AD36" s="1346" t="n">
        <f aca="false">EDATE(AA35,6)</f>
        <v>45930</v>
      </c>
      <c r="AE36" s="1345" t="n">
        <f aca="false">+IFERROR(AF36/$N36,"-")</f>
        <v>0</v>
      </c>
      <c r="AF36" s="1345"/>
      <c r="AG36" s="1346"/>
      <c r="AH36" s="1345" t="n">
        <f aca="false">+IFERROR(AI36/$N$6,"-")</f>
        <v>0</v>
      </c>
      <c r="AI36" s="1345"/>
      <c r="AJ36" s="1345"/>
      <c r="AK36" s="1345" t="n">
        <f aca="false">+IFERROR(AL36/$N$6,"-")</f>
        <v>0</v>
      </c>
      <c r="AL36" s="1345"/>
      <c r="AM36" s="1345"/>
      <c r="AN36" s="1347" t="n">
        <f aca="false">+N36</f>
        <v>549692000</v>
      </c>
      <c r="AO36" s="1347" t="n">
        <f aca="false">+AN36*'ref.지급기준 (2)'!K35+AN36*('ref.지급기준 (2)'!G35+'ref.지급기준 (2)'!I35)-S36</f>
        <v>194520150</v>
      </c>
      <c r="AP36" s="1348" t="n">
        <f aca="false">+AD36</f>
        <v>45930</v>
      </c>
      <c r="AQ36" s="1328"/>
      <c r="AR36" s="1349" t="n">
        <f aca="false">+$AN36*'ref.지급기준 (2)'!G35</f>
        <v>302330600</v>
      </c>
      <c r="AS36" s="1347" t="n">
        <f aca="false">+W36</f>
        <v>302330600</v>
      </c>
      <c r="AT36" s="1347" t="n">
        <f aca="false">+$AN36*'ref.지급기준 (2)'!I35</f>
        <v>82453800</v>
      </c>
      <c r="AU36" s="1347" t="n">
        <f aca="false">+Z36</f>
        <v>52841250</v>
      </c>
      <c r="AV36" s="1347" t="n">
        <f aca="false">+$AN36*'ref.지급기준 (2)'!K35</f>
        <v>164907600</v>
      </c>
      <c r="AW36" s="1347"/>
      <c r="AX36" s="1347" t="n">
        <f aca="false">+$AN36*'ref.지급기준 (2)'!M35</f>
        <v>0</v>
      </c>
      <c r="AY36" s="1347"/>
      <c r="AZ36" s="1347" t="n">
        <f aca="false">+$AN36*'ref.지급기준 (2)'!O35</f>
        <v>0</v>
      </c>
      <c r="BA36" s="1350"/>
      <c r="BB36" s="1331"/>
      <c r="BC36" s="1278"/>
      <c r="BD36" s="1332" t="b">
        <f aca="false">+(AZ36+AX36+AV36+AT36+AR36)=N36</f>
        <v>1</v>
      </c>
      <c r="BE36" s="1278"/>
      <c r="BF36" s="1278"/>
      <c r="BG36" s="1278"/>
      <c r="BH36" s="1278"/>
      <c r="BI36" s="1278"/>
      <c r="BJ36" s="1278"/>
      <c r="BK36" s="1278"/>
      <c r="BL36" s="1278"/>
      <c r="BM36" s="1278"/>
      <c r="BN36" s="1333"/>
      <c r="BO36" s="1333"/>
    </row>
    <row r="37" customFormat="false" ht="16.5" hidden="false" customHeight="true" outlineLevel="0" collapsed="false">
      <c r="A37" s="1307"/>
      <c r="B37" s="629"/>
      <c r="C37" s="1308"/>
      <c r="D37" s="1309"/>
      <c r="E37" s="1310"/>
      <c r="F37" s="1378"/>
      <c r="G37" s="1379"/>
      <c r="H37" s="1380"/>
      <c r="I37" s="1381"/>
      <c r="J37" s="1381"/>
      <c r="K37" s="1334" t="s">
        <v>404</v>
      </c>
      <c r="L37" s="1335" t="n">
        <f aca="false">+'ref.지급기준 (2)'!F36*'ref.지급기준 (2)'!D36/'ref.지급기준 (2)'!$Q$2</f>
        <v>0</v>
      </c>
      <c r="M37" s="1335" t="s">
        <v>373</v>
      </c>
      <c r="N37" s="1384" t="n">
        <f aca="false">SUM(L37:M37)</f>
        <v>0</v>
      </c>
      <c r="O37" s="1317"/>
      <c r="P37" s="1318"/>
      <c r="Q37" s="1319" t="b">
        <f aca="false">+AN37=N37</f>
        <v>1</v>
      </c>
      <c r="R37" s="1337" t="str">
        <f aca="false">+IFERROR(S37/N37,"-")</f>
        <v>-</v>
      </c>
      <c r="S37" s="1338" t="n">
        <f aca="false">+IFERROR(W37+Z37+AC37+AF37+AI37+AL37,"-")</f>
        <v>0</v>
      </c>
      <c r="T37" s="1369"/>
      <c r="U37" s="1339" t="n">
        <f aca="false">+S37/T35</f>
        <v>0</v>
      </c>
      <c r="V37" s="1345" t="str">
        <f aca="false">+IFERROR(W37/$N37,"-")</f>
        <v>-</v>
      </c>
      <c r="W37" s="1345"/>
      <c r="X37" s="1346"/>
      <c r="Y37" s="1345" t="str">
        <f aca="false">+IFERROR(Z37/$N37,"-")</f>
        <v>-</v>
      </c>
      <c r="Z37" s="1345"/>
      <c r="AA37" s="1346"/>
      <c r="AB37" s="1345" t="str">
        <f aca="false">+IFERROR(AC37/$N37,"-")</f>
        <v>-</v>
      </c>
      <c r="AC37" s="1345"/>
      <c r="AD37" s="1346"/>
      <c r="AE37" s="1345" t="str">
        <f aca="false">+IFERROR(AF37/$N37,"-")</f>
        <v>-</v>
      </c>
      <c r="AF37" s="1345"/>
      <c r="AG37" s="1346"/>
      <c r="AH37" s="1345" t="n">
        <f aca="false">+IFERROR(AI37/$N$6,"-")</f>
        <v>0</v>
      </c>
      <c r="AI37" s="1345"/>
      <c r="AJ37" s="1345"/>
      <c r="AK37" s="1345" t="n">
        <f aca="false">+IFERROR(AL37/$N$6,"-")</f>
        <v>0</v>
      </c>
      <c r="AL37" s="1345"/>
      <c r="AM37" s="1345"/>
      <c r="AN37" s="1347" t="n">
        <f aca="false">+N37</f>
        <v>0</v>
      </c>
      <c r="AO37" s="1347" t="n">
        <f aca="false">+AR37+AT37</f>
        <v>0</v>
      </c>
      <c r="AP37" s="1348"/>
      <c r="AQ37" s="1328"/>
      <c r="AR37" s="1349" t="n">
        <f aca="false">+$AN37*'ref.지급기준 (2)'!G36</f>
        <v>0</v>
      </c>
      <c r="AS37" s="1347" t="n">
        <f aca="false">+W37</f>
        <v>0</v>
      </c>
      <c r="AT37" s="1347" t="n">
        <f aca="false">+$AN37*'ref.지급기준 (2)'!I36</f>
        <v>0</v>
      </c>
      <c r="AU37" s="1347" t="n">
        <f aca="false">+Z37</f>
        <v>0</v>
      </c>
      <c r="AV37" s="1347" t="n">
        <f aca="false">+$AN37*'ref.지급기준 (2)'!K36</f>
        <v>0</v>
      </c>
      <c r="AW37" s="1347"/>
      <c r="AX37" s="1347" t="n">
        <f aca="false">+$AN37*'ref.지급기준 (2)'!M36</f>
        <v>0</v>
      </c>
      <c r="AY37" s="1347"/>
      <c r="AZ37" s="1347" t="n">
        <f aca="false">+$AN37*'ref.지급기준 (2)'!O36</f>
        <v>0</v>
      </c>
      <c r="BA37" s="1350"/>
      <c r="BB37" s="1331"/>
      <c r="BC37" s="1278"/>
      <c r="BD37" s="1332" t="b">
        <f aca="false">+(AZ37+AX37+AV37+AT37+AR37)=N37</f>
        <v>1</v>
      </c>
      <c r="BE37" s="1278"/>
      <c r="BF37" s="1278"/>
      <c r="BG37" s="1278"/>
      <c r="BH37" s="1278"/>
      <c r="BI37" s="1278"/>
      <c r="BJ37" s="1278"/>
      <c r="BK37" s="1278"/>
      <c r="BL37" s="1278"/>
      <c r="BM37" s="1278"/>
      <c r="BN37" s="1333"/>
      <c r="BO37" s="1333"/>
    </row>
    <row r="38" customFormat="false" ht="16.5" hidden="false" customHeight="true" outlineLevel="0" collapsed="false">
      <c r="A38" s="1307"/>
      <c r="B38" s="629"/>
      <c r="C38" s="1308"/>
      <c r="D38" s="1309"/>
      <c r="E38" s="1310"/>
      <c r="F38" s="1378"/>
      <c r="G38" s="1379"/>
      <c r="H38" s="1380"/>
      <c r="I38" s="1381"/>
      <c r="J38" s="1381"/>
      <c r="K38" s="1334" t="s">
        <v>507</v>
      </c>
      <c r="L38" s="1335" t="n">
        <f aca="false">+'ref.지급기준 (2)'!F37*'ref.지급기준 (2)'!D37/'ref.지급기준 (2)'!$Q$2</f>
        <v>0</v>
      </c>
      <c r="M38" s="1335" t="s">
        <v>373</v>
      </c>
      <c r="N38" s="1384" t="n">
        <f aca="false">SUM(L38:M38)</f>
        <v>0</v>
      </c>
      <c r="O38" s="1317"/>
      <c r="P38" s="1318"/>
      <c r="Q38" s="1319" t="b">
        <f aca="false">+AN38=N38</f>
        <v>1</v>
      </c>
      <c r="R38" s="1337" t="str">
        <f aca="false">+IFERROR(S38/N38,"-")</f>
        <v>-</v>
      </c>
      <c r="S38" s="1338" t="n">
        <f aca="false">+IFERROR(W38+Z38+AC38+AF38+AI38+AL38,"-")</f>
        <v>0</v>
      </c>
      <c r="T38" s="1369"/>
      <c r="U38" s="1339" t="n">
        <f aca="false">+S38/T35</f>
        <v>0</v>
      </c>
      <c r="V38" s="1345" t="str">
        <f aca="false">+IFERROR(W38/$N38,"-")</f>
        <v>-</v>
      </c>
      <c r="W38" s="1345"/>
      <c r="X38" s="1346"/>
      <c r="Y38" s="1345" t="str">
        <f aca="false">+IFERROR(Z38/$N38,"-")</f>
        <v>-</v>
      </c>
      <c r="Z38" s="1345"/>
      <c r="AA38" s="1346"/>
      <c r="AB38" s="1345" t="str">
        <f aca="false">+IFERROR(AC38/$N38,"-")</f>
        <v>-</v>
      </c>
      <c r="AC38" s="1345"/>
      <c r="AD38" s="1346"/>
      <c r="AE38" s="1345" t="str">
        <f aca="false">+IFERROR(AF38/$N38,"-")</f>
        <v>-</v>
      </c>
      <c r="AF38" s="1345"/>
      <c r="AG38" s="1346"/>
      <c r="AH38" s="1345" t="n">
        <f aca="false">+IFERROR(AI38/$N$6,"-")</f>
        <v>0</v>
      </c>
      <c r="AI38" s="1345"/>
      <c r="AJ38" s="1345"/>
      <c r="AK38" s="1345" t="n">
        <f aca="false">+IFERROR(AL38/$N$6,"-")</f>
        <v>0</v>
      </c>
      <c r="AL38" s="1345"/>
      <c r="AM38" s="1345"/>
      <c r="AN38" s="1347" t="n">
        <f aca="false">+N38</f>
        <v>0</v>
      </c>
      <c r="AO38" s="1347" t="n">
        <f aca="false">+AR38+AT38</f>
        <v>0</v>
      </c>
      <c r="AP38" s="1348"/>
      <c r="AQ38" s="1328"/>
      <c r="AR38" s="1349" t="n">
        <f aca="false">+$AN38*'ref.지급기준 (2)'!G37</f>
        <v>0</v>
      </c>
      <c r="AS38" s="1347" t="n">
        <f aca="false">+W38</f>
        <v>0</v>
      </c>
      <c r="AT38" s="1347" t="n">
        <f aca="false">+$AN38*'ref.지급기준 (2)'!I37</f>
        <v>0</v>
      </c>
      <c r="AU38" s="1347" t="n">
        <f aca="false">+Z38</f>
        <v>0</v>
      </c>
      <c r="AV38" s="1347" t="n">
        <f aca="false">+$AN38*'ref.지급기준 (2)'!K37</f>
        <v>0</v>
      </c>
      <c r="AW38" s="1347"/>
      <c r="AX38" s="1347" t="n">
        <f aca="false">+$AN38*'ref.지급기준 (2)'!M37</f>
        <v>0</v>
      </c>
      <c r="AY38" s="1347"/>
      <c r="AZ38" s="1347" t="n">
        <f aca="false">+$AN38*'ref.지급기준 (2)'!O37</f>
        <v>0</v>
      </c>
      <c r="BA38" s="1350"/>
      <c r="BB38" s="1331"/>
      <c r="BC38" s="1278"/>
      <c r="BD38" s="1332" t="b">
        <f aca="false">+(AZ38+AX38+AV38+AT38+AR38)=N38</f>
        <v>1</v>
      </c>
      <c r="BE38" s="1278"/>
      <c r="BF38" s="1278"/>
      <c r="BG38" s="1278"/>
      <c r="BH38" s="1278"/>
      <c r="BI38" s="1278"/>
      <c r="BJ38" s="1278"/>
      <c r="BK38" s="1278"/>
      <c r="BL38" s="1278"/>
      <c r="BM38" s="1278"/>
      <c r="BN38" s="1333"/>
      <c r="BO38" s="1333"/>
    </row>
    <row r="39" customFormat="false" ht="16.5" hidden="false" customHeight="true" outlineLevel="0" collapsed="false">
      <c r="A39" s="1307"/>
      <c r="B39" s="629"/>
      <c r="C39" s="1308"/>
      <c r="D39" s="1309"/>
      <c r="E39" s="1310"/>
      <c r="F39" s="1378"/>
      <c r="G39" s="1379"/>
      <c r="H39" s="1380"/>
      <c r="I39" s="1381"/>
      <c r="J39" s="1381"/>
      <c r="K39" s="1385" t="s">
        <v>508</v>
      </c>
      <c r="L39" s="1386"/>
      <c r="M39" s="1386"/>
      <c r="N39" s="1387"/>
      <c r="O39" s="1317"/>
      <c r="P39" s="1318"/>
      <c r="Q39" s="1354"/>
      <c r="R39" s="1355"/>
      <c r="S39" s="668"/>
      <c r="T39" s="1369"/>
      <c r="U39" s="1356" t="n">
        <f aca="false">+S39/T35</f>
        <v>0</v>
      </c>
      <c r="V39" s="1355" t="str">
        <f aca="false">+IFERROR(W39/$N39,"-")</f>
        <v>-</v>
      </c>
      <c r="W39" s="1357"/>
      <c r="X39" s="1357"/>
      <c r="Y39" s="1357" t="str">
        <f aca="false">+IFERROR(Z39/$N39,"-")</f>
        <v>-</v>
      </c>
      <c r="Z39" s="1357"/>
      <c r="AA39" s="1358"/>
      <c r="AB39" s="1357" t="str">
        <f aca="false">+IFERROR(AC39/$N39,"-")</f>
        <v>-</v>
      </c>
      <c r="AC39" s="1357"/>
      <c r="AD39" s="1358"/>
      <c r="AE39" s="1357" t="str">
        <f aca="false">+IFERROR(AF39/$N39,"-")</f>
        <v>-</v>
      </c>
      <c r="AF39" s="1357"/>
      <c r="AG39" s="1358"/>
      <c r="AH39" s="1357" t="n">
        <f aca="false">+IFERROR(AI39/$N$6,"-")</f>
        <v>0</v>
      </c>
      <c r="AI39" s="1357"/>
      <c r="AJ39" s="1357"/>
      <c r="AK39" s="1357"/>
      <c r="AL39" s="1357"/>
      <c r="AM39" s="1357"/>
      <c r="AN39" s="1359" t="n">
        <f aca="false">+N39</f>
        <v>0</v>
      </c>
      <c r="AO39" s="1359" t="n">
        <f aca="false">+AR39+AT39</f>
        <v>0</v>
      </c>
      <c r="AP39" s="1360"/>
      <c r="AQ39" s="1328"/>
      <c r="AR39" s="1361" t="n">
        <f aca="false">+$AN39*'ref.지급기준 (2)'!G38</f>
        <v>0</v>
      </c>
      <c r="AS39" s="1359" t="n">
        <f aca="false">+W39</f>
        <v>0</v>
      </c>
      <c r="AT39" s="1359" t="n">
        <f aca="false">+$AN39*'ref.지급기준 (2)'!I38</f>
        <v>0</v>
      </c>
      <c r="AU39" s="1359" t="n">
        <f aca="false">+Z39</f>
        <v>0</v>
      </c>
      <c r="AV39" s="1359" t="n">
        <f aca="false">+$AN39*'ref.지급기준 (2)'!K38</f>
        <v>0</v>
      </c>
      <c r="AW39" s="1359"/>
      <c r="AX39" s="1359" t="n">
        <f aca="false">+$AN39*'ref.지급기준 (2)'!M38</f>
        <v>0</v>
      </c>
      <c r="AY39" s="1359"/>
      <c r="AZ39" s="1359" t="n">
        <f aca="false">+$AN39*'ref.지급기준 (2)'!O38</f>
        <v>0</v>
      </c>
      <c r="BA39" s="1362"/>
      <c r="BB39" s="1331"/>
      <c r="BC39" s="1278"/>
      <c r="BD39" s="1278"/>
      <c r="BE39" s="1278"/>
      <c r="BF39" s="1278"/>
      <c r="BG39" s="1278"/>
      <c r="BH39" s="1278"/>
      <c r="BI39" s="1278"/>
      <c r="BJ39" s="1278"/>
      <c r="BK39" s="1278"/>
      <c r="BL39" s="1278"/>
      <c r="BM39" s="1278"/>
      <c r="BN39" s="1333"/>
      <c r="BO39" s="1333"/>
    </row>
    <row r="40" customFormat="false" ht="16.5" hidden="false" customHeight="true" outlineLevel="0" collapsed="false">
      <c r="A40" s="1307"/>
      <c r="B40" s="629"/>
      <c r="C40" s="1308"/>
      <c r="D40" s="1309"/>
      <c r="E40" s="1310"/>
      <c r="F40" s="1311" t="s">
        <v>177</v>
      </c>
      <c r="G40" s="1363" t="n">
        <v>999.44</v>
      </c>
      <c r="H40" s="1376" t="n">
        <v>0.0678</v>
      </c>
      <c r="I40" s="1364"/>
      <c r="J40" s="1364" t="s">
        <v>1454</v>
      </c>
      <c r="K40" s="1365" t="s">
        <v>112</v>
      </c>
      <c r="L40" s="1366" t="n">
        <f aca="false">+'ref.지급기준 (2)'!F39*'ref.지급기준 (2)'!D39/'ref.지급기준 (2)'!$Q$2</f>
        <v>1049412000</v>
      </c>
      <c r="M40" s="1366" t="n">
        <f aca="false">+L40*10%</f>
        <v>104941200</v>
      </c>
      <c r="N40" s="1367" t="n">
        <f aca="false">SUM(L40:M40)</f>
        <v>1154353200</v>
      </c>
      <c r="O40" s="1317"/>
      <c r="P40" s="1318"/>
      <c r="Q40" s="1319" t="b">
        <f aca="false">+AN40=N40</f>
        <v>1</v>
      </c>
      <c r="R40" s="1323" t="n">
        <f aca="false">+IFERROR(S40/N40,"-")</f>
        <v>0</v>
      </c>
      <c r="S40" s="1368" t="n">
        <f aca="false">+IFERROR(W40+Z40+AC40+AF40+AI40+AL40,"-")</f>
        <v>0</v>
      </c>
      <c r="T40" s="1369" t="n">
        <v>1470</v>
      </c>
      <c r="U40" s="1370" t="n">
        <f aca="false">+S40/T40</f>
        <v>0</v>
      </c>
      <c r="V40" s="1375" t="n">
        <f aca="false">+IFERROR(W40/$N40,"-")</f>
        <v>0</v>
      </c>
      <c r="W40" s="1345"/>
      <c r="X40" s="1346" t="n">
        <v>45716</v>
      </c>
      <c r="Y40" s="1345" t="n">
        <f aca="false">+IFERROR(Z40/$N40,"-")</f>
        <v>0</v>
      </c>
      <c r="Z40" s="1345"/>
      <c r="AA40" s="1346" t="n">
        <f aca="false">+EDATE(X40,1)+3</f>
        <v>45747</v>
      </c>
      <c r="AB40" s="1345" t="n">
        <f aca="false">+IFERROR(AC40/$N40,"-")</f>
        <v>0</v>
      </c>
      <c r="AC40" s="1345"/>
      <c r="AD40" s="1346" t="n">
        <f aca="false">+EDATE(AA40,3)</f>
        <v>45838</v>
      </c>
      <c r="AE40" s="1345" t="n">
        <f aca="false">+IFERROR(AF40/$N40,"-")</f>
        <v>0</v>
      </c>
      <c r="AF40" s="1345"/>
      <c r="AG40" s="1346" t="n">
        <f aca="false">+EDATE(AA40,4)</f>
        <v>45869</v>
      </c>
      <c r="AH40" s="1345" t="n">
        <f aca="false">+IFERROR(AI40/$N$6,"-")</f>
        <v>0</v>
      </c>
      <c r="AI40" s="1345"/>
      <c r="AJ40" s="1346" t="n">
        <f aca="false">+EDATE(AA40,6)</f>
        <v>45930</v>
      </c>
      <c r="AK40" s="1345" t="n">
        <f aca="false">+IFERROR(AL40/$N$6,"-")</f>
        <v>0</v>
      </c>
      <c r="AL40" s="1345"/>
      <c r="AM40" s="1345"/>
      <c r="AN40" s="1347" t="n">
        <f aca="false">+N40</f>
        <v>1154353200</v>
      </c>
      <c r="AO40" s="1347" t="n">
        <f aca="false">+AN40*'ref.지급기준 (2)'!G39</f>
        <v>115435320</v>
      </c>
      <c r="AP40" s="1348" t="n">
        <f aca="false">+X40</f>
        <v>45716</v>
      </c>
      <c r="AQ40" s="1328"/>
      <c r="AR40" s="1329" t="n">
        <f aca="false">+$AN40*'ref.지급기준 (2)'!G39</f>
        <v>115435320</v>
      </c>
      <c r="AS40" s="1326" t="n">
        <f aca="false">+W40</f>
        <v>0</v>
      </c>
      <c r="AT40" s="1326" t="n">
        <f aca="false">+$AN40*'ref.지급기준 (2)'!I39</f>
        <v>230870640</v>
      </c>
      <c r="AU40" s="1326" t="n">
        <f aca="false">+Z40</f>
        <v>0</v>
      </c>
      <c r="AV40" s="1326" t="n">
        <f aca="false">+$AN40*'ref.지급기준 (2)'!K39</f>
        <v>461741280</v>
      </c>
      <c r="AW40" s="1326"/>
      <c r="AX40" s="1326" t="n">
        <f aca="false">+$AN40*'ref.지급기준 (2)'!M39</f>
        <v>288588300</v>
      </c>
      <c r="AY40" s="1326"/>
      <c r="AZ40" s="1326" t="n">
        <f aca="false">+$AN40*'ref.지급기준 (2)'!O39</f>
        <v>57717660</v>
      </c>
      <c r="BA40" s="1330"/>
      <c r="BB40" s="1331"/>
      <c r="BC40" s="1278"/>
      <c r="BD40" s="1332" t="b">
        <f aca="false">+(AZ40+AX40+AV40+AT40+AR40)=N40</f>
        <v>1</v>
      </c>
      <c r="BE40" s="1278"/>
      <c r="BF40" s="1278"/>
      <c r="BG40" s="1278"/>
      <c r="BH40" s="1278"/>
      <c r="BI40" s="1278"/>
      <c r="BJ40" s="1278"/>
      <c r="BK40" s="1278"/>
      <c r="BL40" s="1278"/>
      <c r="BM40" s="1278"/>
      <c r="BN40" s="1333"/>
      <c r="BO40" s="1333"/>
    </row>
    <row r="41" customFormat="false" ht="16.5" hidden="false" customHeight="true" outlineLevel="0" collapsed="false">
      <c r="A41" s="1307"/>
      <c r="B41" s="629"/>
      <c r="C41" s="1308"/>
      <c r="D41" s="1309"/>
      <c r="E41" s="1310"/>
      <c r="F41" s="1311"/>
      <c r="G41" s="1363"/>
      <c r="H41" s="1376"/>
      <c r="I41" s="1364"/>
      <c r="J41" s="1364"/>
      <c r="K41" s="1334" t="s">
        <v>114</v>
      </c>
      <c r="L41" s="1335" t="n">
        <f aca="false">+'ref.지급기준 (2)'!F40*'ref.지급기준 (2)'!D40/'ref.지급기준 (2)'!$Q$2</f>
        <v>549692000</v>
      </c>
      <c r="M41" s="1335" t="s">
        <v>373</v>
      </c>
      <c r="N41" s="1336" t="n">
        <f aca="false">SUM(L41:M41)</f>
        <v>549692000</v>
      </c>
      <c r="O41" s="1317"/>
      <c r="P41" s="1318"/>
      <c r="Q41" s="1319" t="b">
        <f aca="false">+AN41=N41</f>
        <v>1</v>
      </c>
      <c r="R41" s="1337" t="n">
        <f aca="false">+IFERROR(S41/N41,"-")</f>
        <v>0.646128832146002</v>
      </c>
      <c r="S41" s="1338" t="n">
        <f aca="false">+IFERROR(W41+Z41+AC41+AF41+AI41+AL41,"-")</f>
        <v>355171850</v>
      </c>
      <c r="T41" s="1369"/>
      <c r="U41" s="1339" t="n">
        <f aca="false">+S41/T40</f>
        <v>241613.503401361</v>
      </c>
      <c r="V41" s="1343" t="n">
        <f aca="false">+IFERROR(W41/$N41,"-")</f>
        <v>0.55</v>
      </c>
      <c r="W41" s="1341" t="n">
        <v>302330600</v>
      </c>
      <c r="X41" s="1342" t="n">
        <v>45450</v>
      </c>
      <c r="Y41" s="1343" t="n">
        <f aca="false">+IFERROR(Z41/$N41,"-")</f>
        <v>0.0961288321460018</v>
      </c>
      <c r="Z41" s="1344" t="n">
        <v>52841250</v>
      </c>
      <c r="AA41" s="1342" t="n">
        <v>45456</v>
      </c>
      <c r="AB41" s="1345" t="n">
        <f aca="false">+IFERROR(AC41/$N41,"-")</f>
        <v>0</v>
      </c>
      <c r="AC41" s="1345"/>
      <c r="AD41" s="1346" t="n">
        <f aca="false">EDATE(AA40,6)</f>
        <v>45930</v>
      </c>
      <c r="AE41" s="1345" t="n">
        <f aca="false">+IFERROR(AF41/$N41,"-")</f>
        <v>0</v>
      </c>
      <c r="AF41" s="1345"/>
      <c r="AG41" s="1346"/>
      <c r="AH41" s="1345" t="n">
        <f aca="false">+IFERROR(AI41/$N$6,"-")</f>
        <v>0</v>
      </c>
      <c r="AI41" s="1345"/>
      <c r="AJ41" s="1345"/>
      <c r="AK41" s="1345" t="n">
        <f aca="false">+IFERROR(AL41/$N$6,"-")</f>
        <v>0</v>
      </c>
      <c r="AL41" s="1345"/>
      <c r="AM41" s="1345"/>
      <c r="AN41" s="1347" t="n">
        <f aca="false">+N41</f>
        <v>549692000</v>
      </c>
      <c r="AO41" s="1347" t="n">
        <f aca="false">+AN41*'ref.지급기준 (2)'!K40+AN41*('ref.지급기준 (2)'!G40+'ref.지급기준 (2)'!I40)-S41</f>
        <v>194520150</v>
      </c>
      <c r="AP41" s="1348" t="n">
        <f aca="false">+AD41</f>
        <v>45930</v>
      </c>
      <c r="AQ41" s="1328"/>
      <c r="AR41" s="1349" t="n">
        <f aca="false">+$AN41*'ref.지급기준 (2)'!G40</f>
        <v>302330600</v>
      </c>
      <c r="AS41" s="1347" t="n">
        <f aca="false">+W41</f>
        <v>302330600</v>
      </c>
      <c r="AT41" s="1347" t="n">
        <f aca="false">+$AN41*'ref.지급기준 (2)'!I40</f>
        <v>82453800</v>
      </c>
      <c r="AU41" s="1347" t="n">
        <f aca="false">+Z41</f>
        <v>52841250</v>
      </c>
      <c r="AV41" s="1347" t="n">
        <f aca="false">+$AN41*'ref.지급기준 (2)'!K40</f>
        <v>164907600</v>
      </c>
      <c r="AW41" s="1347"/>
      <c r="AX41" s="1347" t="n">
        <f aca="false">+$AN41*'ref.지급기준 (2)'!M40</f>
        <v>0</v>
      </c>
      <c r="AY41" s="1347"/>
      <c r="AZ41" s="1347" t="n">
        <f aca="false">+$AN41*'ref.지급기준 (2)'!O40</f>
        <v>0</v>
      </c>
      <c r="BA41" s="1350"/>
      <c r="BB41" s="1331"/>
      <c r="BC41" s="1278"/>
      <c r="BD41" s="1332" t="b">
        <f aca="false">+(AZ41+AX41+AV41+AT41+AR41)=N41</f>
        <v>1</v>
      </c>
      <c r="BE41" s="1278"/>
      <c r="BF41" s="1278"/>
      <c r="BG41" s="1278"/>
      <c r="BH41" s="1278"/>
      <c r="BI41" s="1278"/>
      <c r="BJ41" s="1278"/>
      <c r="BK41" s="1278"/>
      <c r="BL41" s="1278"/>
      <c r="BM41" s="1278"/>
      <c r="BN41" s="1333"/>
      <c r="BO41" s="1333"/>
    </row>
    <row r="42" customFormat="false" ht="16.5" hidden="false" customHeight="true" outlineLevel="0" collapsed="false">
      <c r="A42" s="1307"/>
      <c r="B42" s="629"/>
      <c r="C42" s="1308"/>
      <c r="D42" s="1309"/>
      <c r="E42" s="1310"/>
      <c r="F42" s="1311"/>
      <c r="G42" s="1363"/>
      <c r="H42" s="1376"/>
      <c r="I42" s="1364"/>
      <c r="J42" s="1364"/>
      <c r="K42" s="1334" t="s">
        <v>404</v>
      </c>
      <c r="L42" s="1335" t="n">
        <f aca="false">+'ref.지급기준 (2)'!F41*'ref.지급기준 (2)'!D41/'ref.지급기준 (2)'!$Q$2</f>
        <v>0</v>
      </c>
      <c r="M42" s="1335" t="s">
        <v>373</v>
      </c>
      <c r="N42" s="1336" t="n">
        <f aca="false">SUM(L42:M42)</f>
        <v>0</v>
      </c>
      <c r="O42" s="1317"/>
      <c r="P42" s="1318"/>
      <c r="Q42" s="1319" t="b">
        <f aca="false">+AN42=N42</f>
        <v>1</v>
      </c>
      <c r="R42" s="1337" t="str">
        <f aca="false">+IFERROR(S42/N42,"-")</f>
        <v>-</v>
      </c>
      <c r="S42" s="1338" t="n">
        <f aca="false">+IFERROR(W42+Z42+AC42+AF42+AI42+AL42,"-")</f>
        <v>0</v>
      </c>
      <c r="T42" s="1369"/>
      <c r="U42" s="1339" t="n">
        <f aca="false">+S42/T40</f>
        <v>0</v>
      </c>
      <c r="V42" s="1345" t="str">
        <f aca="false">+IFERROR(W42/$N42,"-")</f>
        <v>-</v>
      </c>
      <c r="W42" s="1345"/>
      <c r="X42" s="1346"/>
      <c r="Y42" s="1345" t="str">
        <f aca="false">+IFERROR(Z42/$N42,"-")</f>
        <v>-</v>
      </c>
      <c r="Z42" s="1345"/>
      <c r="AA42" s="1346"/>
      <c r="AB42" s="1345" t="str">
        <f aca="false">+IFERROR(AC42/$N42,"-")</f>
        <v>-</v>
      </c>
      <c r="AC42" s="1345"/>
      <c r="AD42" s="1346"/>
      <c r="AE42" s="1345" t="str">
        <f aca="false">+IFERROR(AF42/$N42,"-")</f>
        <v>-</v>
      </c>
      <c r="AF42" s="1345"/>
      <c r="AG42" s="1346"/>
      <c r="AH42" s="1345" t="n">
        <f aca="false">+IFERROR(AI42/$N$6,"-")</f>
        <v>0</v>
      </c>
      <c r="AI42" s="1345"/>
      <c r="AJ42" s="1345"/>
      <c r="AK42" s="1345" t="n">
        <f aca="false">+IFERROR(AL42/$N$6,"-")</f>
        <v>0</v>
      </c>
      <c r="AL42" s="1345"/>
      <c r="AM42" s="1345"/>
      <c r="AN42" s="1347" t="n">
        <f aca="false">+N42</f>
        <v>0</v>
      </c>
      <c r="AO42" s="1347" t="n">
        <f aca="false">+AR42+AT42</f>
        <v>0</v>
      </c>
      <c r="AP42" s="1348"/>
      <c r="AQ42" s="1328"/>
      <c r="AR42" s="1349" t="n">
        <f aca="false">+$AN42*'ref.지급기준 (2)'!G41</f>
        <v>0</v>
      </c>
      <c r="AS42" s="1347" t="n">
        <f aca="false">+W42</f>
        <v>0</v>
      </c>
      <c r="AT42" s="1347" t="n">
        <f aca="false">+$AN42*'ref.지급기준 (2)'!I41</f>
        <v>0</v>
      </c>
      <c r="AU42" s="1347" t="n">
        <f aca="false">+Z42</f>
        <v>0</v>
      </c>
      <c r="AV42" s="1347" t="n">
        <f aca="false">+$AN42*'ref.지급기준 (2)'!K41</f>
        <v>0</v>
      </c>
      <c r="AW42" s="1347"/>
      <c r="AX42" s="1347" t="n">
        <f aca="false">+$AN42*'ref.지급기준 (2)'!M41</f>
        <v>0</v>
      </c>
      <c r="AY42" s="1347"/>
      <c r="AZ42" s="1347" t="n">
        <f aca="false">+$AN42*'ref.지급기준 (2)'!O41</f>
        <v>0</v>
      </c>
      <c r="BA42" s="1350"/>
      <c r="BB42" s="1331"/>
      <c r="BC42" s="1278"/>
      <c r="BD42" s="1332" t="b">
        <f aca="false">+(AZ42+AX42+AV42+AT42+AR42)=N42</f>
        <v>1</v>
      </c>
      <c r="BE42" s="1278"/>
      <c r="BF42" s="1278"/>
      <c r="BG42" s="1278"/>
      <c r="BH42" s="1278"/>
      <c r="BI42" s="1278"/>
      <c r="BJ42" s="1278"/>
      <c r="BK42" s="1278"/>
      <c r="BL42" s="1278"/>
      <c r="BM42" s="1278"/>
      <c r="BN42" s="1333"/>
      <c r="BO42" s="1333"/>
    </row>
    <row r="43" customFormat="false" ht="16.5" hidden="false" customHeight="true" outlineLevel="0" collapsed="false">
      <c r="A43" s="1307"/>
      <c r="B43" s="629"/>
      <c r="C43" s="1308"/>
      <c r="D43" s="1309"/>
      <c r="E43" s="1310"/>
      <c r="F43" s="1311"/>
      <c r="G43" s="1363"/>
      <c r="H43" s="1376"/>
      <c r="I43" s="1364"/>
      <c r="J43" s="1364"/>
      <c r="K43" s="1334" t="s">
        <v>507</v>
      </c>
      <c r="L43" s="1335" t="n">
        <f aca="false">+'ref.지급기준 (2)'!F42*'ref.지급기준 (2)'!D42/'ref.지급기준 (2)'!$Q$2</f>
        <v>0</v>
      </c>
      <c r="M43" s="1335" t="s">
        <v>373</v>
      </c>
      <c r="N43" s="1336" t="n">
        <f aca="false">SUM(L43:M43)</f>
        <v>0</v>
      </c>
      <c r="O43" s="1317"/>
      <c r="P43" s="1318"/>
      <c r="Q43" s="1388" t="b">
        <f aca="false">+AN43=N43</f>
        <v>1</v>
      </c>
      <c r="R43" s="1337" t="str">
        <f aca="false">+IFERROR(S43/N43,"-")</f>
        <v>-</v>
      </c>
      <c r="S43" s="1338" t="n">
        <f aca="false">+IFERROR(W43+Z43+AC43+AF43+AI43+AL43,"-")</f>
        <v>0</v>
      </c>
      <c r="T43" s="1369"/>
      <c r="U43" s="1339" t="n">
        <f aca="false">+S43/T40</f>
        <v>0</v>
      </c>
      <c r="V43" s="1345" t="str">
        <f aca="false">+IFERROR(W43/$N43,"-")</f>
        <v>-</v>
      </c>
      <c r="W43" s="1345"/>
      <c r="X43" s="1346"/>
      <c r="Y43" s="1345" t="str">
        <f aca="false">+IFERROR(Z43/$N43,"-")</f>
        <v>-</v>
      </c>
      <c r="Z43" s="1345"/>
      <c r="AA43" s="1346"/>
      <c r="AB43" s="1345" t="str">
        <f aca="false">+IFERROR(AC43/$N43,"-")</f>
        <v>-</v>
      </c>
      <c r="AC43" s="1345"/>
      <c r="AD43" s="1346"/>
      <c r="AE43" s="1345" t="str">
        <f aca="false">+IFERROR(AF43/$N43,"-")</f>
        <v>-</v>
      </c>
      <c r="AF43" s="1345"/>
      <c r="AG43" s="1346"/>
      <c r="AH43" s="1345" t="n">
        <f aca="false">+IFERROR(AI43/$N$6,"-")</f>
        <v>0</v>
      </c>
      <c r="AI43" s="1345"/>
      <c r="AJ43" s="1345"/>
      <c r="AK43" s="1345" t="n">
        <f aca="false">+IFERROR(AL43/$N$6,"-")</f>
        <v>0</v>
      </c>
      <c r="AL43" s="1345"/>
      <c r="AM43" s="1345"/>
      <c r="AN43" s="1347" t="n">
        <f aca="false">+N43</f>
        <v>0</v>
      </c>
      <c r="AO43" s="1347" t="n">
        <f aca="false">+AR43+AT43</f>
        <v>0</v>
      </c>
      <c r="AP43" s="1348"/>
      <c r="AQ43" s="1328"/>
      <c r="AR43" s="1349" t="n">
        <f aca="false">+$AN43*'ref.지급기준 (2)'!G42</f>
        <v>0</v>
      </c>
      <c r="AS43" s="1347" t="n">
        <f aca="false">+W43</f>
        <v>0</v>
      </c>
      <c r="AT43" s="1347" t="n">
        <f aca="false">+$AN43*'ref.지급기준 (2)'!I42</f>
        <v>0</v>
      </c>
      <c r="AU43" s="1347" t="n">
        <f aca="false">+Z43</f>
        <v>0</v>
      </c>
      <c r="AV43" s="1347" t="n">
        <f aca="false">+$AN43*'ref.지급기준 (2)'!K42</f>
        <v>0</v>
      </c>
      <c r="AW43" s="1347"/>
      <c r="AX43" s="1347" t="n">
        <f aca="false">+$AN43*'ref.지급기준 (2)'!M42</f>
        <v>0</v>
      </c>
      <c r="AY43" s="1347"/>
      <c r="AZ43" s="1347" t="n">
        <f aca="false">+$AN43*'ref.지급기준 (2)'!O42</f>
        <v>0</v>
      </c>
      <c r="BA43" s="1350"/>
      <c r="BB43" s="1331"/>
      <c r="BC43" s="1278"/>
      <c r="BD43" s="1332" t="b">
        <f aca="false">+(AZ43+AX43+AV43+AT43+AR43)=N43</f>
        <v>1</v>
      </c>
      <c r="BE43" s="1278"/>
      <c r="BF43" s="1278"/>
      <c r="BG43" s="1278"/>
      <c r="BH43" s="1278"/>
      <c r="BI43" s="1278"/>
      <c r="BJ43" s="1278"/>
      <c r="BK43" s="1278"/>
      <c r="BL43" s="1278"/>
      <c r="BM43" s="1278"/>
      <c r="BN43" s="1333"/>
      <c r="BO43" s="1333"/>
    </row>
    <row r="44" customFormat="false" ht="16.5" hidden="false" customHeight="true" outlineLevel="0" collapsed="false">
      <c r="A44" s="1307"/>
      <c r="B44" s="629"/>
      <c r="C44" s="1308"/>
      <c r="D44" s="1309"/>
      <c r="E44" s="1310"/>
      <c r="F44" s="1311"/>
      <c r="G44" s="1363"/>
      <c r="H44" s="1376"/>
      <c r="I44" s="1364"/>
      <c r="J44" s="1364"/>
      <c r="K44" s="1351" t="s">
        <v>508</v>
      </c>
      <c r="L44" s="1352"/>
      <c r="M44" s="1352"/>
      <c r="N44" s="1353"/>
      <c r="O44" s="1317"/>
      <c r="P44" s="1318"/>
      <c r="Q44" s="1354"/>
      <c r="R44" s="1355"/>
      <c r="S44" s="668"/>
      <c r="T44" s="1369"/>
      <c r="U44" s="1356" t="n">
        <f aca="false">+S44/T40</f>
        <v>0</v>
      </c>
      <c r="V44" s="1355" t="str">
        <f aca="false">+IFERROR(W44/$N44,"-")</f>
        <v>-</v>
      </c>
      <c r="W44" s="1357"/>
      <c r="X44" s="1357"/>
      <c r="Y44" s="1357" t="str">
        <f aca="false">+IFERROR(Z44/$N44,"-")</f>
        <v>-</v>
      </c>
      <c r="Z44" s="1357"/>
      <c r="AA44" s="1358"/>
      <c r="AB44" s="1357" t="str">
        <f aca="false">+IFERROR(AC44/$N44,"-")</f>
        <v>-</v>
      </c>
      <c r="AC44" s="1357"/>
      <c r="AD44" s="1358"/>
      <c r="AE44" s="1357" t="str">
        <f aca="false">+IFERROR(AF44/$N44,"-")</f>
        <v>-</v>
      </c>
      <c r="AF44" s="1357"/>
      <c r="AG44" s="1358"/>
      <c r="AH44" s="1357" t="n">
        <f aca="false">+IFERROR(AI44/$N$6,"-")</f>
        <v>0</v>
      </c>
      <c r="AI44" s="1357"/>
      <c r="AJ44" s="1357"/>
      <c r="AK44" s="1357"/>
      <c r="AL44" s="1357"/>
      <c r="AM44" s="1357"/>
      <c r="AN44" s="1359" t="n">
        <f aca="false">+N44</f>
        <v>0</v>
      </c>
      <c r="AO44" s="1359" t="n">
        <f aca="false">+AR44+AT44</f>
        <v>0</v>
      </c>
      <c r="AP44" s="1360"/>
      <c r="AQ44" s="1328"/>
      <c r="AR44" s="1361" t="n">
        <f aca="false">+$AN44*'ref.지급기준 (2)'!G43</f>
        <v>0</v>
      </c>
      <c r="AS44" s="1359" t="n">
        <f aca="false">+W44</f>
        <v>0</v>
      </c>
      <c r="AT44" s="1359" t="n">
        <f aca="false">+$AN44*'ref.지급기준 (2)'!I43</f>
        <v>0</v>
      </c>
      <c r="AU44" s="1359" t="n">
        <f aca="false">+Z44</f>
        <v>0</v>
      </c>
      <c r="AV44" s="1359" t="n">
        <f aca="false">+$AN44*'ref.지급기준 (2)'!K43</f>
        <v>0</v>
      </c>
      <c r="AW44" s="1359"/>
      <c r="AX44" s="1359" t="n">
        <f aca="false">+$AN44*'ref.지급기준 (2)'!M43</f>
        <v>0</v>
      </c>
      <c r="AY44" s="1359"/>
      <c r="AZ44" s="1359" t="n">
        <f aca="false">+$AN44*'ref.지급기준 (2)'!O43</f>
        <v>0</v>
      </c>
      <c r="BA44" s="1362"/>
      <c r="BB44" s="1331"/>
      <c r="BC44" s="1278"/>
      <c r="BD44" s="1278"/>
      <c r="BE44" s="1278"/>
      <c r="BF44" s="1278"/>
      <c r="BG44" s="1278"/>
      <c r="BH44" s="1278"/>
      <c r="BI44" s="1278"/>
      <c r="BJ44" s="1278"/>
      <c r="BK44" s="1278"/>
      <c r="BL44" s="1278"/>
      <c r="BM44" s="1278"/>
      <c r="BN44" s="1333"/>
      <c r="BO44" s="1333"/>
    </row>
    <row r="45" customFormat="false" ht="16.5" hidden="false" customHeight="true" outlineLevel="0" collapsed="false">
      <c r="A45" s="1307"/>
      <c r="B45" s="629"/>
      <c r="C45" s="1308"/>
      <c r="D45" s="1308"/>
      <c r="E45" s="1389" t="s">
        <v>1458</v>
      </c>
      <c r="F45" s="1378" t="s">
        <v>178</v>
      </c>
      <c r="G45" s="1379" t="n">
        <v>999.24</v>
      </c>
      <c r="H45" s="1380" t="n">
        <v>0.0727</v>
      </c>
      <c r="I45" s="1382"/>
      <c r="J45" s="1382" t="s">
        <v>1454</v>
      </c>
      <c r="K45" s="1314" t="s">
        <v>112</v>
      </c>
      <c r="L45" s="1315" t="n">
        <f aca="false">+'ref.지급기준 (2)'!F44*'ref.지급기준 (2)'!D44/'ref.지급기준 (2)'!$Q$2</f>
        <v>1049202000</v>
      </c>
      <c r="M45" s="1315" t="n">
        <f aca="false">+L45*10%</f>
        <v>104920200</v>
      </c>
      <c r="N45" s="1316" t="n">
        <f aca="false">SUM(L45:M45)</f>
        <v>1154122200</v>
      </c>
      <c r="O45" s="1390" t="s">
        <v>1459</v>
      </c>
      <c r="P45" s="1391" t="s">
        <v>1460</v>
      </c>
      <c r="Q45" s="1319" t="b">
        <f aca="false">+N45=AN45</f>
        <v>1</v>
      </c>
      <c r="R45" s="1323" t="n">
        <f aca="false">+IFERROR(S45/N45,"-")</f>
        <v>0</v>
      </c>
      <c r="S45" s="1368" t="n">
        <f aca="false">+IFERROR(W45+Z45+AC45+AF45+AI45+AL45,"-")</f>
        <v>0</v>
      </c>
      <c r="T45" s="1369" t="n">
        <v>1470</v>
      </c>
      <c r="U45" s="1370" t="n">
        <f aca="false">+S45/T45</f>
        <v>0</v>
      </c>
      <c r="V45" s="1323" t="n">
        <f aca="false">+IFERROR(W45/$N45,"-")</f>
        <v>0</v>
      </c>
      <c r="W45" s="1392"/>
      <c r="X45" s="1393" t="n">
        <v>45716</v>
      </c>
      <c r="Y45" s="1345" t="n">
        <f aca="false">+IFERROR(Z45/$N45,"-")</f>
        <v>0</v>
      </c>
      <c r="Z45" s="1345"/>
      <c r="AA45" s="1346" t="n">
        <f aca="false">+EDATE(X45,1)+3</f>
        <v>45747</v>
      </c>
      <c r="AB45" s="1345" t="n">
        <f aca="false">+IFERROR(AC45/$N45,"-")</f>
        <v>0</v>
      </c>
      <c r="AC45" s="1345"/>
      <c r="AD45" s="1346" t="n">
        <f aca="false">+EDATE(AA45,3)</f>
        <v>45838</v>
      </c>
      <c r="AE45" s="1345" t="n">
        <f aca="false">+IFERROR(AF45/$N45,"-")</f>
        <v>0</v>
      </c>
      <c r="AF45" s="1345"/>
      <c r="AG45" s="1346" t="n">
        <f aca="false">+EDATE(AA45,4)</f>
        <v>45869</v>
      </c>
      <c r="AH45" s="1345" t="n">
        <f aca="false">+IFERROR(AI45/$N$6,"-")</f>
        <v>0</v>
      </c>
      <c r="AI45" s="1345"/>
      <c r="AJ45" s="1346" t="n">
        <f aca="false">+EDATE(AA45,6)</f>
        <v>45930</v>
      </c>
      <c r="AK45" s="1345" t="n">
        <f aca="false">+IFERROR(AL45/$N$6,"-")</f>
        <v>0</v>
      </c>
      <c r="AL45" s="1345"/>
      <c r="AM45" s="1345"/>
      <c r="AN45" s="1347" t="n">
        <f aca="false">+N45</f>
        <v>1154122200</v>
      </c>
      <c r="AO45" s="1347" t="n">
        <f aca="false">+AN45*'ref.지급기준 (2)'!G44</f>
        <v>115412220</v>
      </c>
      <c r="AP45" s="1348" t="n">
        <f aca="false">+X45</f>
        <v>45716</v>
      </c>
      <c r="AQ45" s="1328"/>
      <c r="AR45" s="1329" t="n">
        <f aca="false">+$AN45*'ref.지급기준 (2)'!G44</f>
        <v>115412220</v>
      </c>
      <c r="AS45" s="1326" t="n">
        <f aca="false">+W45</f>
        <v>0</v>
      </c>
      <c r="AT45" s="1326" t="n">
        <f aca="false">+$AN45*'ref.지급기준 (2)'!I44</f>
        <v>230824440</v>
      </c>
      <c r="AU45" s="1326" t="n">
        <f aca="false">+Z45</f>
        <v>0</v>
      </c>
      <c r="AV45" s="1326" t="n">
        <f aca="false">+$AN45*'ref.지급기준 (2)'!K44</f>
        <v>461648880</v>
      </c>
      <c r="AW45" s="1326"/>
      <c r="AX45" s="1326" t="n">
        <f aca="false">+$AN45*'ref.지급기준 (2)'!M44</f>
        <v>288530550</v>
      </c>
      <c r="AY45" s="1326"/>
      <c r="AZ45" s="1326" t="n">
        <f aca="false">+$AN45*'ref.지급기준 (2)'!O44</f>
        <v>57706110</v>
      </c>
      <c r="BA45" s="1330"/>
      <c r="BB45" s="1394" t="s">
        <v>1461</v>
      </c>
      <c r="BC45" s="1278"/>
      <c r="BD45" s="1332" t="b">
        <f aca="false">+(AZ45+AX45+AV45+AT45+AR45)=N45</f>
        <v>1</v>
      </c>
      <c r="BE45" s="1278"/>
      <c r="BF45" s="1278"/>
      <c r="BG45" s="1278"/>
      <c r="BH45" s="1278"/>
      <c r="BI45" s="1278"/>
      <c r="BJ45" s="1278"/>
      <c r="BK45" s="1278"/>
      <c r="BL45" s="1278"/>
      <c r="BM45" s="1278"/>
      <c r="BN45" s="1333"/>
      <c r="BO45" s="1333"/>
    </row>
    <row r="46" customFormat="false" ht="16.5" hidden="false" customHeight="true" outlineLevel="0" collapsed="false">
      <c r="A46" s="1307"/>
      <c r="B46" s="629"/>
      <c r="C46" s="1308"/>
      <c r="D46" s="1308"/>
      <c r="E46" s="1389"/>
      <c r="F46" s="1378"/>
      <c r="G46" s="1379"/>
      <c r="H46" s="1380"/>
      <c r="I46" s="1382"/>
      <c r="J46" s="1382"/>
      <c r="K46" s="1334" t="s">
        <v>114</v>
      </c>
      <c r="L46" s="1335" t="n">
        <f aca="false">+'ref.지급기준 (2)'!F45*'ref.지급기준 (2)'!D45/'ref.지급기준 (2)'!$Q$2</f>
        <v>349734000</v>
      </c>
      <c r="M46" s="1335" t="n">
        <f aca="false">+L46*10%</f>
        <v>34973400</v>
      </c>
      <c r="N46" s="1336" t="n">
        <f aca="false">SUM(L46:M46)</f>
        <v>384707400</v>
      </c>
      <c r="O46" s="1390"/>
      <c r="P46" s="1391"/>
      <c r="Q46" s="1319" t="b">
        <f aca="false">+N46=AN46</f>
        <v>1</v>
      </c>
      <c r="R46" s="1337" t="n">
        <f aca="false">+IFERROR(S46/N46,"-")</f>
        <v>0</v>
      </c>
      <c r="S46" s="1338" t="n">
        <f aca="false">+IFERROR(W46+Z46+AC46+AF46+AI46+AL46,"-")</f>
        <v>0</v>
      </c>
      <c r="T46" s="1369"/>
      <c r="U46" s="1339" t="n">
        <f aca="false">+S46/T45</f>
        <v>0</v>
      </c>
      <c r="V46" s="1337" t="n">
        <f aca="false">+IFERROR(W46/$N46,"-")</f>
        <v>0</v>
      </c>
      <c r="W46" s="1395"/>
      <c r="X46" s="1396" t="n">
        <v>45777</v>
      </c>
      <c r="Y46" s="1345" t="n">
        <f aca="false">+IFERROR(Z46/$N46,"-")</f>
        <v>0</v>
      </c>
      <c r="Z46" s="1397"/>
      <c r="AA46" s="1346" t="n">
        <f aca="false">EDATE(X46,1)</f>
        <v>45807</v>
      </c>
      <c r="AB46" s="1345" t="n">
        <f aca="false">+IFERROR(AC46/$N46,"-")</f>
        <v>0</v>
      </c>
      <c r="AC46" s="1345"/>
      <c r="AD46" s="1346" t="n">
        <f aca="false">EDATE(AA46,4)</f>
        <v>45930</v>
      </c>
      <c r="AE46" s="1345" t="n">
        <f aca="false">+IFERROR(AF46/$N46,"-")</f>
        <v>0</v>
      </c>
      <c r="AF46" s="1345"/>
      <c r="AG46" s="1346" t="n">
        <f aca="false">EDATE(AA46,6)</f>
        <v>45991</v>
      </c>
      <c r="AH46" s="1345" t="n">
        <f aca="false">+IFERROR(AI46/$N$6,"-")</f>
        <v>0</v>
      </c>
      <c r="AI46" s="1345"/>
      <c r="AJ46" s="1345"/>
      <c r="AK46" s="1345" t="n">
        <f aca="false">+IFERROR(AL46/$N$6,"-")</f>
        <v>0</v>
      </c>
      <c r="AL46" s="1345"/>
      <c r="AM46" s="1345"/>
      <c r="AN46" s="1347" t="n">
        <f aca="false">+N46</f>
        <v>384707400</v>
      </c>
      <c r="AO46" s="1347" t="n">
        <f aca="false">+AN46*'ref.지급기준 (2)'!G45</f>
        <v>153882960</v>
      </c>
      <c r="AP46" s="1348" t="n">
        <f aca="false">+X46</f>
        <v>45777</v>
      </c>
      <c r="AQ46" s="1328"/>
      <c r="AR46" s="1349" t="n">
        <f aca="false">+$AN46*'ref.지급기준 (2)'!G45</f>
        <v>153882960</v>
      </c>
      <c r="AS46" s="1347" t="n">
        <f aca="false">+W46</f>
        <v>0</v>
      </c>
      <c r="AT46" s="1347" t="n">
        <f aca="false">+$AN46*'ref.지급기준 (2)'!I45</f>
        <v>76941480</v>
      </c>
      <c r="AU46" s="1347" t="n">
        <f aca="false">+Z46</f>
        <v>0</v>
      </c>
      <c r="AV46" s="1347" t="n">
        <f aca="false">+$AN46*'ref.지급기준 (2)'!K45</f>
        <v>115412220</v>
      </c>
      <c r="AW46" s="1347"/>
      <c r="AX46" s="1347" t="n">
        <f aca="false">+$AN46*'ref.지급기준 (2)'!M45</f>
        <v>38470740</v>
      </c>
      <c r="AY46" s="1347"/>
      <c r="AZ46" s="1347" t="n">
        <f aca="false">+$AN46*'ref.지급기준 (2)'!O45</f>
        <v>0</v>
      </c>
      <c r="BA46" s="1350"/>
      <c r="BB46" s="1394"/>
      <c r="BC46" s="1278"/>
      <c r="BD46" s="1332" t="b">
        <f aca="false">+(AZ46+AX46+AV46+AT46+AR46)=N46</f>
        <v>1</v>
      </c>
      <c r="BE46" s="1278"/>
      <c r="BF46" s="1278"/>
      <c r="BG46" s="1278"/>
      <c r="BH46" s="1278"/>
      <c r="BI46" s="1278"/>
      <c r="BJ46" s="1278"/>
      <c r="BK46" s="1278"/>
      <c r="BL46" s="1278"/>
      <c r="BM46" s="1278"/>
      <c r="BN46" s="1333"/>
      <c r="BO46" s="1333"/>
    </row>
    <row r="47" customFormat="false" ht="16.5" hidden="false" customHeight="true" outlineLevel="0" collapsed="false">
      <c r="A47" s="1307"/>
      <c r="B47" s="629"/>
      <c r="C47" s="1308"/>
      <c r="D47" s="1308"/>
      <c r="E47" s="1389"/>
      <c r="F47" s="1378"/>
      <c r="G47" s="1379"/>
      <c r="H47" s="1380"/>
      <c r="I47" s="1382"/>
      <c r="J47" s="1382"/>
      <c r="K47" s="1334" t="s">
        <v>404</v>
      </c>
      <c r="L47" s="1335" t="n">
        <f aca="false">+'ref.지급기준 (2)'!F46*'ref.지급기준 (2)'!D46/'ref.지급기준 (2)'!$Q$2</f>
        <v>299772000</v>
      </c>
      <c r="M47" s="1335"/>
      <c r="N47" s="1336" t="n">
        <f aca="false">SUM(L47:M47)</f>
        <v>299772000</v>
      </c>
      <c r="O47" s="1390"/>
      <c r="P47" s="1391"/>
      <c r="Q47" s="1319" t="b">
        <f aca="false">+N47=AN47</f>
        <v>1</v>
      </c>
      <c r="R47" s="1337" t="n">
        <f aca="false">+IFERROR(S47/N47,"-")</f>
        <v>0</v>
      </c>
      <c r="S47" s="1338" t="n">
        <f aca="false">+IFERROR(W47+Z47+AC47+AF47+AI47+AL47,"-")</f>
        <v>0</v>
      </c>
      <c r="T47" s="1369"/>
      <c r="U47" s="1339" t="n">
        <f aca="false">+S47/T45</f>
        <v>0</v>
      </c>
      <c r="V47" s="1337" t="n">
        <f aca="false">+IFERROR(W47/$N47,"-")</f>
        <v>0</v>
      </c>
      <c r="W47" s="1395"/>
      <c r="X47" s="1396" t="n">
        <f aca="false">X46</f>
        <v>45777</v>
      </c>
      <c r="Y47" s="1345" t="n">
        <f aca="false">+IFERROR(Z47/$N47,"-")</f>
        <v>0</v>
      </c>
      <c r="Z47" s="1345"/>
      <c r="AA47" s="1346" t="n">
        <f aca="false">AA46</f>
        <v>45807</v>
      </c>
      <c r="AB47" s="1345" t="n">
        <f aca="false">+IFERROR(AC47/$N47,"-")</f>
        <v>0</v>
      </c>
      <c r="AC47" s="1345"/>
      <c r="AD47" s="1346" t="n">
        <f aca="false">AD46</f>
        <v>45930</v>
      </c>
      <c r="AE47" s="1345" t="n">
        <f aca="false">+IFERROR(AF47/$N47,"-")</f>
        <v>0</v>
      </c>
      <c r="AF47" s="1345"/>
      <c r="AG47" s="1346" t="n">
        <f aca="false">AG46</f>
        <v>45991</v>
      </c>
      <c r="AH47" s="1345" t="n">
        <f aca="false">+IFERROR(AI47/$N$6,"-")</f>
        <v>0</v>
      </c>
      <c r="AI47" s="1345"/>
      <c r="AJ47" s="1345"/>
      <c r="AK47" s="1345" t="n">
        <f aca="false">+IFERROR(AL47/$N$6,"-")</f>
        <v>0</v>
      </c>
      <c r="AL47" s="1345"/>
      <c r="AM47" s="1345"/>
      <c r="AN47" s="1347" t="n">
        <f aca="false">+N47</f>
        <v>299772000</v>
      </c>
      <c r="AO47" s="1347" t="n">
        <f aca="false">+AN47*'ref.지급기준 (2)'!G46</f>
        <v>119908800</v>
      </c>
      <c r="AP47" s="1348" t="n">
        <f aca="false">+X47</f>
        <v>45777</v>
      </c>
      <c r="AQ47" s="1328"/>
      <c r="AR47" s="1349" t="n">
        <f aca="false">+$AN47*'ref.지급기준 (2)'!G46</f>
        <v>119908800</v>
      </c>
      <c r="AS47" s="1347" t="n">
        <f aca="false">+W47</f>
        <v>0</v>
      </c>
      <c r="AT47" s="1347" t="n">
        <f aca="false">+$AN47*'ref.지급기준 (2)'!I46</f>
        <v>59954400</v>
      </c>
      <c r="AU47" s="1347" t="n">
        <f aca="false">+Z47</f>
        <v>0</v>
      </c>
      <c r="AV47" s="1347" t="n">
        <f aca="false">+$AN47*'ref.지급기준 (2)'!K46</f>
        <v>89931600</v>
      </c>
      <c r="AW47" s="1347"/>
      <c r="AX47" s="1347" t="n">
        <f aca="false">+$AN47*'ref.지급기준 (2)'!M46</f>
        <v>29977200</v>
      </c>
      <c r="AY47" s="1347"/>
      <c r="AZ47" s="1347" t="n">
        <f aca="false">+$AN47*'ref.지급기준 (2)'!O46</f>
        <v>0</v>
      </c>
      <c r="BA47" s="1350"/>
      <c r="BB47" s="1394"/>
      <c r="BC47" s="1278"/>
      <c r="BD47" s="1332" t="b">
        <f aca="false">+(AZ47+AX47+AV47+AT47+AR47)=N47</f>
        <v>1</v>
      </c>
      <c r="BE47" s="1278"/>
      <c r="BF47" s="1278"/>
      <c r="BG47" s="1278"/>
      <c r="BH47" s="1278"/>
      <c r="BI47" s="1278"/>
      <c r="BJ47" s="1278"/>
      <c r="BK47" s="1278"/>
      <c r="BL47" s="1278"/>
      <c r="BM47" s="1278"/>
      <c r="BN47" s="1333"/>
      <c r="BO47" s="1333"/>
    </row>
    <row r="48" customFormat="false" ht="16.5" hidden="false" customHeight="true" outlineLevel="0" collapsed="false">
      <c r="A48" s="1307"/>
      <c r="B48" s="629"/>
      <c r="C48" s="1308"/>
      <c r="D48" s="1308"/>
      <c r="E48" s="1389"/>
      <c r="F48" s="1378"/>
      <c r="G48" s="1379"/>
      <c r="H48" s="1380"/>
      <c r="I48" s="1382"/>
      <c r="J48" s="1382"/>
      <c r="K48" s="1334" t="s">
        <v>507</v>
      </c>
      <c r="L48" s="1335" t="n">
        <f aca="false">+'ref.지급기준 (2)'!F47*'ref.지급기준 (2)'!D47/'ref.지급기준 (2)'!$Q$2</f>
        <v>199848000</v>
      </c>
      <c r="M48" s="1335" t="n">
        <f aca="false">+L48*10%</f>
        <v>19984800</v>
      </c>
      <c r="N48" s="1336" t="n">
        <f aca="false">SUM(L48:M48)</f>
        <v>219832800</v>
      </c>
      <c r="O48" s="1390"/>
      <c r="P48" s="1391"/>
      <c r="Q48" s="1319" t="b">
        <f aca="false">+N48=AN48</f>
        <v>1</v>
      </c>
      <c r="R48" s="1337" t="n">
        <f aca="false">+IFERROR(S48/N48,"-")</f>
        <v>0</v>
      </c>
      <c r="S48" s="1338" t="n">
        <f aca="false">+IFERROR(W48+Z48+AC48+AF48+AI48+AL48,"-")</f>
        <v>0</v>
      </c>
      <c r="T48" s="1369"/>
      <c r="U48" s="1339" t="n">
        <f aca="false">+S48/T45</f>
        <v>0</v>
      </c>
      <c r="V48" s="1337" t="n">
        <f aca="false">+IFERROR(W48/$N48,"-")</f>
        <v>0</v>
      </c>
      <c r="W48" s="1395"/>
      <c r="X48" s="1396" t="n">
        <f aca="false">X46</f>
        <v>45777</v>
      </c>
      <c r="Y48" s="1345" t="n">
        <f aca="false">+IFERROR(Z48/$N48,"-")</f>
        <v>0</v>
      </c>
      <c r="Z48" s="1345"/>
      <c r="AA48" s="1346" t="n">
        <f aca="false">AA46</f>
        <v>45807</v>
      </c>
      <c r="AB48" s="1345" t="n">
        <f aca="false">+IFERROR(AC48/$N48,"-")</f>
        <v>0</v>
      </c>
      <c r="AC48" s="1345"/>
      <c r="AD48" s="1346" t="n">
        <f aca="false">AD46</f>
        <v>45930</v>
      </c>
      <c r="AE48" s="1345" t="n">
        <f aca="false">+IFERROR(AF48/$N48,"-")</f>
        <v>0</v>
      </c>
      <c r="AF48" s="1345"/>
      <c r="AG48" s="1346" t="n">
        <f aca="false">AG46</f>
        <v>45991</v>
      </c>
      <c r="AH48" s="1345" t="n">
        <f aca="false">+IFERROR(AI48/$N$6,"-")</f>
        <v>0</v>
      </c>
      <c r="AI48" s="1345"/>
      <c r="AJ48" s="1345"/>
      <c r="AK48" s="1345" t="n">
        <f aca="false">+IFERROR(AL48/$N$6,"-")</f>
        <v>0</v>
      </c>
      <c r="AL48" s="1345"/>
      <c r="AM48" s="1345"/>
      <c r="AN48" s="1347" t="n">
        <f aca="false">+N48</f>
        <v>219832800</v>
      </c>
      <c r="AO48" s="1347" t="n">
        <f aca="false">+AN48*'ref.지급기준 (2)'!G47</f>
        <v>87933120</v>
      </c>
      <c r="AP48" s="1348" t="n">
        <f aca="false">+X48</f>
        <v>45777</v>
      </c>
      <c r="AQ48" s="1328"/>
      <c r="AR48" s="1349" t="n">
        <f aca="false">+$AN48*'ref.지급기준 (2)'!G47</f>
        <v>87933120</v>
      </c>
      <c r="AS48" s="1347" t="n">
        <f aca="false">+W48</f>
        <v>0</v>
      </c>
      <c r="AT48" s="1347" t="n">
        <f aca="false">+$AN48*'ref.지급기준 (2)'!I47</f>
        <v>43966560</v>
      </c>
      <c r="AU48" s="1347" t="n">
        <f aca="false">+Z48</f>
        <v>0</v>
      </c>
      <c r="AV48" s="1347" t="n">
        <f aca="false">+$AN48*'ref.지급기준 (2)'!K47</f>
        <v>65949840</v>
      </c>
      <c r="AW48" s="1347"/>
      <c r="AX48" s="1347" t="n">
        <f aca="false">+$AN48*'ref.지급기준 (2)'!M47</f>
        <v>21983280</v>
      </c>
      <c r="AY48" s="1347"/>
      <c r="AZ48" s="1347" t="n">
        <f aca="false">+$AN48*'ref.지급기준 (2)'!O47</f>
        <v>0</v>
      </c>
      <c r="BA48" s="1350"/>
      <c r="BB48" s="1394"/>
      <c r="BC48" s="1278"/>
      <c r="BD48" s="1332" t="b">
        <f aca="false">+(AZ48+AX48+AV48+AT48+AR48)=N48</f>
        <v>1</v>
      </c>
      <c r="BE48" s="1278"/>
      <c r="BF48" s="1278"/>
      <c r="BG48" s="1278"/>
      <c r="BH48" s="1278"/>
      <c r="BI48" s="1278"/>
      <c r="BJ48" s="1278"/>
      <c r="BK48" s="1278"/>
      <c r="BL48" s="1278"/>
      <c r="BM48" s="1278"/>
      <c r="BN48" s="1333"/>
      <c r="BO48" s="1333"/>
    </row>
    <row r="49" customFormat="false" ht="16.5" hidden="false" customHeight="true" outlineLevel="0" collapsed="false">
      <c r="A49" s="1307"/>
      <c r="B49" s="629"/>
      <c r="C49" s="1308"/>
      <c r="D49" s="1308"/>
      <c r="E49" s="1389"/>
      <c r="F49" s="1378"/>
      <c r="G49" s="1379"/>
      <c r="H49" s="1380"/>
      <c r="I49" s="1382"/>
      <c r="J49" s="1382"/>
      <c r="K49" s="1385" t="s">
        <v>508</v>
      </c>
      <c r="L49" s="1386"/>
      <c r="M49" s="1386"/>
      <c r="N49" s="1398"/>
      <c r="O49" s="1390"/>
      <c r="P49" s="1391"/>
      <c r="Q49" s="1354"/>
      <c r="R49" s="1355"/>
      <c r="S49" s="668"/>
      <c r="T49" s="1369"/>
      <c r="U49" s="1356" t="n">
        <f aca="false">+S49/T45</f>
        <v>0</v>
      </c>
      <c r="V49" s="1355" t="str">
        <f aca="false">+IFERROR(W49/$N49,"-")</f>
        <v>-</v>
      </c>
      <c r="W49" s="1357"/>
      <c r="X49" s="1357"/>
      <c r="Y49" s="1357" t="str">
        <f aca="false">+IFERROR(Z49/$N49,"-")</f>
        <v>-</v>
      </c>
      <c r="Z49" s="1357"/>
      <c r="AA49" s="1358"/>
      <c r="AB49" s="1357" t="str">
        <f aca="false">+IFERROR(AC49/$N49,"-")</f>
        <v>-</v>
      </c>
      <c r="AC49" s="1357"/>
      <c r="AD49" s="1358"/>
      <c r="AE49" s="1357" t="str">
        <f aca="false">+IFERROR(AF49/$N49,"-")</f>
        <v>-</v>
      </c>
      <c r="AF49" s="1357"/>
      <c r="AG49" s="1358"/>
      <c r="AH49" s="1357" t="n">
        <f aca="false">+IFERROR(AI49/$N$6,"-")</f>
        <v>0</v>
      </c>
      <c r="AI49" s="1357"/>
      <c r="AJ49" s="1357"/>
      <c r="AK49" s="1357"/>
      <c r="AL49" s="1357"/>
      <c r="AM49" s="1357"/>
      <c r="AN49" s="1359" t="n">
        <f aca="false">+N49</f>
        <v>0</v>
      </c>
      <c r="AO49" s="1359" t="n">
        <f aca="false">+AR49+AT49</f>
        <v>0</v>
      </c>
      <c r="AP49" s="1360"/>
      <c r="AQ49" s="1328"/>
      <c r="AR49" s="1361" t="n">
        <f aca="false">+$AN49*'ref.지급기준 (2)'!G48</f>
        <v>0</v>
      </c>
      <c r="AS49" s="1359" t="n">
        <f aca="false">+W49</f>
        <v>0</v>
      </c>
      <c r="AT49" s="1359" t="n">
        <f aca="false">+$AN49*'ref.지급기준 (2)'!I48</f>
        <v>0</v>
      </c>
      <c r="AU49" s="1359" t="n">
        <f aca="false">+Z49</f>
        <v>0</v>
      </c>
      <c r="AV49" s="1359" t="n">
        <f aca="false">+$AN49*'ref.지급기준 (2)'!K48</f>
        <v>0</v>
      </c>
      <c r="AW49" s="1359"/>
      <c r="AX49" s="1359" t="n">
        <f aca="false">+$AN49*'ref.지급기준 (2)'!M48</f>
        <v>0</v>
      </c>
      <c r="AY49" s="1359"/>
      <c r="AZ49" s="1359" t="n">
        <f aca="false">+$AN49*'ref.지급기준 (2)'!O48</f>
        <v>0</v>
      </c>
      <c r="BA49" s="1362"/>
      <c r="BB49" s="1394"/>
      <c r="BC49" s="1278"/>
      <c r="BD49" s="1278"/>
      <c r="BE49" s="1278"/>
      <c r="BF49" s="1278"/>
      <c r="BG49" s="1278"/>
      <c r="BH49" s="1278"/>
      <c r="BI49" s="1278"/>
      <c r="BJ49" s="1278"/>
      <c r="BK49" s="1278"/>
      <c r="BL49" s="1278"/>
      <c r="BM49" s="1278"/>
      <c r="BN49" s="1333"/>
      <c r="BO49" s="1333"/>
    </row>
    <row r="50" customFormat="false" ht="16.5" hidden="false" customHeight="true" outlineLevel="0" collapsed="false">
      <c r="A50" s="1307"/>
      <c r="B50" s="629"/>
      <c r="C50" s="1308"/>
      <c r="D50" s="1308"/>
      <c r="E50" s="1389"/>
      <c r="F50" s="1311" t="s">
        <v>179</v>
      </c>
      <c r="G50" s="1363" t="n">
        <v>399.04</v>
      </c>
      <c r="H50" s="1376" t="n">
        <v>0.0809</v>
      </c>
      <c r="I50" s="1364"/>
      <c r="J50" s="1364" t="s">
        <v>1454</v>
      </c>
      <c r="K50" s="1365" t="s">
        <v>112</v>
      </c>
      <c r="L50" s="1366" t="n">
        <f aca="false">+'ref.지급기준 (2)'!F49*'ref.지급기준 (2)'!D49/'ref.지급기준 (2)'!$Q$2</f>
        <v>418992000</v>
      </c>
      <c r="M50" s="1366" t="n">
        <f aca="false">+L50*10%</f>
        <v>41899200</v>
      </c>
      <c r="N50" s="1367" t="n">
        <f aca="false">SUM(L50:M50)</f>
        <v>460891200</v>
      </c>
      <c r="O50" s="1390"/>
      <c r="P50" s="1391"/>
      <c r="Q50" s="1319" t="b">
        <f aca="false">+N50=AN50</f>
        <v>1</v>
      </c>
      <c r="R50" s="1323" t="n">
        <f aca="false">+IFERROR(S50/N50,"-")</f>
        <v>0</v>
      </c>
      <c r="S50" s="1368" t="n">
        <f aca="false">+IFERROR(W50+Z50+AC50+AF50+AI50+AL50,"-")</f>
        <v>0</v>
      </c>
      <c r="T50" s="1369" t="n">
        <v>1470</v>
      </c>
      <c r="U50" s="1370" t="n">
        <f aca="false">+S50/T50</f>
        <v>0</v>
      </c>
      <c r="V50" s="1323" t="n">
        <f aca="false">+IFERROR(W50/$N50,"-")</f>
        <v>0</v>
      </c>
      <c r="W50" s="1392"/>
      <c r="X50" s="1393" t="n">
        <v>45716</v>
      </c>
      <c r="Y50" s="1345" t="n">
        <f aca="false">+IFERROR(Z50/$N50,"-")</f>
        <v>0</v>
      </c>
      <c r="Z50" s="1345"/>
      <c r="AA50" s="1346" t="n">
        <f aca="false">+EDATE(X50,1)+3</f>
        <v>45747</v>
      </c>
      <c r="AB50" s="1345" t="n">
        <f aca="false">+IFERROR(AC50/$N50,"-")</f>
        <v>0</v>
      </c>
      <c r="AC50" s="1345"/>
      <c r="AD50" s="1346" t="n">
        <f aca="false">+EDATE(AA50,3)</f>
        <v>45838</v>
      </c>
      <c r="AE50" s="1345" t="n">
        <f aca="false">+IFERROR(AF50/$N50,"-")</f>
        <v>0</v>
      </c>
      <c r="AF50" s="1345"/>
      <c r="AG50" s="1346" t="n">
        <f aca="false">+EDATE(AA50,4)</f>
        <v>45869</v>
      </c>
      <c r="AH50" s="1345" t="n">
        <f aca="false">+IFERROR(AI50/$N$6,"-")</f>
        <v>0</v>
      </c>
      <c r="AI50" s="1345"/>
      <c r="AJ50" s="1346" t="n">
        <f aca="false">+EDATE(AA50,6)</f>
        <v>45930</v>
      </c>
      <c r="AK50" s="1345" t="n">
        <f aca="false">+IFERROR(AL50/$N$6,"-")</f>
        <v>0</v>
      </c>
      <c r="AL50" s="1345"/>
      <c r="AM50" s="1345"/>
      <c r="AN50" s="1347" t="n">
        <f aca="false">+N50</f>
        <v>460891200</v>
      </c>
      <c r="AO50" s="1347" t="n">
        <f aca="false">+AN50*'ref.지급기준 (2)'!G49</f>
        <v>46089120</v>
      </c>
      <c r="AP50" s="1348" t="n">
        <f aca="false">+X50</f>
        <v>45716</v>
      </c>
      <c r="AQ50" s="1328"/>
      <c r="AR50" s="1399" t="n">
        <f aca="false">+$AN50*'ref.지급기준 (2)'!G49</f>
        <v>46089120</v>
      </c>
      <c r="AS50" s="1373" t="n">
        <f aca="false">+W50</f>
        <v>0</v>
      </c>
      <c r="AT50" s="1373" t="n">
        <f aca="false">+$AN50*'ref.지급기준 (2)'!I49</f>
        <v>92178240</v>
      </c>
      <c r="AU50" s="1373" t="n">
        <f aca="false">+Z50</f>
        <v>0</v>
      </c>
      <c r="AV50" s="1373" t="n">
        <f aca="false">+$AN50*'ref.지급기준 (2)'!K49</f>
        <v>184356480</v>
      </c>
      <c r="AW50" s="1373"/>
      <c r="AX50" s="1373" t="n">
        <f aca="false">+$AN50*'ref.지급기준 (2)'!M49</f>
        <v>115222800</v>
      </c>
      <c r="AY50" s="1373"/>
      <c r="AZ50" s="1373" t="n">
        <f aca="false">+$AN50*'ref.지급기준 (2)'!O49</f>
        <v>23044560</v>
      </c>
      <c r="BA50" s="1400"/>
      <c r="BB50" s="1394"/>
      <c r="BC50" s="1278"/>
      <c r="BD50" s="1332" t="b">
        <f aca="false">+(AZ50+AX50+AV50+AT50+AR50)=N50</f>
        <v>1</v>
      </c>
      <c r="BE50" s="1278"/>
      <c r="BF50" s="1278"/>
      <c r="BG50" s="1278"/>
      <c r="BH50" s="1278"/>
      <c r="BI50" s="1278"/>
      <c r="BJ50" s="1278"/>
      <c r="BK50" s="1278"/>
      <c r="BL50" s="1278"/>
      <c r="BM50" s="1278"/>
      <c r="BN50" s="1333"/>
      <c r="BO50" s="1333"/>
    </row>
    <row r="51" customFormat="false" ht="16.5" hidden="false" customHeight="true" outlineLevel="0" collapsed="false">
      <c r="A51" s="1307"/>
      <c r="B51" s="629"/>
      <c r="C51" s="1308"/>
      <c r="D51" s="1308"/>
      <c r="E51" s="1389"/>
      <c r="F51" s="1311"/>
      <c r="G51" s="1363"/>
      <c r="H51" s="1376"/>
      <c r="I51" s="1364"/>
      <c r="J51" s="1364"/>
      <c r="K51" s="1334" t="s">
        <v>114</v>
      </c>
      <c r="L51" s="1335" t="n">
        <f aca="false">+'ref.지급기준 (2)'!F50*'ref.지급기준 (2)'!D50/'ref.지급기준 (2)'!$Q$2</f>
        <v>139664000</v>
      </c>
      <c r="M51" s="1335" t="n">
        <f aca="false">+L51*10%</f>
        <v>13966400</v>
      </c>
      <c r="N51" s="1336" t="n">
        <f aca="false">SUM(L51:M51)</f>
        <v>153630400</v>
      </c>
      <c r="O51" s="1390"/>
      <c r="P51" s="1391"/>
      <c r="Q51" s="1319" t="b">
        <f aca="false">+N51=AN51</f>
        <v>1</v>
      </c>
      <c r="R51" s="1337" t="n">
        <f aca="false">+IFERROR(S51/N51,"-")</f>
        <v>0</v>
      </c>
      <c r="S51" s="1338" t="n">
        <f aca="false">+IFERROR(W51+Z51+AC51+AF51+AI51+AL51,"-")</f>
        <v>0</v>
      </c>
      <c r="T51" s="1369"/>
      <c r="U51" s="1339" t="n">
        <f aca="false">+S51/T50</f>
        <v>0</v>
      </c>
      <c r="V51" s="1337" t="n">
        <f aca="false">+IFERROR(W51/$N51,"-")</f>
        <v>0</v>
      </c>
      <c r="W51" s="1395"/>
      <c r="X51" s="1396" t="n">
        <v>45777</v>
      </c>
      <c r="Y51" s="1345" t="n">
        <f aca="false">+IFERROR(Z51/$N51,"-")</f>
        <v>0</v>
      </c>
      <c r="Z51" s="1397"/>
      <c r="AA51" s="1346" t="n">
        <f aca="false">EDATE(X51,1)</f>
        <v>45807</v>
      </c>
      <c r="AB51" s="1345" t="n">
        <f aca="false">+IFERROR(AC51/$N51,"-")</f>
        <v>0</v>
      </c>
      <c r="AC51" s="1345"/>
      <c r="AD51" s="1346" t="n">
        <f aca="false">EDATE(AA51,4)</f>
        <v>45930</v>
      </c>
      <c r="AE51" s="1345" t="n">
        <f aca="false">+IFERROR(AF51/$N51,"-")</f>
        <v>0</v>
      </c>
      <c r="AF51" s="1345"/>
      <c r="AG51" s="1346" t="n">
        <f aca="false">EDATE(AA51,6)</f>
        <v>45991</v>
      </c>
      <c r="AH51" s="1345" t="n">
        <f aca="false">+IFERROR(AI51/$N$6,"-")</f>
        <v>0</v>
      </c>
      <c r="AI51" s="1345"/>
      <c r="AJ51" s="1345"/>
      <c r="AK51" s="1345" t="n">
        <f aca="false">+IFERROR(AL51/$N$6,"-")</f>
        <v>0</v>
      </c>
      <c r="AL51" s="1345"/>
      <c r="AM51" s="1345"/>
      <c r="AN51" s="1347" t="n">
        <f aca="false">+N51</f>
        <v>153630400</v>
      </c>
      <c r="AO51" s="1347" t="n">
        <f aca="false">+AN51*'ref.지급기준 (2)'!G50</f>
        <v>61452160</v>
      </c>
      <c r="AP51" s="1348" t="n">
        <f aca="false">+X51</f>
        <v>45777</v>
      </c>
      <c r="AQ51" s="1328"/>
      <c r="AR51" s="1349" t="n">
        <f aca="false">+$AN51*'ref.지급기준 (2)'!G50</f>
        <v>61452160</v>
      </c>
      <c r="AS51" s="1347" t="n">
        <f aca="false">+W51</f>
        <v>0</v>
      </c>
      <c r="AT51" s="1347" t="n">
        <f aca="false">+$AN51*'ref.지급기준 (2)'!I50</f>
        <v>30726080</v>
      </c>
      <c r="AU51" s="1347" t="n">
        <f aca="false">+Z51</f>
        <v>0</v>
      </c>
      <c r="AV51" s="1347" t="n">
        <f aca="false">+$AN51*'ref.지급기준 (2)'!K50</f>
        <v>46089120</v>
      </c>
      <c r="AW51" s="1347"/>
      <c r="AX51" s="1347" t="n">
        <f aca="false">+$AN51*'ref.지급기준 (2)'!M50</f>
        <v>15363040</v>
      </c>
      <c r="AY51" s="1347"/>
      <c r="AZ51" s="1347" t="n">
        <f aca="false">+$AN51*'ref.지급기준 (2)'!O50</f>
        <v>0</v>
      </c>
      <c r="BA51" s="1350"/>
      <c r="BB51" s="1394"/>
      <c r="BC51" s="1278"/>
      <c r="BD51" s="1332" t="b">
        <f aca="false">+(AZ51+AX51+AV51+AT51+AR51)=N51</f>
        <v>1</v>
      </c>
      <c r="BE51" s="1278"/>
      <c r="BF51" s="1278"/>
      <c r="BG51" s="1278"/>
      <c r="BH51" s="1278"/>
      <c r="BI51" s="1278"/>
      <c r="BJ51" s="1278"/>
      <c r="BK51" s="1278"/>
      <c r="BL51" s="1278"/>
      <c r="BM51" s="1278"/>
      <c r="BN51" s="1333"/>
      <c r="BO51" s="1333"/>
    </row>
    <row r="52" customFormat="false" ht="16.5" hidden="false" customHeight="true" outlineLevel="0" collapsed="false">
      <c r="A52" s="1307"/>
      <c r="B52" s="629"/>
      <c r="C52" s="1308"/>
      <c r="D52" s="1308"/>
      <c r="E52" s="1389"/>
      <c r="F52" s="1311"/>
      <c r="G52" s="1363"/>
      <c r="H52" s="1376"/>
      <c r="I52" s="1364"/>
      <c r="J52" s="1364"/>
      <c r="K52" s="1334" t="s">
        <v>404</v>
      </c>
      <c r="L52" s="1335" t="n">
        <f aca="false">+'ref.지급기준 (2)'!F51*'ref.지급기준 (2)'!D51/'ref.지급기준 (2)'!$Q$2</f>
        <v>119712000</v>
      </c>
      <c r="M52" s="1335"/>
      <c r="N52" s="1336" t="n">
        <f aca="false">SUM(L52:M52)</f>
        <v>119712000</v>
      </c>
      <c r="O52" s="1390"/>
      <c r="P52" s="1391"/>
      <c r="Q52" s="1319" t="b">
        <f aca="false">+N52=AN52</f>
        <v>1</v>
      </c>
      <c r="R52" s="1337" t="n">
        <f aca="false">+IFERROR(S52/N52,"-")</f>
        <v>0</v>
      </c>
      <c r="S52" s="1338" t="n">
        <f aca="false">+IFERROR(W52+Z52+AC52+AF52+AI52+AL52,"-")</f>
        <v>0</v>
      </c>
      <c r="T52" s="1369"/>
      <c r="U52" s="1339" t="n">
        <f aca="false">+S52/T50</f>
        <v>0</v>
      </c>
      <c r="V52" s="1337" t="n">
        <f aca="false">+IFERROR(W52/$N52,"-")</f>
        <v>0</v>
      </c>
      <c r="W52" s="1395"/>
      <c r="X52" s="1396" t="n">
        <f aca="false">X51</f>
        <v>45777</v>
      </c>
      <c r="Y52" s="1345" t="n">
        <f aca="false">+IFERROR(Z52/$N52,"-")</f>
        <v>0</v>
      </c>
      <c r="Z52" s="1345"/>
      <c r="AA52" s="1346" t="n">
        <f aca="false">AA51</f>
        <v>45807</v>
      </c>
      <c r="AB52" s="1345" t="n">
        <f aca="false">+IFERROR(AC52/$N52,"-")</f>
        <v>0</v>
      </c>
      <c r="AC52" s="1345"/>
      <c r="AD52" s="1346" t="n">
        <f aca="false">AD51</f>
        <v>45930</v>
      </c>
      <c r="AE52" s="1345" t="n">
        <f aca="false">+IFERROR(AF52/$N52,"-")</f>
        <v>0</v>
      </c>
      <c r="AF52" s="1345"/>
      <c r="AG52" s="1346" t="n">
        <f aca="false">AG51</f>
        <v>45991</v>
      </c>
      <c r="AH52" s="1345" t="n">
        <f aca="false">+IFERROR(AI52/$N$6,"-")</f>
        <v>0</v>
      </c>
      <c r="AI52" s="1345"/>
      <c r="AJ52" s="1345"/>
      <c r="AK52" s="1345" t="n">
        <f aca="false">+IFERROR(AL52/$N$6,"-")</f>
        <v>0</v>
      </c>
      <c r="AL52" s="1345"/>
      <c r="AM52" s="1345"/>
      <c r="AN52" s="1347" t="n">
        <f aca="false">+N52</f>
        <v>119712000</v>
      </c>
      <c r="AO52" s="1347" t="n">
        <f aca="false">+AN52*'ref.지급기준 (2)'!G51</f>
        <v>47884800</v>
      </c>
      <c r="AP52" s="1348" t="n">
        <f aca="false">+X52</f>
        <v>45777</v>
      </c>
      <c r="AQ52" s="1328"/>
      <c r="AR52" s="1349" t="n">
        <f aca="false">+$AN52*'ref.지급기준 (2)'!G51</f>
        <v>47884800</v>
      </c>
      <c r="AS52" s="1347" t="n">
        <f aca="false">+W52</f>
        <v>0</v>
      </c>
      <c r="AT52" s="1347" t="n">
        <f aca="false">+$AN52*'ref.지급기준 (2)'!I51</f>
        <v>23942400</v>
      </c>
      <c r="AU52" s="1347" t="n">
        <f aca="false">+Z52</f>
        <v>0</v>
      </c>
      <c r="AV52" s="1347" t="n">
        <f aca="false">+$AN52*'ref.지급기준 (2)'!K51</f>
        <v>35913600</v>
      </c>
      <c r="AW52" s="1347"/>
      <c r="AX52" s="1347" t="n">
        <f aca="false">+$AN52*'ref.지급기준 (2)'!M51</f>
        <v>11971200</v>
      </c>
      <c r="AY52" s="1347"/>
      <c r="AZ52" s="1347" t="n">
        <f aca="false">+$AN52*'ref.지급기준 (2)'!O51</f>
        <v>0</v>
      </c>
      <c r="BA52" s="1350"/>
      <c r="BB52" s="1394"/>
      <c r="BC52" s="1278"/>
      <c r="BD52" s="1332" t="b">
        <f aca="false">+(AZ52+AX52+AV52+AT52+AR52)=N52</f>
        <v>1</v>
      </c>
      <c r="BE52" s="1278"/>
      <c r="BF52" s="1278"/>
      <c r="BG52" s="1278"/>
      <c r="BH52" s="1278"/>
      <c r="BI52" s="1278"/>
      <c r="BJ52" s="1278"/>
      <c r="BK52" s="1278"/>
      <c r="BL52" s="1278"/>
      <c r="BM52" s="1278"/>
      <c r="BN52" s="1333"/>
      <c r="BO52" s="1333"/>
    </row>
    <row r="53" customFormat="false" ht="16.5" hidden="false" customHeight="true" outlineLevel="0" collapsed="false">
      <c r="A53" s="1307"/>
      <c r="B53" s="629"/>
      <c r="C53" s="1308"/>
      <c r="D53" s="1308"/>
      <c r="E53" s="1389"/>
      <c r="F53" s="1311"/>
      <c r="G53" s="1363"/>
      <c r="H53" s="1376"/>
      <c r="I53" s="1364"/>
      <c r="J53" s="1364"/>
      <c r="K53" s="1334" t="s">
        <v>507</v>
      </c>
      <c r="L53" s="1335" t="n">
        <f aca="false">+'ref.지급기준 (2)'!F52*'ref.지급기준 (2)'!D52/'ref.지급기준 (2)'!$Q$2</f>
        <v>79808000</v>
      </c>
      <c r="M53" s="1335" t="n">
        <f aca="false">+L53*10%</f>
        <v>7980800</v>
      </c>
      <c r="N53" s="1336" t="n">
        <f aca="false">SUM(L53:M53)</f>
        <v>87788800</v>
      </c>
      <c r="O53" s="1390"/>
      <c r="P53" s="1391"/>
      <c r="Q53" s="1319" t="b">
        <f aca="false">+N53=AN53</f>
        <v>1</v>
      </c>
      <c r="R53" s="1337" t="n">
        <f aca="false">+IFERROR(S53/N53,"-")</f>
        <v>0</v>
      </c>
      <c r="S53" s="1338" t="n">
        <f aca="false">+IFERROR(W53+Z53+AC53+AF53+AI53+AL53,"-")</f>
        <v>0</v>
      </c>
      <c r="T53" s="1369"/>
      <c r="U53" s="1339" t="n">
        <f aca="false">+S53/T50</f>
        <v>0</v>
      </c>
      <c r="V53" s="1337" t="n">
        <f aca="false">+IFERROR(W53/$N53,"-")</f>
        <v>0</v>
      </c>
      <c r="W53" s="1395"/>
      <c r="X53" s="1396" t="n">
        <f aca="false">X51</f>
        <v>45777</v>
      </c>
      <c r="Y53" s="1345" t="n">
        <f aca="false">+IFERROR(Z53/$N53,"-")</f>
        <v>0</v>
      </c>
      <c r="Z53" s="1345"/>
      <c r="AA53" s="1346" t="n">
        <f aca="false">AA51</f>
        <v>45807</v>
      </c>
      <c r="AB53" s="1345" t="n">
        <f aca="false">+IFERROR(AC53/$N53,"-")</f>
        <v>0</v>
      </c>
      <c r="AC53" s="1345"/>
      <c r="AD53" s="1346" t="n">
        <f aca="false">AD51</f>
        <v>45930</v>
      </c>
      <c r="AE53" s="1345" t="n">
        <f aca="false">+IFERROR(AF53/$N53,"-")</f>
        <v>0</v>
      </c>
      <c r="AF53" s="1345"/>
      <c r="AG53" s="1346" t="n">
        <f aca="false">AG51</f>
        <v>45991</v>
      </c>
      <c r="AH53" s="1345" t="n">
        <f aca="false">+IFERROR(AI53/$N$6,"-")</f>
        <v>0</v>
      </c>
      <c r="AI53" s="1345"/>
      <c r="AJ53" s="1345"/>
      <c r="AK53" s="1345" t="n">
        <f aca="false">+IFERROR(AL53/$N$6,"-")</f>
        <v>0</v>
      </c>
      <c r="AL53" s="1345"/>
      <c r="AM53" s="1345"/>
      <c r="AN53" s="1347" t="n">
        <f aca="false">+N53</f>
        <v>87788800</v>
      </c>
      <c r="AO53" s="1347" t="n">
        <f aca="false">+AN53*'ref.지급기준 (2)'!G52</f>
        <v>35115520</v>
      </c>
      <c r="AP53" s="1348" t="n">
        <f aca="false">+X53</f>
        <v>45777</v>
      </c>
      <c r="AQ53" s="1328"/>
      <c r="AR53" s="1349" t="n">
        <f aca="false">+$AN53*'ref.지급기준 (2)'!G52</f>
        <v>35115520</v>
      </c>
      <c r="AS53" s="1347" t="n">
        <f aca="false">+W53</f>
        <v>0</v>
      </c>
      <c r="AT53" s="1347" t="n">
        <f aca="false">+$AN53*'ref.지급기준 (2)'!I52</f>
        <v>17557760</v>
      </c>
      <c r="AU53" s="1347" t="n">
        <f aca="false">+Z53</f>
        <v>0</v>
      </c>
      <c r="AV53" s="1347" t="n">
        <f aca="false">+$AN53*'ref.지급기준 (2)'!K52</f>
        <v>26336640</v>
      </c>
      <c r="AW53" s="1347"/>
      <c r="AX53" s="1347" t="n">
        <f aca="false">+$AN53*'ref.지급기준 (2)'!M52</f>
        <v>8778880</v>
      </c>
      <c r="AY53" s="1347"/>
      <c r="AZ53" s="1347" t="n">
        <f aca="false">+$AN53*'ref.지급기준 (2)'!O52</f>
        <v>0</v>
      </c>
      <c r="BA53" s="1350"/>
      <c r="BB53" s="1394"/>
      <c r="BC53" s="1278"/>
      <c r="BD53" s="1332" t="b">
        <f aca="false">+(AZ53+AX53+AV53+AT53+AR53)=N53</f>
        <v>1</v>
      </c>
      <c r="BE53" s="1278"/>
      <c r="BF53" s="1278"/>
      <c r="BG53" s="1278"/>
      <c r="BH53" s="1278"/>
      <c r="BI53" s="1278"/>
      <c r="BJ53" s="1278"/>
      <c r="BK53" s="1278"/>
      <c r="BL53" s="1278"/>
      <c r="BM53" s="1278"/>
      <c r="BN53" s="1333"/>
      <c r="BO53" s="1333"/>
    </row>
    <row r="54" customFormat="false" ht="16.5" hidden="false" customHeight="true" outlineLevel="0" collapsed="false">
      <c r="A54" s="1307"/>
      <c r="B54" s="629"/>
      <c r="C54" s="1308"/>
      <c r="D54" s="1308"/>
      <c r="E54" s="1389"/>
      <c r="F54" s="1311"/>
      <c r="G54" s="1363"/>
      <c r="H54" s="1376"/>
      <c r="I54" s="1364"/>
      <c r="J54" s="1364"/>
      <c r="K54" s="1351" t="s">
        <v>508</v>
      </c>
      <c r="L54" s="1352"/>
      <c r="M54" s="1352"/>
      <c r="N54" s="1353"/>
      <c r="O54" s="1390"/>
      <c r="P54" s="1391"/>
      <c r="Q54" s="1354"/>
      <c r="R54" s="1355"/>
      <c r="S54" s="668"/>
      <c r="T54" s="1369"/>
      <c r="U54" s="1356" t="n">
        <f aca="false">+S54/T50</f>
        <v>0</v>
      </c>
      <c r="V54" s="1355" t="str">
        <f aca="false">+IFERROR(W54/$N54,"-")</f>
        <v>-</v>
      </c>
      <c r="W54" s="1357"/>
      <c r="X54" s="1357"/>
      <c r="Y54" s="1357" t="str">
        <f aca="false">+IFERROR(Z54/$N54,"-")</f>
        <v>-</v>
      </c>
      <c r="Z54" s="1357"/>
      <c r="AA54" s="1358"/>
      <c r="AB54" s="1357" t="str">
        <f aca="false">+IFERROR(AC54/$N54,"-")</f>
        <v>-</v>
      </c>
      <c r="AC54" s="1357"/>
      <c r="AD54" s="1358"/>
      <c r="AE54" s="1357" t="str">
        <f aca="false">+IFERROR(AF54/$N54,"-")</f>
        <v>-</v>
      </c>
      <c r="AF54" s="1357"/>
      <c r="AG54" s="1358"/>
      <c r="AH54" s="1357" t="n">
        <f aca="false">+IFERROR(AI54/$N$6,"-")</f>
        <v>0</v>
      </c>
      <c r="AI54" s="1357"/>
      <c r="AJ54" s="1357"/>
      <c r="AK54" s="1357"/>
      <c r="AL54" s="1357"/>
      <c r="AM54" s="1357"/>
      <c r="AN54" s="1359" t="n">
        <f aca="false">+N54</f>
        <v>0</v>
      </c>
      <c r="AO54" s="1359" t="n">
        <f aca="false">+AR54+AT54</f>
        <v>0</v>
      </c>
      <c r="AP54" s="1360"/>
      <c r="AQ54" s="1328"/>
      <c r="AR54" s="1361" t="n">
        <f aca="false">+$AN54*'ref.지급기준 (2)'!G53</f>
        <v>0</v>
      </c>
      <c r="AS54" s="1359" t="n">
        <f aca="false">+W54</f>
        <v>0</v>
      </c>
      <c r="AT54" s="1359" t="n">
        <f aca="false">+$AN54*'ref.지급기준 (2)'!I53</f>
        <v>0</v>
      </c>
      <c r="AU54" s="1359" t="n">
        <f aca="false">+Z54</f>
        <v>0</v>
      </c>
      <c r="AV54" s="1359" t="n">
        <f aca="false">+$AN54*'ref.지급기준 (2)'!K53</f>
        <v>0</v>
      </c>
      <c r="AW54" s="1359"/>
      <c r="AX54" s="1359" t="n">
        <f aca="false">+$AN54*'ref.지급기준 (2)'!M53</f>
        <v>0</v>
      </c>
      <c r="AY54" s="1359"/>
      <c r="AZ54" s="1359" t="n">
        <f aca="false">+$AN54*'ref.지급기준 (2)'!O53</f>
        <v>0</v>
      </c>
      <c r="BA54" s="1362"/>
      <c r="BB54" s="1394"/>
      <c r="BC54" s="1278"/>
      <c r="BD54" s="1278"/>
      <c r="BE54" s="1278"/>
      <c r="BF54" s="1278"/>
      <c r="BG54" s="1278"/>
      <c r="BH54" s="1278"/>
      <c r="BI54" s="1278"/>
      <c r="BJ54" s="1278"/>
      <c r="BK54" s="1278"/>
      <c r="BL54" s="1278"/>
      <c r="BM54" s="1278"/>
      <c r="BN54" s="1333"/>
      <c r="BO54" s="1333"/>
    </row>
    <row r="55" customFormat="false" ht="16.5" hidden="false" customHeight="true" outlineLevel="0" collapsed="false">
      <c r="A55" s="1307"/>
      <c r="B55" s="629"/>
      <c r="C55" s="1308"/>
      <c r="D55" s="1308"/>
      <c r="E55" s="1389"/>
      <c r="F55" s="1401" t="s">
        <v>180</v>
      </c>
      <c r="G55" s="1312" t="n">
        <v>499.96</v>
      </c>
      <c r="H55" s="1402" t="n">
        <v>0.0909</v>
      </c>
      <c r="I55" s="1313"/>
      <c r="J55" s="1313" t="s">
        <v>1454</v>
      </c>
      <c r="K55" s="1314" t="s">
        <v>112</v>
      </c>
      <c r="L55" s="1315" t="n">
        <f aca="false">+'ref.지급기준 (2)'!F54*'ref.지급기준 (2)'!D54/'ref.지급기준 (2)'!$Q$2</f>
        <v>524958000</v>
      </c>
      <c r="M55" s="1315" t="n">
        <f aca="false">+L55*10%</f>
        <v>52495800</v>
      </c>
      <c r="N55" s="1316" t="n">
        <f aca="false">SUM(L55:M55)</f>
        <v>577453800</v>
      </c>
      <c r="O55" s="1390"/>
      <c r="P55" s="1391"/>
      <c r="Q55" s="1319" t="b">
        <f aca="false">+N55=AN55</f>
        <v>1</v>
      </c>
      <c r="R55" s="1323" t="n">
        <f aca="false">+IFERROR(S55/N55,"-")</f>
        <v>0</v>
      </c>
      <c r="S55" s="1368" t="n">
        <f aca="false">+IFERROR(W55+Z55+AC55+AF55+AI55+AL55,"-")</f>
        <v>0</v>
      </c>
      <c r="T55" s="1369" t="n">
        <v>1470</v>
      </c>
      <c r="U55" s="1370" t="n">
        <f aca="false">+S55/T55</f>
        <v>0</v>
      </c>
      <c r="V55" s="1323" t="n">
        <f aca="false">+IFERROR(W55/$N55,"-")</f>
        <v>0</v>
      </c>
      <c r="W55" s="1392"/>
      <c r="X55" s="1393" t="n">
        <v>45716</v>
      </c>
      <c r="Y55" s="1345" t="n">
        <f aca="false">+IFERROR(Z55/$N55,"-")</f>
        <v>0</v>
      </c>
      <c r="Z55" s="1345"/>
      <c r="AA55" s="1346" t="n">
        <f aca="false">+EDATE(X55,1)+3</f>
        <v>45747</v>
      </c>
      <c r="AB55" s="1345" t="n">
        <f aca="false">+IFERROR(AC55/$N55,"-")</f>
        <v>0</v>
      </c>
      <c r="AC55" s="1345"/>
      <c r="AD55" s="1346" t="n">
        <f aca="false">+EDATE(AA55,3)</f>
        <v>45838</v>
      </c>
      <c r="AE55" s="1345" t="n">
        <f aca="false">+IFERROR(AF55/$N55,"-")</f>
        <v>0</v>
      </c>
      <c r="AF55" s="1345"/>
      <c r="AG55" s="1346" t="n">
        <f aca="false">+EDATE(AA55,4)</f>
        <v>45869</v>
      </c>
      <c r="AH55" s="1345" t="n">
        <f aca="false">+IFERROR(AI55/$N$6,"-")</f>
        <v>0</v>
      </c>
      <c r="AI55" s="1345"/>
      <c r="AJ55" s="1346" t="n">
        <f aca="false">+EDATE(AA55,6)</f>
        <v>45930</v>
      </c>
      <c r="AK55" s="1345" t="n">
        <f aca="false">+IFERROR(AL55/$N$6,"-")</f>
        <v>0</v>
      </c>
      <c r="AL55" s="1345"/>
      <c r="AM55" s="1345"/>
      <c r="AN55" s="1347" t="n">
        <f aca="false">+N55</f>
        <v>577453800</v>
      </c>
      <c r="AO55" s="1347" t="n">
        <f aca="false">+AN55*'ref.지급기준 (2)'!G54</f>
        <v>57745380</v>
      </c>
      <c r="AP55" s="1348" t="n">
        <f aca="false">+X55</f>
        <v>45716</v>
      </c>
      <c r="AQ55" s="1328"/>
      <c r="AR55" s="1349" t="n">
        <f aca="false">+$AN55*'ref.지급기준 (2)'!G54</f>
        <v>57745380</v>
      </c>
      <c r="AS55" s="1347" t="n">
        <f aca="false">+W55</f>
        <v>0</v>
      </c>
      <c r="AT55" s="1347" t="n">
        <f aca="false">+$AN55*'ref.지급기준 (2)'!I54</f>
        <v>115490760</v>
      </c>
      <c r="AU55" s="1347" t="n">
        <f aca="false">+Z55</f>
        <v>0</v>
      </c>
      <c r="AV55" s="1347" t="n">
        <f aca="false">+$AN55*'ref.지급기준 (2)'!K54</f>
        <v>230981520</v>
      </c>
      <c r="AW55" s="1347"/>
      <c r="AX55" s="1347" t="n">
        <f aca="false">+$AN55*'ref.지급기준 (2)'!M54</f>
        <v>144363450</v>
      </c>
      <c r="AY55" s="1347"/>
      <c r="AZ55" s="1347" t="n">
        <f aca="false">+$AN55*'ref.지급기준 (2)'!O54</f>
        <v>28872690</v>
      </c>
      <c r="BA55" s="1350"/>
      <c r="BB55" s="1394"/>
      <c r="BC55" s="1278"/>
      <c r="BD55" s="1332" t="b">
        <f aca="false">+(AZ55+AX55+AV55+AT55+AR55)=N55</f>
        <v>1</v>
      </c>
      <c r="BE55" s="1278"/>
      <c r="BF55" s="1278"/>
      <c r="BG55" s="1278"/>
      <c r="BH55" s="1278"/>
      <c r="BI55" s="1278"/>
      <c r="BJ55" s="1278"/>
      <c r="BK55" s="1278"/>
      <c r="BL55" s="1278"/>
      <c r="BM55" s="1278"/>
      <c r="BN55" s="1333"/>
      <c r="BO55" s="1333"/>
    </row>
    <row r="56" customFormat="false" ht="16.5" hidden="false" customHeight="true" outlineLevel="0" collapsed="false">
      <c r="A56" s="1307"/>
      <c r="B56" s="629"/>
      <c r="C56" s="1308"/>
      <c r="D56" s="1308"/>
      <c r="E56" s="1389"/>
      <c r="F56" s="1401"/>
      <c r="G56" s="1312"/>
      <c r="H56" s="1402"/>
      <c r="I56" s="1313"/>
      <c r="J56" s="1313"/>
      <c r="K56" s="1334" t="s">
        <v>114</v>
      </c>
      <c r="L56" s="1335" t="n">
        <f aca="false">+'ref.지급기준 (2)'!F55*'ref.지급기준 (2)'!D55/'ref.지급기준 (2)'!$Q$2</f>
        <v>174986000</v>
      </c>
      <c r="M56" s="1335" t="n">
        <f aca="false">+L56*10%</f>
        <v>17498600</v>
      </c>
      <c r="N56" s="1336" t="n">
        <f aca="false">SUM(L56:M56)</f>
        <v>192484600</v>
      </c>
      <c r="O56" s="1390"/>
      <c r="P56" s="1391"/>
      <c r="Q56" s="1319" t="b">
        <f aca="false">+N56=AN56</f>
        <v>1</v>
      </c>
      <c r="R56" s="1337" t="n">
        <f aca="false">+IFERROR(S56/N56,"-")</f>
        <v>0</v>
      </c>
      <c r="S56" s="1338" t="n">
        <f aca="false">+IFERROR(W56+Z56+AC56+AF56+AI56+AL56,"-")</f>
        <v>0</v>
      </c>
      <c r="T56" s="1369"/>
      <c r="U56" s="1339" t="n">
        <f aca="false">+S56/T55</f>
        <v>0</v>
      </c>
      <c r="V56" s="1337" t="n">
        <f aca="false">+IFERROR(W56/$N56,"-")</f>
        <v>0</v>
      </c>
      <c r="W56" s="1395"/>
      <c r="X56" s="1396" t="n">
        <v>45777</v>
      </c>
      <c r="Y56" s="1345" t="n">
        <f aca="false">+IFERROR(Z56/$N56,"-")</f>
        <v>0</v>
      </c>
      <c r="Z56" s="1397"/>
      <c r="AA56" s="1346" t="n">
        <f aca="false">EDATE(X56,1)</f>
        <v>45807</v>
      </c>
      <c r="AB56" s="1345" t="n">
        <f aca="false">+IFERROR(AC56/$N56,"-")</f>
        <v>0</v>
      </c>
      <c r="AC56" s="1345"/>
      <c r="AD56" s="1346" t="n">
        <f aca="false">EDATE(AA56,4)</f>
        <v>45930</v>
      </c>
      <c r="AE56" s="1345" t="n">
        <f aca="false">+IFERROR(AF56/$N56,"-")</f>
        <v>0</v>
      </c>
      <c r="AF56" s="1345"/>
      <c r="AG56" s="1346" t="n">
        <f aca="false">EDATE(AA56,6)</f>
        <v>45991</v>
      </c>
      <c r="AH56" s="1345" t="n">
        <f aca="false">+IFERROR(AI56/$N$6,"-")</f>
        <v>0</v>
      </c>
      <c r="AI56" s="1345"/>
      <c r="AJ56" s="1345"/>
      <c r="AK56" s="1345" t="n">
        <f aca="false">+IFERROR(AL56/$N$6,"-")</f>
        <v>0</v>
      </c>
      <c r="AL56" s="1345"/>
      <c r="AM56" s="1345"/>
      <c r="AN56" s="1347" t="n">
        <f aca="false">+N56</f>
        <v>192484600</v>
      </c>
      <c r="AO56" s="1347" t="n">
        <f aca="false">+AN56*'ref.지급기준 (2)'!G55</f>
        <v>76993840</v>
      </c>
      <c r="AP56" s="1348" t="n">
        <f aca="false">+X56</f>
        <v>45777</v>
      </c>
      <c r="AQ56" s="1328"/>
      <c r="AR56" s="1349" t="n">
        <f aca="false">+$AN56*'ref.지급기준 (2)'!G55</f>
        <v>76993840</v>
      </c>
      <c r="AS56" s="1347" t="n">
        <f aca="false">+W56</f>
        <v>0</v>
      </c>
      <c r="AT56" s="1347" t="n">
        <f aca="false">+$AN56*'ref.지급기준 (2)'!I55</f>
        <v>38496920</v>
      </c>
      <c r="AU56" s="1347" t="n">
        <f aca="false">+Z56</f>
        <v>0</v>
      </c>
      <c r="AV56" s="1347" t="n">
        <f aca="false">+$AN56*'ref.지급기준 (2)'!K55</f>
        <v>57745380</v>
      </c>
      <c r="AW56" s="1347"/>
      <c r="AX56" s="1347" t="n">
        <f aca="false">+$AN56*'ref.지급기준 (2)'!M55</f>
        <v>19248460</v>
      </c>
      <c r="AY56" s="1347"/>
      <c r="AZ56" s="1347" t="n">
        <f aca="false">+$AN56*'ref.지급기준 (2)'!O55</f>
        <v>0</v>
      </c>
      <c r="BA56" s="1350"/>
      <c r="BB56" s="1394"/>
      <c r="BC56" s="1278"/>
      <c r="BD56" s="1332" t="b">
        <f aca="false">+(AZ56+AX56+AV56+AT56+AR56)=N56</f>
        <v>1</v>
      </c>
      <c r="BE56" s="1278"/>
      <c r="BF56" s="1278"/>
      <c r="BG56" s="1278"/>
      <c r="BH56" s="1278"/>
      <c r="BI56" s="1278"/>
      <c r="BJ56" s="1278"/>
      <c r="BK56" s="1278"/>
      <c r="BL56" s="1278"/>
      <c r="BM56" s="1278"/>
      <c r="BN56" s="1333"/>
      <c r="BO56" s="1333"/>
    </row>
    <row r="57" customFormat="false" ht="16.5" hidden="false" customHeight="true" outlineLevel="0" collapsed="false">
      <c r="A57" s="1307"/>
      <c r="B57" s="629"/>
      <c r="C57" s="1308"/>
      <c r="D57" s="1308"/>
      <c r="E57" s="1389"/>
      <c r="F57" s="1401"/>
      <c r="G57" s="1312"/>
      <c r="H57" s="1402"/>
      <c r="I57" s="1313"/>
      <c r="J57" s="1313"/>
      <c r="K57" s="1334" t="s">
        <v>404</v>
      </c>
      <c r="L57" s="1335" t="n">
        <f aca="false">+'ref.지급기준 (2)'!F56*'ref.지급기준 (2)'!D56/'ref.지급기준 (2)'!$Q$2</f>
        <v>149988000</v>
      </c>
      <c r="M57" s="1335"/>
      <c r="N57" s="1336" t="n">
        <f aca="false">SUM(L57:M57)</f>
        <v>149988000</v>
      </c>
      <c r="O57" s="1390"/>
      <c r="P57" s="1391"/>
      <c r="Q57" s="1319" t="b">
        <f aca="false">+N57=AN57</f>
        <v>1</v>
      </c>
      <c r="R57" s="1337" t="n">
        <f aca="false">+IFERROR(S57/N57,"-")</f>
        <v>0</v>
      </c>
      <c r="S57" s="1338" t="n">
        <f aca="false">+IFERROR(W57+Z57+AC57+AF57+AI57+AL57,"-")</f>
        <v>0</v>
      </c>
      <c r="T57" s="1369"/>
      <c r="U57" s="1339" t="n">
        <f aca="false">+S57/T55</f>
        <v>0</v>
      </c>
      <c r="V57" s="1337" t="n">
        <f aca="false">+IFERROR(W57/$N57,"-")</f>
        <v>0</v>
      </c>
      <c r="W57" s="1395"/>
      <c r="X57" s="1396" t="n">
        <f aca="false">X56</f>
        <v>45777</v>
      </c>
      <c r="Y57" s="1345" t="n">
        <f aca="false">+IFERROR(Z57/$N57,"-")</f>
        <v>0</v>
      </c>
      <c r="Z57" s="1345"/>
      <c r="AA57" s="1346" t="n">
        <f aca="false">AA56</f>
        <v>45807</v>
      </c>
      <c r="AB57" s="1345" t="n">
        <f aca="false">+IFERROR(AC57/$N57,"-")</f>
        <v>0</v>
      </c>
      <c r="AC57" s="1345"/>
      <c r="AD57" s="1346" t="n">
        <f aca="false">AD56</f>
        <v>45930</v>
      </c>
      <c r="AE57" s="1345" t="n">
        <f aca="false">+IFERROR(AF57/$N57,"-")</f>
        <v>0</v>
      </c>
      <c r="AF57" s="1345"/>
      <c r="AG57" s="1346" t="n">
        <f aca="false">AG56</f>
        <v>45991</v>
      </c>
      <c r="AH57" s="1345" t="n">
        <f aca="false">+IFERROR(AI57/$N$6,"-")</f>
        <v>0</v>
      </c>
      <c r="AI57" s="1345"/>
      <c r="AJ57" s="1345"/>
      <c r="AK57" s="1345" t="n">
        <f aca="false">+IFERROR(AL57/$N$6,"-")</f>
        <v>0</v>
      </c>
      <c r="AL57" s="1345"/>
      <c r="AM57" s="1345"/>
      <c r="AN57" s="1347" t="n">
        <f aca="false">+N57</f>
        <v>149988000</v>
      </c>
      <c r="AO57" s="1347" t="n">
        <f aca="false">+AN57*'ref.지급기준 (2)'!G56</f>
        <v>59995200</v>
      </c>
      <c r="AP57" s="1348" t="n">
        <f aca="false">+X57</f>
        <v>45777</v>
      </c>
      <c r="AQ57" s="1328"/>
      <c r="AR57" s="1349" t="n">
        <f aca="false">+$AN57*'ref.지급기준 (2)'!G56</f>
        <v>59995200</v>
      </c>
      <c r="AS57" s="1347" t="n">
        <f aca="false">+W57</f>
        <v>0</v>
      </c>
      <c r="AT57" s="1347" t="n">
        <f aca="false">+$AN57*'ref.지급기준 (2)'!I56</f>
        <v>29997600</v>
      </c>
      <c r="AU57" s="1347" t="n">
        <f aca="false">+Z57</f>
        <v>0</v>
      </c>
      <c r="AV57" s="1347" t="n">
        <f aca="false">+$AN57*'ref.지급기준 (2)'!K56</f>
        <v>44996400</v>
      </c>
      <c r="AW57" s="1347"/>
      <c r="AX57" s="1347" t="n">
        <f aca="false">+$AN57*'ref.지급기준 (2)'!M56</f>
        <v>14998800</v>
      </c>
      <c r="AY57" s="1347"/>
      <c r="AZ57" s="1347" t="n">
        <f aca="false">+$AN57*'ref.지급기준 (2)'!O56</f>
        <v>0</v>
      </c>
      <c r="BA57" s="1350"/>
      <c r="BB57" s="1394"/>
      <c r="BC57" s="1278"/>
      <c r="BD57" s="1332" t="b">
        <f aca="false">+(AZ57+AX57+AV57+AT57+AR57)=N57</f>
        <v>1</v>
      </c>
      <c r="BE57" s="1278"/>
      <c r="BF57" s="1278"/>
      <c r="BG57" s="1278"/>
      <c r="BH57" s="1278"/>
      <c r="BI57" s="1278"/>
      <c r="BJ57" s="1278"/>
      <c r="BK57" s="1278"/>
      <c r="BL57" s="1278"/>
      <c r="BM57" s="1278"/>
      <c r="BN57" s="1333"/>
      <c r="BO57" s="1333"/>
    </row>
    <row r="58" customFormat="false" ht="16.5" hidden="false" customHeight="true" outlineLevel="0" collapsed="false">
      <c r="A58" s="1307"/>
      <c r="B58" s="629"/>
      <c r="C58" s="1308"/>
      <c r="D58" s="1308"/>
      <c r="E58" s="1389"/>
      <c r="F58" s="1401"/>
      <c r="G58" s="1312"/>
      <c r="H58" s="1402"/>
      <c r="I58" s="1313"/>
      <c r="J58" s="1313"/>
      <c r="K58" s="1334" t="s">
        <v>507</v>
      </c>
      <c r="L58" s="1335" t="n">
        <f aca="false">+'ref.지급기준 (2)'!F57*'ref.지급기준 (2)'!D57/'ref.지급기준 (2)'!$Q$2</f>
        <v>99992000</v>
      </c>
      <c r="M58" s="1335" t="n">
        <f aca="false">+L58*10%</f>
        <v>9999200</v>
      </c>
      <c r="N58" s="1336" t="n">
        <f aca="false">SUM(L58:M58)</f>
        <v>109991200</v>
      </c>
      <c r="O58" s="1390"/>
      <c r="P58" s="1391"/>
      <c r="Q58" s="1319" t="b">
        <f aca="false">+N58=AN58</f>
        <v>1</v>
      </c>
      <c r="R58" s="1337" t="n">
        <f aca="false">+IFERROR(S58/N58,"-")</f>
        <v>0</v>
      </c>
      <c r="S58" s="1338" t="n">
        <f aca="false">+IFERROR(W58+Z58+AC58+AF58+AI58+AL58,"-")</f>
        <v>0</v>
      </c>
      <c r="T58" s="1369"/>
      <c r="U58" s="1339" t="n">
        <f aca="false">+S58/T55</f>
        <v>0</v>
      </c>
      <c r="V58" s="1337" t="n">
        <f aca="false">+IFERROR(W58/$N58,"-")</f>
        <v>0</v>
      </c>
      <c r="W58" s="1395"/>
      <c r="X58" s="1396" t="n">
        <f aca="false">X56</f>
        <v>45777</v>
      </c>
      <c r="Y58" s="1345" t="n">
        <f aca="false">+IFERROR(Z58/$N58,"-")</f>
        <v>0</v>
      </c>
      <c r="Z58" s="1345"/>
      <c r="AA58" s="1346" t="n">
        <f aca="false">AA56</f>
        <v>45807</v>
      </c>
      <c r="AB58" s="1345" t="n">
        <f aca="false">+IFERROR(AC58/$N58,"-")</f>
        <v>0</v>
      </c>
      <c r="AC58" s="1345"/>
      <c r="AD58" s="1346" t="n">
        <f aca="false">AD56</f>
        <v>45930</v>
      </c>
      <c r="AE58" s="1345" t="n">
        <f aca="false">+IFERROR(AF58/$N58,"-")</f>
        <v>0</v>
      </c>
      <c r="AF58" s="1345"/>
      <c r="AG58" s="1346" t="n">
        <f aca="false">AG56</f>
        <v>45991</v>
      </c>
      <c r="AH58" s="1345" t="n">
        <f aca="false">+IFERROR(AI58/$N$6,"-")</f>
        <v>0</v>
      </c>
      <c r="AI58" s="1345"/>
      <c r="AJ58" s="1345"/>
      <c r="AK58" s="1345" t="n">
        <f aca="false">+IFERROR(AL58/$N$6,"-")</f>
        <v>0</v>
      </c>
      <c r="AL58" s="1345"/>
      <c r="AM58" s="1345"/>
      <c r="AN58" s="1347" t="n">
        <f aca="false">+N58</f>
        <v>109991200</v>
      </c>
      <c r="AO58" s="1347" t="n">
        <f aca="false">+AN58*'ref.지급기준 (2)'!G57</f>
        <v>43996480</v>
      </c>
      <c r="AP58" s="1348" t="n">
        <f aca="false">+X58</f>
        <v>45777</v>
      </c>
      <c r="AQ58" s="1328"/>
      <c r="AR58" s="1349" t="n">
        <f aca="false">+$AN58*'ref.지급기준 (2)'!G57</f>
        <v>43996480</v>
      </c>
      <c r="AS58" s="1347" t="n">
        <f aca="false">+W58</f>
        <v>0</v>
      </c>
      <c r="AT58" s="1347" t="n">
        <f aca="false">+$AN58*'ref.지급기준 (2)'!I57</f>
        <v>21998240</v>
      </c>
      <c r="AU58" s="1347" t="n">
        <f aca="false">+Z58</f>
        <v>0</v>
      </c>
      <c r="AV58" s="1347" t="n">
        <f aca="false">+$AN58*'ref.지급기준 (2)'!K57</f>
        <v>32997360</v>
      </c>
      <c r="AW58" s="1347"/>
      <c r="AX58" s="1347" t="n">
        <f aca="false">+$AN58*'ref.지급기준 (2)'!M57</f>
        <v>10999120</v>
      </c>
      <c r="AY58" s="1347"/>
      <c r="AZ58" s="1347" t="n">
        <f aca="false">+$AN58*'ref.지급기준 (2)'!O57</f>
        <v>0</v>
      </c>
      <c r="BA58" s="1350"/>
      <c r="BB58" s="1394"/>
      <c r="BC58" s="1278"/>
      <c r="BD58" s="1332" t="b">
        <f aca="false">+(AZ58+AX58+AV58+AT58+AR58)=N58</f>
        <v>1</v>
      </c>
      <c r="BE58" s="1278"/>
      <c r="BF58" s="1278"/>
      <c r="BG58" s="1278"/>
      <c r="BH58" s="1278"/>
      <c r="BI58" s="1278"/>
      <c r="BJ58" s="1278"/>
      <c r="BK58" s="1278"/>
      <c r="BL58" s="1278"/>
      <c r="BM58" s="1278"/>
      <c r="BN58" s="1333"/>
      <c r="BO58" s="1333"/>
    </row>
    <row r="59" customFormat="false" ht="16.5" hidden="false" customHeight="true" outlineLevel="0" collapsed="false">
      <c r="A59" s="1307"/>
      <c r="B59" s="629"/>
      <c r="C59" s="1308"/>
      <c r="D59" s="1308"/>
      <c r="E59" s="1389"/>
      <c r="F59" s="1401"/>
      <c r="G59" s="1312"/>
      <c r="H59" s="1402"/>
      <c r="I59" s="1313"/>
      <c r="J59" s="1313"/>
      <c r="K59" s="1351" t="s">
        <v>508</v>
      </c>
      <c r="L59" s="1352"/>
      <c r="M59" s="1352"/>
      <c r="N59" s="1353"/>
      <c r="O59" s="1390"/>
      <c r="P59" s="1391"/>
      <c r="Q59" s="1354"/>
      <c r="R59" s="1355"/>
      <c r="S59" s="668"/>
      <c r="T59" s="1369"/>
      <c r="U59" s="1356" t="n">
        <f aca="false">+S59/T55</f>
        <v>0</v>
      </c>
      <c r="V59" s="1355" t="str">
        <f aca="false">+IFERROR(W59/$N59,"-")</f>
        <v>-</v>
      </c>
      <c r="W59" s="1357"/>
      <c r="X59" s="1357"/>
      <c r="Y59" s="1357" t="str">
        <f aca="false">+IFERROR(Z59/$N59,"-")</f>
        <v>-</v>
      </c>
      <c r="Z59" s="1357"/>
      <c r="AA59" s="1358"/>
      <c r="AB59" s="1357" t="str">
        <f aca="false">+IFERROR(AC59/$N59,"-")</f>
        <v>-</v>
      </c>
      <c r="AC59" s="1357"/>
      <c r="AD59" s="1358"/>
      <c r="AE59" s="1357" t="str">
        <f aca="false">+IFERROR(AF59/$N59,"-")</f>
        <v>-</v>
      </c>
      <c r="AF59" s="1357"/>
      <c r="AG59" s="1358"/>
      <c r="AH59" s="1357" t="n">
        <f aca="false">+IFERROR(AI59/$N$6,"-")</f>
        <v>0</v>
      </c>
      <c r="AI59" s="1357"/>
      <c r="AJ59" s="1357"/>
      <c r="AK59" s="1357"/>
      <c r="AL59" s="1357"/>
      <c r="AM59" s="1357"/>
      <c r="AN59" s="1359" t="n">
        <f aca="false">+N59</f>
        <v>0</v>
      </c>
      <c r="AO59" s="1359" t="n">
        <f aca="false">+AR59+AT59</f>
        <v>0</v>
      </c>
      <c r="AP59" s="1360"/>
      <c r="AQ59" s="1328"/>
      <c r="AR59" s="1361" t="n">
        <f aca="false">+$AN59*'ref.지급기준 (2)'!G58</f>
        <v>0</v>
      </c>
      <c r="AS59" s="1359" t="n">
        <f aca="false">+W59</f>
        <v>0</v>
      </c>
      <c r="AT59" s="1359" t="n">
        <f aca="false">+$AN59*'ref.지급기준 (2)'!I58</f>
        <v>0</v>
      </c>
      <c r="AU59" s="1359" t="n">
        <f aca="false">+Z59</f>
        <v>0</v>
      </c>
      <c r="AV59" s="1359" t="n">
        <f aca="false">+$AN59*'ref.지급기준 (2)'!K58</f>
        <v>0</v>
      </c>
      <c r="AW59" s="1359"/>
      <c r="AX59" s="1359" t="n">
        <f aca="false">+$AN59*'ref.지급기준 (2)'!M58</f>
        <v>0</v>
      </c>
      <c r="AY59" s="1359"/>
      <c r="AZ59" s="1359" t="n">
        <f aca="false">+$AN59*'ref.지급기준 (2)'!O58</f>
        <v>0</v>
      </c>
      <c r="BA59" s="1362"/>
      <c r="BB59" s="1394"/>
      <c r="BC59" s="1278"/>
      <c r="BD59" s="1278"/>
      <c r="BE59" s="1278"/>
      <c r="BF59" s="1278"/>
      <c r="BG59" s="1278"/>
      <c r="BH59" s="1278"/>
      <c r="BI59" s="1278"/>
      <c r="BJ59" s="1278"/>
      <c r="BK59" s="1278"/>
      <c r="BL59" s="1278"/>
      <c r="BM59" s="1278"/>
      <c r="BN59" s="1333"/>
      <c r="BO59" s="1333"/>
    </row>
    <row r="60" customFormat="false" ht="16.5" hidden="false" customHeight="true" outlineLevel="0" collapsed="false">
      <c r="A60" s="1307"/>
      <c r="B60" s="629"/>
      <c r="C60" s="1308"/>
      <c r="D60" s="1308"/>
      <c r="E60" s="1389"/>
      <c r="F60" s="1378" t="s">
        <v>181</v>
      </c>
      <c r="G60" s="1379" t="n">
        <v>499.96</v>
      </c>
      <c r="H60" s="1380" t="n">
        <v>0.0856</v>
      </c>
      <c r="I60" s="1382"/>
      <c r="J60" s="1382" t="s">
        <v>1454</v>
      </c>
      <c r="K60" s="1314" t="s">
        <v>112</v>
      </c>
      <c r="L60" s="1315" t="n">
        <f aca="false">+'ref.지급기준 (2)'!F59*'ref.지급기준 (2)'!D59/'ref.지급기준 (2)'!$Q$2</f>
        <v>524958000</v>
      </c>
      <c r="M60" s="1315" t="n">
        <f aca="false">+L60*10%</f>
        <v>52495800</v>
      </c>
      <c r="N60" s="1316" t="n">
        <f aca="false">SUM(L60:M60)</f>
        <v>577453800</v>
      </c>
      <c r="O60" s="1390"/>
      <c r="P60" s="1391"/>
      <c r="Q60" s="1319" t="b">
        <f aca="false">+N60=AN60</f>
        <v>1</v>
      </c>
      <c r="R60" s="1323" t="n">
        <f aca="false">+IFERROR(S60/N60,"-")</f>
        <v>0</v>
      </c>
      <c r="S60" s="1368" t="n">
        <f aca="false">+IFERROR(W60+Z60+AC60+AF60+AI60+AL60,"-")</f>
        <v>0</v>
      </c>
      <c r="T60" s="1369" t="n">
        <v>1470</v>
      </c>
      <c r="U60" s="1370" t="n">
        <f aca="false">+S60/T60</f>
        <v>0</v>
      </c>
      <c r="V60" s="1323" t="n">
        <f aca="false">+IFERROR(W60/$N60,"-")</f>
        <v>0</v>
      </c>
      <c r="W60" s="1392"/>
      <c r="X60" s="1393" t="n">
        <v>45716</v>
      </c>
      <c r="Y60" s="1345" t="n">
        <f aca="false">+IFERROR(Z60/$N60,"-")</f>
        <v>0</v>
      </c>
      <c r="Z60" s="1345"/>
      <c r="AA60" s="1346" t="n">
        <f aca="false">+EDATE(X60,1)+3</f>
        <v>45747</v>
      </c>
      <c r="AB60" s="1345" t="n">
        <f aca="false">+IFERROR(AC60/$N60,"-")</f>
        <v>0</v>
      </c>
      <c r="AC60" s="1345"/>
      <c r="AD60" s="1346" t="n">
        <f aca="false">+EDATE(AA60,3)</f>
        <v>45838</v>
      </c>
      <c r="AE60" s="1345" t="n">
        <f aca="false">+IFERROR(AF60/$N60,"-")</f>
        <v>0</v>
      </c>
      <c r="AF60" s="1345"/>
      <c r="AG60" s="1346" t="n">
        <f aca="false">+EDATE(AA60,4)</f>
        <v>45869</v>
      </c>
      <c r="AH60" s="1345" t="n">
        <f aca="false">+IFERROR(AI60/$N$6,"-")</f>
        <v>0</v>
      </c>
      <c r="AI60" s="1345"/>
      <c r="AJ60" s="1346" t="n">
        <f aca="false">+EDATE(AA60,6)</f>
        <v>45930</v>
      </c>
      <c r="AK60" s="1345" t="n">
        <f aca="false">+IFERROR(AL60/$N$6,"-")</f>
        <v>0</v>
      </c>
      <c r="AL60" s="1345"/>
      <c r="AM60" s="1345"/>
      <c r="AN60" s="1347" t="n">
        <f aca="false">+N60</f>
        <v>577453800</v>
      </c>
      <c r="AO60" s="1347" t="n">
        <f aca="false">+AN60*'ref.지급기준 (2)'!G59</f>
        <v>57745380</v>
      </c>
      <c r="AP60" s="1348" t="n">
        <f aca="false">+X60</f>
        <v>45716</v>
      </c>
      <c r="AQ60" s="1328"/>
      <c r="AR60" s="1349" t="n">
        <f aca="false">+$AN60*'ref.지급기준 (2)'!G59</f>
        <v>57745380</v>
      </c>
      <c r="AS60" s="1347" t="n">
        <f aca="false">+W60</f>
        <v>0</v>
      </c>
      <c r="AT60" s="1347" t="n">
        <f aca="false">+$AN60*'ref.지급기준 (2)'!I59</f>
        <v>115490760</v>
      </c>
      <c r="AU60" s="1347" t="n">
        <f aca="false">+Z60</f>
        <v>0</v>
      </c>
      <c r="AV60" s="1347" t="n">
        <f aca="false">+$AN60*'ref.지급기준 (2)'!K59</f>
        <v>230981520</v>
      </c>
      <c r="AW60" s="1347"/>
      <c r="AX60" s="1347" t="n">
        <f aca="false">+$AN60*'ref.지급기준 (2)'!M59</f>
        <v>144363450</v>
      </c>
      <c r="AY60" s="1347"/>
      <c r="AZ60" s="1347" t="n">
        <f aca="false">+$AN60*'ref.지급기준 (2)'!O59</f>
        <v>28872690</v>
      </c>
      <c r="BA60" s="1350"/>
      <c r="BB60" s="1394"/>
      <c r="BC60" s="1278"/>
      <c r="BD60" s="1332" t="b">
        <f aca="false">+(AZ60+AX60+AV60+AT60+AR60)=N60</f>
        <v>1</v>
      </c>
      <c r="BE60" s="1278"/>
      <c r="BF60" s="1278"/>
      <c r="BG60" s="1278"/>
      <c r="BH60" s="1278"/>
      <c r="BI60" s="1278"/>
      <c r="BJ60" s="1278"/>
      <c r="BK60" s="1278"/>
      <c r="BL60" s="1278"/>
      <c r="BM60" s="1278"/>
      <c r="BN60" s="1333"/>
      <c r="BO60" s="1333"/>
    </row>
    <row r="61" customFormat="false" ht="16.5" hidden="false" customHeight="true" outlineLevel="0" collapsed="false">
      <c r="A61" s="1307"/>
      <c r="B61" s="629"/>
      <c r="C61" s="1308"/>
      <c r="D61" s="1308"/>
      <c r="E61" s="1389"/>
      <c r="F61" s="1378"/>
      <c r="G61" s="1379"/>
      <c r="H61" s="1380"/>
      <c r="I61" s="1382"/>
      <c r="J61" s="1382"/>
      <c r="K61" s="1334" t="s">
        <v>114</v>
      </c>
      <c r="L61" s="1335" t="n">
        <f aca="false">+'ref.지급기준 (2)'!F60*'ref.지급기준 (2)'!D60/'ref.지급기준 (2)'!$Q$2</f>
        <v>174986000</v>
      </c>
      <c r="M61" s="1335" t="n">
        <f aca="false">+L61*10%</f>
        <v>17498600</v>
      </c>
      <c r="N61" s="1336" t="n">
        <f aca="false">SUM(L61:M61)</f>
        <v>192484600</v>
      </c>
      <c r="O61" s="1390"/>
      <c r="P61" s="1391"/>
      <c r="Q61" s="1319" t="b">
        <f aca="false">+N61=AN61</f>
        <v>1</v>
      </c>
      <c r="R61" s="1337" t="n">
        <f aca="false">+IFERROR(S61/N61,"-")</f>
        <v>0</v>
      </c>
      <c r="S61" s="1338" t="n">
        <f aca="false">+IFERROR(W61+Z61+AC61+AF61+AI61+AL61,"-")</f>
        <v>0</v>
      </c>
      <c r="T61" s="1369"/>
      <c r="U61" s="1339" t="n">
        <f aca="false">+S61/T60</f>
        <v>0</v>
      </c>
      <c r="V61" s="1337" t="n">
        <f aca="false">+IFERROR(W61/$N61,"-")</f>
        <v>0</v>
      </c>
      <c r="W61" s="1395"/>
      <c r="X61" s="1396" t="n">
        <v>45777</v>
      </c>
      <c r="Y61" s="1345" t="n">
        <f aca="false">+IFERROR(Z61/$N61,"-")</f>
        <v>0</v>
      </c>
      <c r="Z61" s="1397"/>
      <c r="AA61" s="1346" t="n">
        <f aca="false">EDATE(X61,1)</f>
        <v>45807</v>
      </c>
      <c r="AB61" s="1345" t="n">
        <f aca="false">+IFERROR(AC61/$N61,"-")</f>
        <v>0</v>
      </c>
      <c r="AC61" s="1345"/>
      <c r="AD61" s="1346" t="n">
        <f aca="false">EDATE(AA61,4)</f>
        <v>45930</v>
      </c>
      <c r="AE61" s="1345" t="n">
        <f aca="false">+IFERROR(AF61/$N61,"-")</f>
        <v>0</v>
      </c>
      <c r="AF61" s="1345"/>
      <c r="AG61" s="1346" t="n">
        <f aca="false">EDATE(AA61,6)</f>
        <v>45991</v>
      </c>
      <c r="AH61" s="1345" t="n">
        <f aca="false">+IFERROR(AI61/$N$6,"-")</f>
        <v>0</v>
      </c>
      <c r="AI61" s="1345"/>
      <c r="AJ61" s="1346"/>
      <c r="AK61" s="1345" t="n">
        <f aca="false">+IFERROR(AL61/$N$6,"-")</f>
        <v>0</v>
      </c>
      <c r="AL61" s="1345"/>
      <c r="AM61" s="1345"/>
      <c r="AN61" s="1347" t="n">
        <f aca="false">+N61</f>
        <v>192484600</v>
      </c>
      <c r="AO61" s="1347" t="n">
        <f aca="false">+AN61*'ref.지급기준 (2)'!G60</f>
        <v>76993840</v>
      </c>
      <c r="AP61" s="1348" t="n">
        <f aca="false">+X61</f>
        <v>45777</v>
      </c>
      <c r="AQ61" s="1328"/>
      <c r="AR61" s="1349" t="n">
        <f aca="false">+$AN61*'ref.지급기준 (2)'!G60</f>
        <v>76993840</v>
      </c>
      <c r="AS61" s="1347" t="n">
        <f aca="false">+W61</f>
        <v>0</v>
      </c>
      <c r="AT61" s="1347" t="n">
        <f aca="false">+$AN61*'ref.지급기준 (2)'!I60</f>
        <v>38496920</v>
      </c>
      <c r="AU61" s="1347" t="n">
        <f aca="false">+Z61</f>
        <v>0</v>
      </c>
      <c r="AV61" s="1347" t="n">
        <f aca="false">+$AN61*'ref.지급기준 (2)'!K60</f>
        <v>57745380</v>
      </c>
      <c r="AW61" s="1347"/>
      <c r="AX61" s="1347" t="n">
        <f aca="false">+$AN61*'ref.지급기준 (2)'!M60</f>
        <v>19248460</v>
      </c>
      <c r="AY61" s="1347"/>
      <c r="AZ61" s="1347" t="n">
        <f aca="false">+$AN61*'ref.지급기준 (2)'!O60</f>
        <v>0</v>
      </c>
      <c r="BA61" s="1350"/>
      <c r="BB61" s="1394"/>
      <c r="BC61" s="1278"/>
      <c r="BD61" s="1332" t="b">
        <f aca="false">+(AZ61+AX61+AV61+AT61+AR61)=N61</f>
        <v>1</v>
      </c>
      <c r="BE61" s="1278"/>
      <c r="BF61" s="1278"/>
      <c r="BG61" s="1278"/>
      <c r="BH61" s="1278"/>
      <c r="BI61" s="1278"/>
      <c r="BJ61" s="1278"/>
      <c r="BK61" s="1278"/>
      <c r="BL61" s="1278"/>
      <c r="BM61" s="1278"/>
      <c r="BN61" s="1333"/>
      <c r="BO61" s="1333"/>
    </row>
    <row r="62" customFormat="false" ht="16.5" hidden="false" customHeight="true" outlineLevel="0" collapsed="false">
      <c r="A62" s="1307"/>
      <c r="B62" s="629"/>
      <c r="C62" s="1308"/>
      <c r="D62" s="1308"/>
      <c r="E62" s="1389"/>
      <c r="F62" s="1378"/>
      <c r="G62" s="1379"/>
      <c r="H62" s="1380"/>
      <c r="I62" s="1382"/>
      <c r="J62" s="1382"/>
      <c r="K62" s="1334" t="s">
        <v>404</v>
      </c>
      <c r="L62" s="1335" t="n">
        <f aca="false">+'ref.지급기준 (2)'!F61*'ref.지급기준 (2)'!D61/'ref.지급기준 (2)'!$Q$2</f>
        <v>149988000</v>
      </c>
      <c r="M62" s="1335"/>
      <c r="N62" s="1336" t="n">
        <f aca="false">SUM(L62:M62)</f>
        <v>149988000</v>
      </c>
      <c r="O62" s="1390"/>
      <c r="P62" s="1391"/>
      <c r="Q62" s="1319" t="b">
        <f aca="false">+N62=AN62</f>
        <v>1</v>
      </c>
      <c r="R62" s="1337" t="n">
        <f aca="false">+IFERROR(S62/N62,"-")</f>
        <v>0</v>
      </c>
      <c r="S62" s="1338" t="n">
        <f aca="false">+IFERROR(W62+Z62+AC62+AF62+AI62+AL62,"-")</f>
        <v>0</v>
      </c>
      <c r="T62" s="1369"/>
      <c r="U62" s="1339" t="n">
        <f aca="false">+S62/T60</f>
        <v>0</v>
      </c>
      <c r="V62" s="1337" t="n">
        <f aca="false">+IFERROR(W62/$N62,"-")</f>
        <v>0</v>
      </c>
      <c r="W62" s="1395"/>
      <c r="X62" s="1396" t="n">
        <f aca="false">X61</f>
        <v>45777</v>
      </c>
      <c r="Y62" s="1345" t="n">
        <f aca="false">+IFERROR(Z62/$N62,"-")</f>
        <v>0</v>
      </c>
      <c r="Z62" s="1345"/>
      <c r="AA62" s="1346" t="n">
        <f aca="false">AA61</f>
        <v>45807</v>
      </c>
      <c r="AB62" s="1345" t="n">
        <f aca="false">+IFERROR(AC62/$N62,"-")</f>
        <v>0</v>
      </c>
      <c r="AC62" s="1345"/>
      <c r="AD62" s="1346" t="n">
        <f aca="false">AD61</f>
        <v>45930</v>
      </c>
      <c r="AE62" s="1345" t="n">
        <f aca="false">+IFERROR(AF62/$N62,"-")</f>
        <v>0</v>
      </c>
      <c r="AF62" s="1345"/>
      <c r="AG62" s="1346" t="n">
        <f aca="false">AG61</f>
        <v>45991</v>
      </c>
      <c r="AH62" s="1345" t="n">
        <f aca="false">+IFERROR(AI62/$N$6,"-")</f>
        <v>0</v>
      </c>
      <c r="AI62" s="1345"/>
      <c r="AJ62" s="1346"/>
      <c r="AK62" s="1345" t="n">
        <f aca="false">+IFERROR(AL62/$N$6,"-")</f>
        <v>0</v>
      </c>
      <c r="AL62" s="1345"/>
      <c r="AM62" s="1345"/>
      <c r="AN62" s="1347" t="n">
        <f aca="false">+N62</f>
        <v>149988000</v>
      </c>
      <c r="AO62" s="1347" t="n">
        <f aca="false">+AN62*'ref.지급기준 (2)'!G61</f>
        <v>59995200</v>
      </c>
      <c r="AP62" s="1348" t="n">
        <f aca="false">+X62</f>
        <v>45777</v>
      </c>
      <c r="AQ62" s="1328"/>
      <c r="AR62" s="1349" t="n">
        <f aca="false">+$AN62*'ref.지급기준 (2)'!G61</f>
        <v>59995200</v>
      </c>
      <c r="AS62" s="1347" t="n">
        <f aca="false">+W62</f>
        <v>0</v>
      </c>
      <c r="AT62" s="1347" t="n">
        <f aca="false">+$AN62*'ref.지급기준 (2)'!I61</f>
        <v>29997600</v>
      </c>
      <c r="AU62" s="1347" t="n">
        <f aca="false">+Z62</f>
        <v>0</v>
      </c>
      <c r="AV62" s="1347" t="n">
        <f aca="false">+$AN62*'ref.지급기준 (2)'!K61</f>
        <v>44996400</v>
      </c>
      <c r="AW62" s="1347"/>
      <c r="AX62" s="1347" t="n">
        <f aca="false">+$AN62*'ref.지급기준 (2)'!M61</f>
        <v>14998800</v>
      </c>
      <c r="AY62" s="1347"/>
      <c r="AZ62" s="1347" t="n">
        <f aca="false">+$AN62*'ref.지급기준 (2)'!O61</f>
        <v>0</v>
      </c>
      <c r="BA62" s="1350"/>
      <c r="BB62" s="1394"/>
      <c r="BC62" s="1278"/>
      <c r="BD62" s="1332" t="b">
        <f aca="false">+(AZ62+AX62+AV62+AT62+AR62)=N62</f>
        <v>1</v>
      </c>
      <c r="BE62" s="1278"/>
      <c r="BF62" s="1278"/>
      <c r="BG62" s="1278"/>
      <c r="BH62" s="1278"/>
      <c r="BI62" s="1278"/>
      <c r="BJ62" s="1278"/>
      <c r="BK62" s="1278"/>
      <c r="BL62" s="1278"/>
      <c r="BM62" s="1278"/>
      <c r="BN62" s="1333"/>
      <c r="BO62" s="1333"/>
    </row>
    <row r="63" customFormat="false" ht="16.5" hidden="false" customHeight="true" outlineLevel="0" collapsed="false">
      <c r="A63" s="1307"/>
      <c r="B63" s="629"/>
      <c r="C63" s="1308"/>
      <c r="D63" s="1308"/>
      <c r="E63" s="1389"/>
      <c r="F63" s="1378"/>
      <c r="G63" s="1379"/>
      <c r="H63" s="1380"/>
      <c r="I63" s="1382"/>
      <c r="J63" s="1382"/>
      <c r="K63" s="1334" t="s">
        <v>507</v>
      </c>
      <c r="L63" s="1335" t="n">
        <f aca="false">+'ref.지급기준 (2)'!F62*'ref.지급기준 (2)'!D62/'ref.지급기준 (2)'!$Q$2</f>
        <v>99992000</v>
      </c>
      <c r="M63" s="1335" t="n">
        <f aca="false">+L63*10%</f>
        <v>9999200</v>
      </c>
      <c r="N63" s="1336" t="n">
        <f aca="false">SUM(L63:M63)</f>
        <v>109991200</v>
      </c>
      <c r="O63" s="1390"/>
      <c r="P63" s="1391"/>
      <c r="Q63" s="1319" t="b">
        <f aca="false">+N63=AN63</f>
        <v>1</v>
      </c>
      <c r="R63" s="1337" t="n">
        <f aca="false">+IFERROR(S63/N63,"-")</f>
        <v>0</v>
      </c>
      <c r="S63" s="1338" t="n">
        <f aca="false">+IFERROR(W63+Z63+AC63+AF63+AI63+AL63,"-")</f>
        <v>0</v>
      </c>
      <c r="T63" s="1369"/>
      <c r="U63" s="1339" t="n">
        <f aca="false">+S63/T60</f>
        <v>0</v>
      </c>
      <c r="V63" s="1337" t="n">
        <f aca="false">+IFERROR(W63/$N63,"-")</f>
        <v>0</v>
      </c>
      <c r="W63" s="1395"/>
      <c r="X63" s="1396" t="n">
        <f aca="false">X61</f>
        <v>45777</v>
      </c>
      <c r="Y63" s="1345" t="n">
        <f aca="false">+IFERROR(Z63/$N63,"-")</f>
        <v>0</v>
      </c>
      <c r="Z63" s="1345"/>
      <c r="AA63" s="1346" t="n">
        <f aca="false">AA61</f>
        <v>45807</v>
      </c>
      <c r="AB63" s="1345" t="n">
        <f aca="false">+IFERROR(AC63/$N63,"-")</f>
        <v>0</v>
      </c>
      <c r="AC63" s="1345"/>
      <c r="AD63" s="1346" t="n">
        <f aca="false">AD61</f>
        <v>45930</v>
      </c>
      <c r="AE63" s="1345" t="n">
        <f aca="false">+IFERROR(AF63/$N63,"-")</f>
        <v>0</v>
      </c>
      <c r="AF63" s="1345"/>
      <c r="AG63" s="1346" t="n">
        <f aca="false">AG61</f>
        <v>45991</v>
      </c>
      <c r="AH63" s="1345" t="n">
        <f aca="false">+IFERROR(AI63/$N$6,"-")</f>
        <v>0</v>
      </c>
      <c r="AI63" s="1345"/>
      <c r="AJ63" s="1346"/>
      <c r="AK63" s="1345" t="n">
        <f aca="false">+IFERROR(AL63/$N$6,"-")</f>
        <v>0</v>
      </c>
      <c r="AL63" s="1345"/>
      <c r="AM63" s="1345"/>
      <c r="AN63" s="1347" t="n">
        <f aca="false">+N63</f>
        <v>109991200</v>
      </c>
      <c r="AO63" s="1347" t="n">
        <f aca="false">+AN63*'ref.지급기준 (2)'!G62</f>
        <v>43996480</v>
      </c>
      <c r="AP63" s="1348" t="n">
        <f aca="false">+X63</f>
        <v>45777</v>
      </c>
      <c r="AQ63" s="1328"/>
      <c r="AR63" s="1349" t="n">
        <f aca="false">+$AN63*'ref.지급기준 (2)'!G62</f>
        <v>43996480</v>
      </c>
      <c r="AS63" s="1347" t="n">
        <f aca="false">+W63</f>
        <v>0</v>
      </c>
      <c r="AT63" s="1347" t="n">
        <f aca="false">+$AN63*'ref.지급기준 (2)'!I62</f>
        <v>21998240</v>
      </c>
      <c r="AU63" s="1347" t="n">
        <f aca="false">+Z63</f>
        <v>0</v>
      </c>
      <c r="AV63" s="1347" t="n">
        <f aca="false">+$AN63*'ref.지급기준 (2)'!K62</f>
        <v>32997360</v>
      </c>
      <c r="AW63" s="1347"/>
      <c r="AX63" s="1347" t="n">
        <f aca="false">+$AN63*'ref.지급기준 (2)'!M62</f>
        <v>10999120</v>
      </c>
      <c r="AY63" s="1347"/>
      <c r="AZ63" s="1347" t="n">
        <f aca="false">+$AN63*'ref.지급기준 (2)'!O62</f>
        <v>0</v>
      </c>
      <c r="BA63" s="1350"/>
      <c r="BB63" s="1394"/>
      <c r="BC63" s="1278"/>
      <c r="BD63" s="1332" t="b">
        <f aca="false">+(AZ63+AX63+AV63+AT63+AR63)=N63</f>
        <v>1</v>
      </c>
      <c r="BE63" s="1278"/>
      <c r="BF63" s="1278"/>
      <c r="BG63" s="1278"/>
      <c r="BH63" s="1278"/>
      <c r="BI63" s="1278"/>
      <c r="BJ63" s="1278"/>
      <c r="BK63" s="1278"/>
      <c r="BL63" s="1278"/>
      <c r="BM63" s="1278"/>
      <c r="BN63" s="1333"/>
      <c r="BO63" s="1333"/>
    </row>
    <row r="64" customFormat="false" ht="16.5" hidden="false" customHeight="true" outlineLevel="0" collapsed="false">
      <c r="A64" s="1307"/>
      <c r="B64" s="629"/>
      <c r="C64" s="1308"/>
      <c r="D64" s="1308"/>
      <c r="E64" s="1389"/>
      <c r="F64" s="1378"/>
      <c r="G64" s="1379"/>
      <c r="H64" s="1380"/>
      <c r="I64" s="1382"/>
      <c r="J64" s="1382"/>
      <c r="K64" s="1385" t="s">
        <v>508</v>
      </c>
      <c r="L64" s="1386"/>
      <c r="M64" s="1386"/>
      <c r="N64" s="1398"/>
      <c r="O64" s="1390"/>
      <c r="P64" s="1391"/>
      <c r="Q64" s="1354"/>
      <c r="R64" s="1355"/>
      <c r="S64" s="668"/>
      <c r="T64" s="1369"/>
      <c r="U64" s="1356" t="n">
        <f aca="false">+S64/T60</f>
        <v>0</v>
      </c>
      <c r="V64" s="1355" t="str">
        <f aca="false">+IFERROR(W64/$N64,"-")</f>
        <v>-</v>
      </c>
      <c r="W64" s="1357"/>
      <c r="X64" s="1357"/>
      <c r="Y64" s="1357" t="str">
        <f aca="false">+IFERROR(Z64/$N64,"-")</f>
        <v>-</v>
      </c>
      <c r="Z64" s="1357"/>
      <c r="AA64" s="1358"/>
      <c r="AB64" s="1357" t="str">
        <f aca="false">+IFERROR(AC64/$N64,"-")</f>
        <v>-</v>
      </c>
      <c r="AC64" s="1357"/>
      <c r="AD64" s="1358"/>
      <c r="AE64" s="1357" t="str">
        <f aca="false">+IFERROR(AF64/$N64,"-")</f>
        <v>-</v>
      </c>
      <c r="AF64" s="1357"/>
      <c r="AG64" s="1358"/>
      <c r="AH64" s="1357" t="n">
        <f aca="false">+IFERROR(AI64/$N$6,"-")</f>
        <v>0</v>
      </c>
      <c r="AI64" s="1357"/>
      <c r="AJ64" s="1357"/>
      <c r="AK64" s="1357"/>
      <c r="AL64" s="1357"/>
      <c r="AM64" s="1357"/>
      <c r="AN64" s="1359" t="n">
        <f aca="false">+N64</f>
        <v>0</v>
      </c>
      <c r="AO64" s="1359" t="n">
        <f aca="false">+AR64+AT64</f>
        <v>0</v>
      </c>
      <c r="AP64" s="1360"/>
      <c r="AQ64" s="1328"/>
      <c r="AR64" s="1361" t="n">
        <f aca="false">+$AN64*'ref.지급기준 (2)'!G63</f>
        <v>0</v>
      </c>
      <c r="AS64" s="1359" t="n">
        <f aca="false">+W64</f>
        <v>0</v>
      </c>
      <c r="AT64" s="1359" t="n">
        <f aca="false">+$AN64*'ref.지급기준 (2)'!I63</f>
        <v>0</v>
      </c>
      <c r="AU64" s="1359" t="n">
        <f aca="false">+Z64</f>
        <v>0</v>
      </c>
      <c r="AV64" s="1359" t="n">
        <f aca="false">+$AN64*'ref.지급기준 (2)'!K63</f>
        <v>0</v>
      </c>
      <c r="AW64" s="1359"/>
      <c r="AX64" s="1359" t="n">
        <f aca="false">+$AN64*'ref.지급기준 (2)'!M63</f>
        <v>0</v>
      </c>
      <c r="AY64" s="1359"/>
      <c r="AZ64" s="1359" t="n">
        <f aca="false">+$AN64*'ref.지급기준 (2)'!O63</f>
        <v>0</v>
      </c>
      <c r="BA64" s="1362"/>
      <c r="BB64" s="1394"/>
      <c r="BC64" s="1278"/>
      <c r="BD64" s="1278"/>
      <c r="BE64" s="1278"/>
      <c r="BF64" s="1278"/>
      <c r="BG64" s="1278"/>
      <c r="BH64" s="1278"/>
      <c r="BI64" s="1278"/>
      <c r="BJ64" s="1278"/>
      <c r="BK64" s="1278"/>
      <c r="BL64" s="1278"/>
      <c r="BM64" s="1278"/>
      <c r="BN64" s="1333"/>
      <c r="BO64" s="1333"/>
    </row>
    <row r="65" customFormat="false" ht="16.5" hidden="false" customHeight="true" outlineLevel="0" collapsed="false">
      <c r="A65" s="1307"/>
      <c r="B65" s="629"/>
      <c r="C65" s="1308"/>
      <c r="D65" s="1308"/>
      <c r="E65" s="1389"/>
      <c r="F65" s="1311" t="s">
        <v>182</v>
      </c>
      <c r="G65" s="1363" t="n">
        <v>149.64</v>
      </c>
      <c r="H65" s="1376" t="n">
        <v>0.0856</v>
      </c>
      <c r="I65" s="1364"/>
      <c r="J65" s="1364" t="s">
        <v>1454</v>
      </c>
      <c r="K65" s="1365" t="s">
        <v>112</v>
      </c>
      <c r="L65" s="1366" t="n">
        <f aca="false">+'ref.지급기준 (2)'!F64*'ref.지급기준 (2)'!D64/'ref.지급기준 (2)'!$Q$2</f>
        <v>157122000</v>
      </c>
      <c r="M65" s="1366" t="n">
        <f aca="false">+L65*10%</f>
        <v>15712200</v>
      </c>
      <c r="N65" s="1367" t="n">
        <f aca="false">SUM(L65:M65)</f>
        <v>172834200</v>
      </c>
      <c r="O65" s="1390"/>
      <c r="P65" s="1391"/>
      <c r="Q65" s="1319" t="b">
        <f aca="false">+N65=AN65</f>
        <v>1</v>
      </c>
      <c r="R65" s="1323" t="n">
        <f aca="false">+IFERROR(S65/N65,"-")</f>
        <v>0</v>
      </c>
      <c r="S65" s="1368" t="n">
        <f aca="false">+IFERROR(W65+Z65+AC65+AF65+AI65+AL65,"-")</f>
        <v>0</v>
      </c>
      <c r="T65" s="1369" t="n">
        <v>1470</v>
      </c>
      <c r="U65" s="1370" t="n">
        <f aca="false">+S65/T65</f>
        <v>0</v>
      </c>
      <c r="V65" s="1323" t="n">
        <f aca="false">+IFERROR(W65/$N65,"-")</f>
        <v>0</v>
      </c>
      <c r="W65" s="1392"/>
      <c r="X65" s="1393" t="n">
        <v>45716</v>
      </c>
      <c r="Y65" s="1345" t="n">
        <f aca="false">+IFERROR(Z65/$N65,"-")</f>
        <v>0</v>
      </c>
      <c r="Z65" s="1345"/>
      <c r="AA65" s="1346" t="n">
        <f aca="false">+EDATE(X65,1)+3</f>
        <v>45747</v>
      </c>
      <c r="AB65" s="1345" t="n">
        <f aca="false">+IFERROR(AC65/$N65,"-")</f>
        <v>0</v>
      </c>
      <c r="AC65" s="1345"/>
      <c r="AD65" s="1346" t="n">
        <f aca="false">+EDATE(AA65,3)</f>
        <v>45838</v>
      </c>
      <c r="AE65" s="1345" t="n">
        <f aca="false">+IFERROR(AF65/$N65,"-")</f>
        <v>0</v>
      </c>
      <c r="AF65" s="1345"/>
      <c r="AG65" s="1346" t="n">
        <f aca="false">+EDATE(AA65,4)</f>
        <v>45869</v>
      </c>
      <c r="AH65" s="1345" t="n">
        <f aca="false">+IFERROR(AI65/$N$6,"-")</f>
        <v>0</v>
      </c>
      <c r="AI65" s="1345"/>
      <c r="AJ65" s="1346" t="n">
        <f aca="false">+EDATE(AA65,6)</f>
        <v>45930</v>
      </c>
      <c r="AK65" s="1345" t="n">
        <f aca="false">+IFERROR(AL65/$N$6,"-")</f>
        <v>0</v>
      </c>
      <c r="AL65" s="1345"/>
      <c r="AM65" s="1345"/>
      <c r="AN65" s="1347" t="n">
        <f aca="false">+N65</f>
        <v>172834200</v>
      </c>
      <c r="AO65" s="1347" t="n">
        <f aca="false">+AN65*'ref.지급기준 (2)'!G64</f>
        <v>17283420</v>
      </c>
      <c r="AP65" s="1348" t="n">
        <f aca="false">+X65</f>
        <v>45716</v>
      </c>
      <c r="AQ65" s="1328"/>
      <c r="AR65" s="1349" t="n">
        <f aca="false">+$AN65*'ref.지급기준 (2)'!G64</f>
        <v>17283420</v>
      </c>
      <c r="AS65" s="1347" t="n">
        <f aca="false">+W65</f>
        <v>0</v>
      </c>
      <c r="AT65" s="1347" t="n">
        <f aca="false">+$AN65*'ref.지급기준 (2)'!I64</f>
        <v>34566840</v>
      </c>
      <c r="AU65" s="1347" t="n">
        <f aca="false">+Z65</f>
        <v>0</v>
      </c>
      <c r="AV65" s="1347" t="n">
        <f aca="false">+$AN65*'ref.지급기준 (2)'!K64</f>
        <v>69133680</v>
      </c>
      <c r="AW65" s="1347"/>
      <c r="AX65" s="1347" t="n">
        <f aca="false">+$AN65*'ref.지급기준 (2)'!M64</f>
        <v>43208550</v>
      </c>
      <c r="AY65" s="1347"/>
      <c r="AZ65" s="1347" t="n">
        <f aca="false">+$AN65*'ref.지급기준 (2)'!O64</f>
        <v>8641710</v>
      </c>
      <c r="BA65" s="1350"/>
      <c r="BB65" s="1394"/>
      <c r="BC65" s="1278"/>
      <c r="BD65" s="1332" t="b">
        <f aca="false">+(AZ65+AX65+AV65+AT65+AR65)=N65</f>
        <v>1</v>
      </c>
      <c r="BE65" s="1278"/>
      <c r="BF65" s="1278"/>
      <c r="BG65" s="1278"/>
      <c r="BH65" s="1278"/>
      <c r="BI65" s="1278"/>
      <c r="BJ65" s="1278"/>
      <c r="BK65" s="1278"/>
      <c r="BL65" s="1278"/>
      <c r="BM65" s="1278"/>
      <c r="BN65" s="1333"/>
      <c r="BO65" s="1333"/>
    </row>
    <row r="66" customFormat="false" ht="16.5" hidden="false" customHeight="true" outlineLevel="0" collapsed="false">
      <c r="A66" s="1307"/>
      <c r="B66" s="629"/>
      <c r="C66" s="1308"/>
      <c r="D66" s="1308"/>
      <c r="E66" s="1389"/>
      <c r="F66" s="1311"/>
      <c r="G66" s="1363"/>
      <c r="H66" s="1376"/>
      <c r="I66" s="1364"/>
      <c r="J66" s="1364"/>
      <c r="K66" s="1334" t="s">
        <v>114</v>
      </c>
      <c r="L66" s="1335" t="n">
        <f aca="false">+'ref.지급기준 (2)'!F65*'ref.지급기준 (2)'!D65/'ref.지급기준 (2)'!$Q$2</f>
        <v>52374000</v>
      </c>
      <c r="M66" s="1335" t="n">
        <f aca="false">+L66*10%</f>
        <v>5237400</v>
      </c>
      <c r="N66" s="1336" t="n">
        <f aca="false">SUM(L66:M66)</f>
        <v>57611400</v>
      </c>
      <c r="O66" s="1390"/>
      <c r="P66" s="1391"/>
      <c r="Q66" s="1319" t="b">
        <f aca="false">+N66=AN66</f>
        <v>1</v>
      </c>
      <c r="R66" s="1337" t="n">
        <f aca="false">+IFERROR(S66/N66,"-")</f>
        <v>0</v>
      </c>
      <c r="S66" s="1338" t="n">
        <f aca="false">+IFERROR(W66+Z66+AC66+AF66+AI66+AL66,"-")</f>
        <v>0</v>
      </c>
      <c r="T66" s="1369"/>
      <c r="U66" s="1339" t="n">
        <f aca="false">+S66/T65</f>
        <v>0</v>
      </c>
      <c r="V66" s="1337" t="n">
        <f aca="false">+IFERROR(W66/$N66,"-")</f>
        <v>0</v>
      </c>
      <c r="W66" s="1395"/>
      <c r="X66" s="1396" t="n">
        <v>45777</v>
      </c>
      <c r="Y66" s="1345" t="n">
        <f aca="false">+IFERROR(Z66/$N66,"-")</f>
        <v>0</v>
      </c>
      <c r="Z66" s="1397"/>
      <c r="AA66" s="1346" t="n">
        <f aca="false">EDATE(X66,1)</f>
        <v>45807</v>
      </c>
      <c r="AB66" s="1345" t="n">
        <f aca="false">+IFERROR(AC66/$N66,"-")</f>
        <v>0</v>
      </c>
      <c r="AC66" s="1345"/>
      <c r="AD66" s="1346" t="n">
        <f aca="false">EDATE(AA66,4)</f>
        <v>45930</v>
      </c>
      <c r="AE66" s="1345" t="n">
        <f aca="false">+IFERROR(AF66/$N66,"-")</f>
        <v>0</v>
      </c>
      <c r="AF66" s="1345"/>
      <c r="AG66" s="1346" t="n">
        <f aca="false">EDATE(AA66,6)</f>
        <v>45991</v>
      </c>
      <c r="AH66" s="1345" t="n">
        <f aca="false">+IFERROR(AI66/$N$6,"-")</f>
        <v>0</v>
      </c>
      <c r="AI66" s="1345"/>
      <c r="AJ66" s="1346"/>
      <c r="AK66" s="1345" t="n">
        <f aca="false">+IFERROR(AL66/$N$6,"-")</f>
        <v>0</v>
      </c>
      <c r="AL66" s="1345"/>
      <c r="AM66" s="1345"/>
      <c r="AN66" s="1347" t="n">
        <f aca="false">+N66</f>
        <v>57611400</v>
      </c>
      <c r="AO66" s="1347" t="n">
        <f aca="false">+AN66*'ref.지급기준 (2)'!G65</f>
        <v>23044560</v>
      </c>
      <c r="AP66" s="1348" t="n">
        <f aca="false">+X66</f>
        <v>45777</v>
      </c>
      <c r="AQ66" s="1328"/>
      <c r="AR66" s="1349" t="n">
        <f aca="false">+$AN66*'ref.지급기준 (2)'!G65</f>
        <v>23044560</v>
      </c>
      <c r="AS66" s="1347" t="n">
        <f aca="false">+W66</f>
        <v>0</v>
      </c>
      <c r="AT66" s="1347" t="n">
        <f aca="false">+$AN66*'ref.지급기준 (2)'!I65</f>
        <v>11522280</v>
      </c>
      <c r="AU66" s="1347" t="n">
        <f aca="false">+Z66</f>
        <v>0</v>
      </c>
      <c r="AV66" s="1347" t="n">
        <f aca="false">+$AN66*'ref.지급기준 (2)'!K65</f>
        <v>17283420</v>
      </c>
      <c r="AW66" s="1347"/>
      <c r="AX66" s="1347" t="n">
        <f aca="false">+$AN66*'ref.지급기준 (2)'!M65</f>
        <v>5761140</v>
      </c>
      <c r="AY66" s="1347"/>
      <c r="AZ66" s="1347" t="n">
        <f aca="false">+$AN66*'ref.지급기준 (2)'!O65</f>
        <v>0</v>
      </c>
      <c r="BA66" s="1350"/>
      <c r="BB66" s="1394"/>
      <c r="BC66" s="1278"/>
      <c r="BD66" s="1332" t="b">
        <f aca="false">+(AZ66+AX66+AV66+AT66+AR66)=N66</f>
        <v>1</v>
      </c>
      <c r="BE66" s="1278"/>
      <c r="BF66" s="1278"/>
      <c r="BG66" s="1278"/>
      <c r="BH66" s="1278"/>
      <c r="BI66" s="1278"/>
      <c r="BJ66" s="1278"/>
      <c r="BK66" s="1278"/>
      <c r="BL66" s="1278"/>
      <c r="BM66" s="1278"/>
      <c r="BN66" s="1333"/>
      <c r="BO66" s="1333"/>
    </row>
    <row r="67" customFormat="false" ht="16.5" hidden="false" customHeight="true" outlineLevel="0" collapsed="false">
      <c r="A67" s="1307"/>
      <c r="B67" s="629"/>
      <c r="C67" s="1308"/>
      <c r="D67" s="1308"/>
      <c r="E67" s="1389"/>
      <c r="F67" s="1311"/>
      <c r="G67" s="1363"/>
      <c r="H67" s="1376"/>
      <c r="I67" s="1364"/>
      <c r="J67" s="1364"/>
      <c r="K67" s="1334" t="s">
        <v>404</v>
      </c>
      <c r="L67" s="1335" t="n">
        <f aca="false">+'ref.지급기준 (2)'!F66*'ref.지급기준 (2)'!D66/'ref.지급기준 (2)'!$Q$2</f>
        <v>44892000</v>
      </c>
      <c r="M67" s="1335"/>
      <c r="N67" s="1336" t="n">
        <f aca="false">SUM(L67:M67)</f>
        <v>44892000</v>
      </c>
      <c r="O67" s="1390"/>
      <c r="P67" s="1391"/>
      <c r="Q67" s="1319" t="b">
        <f aca="false">+N67=AN67</f>
        <v>1</v>
      </c>
      <c r="R67" s="1337" t="n">
        <f aca="false">+IFERROR(S67/N67,"-")</f>
        <v>0</v>
      </c>
      <c r="S67" s="1338" t="n">
        <f aca="false">+IFERROR(W67+Z67+AC67+AF67+AI67+AL67,"-")</f>
        <v>0</v>
      </c>
      <c r="T67" s="1369"/>
      <c r="U67" s="1339" t="n">
        <f aca="false">+S67/T65</f>
        <v>0</v>
      </c>
      <c r="V67" s="1337" t="n">
        <f aca="false">+IFERROR(W67/$N67,"-")</f>
        <v>0</v>
      </c>
      <c r="W67" s="1395"/>
      <c r="X67" s="1396" t="n">
        <f aca="false">X66</f>
        <v>45777</v>
      </c>
      <c r="Y67" s="1345" t="n">
        <f aca="false">+IFERROR(Z67/$N67,"-")</f>
        <v>0</v>
      </c>
      <c r="Z67" s="1345"/>
      <c r="AA67" s="1346" t="n">
        <f aca="false">AA66</f>
        <v>45807</v>
      </c>
      <c r="AB67" s="1345" t="n">
        <f aca="false">+IFERROR(AC67/$N67,"-")</f>
        <v>0</v>
      </c>
      <c r="AC67" s="1345"/>
      <c r="AD67" s="1346" t="n">
        <f aca="false">AD66</f>
        <v>45930</v>
      </c>
      <c r="AE67" s="1345" t="n">
        <f aca="false">+IFERROR(AF67/$N67,"-")</f>
        <v>0</v>
      </c>
      <c r="AF67" s="1345"/>
      <c r="AG67" s="1346" t="n">
        <f aca="false">AG66</f>
        <v>45991</v>
      </c>
      <c r="AH67" s="1345" t="n">
        <f aca="false">+IFERROR(AI67/$N$6,"-")</f>
        <v>0</v>
      </c>
      <c r="AI67" s="1345"/>
      <c r="AJ67" s="1346"/>
      <c r="AK67" s="1345" t="n">
        <f aca="false">+IFERROR(AL67/$N$6,"-")</f>
        <v>0</v>
      </c>
      <c r="AL67" s="1345"/>
      <c r="AM67" s="1345"/>
      <c r="AN67" s="1347" t="n">
        <f aca="false">+N67</f>
        <v>44892000</v>
      </c>
      <c r="AO67" s="1347" t="n">
        <f aca="false">+AN67*'ref.지급기준 (2)'!G66</f>
        <v>17956800</v>
      </c>
      <c r="AP67" s="1348" t="n">
        <f aca="false">+X67</f>
        <v>45777</v>
      </c>
      <c r="AQ67" s="1328"/>
      <c r="AR67" s="1349" t="n">
        <f aca="false">+$AN67*'ref.지급기준 (2)'!G66</f>
        <v>17956800</v>
      </c>
      <c r="AS67" s="1347" t="n">
        <f aca="false">+W67</f>
        <v>0</v>
      </c>
      <c r="AT67" s="1347" t="n">
        <f aca="false">+$AN67*'ref.지급기준 (2)'!I66</f>
        <v>8978400</v>
      </c>
      <c r="AU67" s="1347" t="n">
        <f aca="false">+Z67</f>
        <v>0</v>
      </c>
      <c r="AV67" s="1347" t="n">
        <f aca="false">+$AN67*'ref.지급기준 (2)'!K66</f>
        <v>13467600</v>
      </c>
      <c r="AW67" s="1347"/>
      <c r="AX67" s="1347" t="n">
        <f aca="false">+$AN67*'ref.지급기준 (2)'!M66</f>
        <v>4489200</v>
      </c>
      <c r="AY67" s="1347"/>
      <c r="AZ67" s="1347" t="n">
        <f aca="false">+$AN67*'ref.지급기준 (2)'!O66</f>
        <v>0</v>
      </c>
      <c r="BA67" s="1350"/>
      <c r="BB67" s="1394"/>
      <c r="BC67" s="1278"/>
      <c r="BD67" s="1332" t="b">
        <f aca="false">+(AZ67+AX67+AV67+AT67+AR67)=N67</f>
        <v>1</v>
      </c>
      <c r="BE67" s="1278"/>
      <c r="BF67" s="1278"/>
      <c r="BG67" s="1278"/>
      <c r="BH67" s="1278"/>
      <c r="BI67" s="1278"/>
      <c r="BJ67" s="1278"/>
      <c r="BK67" s="1278"/>
      <c r="BL67" s="1278"/>
      <c r="BM67" s="1278"/>
      <c r="BN67" s="1333"/>
      <c r="BO67" s="1333"/>
    </row>
    <row r="68" customFormat="false" ht="16.5" hidden="false" customHeight="true" outlineLevel="0" collapsed="false">
      <c r="A68" s="1307"/>
      <c r="B68" s="629"/>
      <c r="C68" s="1308"/>
      <c r="D68" s="1308"/>
      <c r="E68" s="1389"/>
      <c r="F68" s="1311"/>
      <c r="G68" s="1363"/>
      <c r="H68" s="1376"/>
      <c r="I68" s="1364"/>
      <c r="J68" s="1364"/>
      <c r="K68" s="1334" t="s">
        <v>507</v>
      </c>
      <c r="L68" s="1335" t="n">
        <f aca="false">+'ref.지급기준 (2)'!F67*'ref.지급기준 (2)'!D67/'ref.지급기준 (2)'!$Q$2</f>
        <v>29928000</v>
      </c>
      <c r="M68" s="1335" t="n">
        <f aca="false">+L68*10%</f>
        <v>2992800</v>
      </c>
      <c r="N68" s="1336" t="n">
        <f aca="false">SUM(L68:M68)</f>
        <v>32920800</v>
      </c>
      <c r="O68" s="1390"/>
      <c r="P68" s="1391"/>
      <c r="Q68" s="1319" t="b">
        <f aca="false">+N68=AN68</f>
        <v>1</v>
      </c>
      <c r="R68" s="1337" t="n">
        <f aca="false">+IFERROR(S68/N68,"-")</f>
        <v>0</v>
      </c>
      <c r="S68" s="1338" t="n">
        <f aca="false">+IFERROR(W68+Z68+AC68+AF68+AI68+AL68,"-")</f>
        <v>0</v>
      </c>
      <c r="T68" s="1369"/>
      <c r="U68" s="1339" t="n">
        <f aca="false">+S68/T65</f>
        <v>0</v>
      </c>
      <c r="V68" s="1337" t="n">
        <f aca="false">+IFERROR(W68/$N68,"-")</f>
        <v>0</v>
      </c>
      <c r="W68" s="1395"/>
      <c r="X68" s="1396" t="n">
        <f aca="false">X66</f>
        <v>45777</v>
      </c>
      <c r="Y68" s="1345" t="n">
        <f aca="false">+IFERROR(Z68/$N68,"-")</f>
        <v>0</v>
      </c>
      <c r="Z68" s="1345"/>
      <c r="AA68" s="1346" t="n">
        <f aca="false">AA66</f>
        <v>45807</v>
      </c>
      <c r="AB68" s="1345" t="n">
        <f aca="false">+IFERROR(AC68/$N68,"-")</f>
        <v>0</v>
      </c>
      <c r="AC68" s="1345"/>
      <c r="AD68" s="1346" t="n">
        <f aca="false">AD66</f>
        <v>45930</v>
      </c>
      <c r="AE68" s="1345" t="n">
        <f aca="false">+IFERROR(AF68/$N68,"-")</f>
        <v>0</v>
      </c>
      <c r="AF68" s="1345"/>
      <c r="AG68" s="1346" t="n">
        <f aca="false">AG66</f>
        <v>45991</v>
      </c>
      <c r="AH68" s="1345" t="n">
        <f aca="false">+IFERROR(AI68/$N$6,"-")</f>
        <v>0</v>
      </c>
      <c r="AI68" s="1345"/>
      <c r="AJ68" s="1346"/>
      <c r="AK68" s="1345" t="n">
        <f aca="false">+IFERROR(AL68/$N$6,"-")</f>
        <v>0</v>
      </c>
      <c r="AL68" s="1345"/>
      <c r="AM68" s="1345"/>
      <c r="AN68" s="1347" t="n">
        <f aca="false">+N68</f>
        <v>32920800</v>
      </c>
      <c r="AO68" s="1347" t="n">
        <f aca="false">+AN68*'ref.지급기준 (2)'!G67</f>
        <v>13168320</v>
      </c>
      <c r="AP68" s="1348" t="n">
        <f aca="false">+X68</f>
        <v>45777</v>
      </c>
      <c r="AQ68" s="1328"/>
      <c r="AR68" s="1349" t="n">
        <f aca="false">+$AN68*'ref.지급기준 (2)'!G67</f>
        <v>13168320</v>
      </c>
      <c r="AS68" s="1347" t="n">
        <f aca="false">+W68</f>
        <v>0</v>
      </c>
      <c r="AT68" s="1347" t="n">
        <f aca="false">+$AN68*'ref.지급기준 (2)'!I67</f>
        <v>6584160</v>
      </c>
      <c r="AU68" s="1347" t="n">
        <f aca="false">+Z68</f>
        <v>0</v>
      </c>
      <c r="AV68" s="1347" t="n">
        <f aca="false">+$AN68*'ref.지급기준 (2)'!K67</f>
        <v>9876240</v>
      </c>
      <c r="AW68" s="1347"/>
      <c r="AX68" s="1347" t="n">
        <f aca="false">+$AN68*'ref.지급기준 (2)'!M67</f>
        <v>3292080</v>
      </c>
      <c r="AY68" s="1347"/>
      <c r="AZ68" s="1347" t="n">
        <f aca="false">+$AN68*'ref.지급기준 (2)'!O67</f>
        <v>0</v>
      </c>
      <c r="BA68" s="1350"/>
      <c r="BB68" s="1394"/>
      <c r="BC68" s="1278"/>
      <c r="BD68" s="1332" t="b">
        <f aca="false">+(AZ68+AX68+AV68+AT68+AR68)=N68</f>
        <v>1</v>
      </c>
      <c r="BE68" s="1278"/>
      <c r="BF68" s="1278"/>
      <c r="BG68" s="1278"/>
      <c r="BH68" s="1278"/>
      <c r="BI68" s="1278"/>
      <c r="BJ68" s="1278"/>
      <c r="BK68" s="1278"/>
      <c r="BL68" s="1278"/>
      <c r="BM68" s="1278"/>
      <c r="BN68" s="1333"/>
      <c r="BO68" s="1333"/>
    </row>
    <row r="69" customFormat="false" ht="16.5" hidden="false" customHeight="true" outlineLevel="0" collapsed="false">
      <c r="A69" s="1307"/>
      <c r="B69" s="629"/>
      <c r="C69" s="1308"/>
      <c r="D69" s="1308"/>
      <c r="E69" s="1389"/>
      <c r="F69" s="1311"/>
      <c r="G69" s="1363"/>
      <c r="H69" s="1376"/>
      <c r="I69" s="1364"/>
      <c r="J69" s="1364"/>
      <c r="K69" s="1351" t="s">
        <v>508</v>
      </c>
      <c r="L69" s="1352"/>
      <c r="M69" s="1352"/>
      <c r="N69" s="1353"/>
      <c r="O69" s="1390"/>
      <c r="P69" s="1391"/>
      <c r="Q69" s="1354"/>
      <c r="R69" s="1355"/>
      <c r="S69" s="668"/>
      <c r="T69" s="1369"/>
      <c r="U69" s="1356" t="n">
        <f aca="false">+S69/T65</f>
        <v>0</v>
      </c>
      <c r="V69" s="1355" t="str">
        <f aca="false">+IFERROR(W69/$N69,"-")</f>
        <v>-</v>
      </c>
      <c r="W69" s="1357"/>
      <c r="X69" s="1357"/>
      <c r="Y69" s="1357" t="str">
        <f aca="false">+IFERROR(Z69/$N69,"-")</f>
        <v>-</v>
      </c>
      <c r="Z69" s="1357"/>
      <c r="AA69" s="1358"/>
      <c r="AB69" s="1357" t="str">
        <f aca="false">+IFERROR(AC69/$N69,"-")</f>
        <v>-</v>
      </c>
      <c r="AC69" s="1357"/>
      <c r="AD69" s="1358"/>
      <c r="AE69" s="1357" t="str">
        <f aca="false">+IFERROR(AF69/$N69,"-")</f>
        <v>-</v>
      </c>
      <c r="AF69" s="1357"/>
      <c r="AG69" s="1358"/>
      <c r="AH69" s="1357" t="n">
        <f aca="false">+IFERROR(AI69/$N$6,"-")</f>
        <v>0</v>
      </c>
      <c r="AI69" s="1357"/>
      <c r="AJ69" s="1357"/>
      <c r="AK69" s="1357"/>
      <c r="AL69" s="1357"/>
      <c r="AM69" s="1357"/>
      <c r="AN69" s="1359" t="n">
        <f aca="false">+N69</f>
        <v>0</v>
      </c>
      <c r="AO69" s="1359" t="n">
        <f aca="false">+AR69+AT69</f>
        <v>0</v>
      </c>
      <c r="AP69" s="1360"/>
      <c r="AQ69" s="1328"/>
      <c r="AR69" s="1361" t="n">
        <f aca="false">+$AN69*'ref.지급기준 (2)'!G68</f>
        <v>0</v>
      </c>
      <c r="AS69" s="1359" t="n">
        <f aca="false">+W69</f>
        <v>0</v>
      </c>
      <c r="AT69" s="1359" t="n">
        <f aca="false">+$AN69*'ref.지급기준 (2)'!I68</f>
        <v>0</v>
      </c>
      <c r="AU69" s="1359" t="n">
        <f aca="false">+Z69</f>
        <v>0</v>
      </c>
      <c r="AV69" s="1359" t="n">
        <f aca="false">+$AN69*'ref.지급기준 (2)'!K68</f>
        <v>0</v>
      </c>
      <c r="AW69" s="1359"/>
      <c r="AX69" s="1359" t="n">
        <f aca="false">+$AN69*'ref.지급기준 (2)'!M68</f>
        <v>0</v>
      </c>
      <c r="AY69" s="1359"/>
      <c r="AZ69" s="1359" t="n">
        <f aca="false">+$AN69*'ref.지급기준 (2)'!O68</f>
        <v>0</v>
      </c>
      <c r="BA69" s="1362"/>
      <c r="BB69" s="1394"/>
      <c r="BC69" s="1278"/>
      <c r="BD69" s="1278"/>
      <c r="BE69" s="1278"/>
      <c r="BF69" s="1278"/>
      <c r="BG69" s="1278"/>
      <c r="BH69" s="1278"/>
      <c r="BI69" s="1278"/>
      <c r="BJ69" s="1278"/>
      <c r="BK69" s="1278"/>
      <c r="BL69" s="1278"/>
      <c r="BM69" s="1278"/>
      <c r="BN69" s="1333"/>
      <c r="BO69" s="1333"/>
    </row>
    <row r="70" customFormat="false" ht="16.5" hidden="false" customHeight="true" outlineLevel="0" collapsed="false">
      <c r="A70" s="1307"/>
      <c r="B70" s="629"/>
      <c r="C70" s="1308"/>
      <c r="D70" s="1308"/>
      <c r="E70" s="1389"/>
      <c r="F70" s="1401" t="s">
        <v>183</v>
      </c>
      <c r="G70" s="1312" t="n">
        <v>299.28</v>
      </c>
      <c r="H70" s="1402" t="n">
        <v>0.0945</v>
      </c>
      <c r="I70" s="1313"/>
      <c r="J70" s="1313" t="s">
        <v>1454</v>
      </c>
      <c r="K70" s="1314" t="s">
        <v>112</v>
      </c>
      <c r="L70" s="1315" t="n">
        <f aca="false">+'ref.지급기준 (2)'!F69*'ref.지급기준 (2)'!D69/'ref.지급기준 (2)'!$Q$2</f>
        <v>314244000</v>
      </c>
      <c r="M70" s="1315" t="n">
        <f aca="false">+L70*10%</f>
        <v>31424400</v>
      </c>
      <c r="N70" s="1316" t="n">
        <f aca="false">SUM(L70:M70)</f>
        <v>345668400</v>
      </c>
      <c r="O70" s="1390"/>
      <c r="P70" s="1391"/>
      <c r="Q70" s="1319" t="b">
        <f aca="false">+N70=AN70</f>
        <v>1</v>
      </c>
      <c r="R70" s="1323" t="n">
        <f aca="false">+IFERROR(S70/N70,"-")</f>
        <v>0</v>
      </c>
      <c r="S70" s="1368" t="n">
        <f aca="false">+IFERROR(W70+Z70+AC70+AF70+AI70+AL70,"-")</f>
        <v>0</v>
      </c>
      <c r="T70" s="1403" t="n">
        <v>1470</v>
      </c>
      <c r="U70" s="1370" t="n">
        <f aca="false">+S70/T70</f>
        <v>0</v>
      </c>
      <c r="V70" s="1323" t="n">
        <f aca="false">+IFERROR(W70/$N70,"-")</f>
        <v>0</v>
      </c>
      <c r="W70" s="1392"/>
      <c r="X70" s="1393" t="n">
        <v>45716</v>
      </c>
      <c r="Y70" s="1345" t="n">
        <f aca="false">+IFERROR(Z70/$N70,"-")</f>
        <v>0</v>
      </c>
      <c r="Z70" s="1345"/>
      <c r="AA70" s="1346" t="n">
        <f aca="false">+EDATE(X70,1)+3</f>
        <v>45747</v>
      </c>
      <c r="AB70" s="1345" t="n">
        <f aca="false">+IFERROR(AC70/$N70,"-")</f>
        <v>0</v>
      </c>
      <c r="AC70" s="1345"/>
      <c r="AD70" s="1346" t="n">
        <f aca="false">+EDATE(AA70,3)</f>
        <v>45838</v>
      </c>
      <c r="AE70" s="1345" t="n">
        <f aca="false">+IFERROR(AF70/$N70,"-")</f>
        <v>0</v>
      </c>
      <c r="AF70" s="1345"/>
      <c r="AG70" s="1346" t="n">
        <f aca="false">+EDATE(AA70,4)</f>
        <v>45869</v>
      </c>
      <c r="AH70" s="1345" t="n">
        <f aca="false">+IFERROR(AI70/$N$6,"-")</f>
        <v>0</v>
      </c>
      <c r="AI70" s="1345"/>
      <c r="AJ70" s="1346" t="n">
        <f aca="false">+EDATE(AA70,6)</f>
        <v>45930</v>
      </c>
      <c r="AK70" s="1345" t="n">
        <f aca="false">+IFERROR(AL70/$N$6,"-")</f>
        <v>0</v>
      </c>
      <c r="AL70" s="1345"/>
      <c r="AM70" s="1345"/>
      <c r="AN70" s="1347" t="n">
        <f aca="false">+N70</f>
        <v>345668400</v>
      </c>
      <c r="AO70" s="1347" t="n">
        <f aca="false">+AN70*'ref.지급기준 (2)'!G69</f>
        <v>34566840</v>
      </c>
      <c r="AP70" s="1348" t="n">
        <f aca="false">+X70</f>
        <v>45716</v>
      </c>
      <c r="AQ70" s="1328"/>
      <c r="AR70" s="1349" t="n">
        <f aca="false">+$AN70*'ref.지급기준 (2)'!G69</f>
        <v>34566840</v>
      </c>
      <c r="AS70" s="1347" t="n">
        <f aca="false">+W70</f>
        <v>0</v>
      </c>
      <c r="AT70" s="1347" t="n">
        <f aca="false">+$AN70*'ref.지급기준 (2)'!I69</f>
        <v>69133680</v>
      </c>
      <c r="AU70" s="1347" t="n">
        <f aca="false">+Z70</f>
        <v>0</v>
      </c>
      <c r="AV70" s="1347" t="n">
        <f aca="false">+$AN70*'ref.지급기준 (2)'!K69</f>
        <v>138267360</v>
      </c>
      <c r="AW70" s="1347"/>
      <c r="AX70" s="1347" t="n">
        <f aca="false">+$AN70*'ref.지급기준 (2)'!M69</f>
        <v>86417100</v>
      </c>
      <c r="AY70" s="1347"/>
      <c r="AZ70" s="1347" t="n">
        <f aca="false">+$AN70*'ref.지급기준 (2)'!O69</f>
        <v>17283420</v>
      </c>
      <c r="BA70" s="1350"/>
      <c r="BB70" s="1394"/>
      <c r="BC70" s="1278"/>
      <c r="BD70" s="1332" t="b">
        <f aca="false">+(AZ70+AX70+AV70+AT70+AR70)=N70</f>
        <v>1</v>
      </c>
      <c r="BE70" s="1278"/>
      <c r="BF70" s="1278"/>
      <c r="BG70" s="1278"/>
      <c r="BH70" s="1278"/>
      <c r="BI70" s="1278"/>
      <c r="BJ70" s="1278"/>
      <c r="BK70" s="1278"/>
      <c r="BL70" s="1278"/>
      <c r="BM70" s="1278"/>
      <c r="BN70" s="1333"/>
      <c r="BO70" s="1333"/>
    </row>
    <row r="71" customFormat="false" ht="16.5" hidden="false" customHeight="true" outlineLevel="0" collapsed="false">
      <c r="A71" s="1307"/>
      <c r="B71" s="629"/>
      <c r="C71" s="1308"/>
      <c r="D71" s="1308"/>
      <c r="E71" s="1389"/>
      <c r="F71" s="1401"/>
      <c r="G71" s="1312"/>
      <c r="H71" s="1402"/>
      <c r="I71" s="1313"/>
      <c r="J71" s="1313"/>
      <c r="K71" s="1334" t="s">
        <v>114</v>
      </c>
      <c r="L71" s="1335" t="n">
        <f aca="false">+'ref.지급기준 (2)'!F70*'ref.지급기준 (2)'!D70/'ref.지급기준 (2)'!$Q$2</f>
        <v>104748000</v>
      </c>
      <c r="M71" s="1335" t="n">
        <f aca="false">+L71*10%</f>
        <v>10474800</v>
      </c>
      <c r="N71" s="1336" t="n">
        <f aca="false">SUM(L71:M71)</f>
        <v>115222800</v>
      </c>
      <c r="O71" s="1390"/>
      <c r="P71" s="1391"/>
      <c r="Q71" s="1319" t="b">
        <f aca="false">+N71=AN71</f>
        <v>1</v>
      </c>
      <c r="R71" s="1337" t="n">
        <f aca="false">+IFERROR(S71/N71,"-")</f>
        <v>0</v>
      </c>
      <c r="S71" s="1338" t="n">
        <f aca="false">+IFERROR(W71+Z71+AC71+AF71+AI71+AL71,"-")</f>
        <v>0</v>
      </c>
      <c r="T71" s="1403"/>
      <c r="U71" s="1339" t="n">
        <f aca="false">+S71/T70</f>
        <v>0</v>
      </c>
      <c r="V71" s="1337" t="n">
        <f aca="false">+IFERROR(W71/$N71,"-")</f>
        <v>0</v>
      </c>
      <c r="W71" s="1395"/>
      <c r="X71" s="1396" t="n">
        <v>45777</v>
      </c>
      <c r="Y71" s="1345" t="n">
        <f aca="false">+IFERROR(Z71/$N71,"-")</f>
        <v>0</v>
      </c>
      <c r="Z71" s="1397"/>
      <c r="AA71" s="1346" t="n">
        <f aca="false">EDATE(X71,1)</f>
        <v>45807</v>
      </c>
      <c r="AB71" s="1345" t="n">
        <f aca="false">+IFERROR(AC71/$N71,"-")</f>
        <v>0</v>
      </c>
      <c r="AC71" s="1345"/>
      <c r="AD71" s="1346" t="n">
        <f aca="false">EDATE(AA71,4)</f>
        <v>45930</v>
      </c>
      <c r="AE71" s="1345" t="n">
        <f aca="false">+IFERROR(AF71/$N71,"-")</f>
        <v>0</v>
      </c>
      <c r="AF71" s="1345"/>
      <c r="AG71" s="1346" t="n">
        <f aca="false">EDATE(AA71,6)</f>
        <v>45991</v>
      </c>
      <c r="AH71" s="1345" t="n">
        <f aca="false">+IFERROR(AI71/$N$6,"-")</f>
        <v>0</v>
      </c>
      <c r="AI71" s="1345"/>
      <c r="AJ71" s="1346"/>
      <c r="AK71" s="1345" t="n">
        <f aca="false">+IFERROR(AL71/$N$6,"-")</f>
        <v>0</v>
      </c>
      <c r="AL71" s="1345"/>
      <c r="AM71" s="1345"/>
      <c r="AN71" s="1347" t="n">
        <f aca="false">+N71</f>
        <v>115222800</v>
      </c>
      <c r="AO71" s="1347" t="n">
        <f aca="false">+AN71*'ref.지급기준 (2)'!G70</f>
        <v>46089120</v>
      </c>
      <c r="AP71" s="1348" t="n">
        <f aca="false">+X71</f>
        <v>45777</v>
      </c>
      <c r="AQ71" s="1328"/>
      <c r="AR71" s="1349" t="n">
        <f aca="false">+$AN71*'ref.지급기준 (2)'!G70</f>
        <v>46089120</v>
      </c>
      <c r="AS71" s="1347" t="n">
        <f aca="false">+W71</f>
        <v>0</v>
      </c>
      <c r="AT71" s="1347" t="n">
        <f aca="false">+$AN71*'ref.지급기준 (2)'!I70</f>
        <v>23044560</v>
      </c>
      <c r="AU71" s="1347" t="n">
        <f aca="false">+Z71</f>
        <v>0</v>
      </c>
      <c r="AV71" s="1347" t="n">
        <f aca="false">+$AN71*'ref.지급기준 (2)'!K70</f>
        <v>34566840</v>
      </c>
      <c r="AW71" s="1347"/>
      <c r="AX71" s="1347" t="n">
        <f aca="false">+$AN71*'ref.지급기준 (2)'!M70</f>
        <v>11522280</v>
      </c>
      <c r="AY71" s="1347"/>
      <c r="AZ71" s="1347" t="n">
        <f aca="false">+$AN71*'ref.지급기준 (2)'!O70</f>
        <v>0</v>
      </c>
      <c r="BA71" s="1350"/>
      <c r="BB71" s="1394"/>
      <c r="BC71" s="1278"/>
      <c r="BD71" s="1332" t="b">
        <f aca="false">+(AZ71+AX71+AV71+AT71+AR71)=N71</f>
        <v>1</v>
      </c>
      <c r="BE71" s="1278"/>
      <c r="BF71" s="1278"/>
      <c r="BG71" s="1278"/>
      <c r="BH71" s="1278"/>
      <c r="BI71" s="1278"/>
      <c r="BJ71" s="1278"/>
      <c r="BK71" s="1278"/>
      <c r="BL71" s="1278"/>
      <c r="BM71" s="1278"/>
      <c r="BN71" s="1333"/>
      <c r="BO71" s="1333"/>
    </row>
    <row r="72" customFormat="false" ht="16.5" hidden="false" customHeight="true" outlineLevel="0" collapsed="false">
      <c r="A72" s="1307"/>
      <c r="B72" s="629"/>
      <c r="C72" s="1308"/>
      <c r="D72" s="1308"/>
      <c r="E72" s="1389"/>
      <c r="F72" s="1401"/>
      <c r="G72" s="1312"/>
      <c r="H72" s="1402"/>
      <c r="I72" s="1313"/>
      <c r="J72" s="1313"/>
      <c r="K72" s="1334" t="s">
        <v>404</v>
      </c>
      <c r="L72" s="1335" t="n">
        <f aca="false">+'ref.지급기준 (2)'!F71*'ref.지급기준 (2)'!D71/'ref.지급기준 (2)'!$Q$2</f>
        <v>89784000</v>
      </c>
      <c r="M72" s="1335"/>
      <c r="N72" s="1336" t="n">
        <f aca="false">SUM(L72:M72)</f>
        <v>89784000</v>
      </c>
      <c r="O72" s="1390"/>
      <c r="P72" s="1391"/>
      <c r="Q72" s="1319" t="b">
        <f aca="false">+N72=AN72</f>
        <v>1</v>
      </c>
      <c r="R72" s="1337" t="n">
        <f aca="false">+IFERROR(S72/N72,"-")</f>
        <v>0</v>
      </c>
      <c r="S72" s="1338" t="n">
        <f aca="false">+IFERROR(W72+Z72+AC72+AF72+AI72+AL72,"-")</f>
        <v>0</v>
      </c>
      <c r="T72" s="1403"/>
      <c r="U72" s="1339" t="n">
        <f aca="false">+S72/T70</f>
        <v>0</v>
      </c>
      <c r="V72" s="1337" t="n">
        <f aca="false">+IFERROR(W72/$N72,"-")</f>
        <v>0</v>
      </c>
      <c r="W72" s="1395"/>
      <c r="X72" s="1396" t="n">
        <f aca="false">X71</f>
        <v>45777</v>
      </c>
      <c r="Y72" s="1345" t="n">
        <f aca="false">+IFERROR(Z72/$N72,"-")</f>
        <v>0</v>
      </c>
      <c r="Z72" s="1345"/>
      <c r="AA72" s="1346" t="n">
        <f aca="false">AA71</f>
        <v>45807</v>
      </c>
      <c r="AB72" s="1345" t="n">
        <f aca="false">+IFERROR(AC72/$N72,"-")</f>
        <v>0</v>
      </c>
      <c r="AC72" s="1345"/>
      <c r="AD72" s="1346" t="n">
        <f aca="false">AD71</f>
        <v>45930</v>
      </c>
      <c r="AE72" s="1345" t="n">
        <f aca="false">+IFERROR(AF72/$N72,"-")</f>
        <v>0</v>
      </c>
      <c r="AF72" s="1345"/>
      <c r="AG72" s="1346" t="n">
        <f aca="false">AG71</f>
        <v>45991</v>
      </c>
      <c r="AH72" s="1345" t="n">
        <f aca="false">+IFERROR(AI72/$N$6,"-")</f>
        <v>0</v>
      </c>
      <c r="AI72" s="1345"/>
      <c r="AJ72" s="1346"/>
      <c r="AK72" s="1345" t="n">
        <f aca="false">+IFERROR(AL72/$N$6,"-")</f>
        <v>0</v>
      </c>
      <c r="AL72" s="1345"/>
      <c r="AM72" s="1345"/>
      <c r="AN72" s="1347" t="n">
        <f aca="false">+N72</f>
        <v>89784000</v>
      </c>
      <c r="AO72" s="1347" t="n">
        <f aca="false">+AN72*'ref.지급기준 (2)'!G71</f>
        <v>35913600</v>
      </c>
      <c r="AP72" s="1348" t="n">
        <f aca="false">+X72</f>
        <v>45777</v>
      </c>
      <c r="AQ72" s="1328"/>
      <c r="AR72" s="1349" t="n">
        <f aca="false">+$AN72*'ref.지급기준 (2)'!G71</f>
        <v>35913600</v>
      </c>
      <c r="AS72" s="1347" t="n">
        <f aca="false">+W72</f>
        <v>0</v>
      </c>
      <c r="AT72" s="1347" t="n">
        <f aca="false">+$AN72*'ref.지급기준 (2)'!I71</f>
        <v>17956800</v>
      </c>
      <c r="AU72" s="1347" t="n">
        <f aca="false">+Z72</f>
        <v>0</v>
      </c>
      <c r="AV72" s="1347" t="n">
        <f aca="false">+$AN72*'ref.지급기준 (2)'!K71</f>
        <v>26935200</v>
      </c>
      <c r="AW72" s="1347"/>
      <c r="AX72" s="1347" t="n">
        <f aca="false">+$AN72*'ref.지급기준 (2)'!M71</f>
        <v>8978400</v>
      </c>
      <c r="AY72" s="1347"/>
      <c r="AZ72" s="1347" t="n">
        <f aca="false">+$AN72*'ref.지급기준 (2)'!O71</f>
        <v>0</v>
      </c>
      <c r="BA72" s="1350"/>
      <c r="BB72" s="1394"/>
      <c r="BC72" s="1278"/>
      <c r="BD72" s="1332" t="b">
        <f aca="false">+(AZ72+AX72+AV72+AT72+AR72)=N72</f>
        <v>1</v>
      </c>
      <c r="BE72" s="1278"/>
      <c r="BF72" s="1278"/>
      <c r="BG72" s="1278"/>
      <c r="BH72" s="1278"/>
      <c r="BI72" s="1278"/>
      <c r="BJ72" s="1278"/>
      <c r="BK72" s="1278"/>
      <c r="BL72" s="1278"/>
      <c r="BM72" s="1278"/>
      <c r="BN72" s="1333"/>
      <c r="BO72" s="1333"/>
    </row>
    <row r="73" customFormat="false" ht="16.5" hidden="false" customHeight="false" outlineLevel="0" collapsed="false">
      <c r="A73" s="1307"/>
      <c r="B73" s="629"/>
      <c r="C73" s="1308"/>
      <c r="D73" s="1308"/>
      <c r="E73" s="1389"/>
      <c r="F73" s="1401"/>
      <c r="G73" s="1312"/>
      <c r="H73" s="1402"/>
      <c r="I73" s="1313"/>
      <c r="J73" s="1313"/>
      <c r="K73" s="1334" t="s">
        <v>507</v>
      </c>
      <c r="L73" s="1335" t="n">
        <f aca="false">+'ref.지급기준 (2)'!F72*'ref.지급기준 (2)'!D72/'ref.지급기준 (2)'!$Q$2</f>
        <v>59856000</v>
      </c>
      <c r="M73" s="1335" t="n">
        <f aca="false">+L73*10%</f>
        <v>5985600</v>
      </c>
      <c r="N73" s="1336" t="n">
        <f aca="false">SUM(L73:M73)</f>
        <v>65841600</v>
      </c>
      <c r="O73" s="1390"/>
      <c r="P73" s="1391"/>
      <c r="Q73" s="1404" t="b">
        <f aca="false">+N73=AN73</f>
        <v>1</v>
      </c>
      <c r="R73" s="1337" t="n">
        <f aca="false">+IFERROR(S73/N73,"-")</f>
        <v>0</v>
      </c>
      <c r="S73" s="1338" t="n">
        <f aca="false">+IFERROR(W73+Z73+AC73+AF73+AI73+AL73,"-")</f>
        <v>0</v>
      </c>
      <c r="T73" s="1403"/>
      <c r="U73" s="1339" t="n">
        <f aca="false">+S73/T70</f>
        <v>0</v>
      </c>
      <c r="V73" s="1337" t="n">
        <f aca="false">+IFERROR(W73/$N73,"-")</f>
        <v>0</v>
      </c>
      <c r="W73" s="1395"/>
      <c r="X73" s="1396" t="n">
        <f aca="false">X71</f>
        <v>45777</v>
      </c>
      <c r="Y73" s="1345" t="n">
        <f aca="false">+IFERROR(Z73/$N73,"-")</f>
        <v>0</v>
      </c>
      <c r="Z73" s="1345"/>
      <c r="AA73" s="1346" t="n">
        <f aca="false">AA71</f>
        <v>45807</v>
      </c>
      <c r="AB73" s="1345" t="n">
        <f aca="false">+IFERROR(AC73/$N73,"-")</f>
        <v>0</v>
      </c>
      <c r="AC73" s="1345"/>
      <c r="AD73" s="1346" t="n">
        <f aca="false">AD71</f>
        <v>45930</v>
      </c>
      <c r="AE73" s="1345" t="n">
        <f aca="false">+IFERROR(AF73/$N73,"-")</f>
        <v>0</v>
      </c>
      <c r="AF73" s="1345"/>
      <c r="AG73" s="1346" t="n">
        <f aca="false">AG71</f>
        <v>45991</v>
      </c>
      <c r="AH73" s="1345" t="n">
        <f aca="false">+IFERROR(AI73/$N$6,"-")</f>
        <v>0</v>
      </c>
      <c r="AI73" s="1345"/>
      <c r="AJ73" s="1346"/>
      <c r="AK73" s="1345" t="n">
        <f aca="false">+IFERROR(AL73/$N$6,"-")</f>
        <v>0</v>
      </c>
      <c r="AL73" s="1345"/>
      <c r="AM73" s="1345"/>
      <c r="AN73" s="1347" t="n">
        <f aca="false">+N73</f>
        <v>65841600</v>
      </c>
      <c r="AO73" s="1347" t="n">
        <f aca="false">+AN73*'ref.지급기준 (2)'!G72</f>
        <v>26336640</v>
      </c>
      <c r="AP73" s="1348" t="n">
        <f aca="false">+X73</f>
        <v>45777</v>
      </c>
      <c r="AQ73" s="1328"/>
      <c r="AR73" s="1349" t="n">
        <f aca="false">+$AN73*'ref.지급기준 (2)'!G72</f>
        <v>26336640</v>
      </c>
      <c r="AS73" s="1347" t="n">
        <f aca="false">+W73</f>
        <v>0</v>
      </c>
      <c r="AT73" s="1347" t="n">
        <f aca="false">+$AN73*'ref.지급기준 (2)'!I72</f>
        <v>13168320</v>
      </c>
      <c r="AU73" s="1347" t="n">
        <f aca="false">+Z73</f>
        <v>0</v>
      </c>
      <c r="AV73" s="1347" t="n">
        <f aca="false">+$AN73*'ref.지급기준 (2)'!K72</f>
        <v>19752480</v>
      </c>
      <c r="AW73" s="1347"/>
      <c r="AX73" s="1347" t="n">
        <f aca="false">+$AN73*'ref.지급기준 (2)'!M72</f>
        <v>6584160</v>
      </c>
      <c r="AY73" s="1347"/>
      <c r="AZ73" s="1347" t="n">
        <f aca="false">+$AN73*'ref.지급기준 (2)'!O72</f>
        <v>0</v>
      </c>
      <c r="BA73" s="1350"/>
      <c r="BB73" s="1394"/>
      <c r="BC73" s="1278"/>
      <c r="BD73" s="1332" t="b">
        <f aca="false">+(AZ73+AX73+AV73+AT73+AR73)=N73</f>
        <v>1</v>
      </c>
      <c r="BE73" s="1278"/>
      <c r="BF73" s="1278"/>
      <c r="BG73" s="1278"/>
      <c r="BH73" s="1278"/>
      <c r="BI73" s="1278"/>
      <c r="BJ73" s="1278"/>
      <c r="BK73" s="1278"/>
      <c r="BL73" s="1278"/>
      <c r="BM73" s="1278"/>
      <c r="BN73" s="1333"/>
      <c r="BO73" s="1333"/>
    </row>
    <row r="74" customFormat="false" ht="16.5" hidden="false" customHeight="false" outlineLevel="0" collapsed="false">
      <c r="A74" s="1307"/>
      <c r="B74" s="629"/>
      <c r="C74" s="1308"/>
      <c r="D74" s="1308"/>
      <c r="E74" s="1389"/>
      <c r="F74" s="1401"/>
      <c r="G74" s="1312"/>
      <c r="H74" s="1402"/>
      <c r="I74" s="1313"/>
      <c r="J74" s="1313"/>
      <c r="K74" s="1351" t="s">
        <v>508</v>
      </c>
      <c r="L74" s="1352"/>
      <c r="M74" s="1352"/>
      <c r="N74" s="1353"/>
      <c r="O74" s="1390"/>
      <c r="P74" s="1391"/>
      <c r="Q74" s="1405"/>
      <c r="R74" s="1406"/>
      <c r="S74" s="1407"/>
      <c r="T74" s="1403"/>
      <c r="U74" s="1408" t="n">
        <f aca="false">+S74/T70</f>
        <v>0</v>
      </c>
      <c r="V74" s="1406" t="str">
        <f aca="false">+IFERROR(W74/$N74,"-")</f>
        <v>-</v>
      </c>
      <c r="W74" s="1409"/>
      <c r="X74" s="1409"/>
      <c r="Y74" s="1409" t="str">
        <f aca="false">+IFERROR(Z74/$N74,"-")</f>
        <v>-</v>
      </c>
      <c r="Z74" s="1409"/>
      <c r="AA74" s="1410"/>
      <c r="AB74" s="1409" t="str">
        <f aca="false">+IFERROR(AC74/$N74,"-")</f>
        <v>-</v>
      </c>
      <c r="AC74" s="1409"/>
      <c r="AD74" s="1410"/>
      <c r="AE74" s="1409" t="str">
        <f aca="false">+IFERROR(AF74/$N74,"-")</f>
        <v>-</v>
      </c>
      <c r="AF74" s="1409"/>
      <c r="AG74" s="1410"/>
      <c r="AH74" s="1409" t="n">
        <f aca="false">+IFERROR(AI74/$N$6,"-")</f>
        <v>0</v>
      </c>
      <c r="AI74" s="1409"/>
      <c r="AJ74" s="1409"/>
      <c r="AK74" s="1409"/>
      <c r="AL74" s="1409"/>
      <c r="AM74" s="1409"/>
      <c r="AN74" s="1411" t="n">
        <f aca="false">+N74</f>
        <v>0</v>
      </c>
      <c r="AO74" s="1411" t="n">
        <f aca="false">+AR74+AT74</f>
        <v>0</v>
      </c>
      <c r="AP74" s="1412"/>
      <c r="AQ74" s="1328"/>
      <c r="AR74" s="1361" t="n">
        <f aca="false">+$AN74*'ref.지급기준 (2)'!G73</f>
        <v>0</v>
      </c>
      <c r="AS74" s="1359" t="n">
        <f aca="false">+W74</f>
        <v>0</v>
      </c>
      <c r="AT74" s="1359" t="n">
        <f aca="false">+$AN74*'ref.지급기준 (2)'!I73</f>
        <v>0</v>
      </c>
      <c r="AU74" s="1359" t="n">
        <f aca="false">+Z74</f>
        <v>0</v>
      </c>
      <c r="AV74" s="1359" t="n">
        <f aca="false">+$AN74*'ref.지급기준 (2)'!K73</f>
        <v>0</v>
      </c>
      <c r="AW74" s="1359"/>
      <c r="AX74" s="1359" t="n">
        <f aca="false">+$AN74*'ref.지급기준 (2)'!M73</f>
        <v>0</v>
      </c>
      <c r="AY74" s="1359"/>
      <c r="AZ74" s="1359" t="n">
        <f aca="false">+$AN74*'ref.지급기준 (2)'!O73</f>
        <v>0</v>
      </c>
      <c r="BA74" s="1362"/>
      <c r="BB74" s="1394"/>
      <c r="BC74" s="1278"/>
      <c r="BD74" s="1278"/>
      <c r="BE74" s="1278"/>
      <c r="BF74" s="1278"/>
      <c r="BG74" s="1278"/>
      <c r="BH74" s="1278"/>
      <c r="BI74" s="1278"/>
      <c r="BJ74" s="1278"/>
      <c r="BK74" s="1278"/>
      <c r="BL74" s="1278"/>
      <c r="BM74" s="1278"/>
      <c r="BN74" s="1333"/>
      <c r="BO74" s="1333"/>
    </row>
    <row r="75" customFormat="false" ht="16.5" hidden="false" customHeight="true" outlineLevel="0" collapsed="false">
      <c r="A75" s="1307"/>
      <c r="B75" s="629"/>
      <c r="C75" s="1413" t="n">
        <v>4</v>
      </c>
      <c r="D75" s="1413" t="s">
        <v>1452</v>
      </c>
      <c r="E75" s="1310" t="s">
        <v>1462</v>
      </c>
      <c r="F75" s="1401" t="str">
        <f aca="false">+'ref.지급기준 (2)'!C74</f>
        <v>Galsan (SPA)</v>
      </c>
      <c r="G75" s="1414" t="n">
        <f aca="false">+'ref.지급기준 (2)'!D74</f>
        <v>993.6</v>
      </c>
      <c r="H75" s="1402" t="n">
        <f aca="false">+'Solar M&amp;A'!H17</f>
        <v>0.0857</v>
      </c>
      <c r="I75" s="1313"/>
      <c r="J75" s="1313" t="s">
        <v>1454</v>
      </c>
      <c r="K75" s="1314" t="s">
        <v>112</v>
      </c>
      <c r="L75" s="1315" t="n">
        <f aca="false">+'ref.지급기준 (2)'!F74*'ref.지급기준 (2)'!D74/1000</f>
        <v>1043280000</v>
      </c>
      <c r="M75" s="1315" t="n">
        <f aca="false">+L75*10%</f>
        <v>104328000</v>
      </c>
      <c r="N75" s="1316" t="n">
        <f aca="false">SUM(L75:M75)</f>
        <v>1147608000</v>
      </c>
      <c r="O75" s="1415" t="s">
        <v>1463</v>
      </c>
      <c r="P75" s="1390" t="s">
        <v>1464</v>
      </c>
      <c r="Q75" s="1319" t="b">
        <f aca="false">+N75=AN75</f>
        <v>1</v>
      </c>
      <c r="R75" s="1323" t="n">
        <f aca="false">+IFERROR(S75/N75,"-")</f>
        <v>0</v>
      </c>
      <c r="S75" s="1368" t="n">
        <f aca="false">+IFERROR(W75+Z75+AC75+AF75+AI75+AL75,"-")</f>
        <v>0</v>
      </c>
      <c r="T75" s="1403" t="n">
        <v>1470</v>
      </c>
      <c r="U75" s="1370" t="n">
        <f aca="false">+S75/T75</f>
        <v>0</v>
      </c>
      <c r="V75" s="1323" t="n">
        <f aca="false">+IFERROR(W75/$N75,"-")</f>
        <v>0</v>
      </c>
      <c r="W75" s="1392"/>
      <c r="X75" s="1393" t="n">
        <v>45716</v>
      </c>
      <c r="Y75" s="1345" t="n">
        <f aca="false">+IFERROR(Z75/$N75,"-")</f>
        <v>0</v>
      </c>
      <c r="Z75" s="1345"/>
      <c r="AA75" s="1346" t="n">
        <f aca="false">+EDATE(X75,1)+3</f>
        <v>45747</v>
      </c>
      <c r="AB75" s="1345" t="n">
        <f aca="false">+IFERROR(AC75/$N75,"-")</f>
        <v>0</v>
      </c>
      <c r="AC75" s="1345"/>
      <c r="AD75" s="1346" t="n">
        <f aca="false">+EDATE(AA75,3)</f>
        <v>45838</v>
      </c>
      <c r="AE75" s="1345" t="n">
        <f aca="false">+IFERROR(AF75/$N75,"-")</f>
        <v>0</v>
      </c>
      <c r="AF75" s="1345"/>
      <c r="AG75" s="1346" t="n">
        <f aca="false">+EDATE(AA75,4)</f>
        <v>45869</v>
      </c>
      <c r="AH75" s="1345" t="n">
        <f aca="false">+IFERROR(AI75/$N$6,"-")</f>
        <v>0</v>
      </c>
      <c r="AI75" s="1345"/>
      <c r="AJ75" s="1346" t="n">
        <f aca="false">+EDATE(AA75,6)</f>
        <v>45930</v>
      </c>
      <c r="AK75" s="1345" t="n">
        <f aca="false">+IFERROR(AL75/$N$6,"-")</f>
        <v>0</v>
      </c>
      <c r="AL75" s="1345"/>
      <c r="AM75" s="1345"/>
      <c r="AN75" s="1347" t="n">
        <f aca="false">+N75</f>
        <v>1147608000</v>
      </c>
      <c r="AO75" s="1347" t="n">
        <f aca="false">+AN75*'ref.지급기준 (2)'!G74</f>
        <v>114760800</v>
      </c>
      <c r="AP75" s="1348" t="n">
        <f aca="false">+X75</f>
        <v>45716</v>
      </c>
      <c r="AQ75" s="1328"/>
      <c r="AR75" s="1349" t="n">
        <f aca="false">+$AN75*'ref.지급기준 (2)'!G74</f>
        <v>114760800</v>
      </c>
      <c r="AS75" s="1347" t="n">
        <f aca="false">+W75</f>
        <v>0</v>
      </c>
      <c r="AT75" s="1347" t="n">
        <f aca="false">+$AN75*'ref.지급기준 (2)'!I74</f>
        <v>229521600</v>
      </c>
      <c r="AU75" s="1347" t="n">
        <f aca="false">+Z75</f>
        <v>0</v>
      </c>
      <c r="AV75" s="1347" t="n">
        <f aca="false">+$AN75*'ref.지급기준 (2)'!K74</f>
        <v>459043200</v>
      </c>
      <c r="AW75" s="1347"/>
      <c r="AX75" s="1347" t="n">
        <f aca="false">+$AN75*'ref.지급기준 (2)'!M74</f>
        <v>286902000</v>
      </c>
      <c r="AY75" s="1347"/>
      <c r="AZ75" s="1347" t="n">
        <f aca="false">+$AN75*'ref.지급기준 (2)'!O74</f>
        <v>57380400</v>
      </c>
      <c r="BA75" s="1350"/>
      <c r="BC75" s="1278"/>
      <c r="BD75" s="1332" t="b">
        <f aca="false">+(AZ75+AX75+AV75+AT75+AR75)=N75</f>
        <v>1</v>
      </c>
      <c r="BE75" s="1278"/>
      <c r="BF75" s="1278"/>
      <c r="BG75" s="1278"/>
      <c r="BH75" s="1278"/>
      <c r="BI75" s="1278"/>
      <c r="BJ75" s="1278"/>
      <c r="BK75" s="1278"/>
      <c r="BL75" s="1278"/>
      <c r="BM75" s="1278"/>
      <c r="BN75" s="1333"/>
      <c r="BO75" s="1333"/>
    </row>
    <row r="76" customFormat="false" ht="16.5" hidden="false" customHeight="true" outlineLevel="0" collapsed="false">
      <c r="A76" s="1307"/>
      <c r="B76" s="629"/>
      <c r="C76" s="1413"/>
      <c r="D76" s="1413"/>
      <c r="E76" s="1310"/>
      <c r="F76" s="1401"/>
      <c r="G76" s="1414"/>
      <c r="H76" s="1402"/>
      <c r="I76" s="1313"/>
      <c r="J76" s="1313"/>
      <c r="K76" s="1334" t="s">
        <v>114</v>
      </c>
      <c r="L76" s="1335" t="n">
        <f aca="false">+'ref.지급기준 (2)'!F75*'ref.지급기준 (2)'!D75/1000</f>
        <v>149040000</v>
      </c>
      <c r="M76" s="1335" t="n">
        <v>0</v>
      </c>
      <c r="N76" s="1336" t="n">
        <f aca="false">SUM(L76:M76)</f>
        <v>149040000</v>
      </c>
      <c r="O76" s="1415"/>
      <c r="P76" s="1390"/>
      <c r="Q76" s="1319" t="b">
        <f aca="false">+N76=AN76</f>
        <v>1</v>
      </c>
      <c r="R76" s="1337" t="n">
        <f aca="false">+IFERROR(S76/N76,"-")</f>
        <v>0</v>
      </c>
      <c r="S76" s="1338" t="n">
        <f aca="false">+IFERROR(W76+Z76+AC76+AF76+AI76+AL76,"-")</f>
        <v>0</v>
      </c>
      <c r="T76" s="1403"/>
      <c r="U76" s="1339" t="n">
        <f aca="false">+S76/T75</f>
        <v>0</v>
      </c>
      <c r="V76" s="1337" t="n">
        <f aca="false">+IFERROR(W76/$N76,"-")</f>
        <v>0</v>
      </c>
      <c r="W76" s="1395"/>
      <c r="X76" s="1396" t="n">
        <v>45777</v>
      </c>
      <c r="Y76" s="1345" t="n">
        <f aca="false">+IFERROR(Z76/$N76,"-")</f>
        <v>0</v>
      </c>
      <c r="Z76" s="1397"/>
      <c r="AA76" s="1346" t="n">
        <f aca="false">EDATE(X76,1)</f>
        <v>45807</v>
      </c>
      <c r="AB76" s="1345" t="n">
        <f aca="false">+IFERROR(AC76/$N76,"-")</f>
        <v>0</v>
      </c>
      <c r="AC76" s="1345"/>
      <c r="AD76" s="1346" t="n">
        <f aca="false">EDATE(AA76,4)</f>
        <v>45930</v>
      </c>
      <c r="AE76" s="1345" t="n">
        <f aca="false">+IFERROR(AF76/$N76,"-")</f>
        <v>0</v>
      </c>
      <c r="AF76" s="1345"/>
      <c r="AG76" s="1346" t="n">
        <f aca="false">EDATE(AA76,6)</f>
        <v>45991</v>
      </c>
      <c r="AH76" s="1345" t="n">
        <f aca="false">+IFERROR(AI76/$N$6,"-")</f>
        <v>0</v>
      </c>
      <c r="AI76" s="1345"/>
      <c r="AJ76" s="1346"/>
      <c r="AK76" s="1345" t="n">
        <f aca="false">+IFERROR(AL76/$N$6,"-")</f>
        <v>0</v>
      </c>
      <c r="AL76" s="1345"/>
      <c r="AM76" s="1345"/>
      <c r="AN76" s="1347" t="n">
        <f aca="false">+N76</f>
        <v>149040000</v>
      </c>
      <c r="AO76" s="1347" t="n">
        <f aca="false">+AN76*'ref.지급기준 (2)'!G75</f>
        <v>119232000</v>
      </c>
      <c r="AP76" s="1348" t="n">
        <f aca="false">+X76</f>
        <v>45777</v>
      </c>
      <c r="AQ76" s="1328"/>
      <c r="AR76" s="1349" t="n">
        <f aca="false">+$AN76*'ref.지급기준 (2)'!G75</f>
        <v>119232000</v>
      </c>
      <c r="AS76" s="1347" t="n">
        <f aca="false">+W76</f>
        <v>0</v>
      </c>
      <c r="AT76" s="1347" t="n">
        <f aca="false">+$AN76*'ref.지급기준 (2)'!I75</f>
        <v>0</v>
      </c>
      <c r="AU76" s="1347" t="n">
        <f aca="false">+Z76</f>
        <v>0</v>
      </c>
      <c r="AV76" s="1347" t="n">
        <f aca="false">+$AN76*'ref.지급기준 (2)'!K75</f>
        <v>0</v>
      </c>
      <c r="AW76" s="1347"/>
      <c r="AX76" s="1347" t="n">
        <f aca="false">+$AN76*'ref.지급기준 (2)'!M75</f>
        <v>29808000</v>
      </c>
      <c r="AY76" s="1347"/>
      <c r="AZ76" s="1347" t="n">
        <f aca="false">+$AN76*'ref.지급기준 (2)'!O75</f>
        <v>0</v>
      </c>
      <c r="BA76" s="1350"/>
      <c r="BC76" s="1278"/>
      <c r="BD76" s="1332" t="b">
        <f aca="false">+(AZ76+AX76+AV76+AT76+AR76)=N76</f>
        <v>1</v>
      </c>
      <c r="BE76" s="1278"/>
      <c r="BF76" s="1278"/>
      <c r="BG76" s="1278"/>
      <c r="BH76" s="1278"/>
      <c r="BI76" s="1278"/>
      <c r="BJ76" s="1278"/>
      <c r="BK76" s="1278"/>
      <c r="BL76" s="1278"/>
      <c r="BM76" s="1278"/>
      <c r="BN76" s="1333"/>
      <c r="BO76" s="1333"/>
    </row>
    <row r="77" customFormat="false" ht="16.5" hidden="false" customHeight="true" outlineLevel="0" collapsed="false">
      <c r="A77" s="1307"/>
      <c r="B77" s="629"/>
      <c r="C77" s="1413"/>
      <c r="D77" s="1413"/>
      <c r="E77" s="1310"/>
      <c r="F77" s="1401"/>
      <c r="G77" s="1414"/>
      <c r="H77" s="1402"/>
      <c r="I77" s="1313"/>
      <c r="J77" s="1313"/>
      <c r="K77" s="1334" t="s">
        <v>404</v>
      </c>
      <c r="L77" s="1335" t="n">
        <f aca="false">+'ref.지급기준 (2)'!F76*'ref.지급기준 (2)'!D76/1000</f>
        <v>298080000</v>
      </c>
      <c r="M77" s="1335" t="n">
        <v>0</v>
      </c>
      <c r="N77" s="1336" t="n">
        <f aca="false">SUM(L77:M77)</f>
        <v>298080000</v>
      </c>
      <c r="O77" s="1415"/>
      <c r="P77" s="1390"/>
      <c r="Q77" s="1319" t="b">
        <f aca="false">+N77=AN77</f>
        <v>1</v>
      </c>
      <c r="R77" s="1337" t="n">
        <f aca="false">+IFERROR(S77/N77,"-")</f>
        <v>0</v>
      </c>
      <c r="S77" s="1338" t="n">
        <f aca="false">+IFERROR(W77+Z77+AC77+AF77+AI77+AL77,"-")</f>
        <v>0</v>
      </c>
      <c r="T77" s="1403"/>
      <c r="U77" s="1339" t="n">
        <f aca="false">+S77/T75</f>
        <v>0</v>
      </c>
      <c r="V77" s="1337" t="n">
        <f aca="false">+IFERROR(W77/$N77,"-")</f>
        <v>0</v>
      </c>
      <c r="W77" s="1395"/>
      <c r="X77" s="1396" t="n">
        <f aca="false">X76</f>
        <v>45777</v>
      </c>
      <c r="Y77" s="1345" t="n">
        <f aca="false">+IFERROR(Z77/$N77,"-")</f>
        <v>0</v>
      </c>
      <c r="Z77" s="1345"/>
      <c r="AA77" s="1346" t="n">
        <f aca="false">AA76</f>
        <v>45807</v>
      </c>
      <c r="AB77" s="1345" t="n">
        <f aca="false">+IFERROR(AC77/$N77,"-")</f>
        <v>0</v>
      </c>
      <c r="AC77" s="1345"/>
      <c r="AD77" s="1346" t="n">
        <f aca="false">AD76</f>
        <v>45930</v>
      </c>
      <c r="AE77" s="1345" t="n">
        <f aca="false">+IFERROR(AF77/$N77,"-")</f>
        <v>0</v>
      </c>
      <c r="AF77" s="1345"/>
      <c r="AG77" s="1346" t="n">
        <f aca="false">AG76</f>
        <v>45991</v>
      </c>
      <c r="AH77" s="1345" t="n">
        <f aca="false">+IFERROR(AI77/$N$6,"-")</f>
        <v>0</v>
      </c>
      <c r="AI77" s="1345"/>
      <c r="AJ77" s="1346"/>
      <c r="AK77" s="1345" t="n">
        <f aca="false">+IFERROR(AL77/$N$6,"-")</f>
        <v>0</v>
      </c>
      <c r="AL77" s="1345"/>
      <c r="AM77" s="1345"/>
      <c r="AN77" s="1347" t="n">
        <f aca="false">+N77</f>
        <v>298080000</v>
      </c>
      <c r="AO77" s="1347" t="n">
        <f aca="false">+AN77*'ref.지급기준 (2)'!G76</f>
        <v>238464000</v>
      </c>
      <c r="AP77" s="1348" t="n">
        <f aca="false">+X77</f>
        <v>45777</v>
      </c>
      <c r="AQ77" s="1328"/>
      <c r="AR77" s="1349" t="n">
        <f aca="false">+$AN77*'ref.지급기준 (2)'!G76</f>
        <v>238464000</v>
      </c>
      <c r="AS77" s="1347" t="n">
        <f aca="false">+W77</f>
        <v>0</v>
      </c>
      <c r="AT77" s="1347" t="n">
        <f aca="false">+$AN77*'ref.지급기준 (2)'!I76</f>
        <v>0</v>
      </c>
      <c r="AU77" s="1347" t="n">
        <f aca="false">+Z77</f>
        <v>0</v>
      </c>
      <c r="AV77" s="1347" t="n">
        <f aca="false">+$AN77*'ref.지급기준 (2)'!K76</f>
        <v>0</v>
      </c>
      <c r="AW77" s="1347"/>
      <c r="AX77" s="1347" t="n">
        <f aca="false">+$AN77*'ref.지급기준 (2)'!M76</f>
        <v>59616000</v>
      </c>
      <c r="AY77" s="1347"/>
      <c r="AZ77" s="1347" t="n">
        <f aca="false">+$AN77*'ref.지급기준 (2)'!O76</f>
        <v>0</v>
      </c>
      <c r="BA77" s="1350"/>
      <c r="BC77" s="1278"/>
      <c r="BD77" s="1332" t="b">
        <f aca="false">+(AZ77+AX77+AV77+AT77+AR77)=N77</f>
        <v>1</v>
      </c>
      <c r="BE77" s="1278"/>
      <c r="BF77" s="1278"/>
      <c r="BG77" s="1278"/>
      <c r="BH77" s="1278"/>
      <c r="BI77" s="1278"/>
      <c r="BJ77" s="1278"/>
      <c r="BK77" s="1278"/>
      <c r="BL77" s="1278"/>
      <c r="BM77" s="1278"/>
      <c r="BN77" s="1333"/>
      <c r="BO77" s="1333"/>
    </row>
    <row r="78" customFormat="false" ht="16.5" hidden="false" customHeight="false" outlineLevel="0" collapsed="false">
      <c r="A78" s="1307"/>
      <c r="B78" s="629"/>
      <c r="C78" s="1413"/>
      <c r="D78" s="1413"/>
      <c r="E78" s="1310"/>
      <c r="F78" s="1401"/>
      <c r="G78" s="1414"/>
      <c r="H78" s="1402"/>
      <c r="I78" s="1313"/>
      <c r="J78" s="1313"/>
      <c r="K78" s="1334" t="s">
        <v>507</v>
      </c>
      <c r="L78" s="1335" t="n">
        <f aca="false">+'ref.지급기준 (2)'!F77*'ref.지급기준 (2)'!D77/1000</f>
        <v>198720000</v>
      </c>
      <c r="M78" s="1335" t="n">
        <v>0</v>
      </c>
      <c r="N78" s="1336" t="n">
        <f aca="false">SUM(L78:M78)</f>
        <v>198720000</v>
      </c>
      <c r="O78" s="1415"/>
      <c r="P78" s="1390"/>
      <c r="Q78" s="1404" t="b">
        <f aca="false">+N78=AN78</f>
        <v>1</v>
      </c>
      <c r="R78" s="1337" t="n">
        <f aca="false">+IFERROR(S78/N78,"-")</f>
        <v>0</v>
      </c>
      <c r="S78" s="1338" t="n">
        <f aca="false">+IFERROR(W78+Z78+AC78+AF78+AI78+AL78,"-")</f>
        <v>0</v>
      </c>
      <c r="T78" s="1403"/>
      <c r="U78" s="1339" t="n">
        <f aca="false">+S78/T75</f>
        <v>0</v>
      </c>
      <c r="V78" s="1337" t="n">
        <f aca="false">+IFERROR(W78/$N78,"-")</f>
        <v>0</v>
      </c>
      <c r="W78" s="1395"/>
      <c r="X78" s="1396" t="n">
        <f aca="false">X76</f>
        <v>45777</v>
      </c>
      <c r="Y78" s="1345" t="n">
        <f aca="false">+IFERROR(Z78/$N78,"-")</f>
        <v>0</v>
      </c>
      <c r="Z78" s="1345"/>
      <c r="AA78" s="1346" t="n">
        <f aca="false">AA76</f>
        <v>45807</v>
      </c>
      <c r="AB78" s="1345" t="n">
        <f aca="false">+IFERROR(AC78/$N78,"-")</f>
        <v>0</v>
      </c>
      <c r="AC78" s="1345"/>
      <c r="AD78" s="1346" t="n">
        <f aca="false">AD76</f>
        <v>45930</v>
      </c>
      <c r="AE78" s="1345" t="n">
        <f aca="false">+IFERROR(AF78/$N78,"-")</f>
        <v>0</v>
      </c>
      <c r="AF78" s="1345"/>
      <c r="AG78" s="1346" t="n">
        <f aca="false">AG76</f>
        <v>45991</v>
      </c>
      <c r="AH78" s="1345" t="n">
        <f aca="false">+IFERROR(AI78/$N$6,"-")</f>
        <v>0</v>
      </c>
      <c r="AI78" s="1345"/>
      <c r="AJ78" s="1346"/>
      <c r="AK78" s="1345" t="n">
        <f aca="false">+IFERROR(AL78/$N$6,"-")</f>
        <v>0</v>
      </c>
      <c r="AL78" s="1345"/>
      <c r="AM78" s="1345"/>
      <c r="AN78" s="1347" t="n">
        <f aca="false">+N78</f>
        <v>198720000</v>
      </c>
      <c r="AO78" s="1347" t="n">
        <f aca="false">+AN78*'ref.지급기준 (2)'!G77</f>
        <v>158976000</v>
      </c>
      <c r="AP78" s="1348" t="n">
        <f aca="false">+X78</f>
        <v>45777</v>
      </c>
      <c r="AQ78" s="1328"/>
      <c r="AR78" s="1349" t="n">
        <f aca="false">+$AN78*'ref.지급기준 (2)'!G77</f>
        <v>158976000</v>
      </c>
      <c r="AS78" s="1347" t="n">
        <f aca="false">+W78</f>
        <v>0</v>
      </c>
      <c r="AT78" s="1347" t="n">
        <f aca="false">+$AN78*'ref.지급기준 (2)'!I77</f>
        <v>0</v>
      </c>
      <c r="AU78" s="1347" t="n">
        <f aca="false">+Z78</f>
        <v>0</v>
      </c>
      <c r="AV78" s="1347" t="n">
        <f aca="false">+$AN78*'ref.지급기준 (2)'!K77</f>
        <v>0</v>
      </c>
      <c r="AW78" s="1347"/>
      <c r="AX78" s="1347" t="n">
        <f aca="false">+$AN78*'ref.지급기준 (2)'!M77</f>
        <v>39744000</v>
      </c>
      <c r="AY78" s="1347"/>
      <c r="AZ78" s="1347" t="n">
        <f aca="false">+$AN78*'ref.지급기준 (2)'!O77</f>
        <v>0</v>
      </c>
      <c r="BA78" s="1350"/>
      <c r="BC78" s="1278"/>
      <c r="BD78" s="1332" t="b">
        <f aca="false">+(AZ78+AX78+AV78+AT78+AR78)=N78</f>
        <v>1</v>
      </c>
      <c r="BE78" s="1278"/>
      <c r="BF78" s="1278"/>
      <c r="BG78" s="1278"/>
      <c r="BH78" s="1278"/>
      <c r="BI78" s="1278"/>
      <c r="BJ78" s="1278"/>
      <c r="BK78" s="1278"/>
      <c r="BL78" s="1278"/>
      <c r="BM78" s="1278"/>
      <c r="BN78" s="1333"/>
      <c r="BO78" s="1333"/>
    </row>
    <row r="79" customFormat="false" ht="16.5" hidden="false" customHeight="false" outlineLevel="0" collapsed="false">
      <c r="A79" s="1307"/>
      <c r="B79" s="629"/>
      <c r="C79" s="1413"/>
      <c r="D79" s="1413"/>
      <c r="E79" s="1310"/>
      <c r="F79" s="1401"/>
      <c r="G79" s="1414"/>
      <c r="H79" s="1402"/>
      <c r="I79" s="1313"/>
      <c r="J79" s="1313"/>
      <c r="K79" s="1351" t="s">
        <v>508</v>
      </c>
      <c r="L79" s="1352" t="n">
        <f aca="false">+'ref.지급기준 (2)'!F78*'ref.지급기준 (2)'!D78/1000</f>
        <v>0</v>
      </c>
      <c r="M79" s="1352"/>
      <c r="N79" s="1353"/>
      <c r="O79" s="1415"/>
      <c r="P79" s="1390"/>
      <c r="Q79" s="1405"/>
      <c r="R79" s="1406"/>
      <c r="S79" s="1407"/>
      <c r="T79" s="1403"/>
      <c r="U79" s="1408" t="n">
        <f aca="false">+S79/T75</f>
        <v>0</v>
      </c>
      <c r="V79" s="1406" t="str">
        <f aca="false">+IFERROR(W79/$N79,"-")</f>
        <v>-</v>
      </c>
      <c r="W79" s="1409"/>
      <c r="X79" s="1409"/>
      <c r="Y79" s="1409" t="str">
        <f aca="false">+IFERROR(Z79/$N79,"-")</f>
        <v>-</v>
      </c>
      <c r="Z79" s="1409"/>
      <c r="AA79" s="1410"/>
      <c r="AB79" s="1409" t="str">
        <f aca="false">+IFERROR(AC79/$N79,"-")</f>
        <v>-</v>
      </c>
      <c r="AC79" s="1409"/>
      <c r="AD79" s="1410"/>
      <c r="AE79" s="1409" t="str">
        <f aca="false">+IFERROR(AF79/$N79,"-")</f>
        <v>-</v>
      </c>
      <c r="AF79" s="1409"/>
      <c r="AG79" s="1410"/>
      <c r="AH79" s="1409" t="n">
        <f aca="false">+IFERROR(AI79/$N$6,"-")</f>
        <v>0</v>
      </c>
      <c r="AI79" s="1409"/>
      <c r="AJ79" s="1409"/>
      <c r="AK79" s="1409"/>
      <c r="AL79" s="1409"/>
      <c r="AM79" s="1409"/>
      <c r="AN79" s="1411" t="n">
        <f aca="false">+N79</f>
        <v>0</v>
      </c>
      <c r="AO79" s="1411" t="n">
        <f aca="false">+AR79+AT79</f>
        <v>0</v>
      </c>
      <c r="AP79" s="1412"/>
      <c r="AQ79" s="1328"/>
      <c r="AR79" s="1361" t="n">
        <f aca="false">+$AN79*'ref.지급기준 (2)'!G78</f>
        <v>0</v>
      </c>
      <c r="AS79" s="1359" t="n">
        <f aca="false">+W79</f>
        <v>0</v>
      </c>
      <c r="AT79" s="1359" t="n">
        <f aca="false">+$AN79*'ref.지급기준 (2)'!I78</f>
        <v>0</v>
      </c>
      <c r="AU79" s="1359" t="n">
        <f aca="false">+Z79</f>
        <v>0</v>
      </c>
      <c r="AV79" s="1359" t="n">
        <f aca="false">+$AN79*'ref.지급기준 (2)'!K78</f>
        <v>0</v>
      </c>
      <c r="AW79" s="1359"/>
      <c r="AX79" s="1359" t="n">
        <f aca="false">+$AN79*'ref.지급기준 (2)'!M78</f>
        <v>0</v>
      </c>
      <c r="AY79" s="1359"/>
      <c r="AZ79" s="1359" t="n">
        <f aca="false">+$AN79*'ref.지급기준 (2)'!O78</f>
        <v>0</v>
      </c>
      <c r="BA79" s="1362"/>
      <c r="BC79" s="1278"/>
      <c r="BD79" s="1278"/>
      <c r="BE79" s="1278"/>
      <c r="BF79" s="1278"/>
      <c r="BG79" s="1278"/>
      <c r="BH79" s="1278"/>
      <c r="BI79" s="1278"/>
      <c r="BJ79" s="1278"/>
      <c r="BK79" s="1278"/>
      <c r="BL79" s="1278"/>
      <c r="BM79" s="1278"/>
      <c r="BN79" s="1333"/>
      <c r="BO79" s="1333"/>
    </row>
    <row r="80" customFormat="false" ht="16.5" hidden="false" customHeight="true" outlineLevel="0" collapsed="false">
      <c r="A80" s="1307"/>
      <c r="B80" s="629"/>
      <c r="C80" s="1413"/>
      <c r="D80" s="1413"/>
      <c r="E80" s="1310"/>
      <c r="F80" s="1401" t="str">
        <f aca="false">+'ref.지급기준 (2)'!C79</f>
        <v>Mineuri (SPA)</v>
      </c>
      <c r="G80" s="1414" t="n">
        <f aca="false">+'ref.지급기준 (2)'!D79</f>
        <v>993.6</v>
      </c>
      <c r="H80" s="1402" t="n">
        <f aca="false">+'Solar M&amp;A'!H18</f>
        <v>0.0977</v>
      </c>
      <c r="I80" s="1313"/>
      <c r="J80" s="1313" t="s">
        <v>1454</v>
      </c>
      <c r="K80" s="1314" t="s">
        <v>112</v>
      </c>
      <c r="L80" s="1315" t="n">
        <f aca="false">+'ref.지급기준 (2)'!F79*'ref.지급기준 (2)'!D79/1000</f>
        <v>1043280000</v>
      </c>
      <c r="M80" s="1315" t="n">
        <f aca="false">+L80*10%</f>
        <v>104328000</v>
      </c>
      <c r="N80" s="1316" t="n">
        <f aca="false">SUM(L80:M80)</f>
        <v>1147608000</v>
      </c>
      <c r="O80" s="1415"/>
      <c r="P80" s="1390"/>
      <c r="Q80" s="1319" t="b">
        <f aca="false">+N80=AN80</f>
        <v>1</v>
      </c>
      <c r="R80" s="1323" t="n">
        <f aca="false">+IFERROR(S80/N80,"-")</f>
        <v>0</v>
      </c>
      <c r="S80" s="1368" t="n">
        <f aca="false">+IFERROR(W80+Z80+AC80+AF80+AI80+AL80,"-")</f>
        <v>0</v>
      </c>
      <c r="T80" s="1403" t="n">
        <v>1470</v>
      </c>
      <c r="U80" s="1370" t="n">
        <f aca="false">+S80/T80</f>
        <v>0</v>
      </c>
      <c r="V80" s="1323" t="n">
        <f aca="false">+IFERROR(W80/$N80,"-")</f>
        <v>0</v>
      </c>
      <c r="W80" s="1392"/>
      <c r="X80" s="1393" t="n">
        <v>45716</v>
      </c>
      <c r="Y80" s="1345" t="n">
        <f aca="false">+IFERROR(Z80/$N80,"-")</f>
        <v>0</v>
      </c>
      <c r="Z80" s="1345"/>
      <c r="AA80" s="1346" t="n">
        <f aca="false">+EDATE(X80,1)+3</f>
        <v>45747</v>
      </c>
      <c r="AB80" s="1345" t="n">
        <f aca="false">+IFERROR(AC80/$N80,"-")</f>
        <v>0</v>
      </c>
      <c r="AC80" s="1345"/>
      <c r="AD80" s="1346" t="n">
        <f aca="false">+EDATE(AA80,3)</f>
        <v>45838</v>
      </c>
      <c r="AE80" s="1345" t="n">
        <f aca="false">+IFERROR(AF80/$N80,"-")</f>
        <v>0</v>
      </c>
      <c r="AF80" s="1345"/>
      <c r="AG80" s="1346" t="n">
        <f aca="false">+EDATE(AA80,4)</f>
        <v>45869</v>
      </c>
      <c r="AH80" s="1345" t="n">
        <f aca="false">+IFERROR(AI80/$N$6,"-")</f>
        <v>0</v>
      </c>
      <c r="AI80" s="1345"/>
      <c r="AJ80" s="1346" t="n">
        <f aca="false">+EDATE(AA80,6)</f>
        <v>45930</v>
      </c>
      <c r="AK80" s="1345" t="n">
        <f aca="false">+IFERROR(AL80/$N$6,"-")</f>
        <v>0</v>
      </c>
      <c r="AL80" s="1345"/>
      <c r="AM80" s="1345"/>
      <c r="AN80" s="1347" t="n">
        <f aca="false">+N80</f>
        <v>1147608000</v>
      </c>
      <c r="AO80" s="1347" t="n">
        <f aca="false">+AN80*'ref.지급기준 (2)'!G79</f>
        <v>114760800</v>
      </c>
      <c r="AP80" s="1348" t="n">
        <f aca="false">+X80</f>
        <v>45716</v>
      </c>
      <c r="AQ80" s="1328"/>
      <c r="AR80" s="1349" t="n">
        <f aca="false">+$AN80*'ref.지급기준 (2)'!G79</f>
        <v>114760800</v>
      </c>
      <c r="AS80" s="1347" t="n">
        <f aca="false">+W80</f>
        <v>0</v>
      </c>
      <c r="AT80" s="1347" t="n">
        <f aca="false">+$AN80*'ref.지급기준 (2)'!I79</f>
        <v>229521600</v>
      </c>
      <c r="AU80" s="1347" t="n">
        <f aca="false">+Z80</f>
        <v>0</v>
      </c>
      <c r="AV80" s="1347" t="n">
        <f aca="false">+$AN80*'ref.지급기준 (2)'!K79</f>
        <v>459043200</v>
      </c>
      <c r="AW80" s="1347"/>
      <c r="AX80" s="1347" t="n">
        <f aca="false">+$AN80*'ref.지급기준 (2)'!M79</f>
        <v>286902000</v>
      </c>
      <c r="AY80" s="1347"/>
      <c r="AZ80" s="1347" t="n">
        <f aca="false">+$AN80*'ref.지급기준 (2)'!O79</f>
        <v>57380400</v>
      </c>
      <c r="BA80" s="1350"/>
      <c r="BC80" s="1278"/>
      <c r="BD80" s="1332" t="b">
        <f aca="false">+(AZ80+AX80+AV80+AT80+AR80)=N80</f>
        <v>1</v>
      </c>
      <c r="BE80" s="1278"/>
      <c r="BF80" s="1278"/>
      <c r="BG80" s="1278"/>
      <c r="BH80" s="1278"/>
      <c r="BI80" s="1278"/>
      <c r="BJ80" s="1278"/>
      <c r="BK80" s="1278"/>
      <c r="BL80" s="1278"/>
      <c r="BM80" s="1278"/>
      <c r="BN80" s="1333"/>
      <c r="BO80" s="1333"/>
    </row>
    <row r="81" customFormat="false" ht="16.5" hidden="false" customHeight="true" outlineLevel="0" collapsed="false">
      <c r="A81" s="1307"/>
      <c r="B81" s="629"/>
      <c r="C81" s="1413"/>
      <c r="D81" s="1413"/>
      <c r="E81" s="1310"/>
      <c r="F81" s="1401"/>
      <c r="G81" s="1414"/>
      <c r="H81" s="1402"/>
      <c r="I81" s="1313"/>
      <c r="J81" s="1313"/>
      <c r="K81" s="1334" t="s">
        <v>114</v>
      </c>
      <c r="L81" s="1335" t="n">
        <f aca="false">+'ref.지급기준 (2)'!F80*'ref.지급기준 (2)'!D80/1000</f>
        <v>149040000</v>
      </c>
      <c r="M81" s="1335" t="n">
        <v>0</v>
      </c>
      <c r="N81" s="1336" t="n">
        <f aca="false">SUM(L81:M81)</f>
        <v>149040000</v>
      </c>
      <c r="O81" s="1415"/>
      <c r="P81" s="1390"/>
      <c r="Q81" s="1319" t="b">
        <f aca="false">+N81=AN81</f>
        <v>1</v>
      </c>
      <c r="R81" s="1337" t="n">
        <f aca="false">+IFERROR(S81/N81,"-")</f>
        <v>0</v>
      </c>
      <c r="S81" s="1338" t="n">
        <f aca="false">+IFERROR(W81+Z81+AC81+AF81+AI81+AL81,"-")</f>
        <v>0</v>
      </c>
      <c r="T81" s="1403"/>
      <c r="U81" s="1339" t="n">
        <f aca="false">+S81/T80</f>
        <v>0</v>
      </c>
      <c r="V81" s="1337" t="n">
        <f aca="false">+IFERROR(W81/$N81,"-")</f>
        <v>0</v>
      </c>
      <c r="W81" s="1395"/>
      <c r="X81" s="1396" t="n">
        <v>45777</v>
      </c>
      <c r="Y81" s="1345" t="n">
        <f aca="false">+IFERROR(Z81/$N81,"-")</f>
        <v>0</v>
      </c>
      <c r="Z81" s="1397"/>
      <c r="AA81" s="1346" t="n">
        <f aca="false">EDATE(X81,1)</f>
        <v>45807</v>
      </c>
      <c r="AB81" s="1345" t="n">
        <f aca="false">+IFERROR(AC81/$N81,"-")</f>
        <v>0</v>
      </c>
      <c r="AC81" s="1345"/>
      <c r="AD81" s="1346" t="n">
        <f aca="false">EDATE(AA81,4)</f>
        <v>45930</v>
      </c>
      <c r="AE81" s="1345" t="n">
        <f aca="false">+IFERROR(AF81/$N81,"-")</f>
        <v>0</v>
      </c>
      <c r="AF81" s="1345"/>
      <c r="AG81" s="1346" t="n">
        <f aca="false">EDATE(AA81,6)</f>
        <v>45991</v>
      </c>
      <c r="AH81" s="1345" t="n">
        <f aca="false">+IFERROR(AI81/$N$6,"-")</f>
        <v>0</v>
      </c>
      <c r="AI81" s="1345"/>
      <c r="AJ81" s="1346"/>
      <c r="AK81" s="1345" t="n">
        <f aca="false">+IFERROR(AL81/$N$6,"-")</f>
        <v>0</v>
      </c>
      <c r="AL81" s="1345"/>
      <c r="AM81" s="1345"/>
      <c r="AN81" s="1347" t="n">
        <f aca="false">+N81</f>
        <v>149040000</v>
      </c>
      <c r="AO81" s="1347" t="n">
        <f aca="false">+AN81*'ref.지급기준 (2)'!G80</f>
        <v>119232000</v>
      </c>
      <c r="AP81" s="1348" t="n">
        <f aca="false">+X81</f>
        <v>45777</v>
      </c>
      <c r="AQ81" s="1328"/>
      <c r="AR81" s="1349" t="n">
        <f aca="false">+$AN81*'ref.지급기준 (2)'!G80</f>
        <v>119232000</v>
      </c>
      <c r="AS81" s="1347" t="n">
        <f aca="false">+W81</f>
        <v>0</v>
      </c>
      <c r="AT81" s="1347" t="n">
        <f aca="false">+$AN81*'ref.지급기준 (2)'!I80</f>
        <v>0</v>
      </c>
      <c r="AU81" s="1347" t="n">
        <f aca="false">+Z81</f>
        <v>0</v>
      </c>
      <c r="AV81" s="1347" t="n">
        <f aca="false">+$AN81*'ref.지급기준 (2)'!K80</f>
        <v>0</v>
      </c>
      <c r="AW81" s="1347"/>
      <c r="AX81" s="1347" t="n">
        <f aca="false">+$AN81*'ref.지급기준 (2)'!M80</f>
        <v>29808000</v>
      </c>
      <c r="AY81" s="1347"/>
      <c r="AZ81" s="1347" t="n">
        <f aca="false">+$AN81*'ref.지급기준 (2)'!O80</f>
        <v>0</v>
      </c>
      <c r="BA81" s="1350"/>
      <c r="BC81" s="1278"/>
      <c r="BD81" s="1332" t="b">
        <f aca="false">+(AZ81+AX81+AV81+AT81+AR81)=N81</f>
        <v>1</v>
      </c>
      <c r="BE81" s="1278"/>
      <c r="BF81" s="1278"/>
      <c r="BG81" s="1278"/>
      <c r="BH81" s="1278"/>
      <c r="BI81" s="1278"/>
      <c r="BJ81" s="1278"/>
      <c r="BK81" s="1278"/>
      <c r="BL81" s="1278"/>
      <c r="BM81" s="1278"/>
      <c r="BN81" s="1333"/>
      <c r="BO81" s="1333"/>
    </row>
    <row r="82" customFormat="false" ht="16.5" hidden="false" customHeight="true" outlineLevel="0" collapsed="false">
      <c r="A82" s="1307"/>
      <c r="B82" s="629"/>
      <c r="C82" s="1413"/>
      <c r="D82" s="1413"/>
      <c r="E82" s="1310"/>
      <c r="F82" s="1401"/>
      <c r="G82" s="1414"/>
      <c r="H82" s="1402"/>
      <c r="I82" s="1313"/>
      <c r="J82" s="1313"/>
      <c r="K82" s="1334" t="s">
        <v>404</v>
      </c>
      <c r="L82" s="1335" t="n">
        <f aca="false">+'ref.지급기준 (2)'!F81*'ref.지급기준 (2)'!D81/1000</f>
        <v>298080000</v>
      </c>
      <c r="M82" s="1335" t="n">
        <v>0</v>
      </c>
      <c r="N82" s="1336" t="n">
        <f aca="false">SUM(L82:M82)</f>
        <v>298080000</v>
      </c>
      <c r="O82" s="1415"/>
      <c r="P82" s="1390"/>
      <c r="Q82" s="1319" t="b">
        <f aca="false">+N82=AN82</f>
        <v>1</v>
      </c>
      <c r="R82" s="1337" t="n">
        <f aca="false">+IFERROR(S82/N82,"-")</f>
        <v>0</v>
      </c>
      <c r="S82" s="1338" t="n">
        <f aca="false">+IFERROR(W82+Z82+AC82+AF82+AI82+AL82,"-")</f>
        <v>0</v>
      </c>
      <c r="T82" s="1403"/>
      <c r="U82" s="1339" t="n">
        <f aca="false">+S82/T80</f>
        <v>0</v>
      </c>
      <c r="V82" s="1337" t="n">
        <f aca="false">+IFERROR(W82/$N82,"-")</f>
        <v>0</v>
      </c>
      <c r="W82" s="1395"/>
      <c r="X82" s="1396" t="n">
        <f aca="false">X81</f>
        <v>45777</v>
      </c>
      <c r="Y82" s="1345" t="n">
        <f aca="false">+IFERROR(Z82/$N82,"-")</f>
        <v>0</v>
      </c>
      <c r="Z82" s="1345"/>
      <c r="AA82" s="1346" t="n">
        <f aca="false">AA81</f>
        <v>45807</v>
      </c>
      <c r="AB82" s="1345" t="n">
        <f aca="false">+IFERROR(AC82/$N82,"-")</f>
        <v>0</v>
      </c>
      <c r="AC82" s="1345"/>
      <c r="AD82" s="1346" t="n">
        <f aca="false">AD81</f>
        <v>45930</v>
      </c>
      <c r="AE82" s="1345" t="n">
        <f aca="false">+IFERROR(AF82/$N82,"-")</f>
        <v>0</v>
      </c>
      <c r="AF82" s="1345"/>
      <c r="AG82" s="1346" t="n">
        <f aca="false">AG81</f>
        <v>45991</v>
      </c>
      <c r="AH82" s="1345" t="n">
        <f aca="false">+IFERROR(AI82/$N$6,"-")</f>
        <v>0</v>
      </c>
      <c r="AI82" s="1345"/>
      <c r="AJ82" s="1346"/>
      <c r="AK82" s="1345" t="n">
        <f aca="false">+IFERROR(AL82/$N$6,"-")</f>
        <v>0</v>
      </c>
      <c r="AL82" s="1345"/>
      <c r="AM82" s="1345"/>
      <c r="AN82" s="1347" t="n">
        <f aca="false">+N82</f>
        <v>298080000</v>
      </c>
      <c r="AO82" s="1347" t="n">
        <f aca="false">+AN82*'ref.지급기준 (2)'!G81</f>
        <v>238464000</v>
      </c>
      <c r="AP82" s="1348" t="n">
        <f aca="false">+X82</f>
        <v>45777</v>
      </c>
      <c r="AQ82" s="1328"/>
      <c r="AR82" s="1349" t="n">
        <f aca="false">+$AN82*'ref.지급기준 (2)'!G81</f>
        <v>238464000</v>
      </c>
      <c r="AS82" s="1347" t="n">
        <f aca="false">+W82</f>
        <v>0</v>
      </c>
      <c r="AT82" s="1347" t="n">
        <f aca="false">+$AN82*'ref.지급기준 (2)'!I81</f>
        <v>0</v>
      </c>
      <c r="AU82" s="1347" t="n">
        <f aca="false">+Z82</f>
        <v>0</v>
      </c>
      <c r="AV82" s="1347" t="n">
        <f aca="false">+$AN82*'ref.지급기준 (2)'!K81</f>
        <v>0</v>
      </c>
      <c r="AW82" s="1347"/>
      <c r="AX82" s="1347" t="n">
        <f aca="false">+$AN82*'ref.지급기준 (2)'!M81</f>
        <v>59616000</v>
      </c>
      <c r="AY82" s="1347"/>
      <c r="AZ82" s="1347" t="n">
        <f aca="false">+$AN82*'ref.지급기준 (2)'!O81</f>
        <v>0</v>
      </c>
      <c r="BA82" s="1350"/>
      <c r="BC82" s="1278"/>
      <c r="BD82" s="1332" t="b">
        <f aca="false">+(AZ82+AX82+AV82+AT82+AR82)=N82</f>
        <v>1</v>
      </c>
      <c r="BE82" s="1278"/>
      <c r="BF82" s="1278"/>
      <c r="BG82" s="1278"/>
      <c r="BH82" s="1278"/>
      <c r="BI82" s="1278"/>
      <c r="BJ82" s="1278"/>
      <c r="BK82" s="1278"/>
      <c r="BL82" s="1278"/>
      <c r="BM82" s="1278"/>
      <c r="BN82" s="1333"/>
      <c r="BO82" s="1333"/>
    </row>
    <row r="83" customFormat="false" ht="16.5" hidden="false" customHeight="false" outlineLevel="0" collapsed="false">
      <c r="A83" s="1307"/>
      <c r="B83" s="629"/>
      <c r="C83" s="1413"/>
      <c r="D83" s="1413"/>
      <c r="E83" s="1310"/>
      <c r="F83" s="1401"/>
      <c r="G83" s="1414"/>
      <c r="H83" s="1402"/>
      <c r="I83" s="1313"/>
      <c r="J83" s="1313"/>
      <c r="K83" s="1334" t="s">
        <v>507</v>
      </c>
      <c r="L83" s="1335" t="n">
        <f aca="false">+'ref.지급기준 (2)'!F82*'ref.지급기준 (2)'!D82/1000</f>
        <v>198720000</v>
      </c>
      <c r="M83" s="1335" t="n">
        <v>0</v>
      </c>
      <c r="N83" s="1336" t="n">
        <f aca="false">SUM(L83:M83)</f>
        <v>198720000</v>
      </c>
      <c r="O83" s="1415"/>
      <c r="P83" s="1390"/>
      <c r="Q83" s="1404" t="b">
        <f aca="false">+N83=AN83</f>
        <v>1</v>
      </c>
      <c r="R83" s="1337" t="n">
        <f aca="false">+IFERROR(S83/N83,"-")</f>
        <v>0</v>
      </c>
      <c r="S83" s="1338" t="n">
        <f aca="false">+IFERROR(W83+Z83+AC83+AF83+AI83+AL83,"-")</f>
        <v>0</v>
      </c>
      <c r="T83" s="1403"/>
      <c r="U83" s="1339" t="n">
        <f aca="false">+S83/T80</f>
        <v>0</v>
      </c>
      <c r="V83" s="1337" t="n">
        <f aca="false">+IFERROR(W83/$N83,"-")</f>
        <v>0</v>
      </c>
      <c r="W83" s="1395"/>
      <c r="X83" s="1396" t="n">
        <f aca="false">X81</f>
        <v>45777</v>
      </c>
      <c r="Y83" s="1345" t="n">
        <f aca="false">+IFERROR(Z83/$N83,"-")</f>
        <v>0</v>
      </c>
      <c r="Z83" s="1345"/>
      <c r="AA83" s="1346" t="n">
        <f aca="false">AA81</f>
        <v>45807</v>
      </c>
      <c r="AB83" s="1345" t="n">
        <f aca="false">+IFERROR(AC83/$N83,"-")</f>
        <v>0</v>
      </c>
      <c r="AC83" s="1345"/>
      <c r="AD83" s="1346" t="n">
        <f aca="false">AD81</f>
        <v>45930</v>
      </c>
      <c r="AE83" s="1345" t="n">
        <f aca="false">+IFERROR(AF83/$N83,"-")</f>
        <v>0</v>
      </c>
      <c r="AF83" s="1345"/>
      <c r="AG83" s="1346" t="n">
        <f aca="false">AG81</f>
        <v>45991</v>
      </c>
      <c r="AH83" s="1345" t="n">
        <f aca="false">+IFERROR(AI83/$N$6,"-")</f>
        <v>0</v>
      </c>
      <c r="AI83" s="1345"/>
      <c r="AJ83" s="1346"/>
      <c r="AK83" s="1345" t="n">
        <f aca="false">+IFERROR(AL83/$N$6,"-")</f>
        <v>0</v>
      </c>
      <c r="AL83" s="1345"/>
      <c r="AM83" s="1345"/>
      <c r="AN83" s="1347" t="n">
        <f aca="false">+N83</f>
        <v>198720000</v>
      </c>
      <c r="AO83" s="1347" t="n">
        <f aca="false">+AN83*'ref.지급기준 (2)'!G82</f>
        <v>158976000</v>
      </c>
      <c r="AP83" s="1348" t="n">
        <f aca="false">+X83</f>
        <v>45777</v>
      </c>
      <c r="AQ83" s="1328"/>
      <c r="AR83" s="1349" t="n">
        <f aca="false">+$AN83*'ref.지급기준 (2)'!G82</f>
        <v>158976000</v>
      </c>
      <c r="AS83" s="1347" t="n">
        <f aca="false">+W83</f>
        <v>0</v>
      </c>
      <c r="AT83" s="1347" t="n">
        <f aca="false">+$AN83*'ref.지급기준 (2)'!I82</f>
        <v>0</v>
      </c>
      <c r="AU83" s="1347" t="n">
        <f aca="false">+Z83</f>
        <v>0</v>
      </c>
      <c r="AV83" s="1347" t="n">
        <f aca="false">+$AN83*'ref.지급기준 (2)'!K82</f>
        <v>0</v>
      </c>
      <c r="AW83" s="1347"/>
      <c r="AX83" s="1347" t="n">
        <f aca="false">+$AN83*'ref.지급기준 (2)'!M82</f>
        <v>39744000</v>
      </c>
      <c r="AY83" s="1347"/>
      <c r="AZ83" s="1347" t="n">
        <f aca="false">+$AN83*'ref.지급기준 (2)'!O82</f>
        <v>0</v>
      </c>
      <c r="BA83" s="1350"/>
      <c r="BC83" s="1278"/>
      <c r="BD83" s="1332" t="b">
        <f aca="false">+(AZ83+AX83+AV83+AT83+AR83)=N83</f>
        <v>1</v>
      </c>
      <c r="BE83" s="1278"/>
      <c r="BF83" s="1278"/>
      <c r="BG83" s="1278"/>
      <c r="BH83" s="1278"/>
      <c r="BI83" s="1278"/>
      <c r="BJ83" s="1278"/>
      <c r="BK83" s="1278"/>
      <c r="BL83" s="1278"/>
      <c r="BM83" s="1278"/>
      <c r="BN83" s="1333"/>
      <c r="BO83" s="1333"/>
    </row>
    <row r="84" customFormat="false" ht="16.5" hidden="false" customHeight="false" outlineLevel="0" collapsed="false">
      <c r="A84" s="1307"/>
      <c r="B84" s="629"/>
      <c r="C84" s="1413"/>
      <c r="D84" s="1413"/>
      <c r="E84" s="1310"/>
      <c r="F84" s="1401"/>
      <c r="G84" s="1414"/>
      <c r="H84" s="1402"/>
      <c r="I84" s="1313"/>
      <c r="J84" s="1313"/>
      <c r="K84" s="1351" t="s">
        <v>508</v>
      </c>
      <c r="L84" s="1352" t="n">
        <f aca="false">+'ref.지급기준 (2)'!F83*'ref.지급기준 (2)'!D83/1000</f>
        <v>0</v>
      </c>
      <c r="M84" s="1352"/>
      <c r="N84" s="1353"/>
      <c r="O84" s="1415"/>
      <c r="P84" s="1390"/>
      <c r="Q84" s="1405"/>
      <c r="R84" s="1406"/>
      <c r="S84" s="1407"/>
      <c r="T84" s="1403"/>
      <c r="U84" s="1408" t="n">
        <f aca="false">+S84/T80</f>
        <v>0</v>
      </c>
      <c r="V84" s="1406" t="str">
        <f aca="false">+IFERROR(W84/$N84,"-")</f>
        <v>-</v>
      </c>
      <c r="W84" s="1409"/>
      <c r="X84" s="1409"/>
      <c r="Y84" s="1409" t="str">
        <f aca="false">+IFERROR(Z84/$N84,"-")</f>
        <v>-</v>
      </c>
      <c r="Z84" s="1409"/>
      <c r="AA84" s="1410"/>
      <c r="AB84" s="1409" t="str">
        <f aca="false">+IFERROR(AC84/$N84,"-")</f>
        <v>-</v>
      </c>
      <c r="AC84" s="1409"/>
      <c r="AD84" s="1410"/>
      <c r="AE84" s="1409" t="str">
        <f aca="false">+IFERROR(AF84/$N84,"-")</f>
        <v>-</v>
      </c>
      <c r="AF84" s="1409"/>
      <c r="AG84" s="1410"/>
      <c r="AH84" s="1409" t="n">
        <f aca="false">+IFERROR(AI84/$N$6,"-")</f>
        <v>0</v>
      </c>
      <c r="AI84" s="1409"/>
      <c r="AJ84" s="1409"/>
      <c r="AK84" s="1409"/>
      <c r="AL84" s="1409"/>
      <c r="AM84" s="1409"/>
      <c r="AN84" s="1411" t="n">
        <f aca="false">+N84</f>
        <v>0</v>
      </c>
      <c r="AO84" s="1411" t="n">
        <f aca="false">+AR84+AT84</f>
        <v>0</v>
      </c>
      <c r="AP84" s="1412"/>
      <c r="AQ84" s="1328"/>
      <c r="AR84" s="1361" t="n">
        <f aca="false">+$AN84*'ref.지급기준 (2)'!G83</f>
        <v>0</v>
      </c>
      <c r="AS84" s="1359" t="n">
        <f aca="false">+W84</f>
        <v>0</v>
      </c>
      <c r="AT84" s="1359" t="n">
        <f aca="false">+$AN84*'ref.지급기준 (2)'!I83</f>
        <v>0</v>
      </c>
      <c r="AU84" s="1359" t="n">
        <f aca="false">+Z84</f>
        <v>0</v>
      </c>
      <c r="AV84" s="1359" t="n">
        <f aca="false">+$AN84*'ref.지급기준 (2)'!K83</f>
        <v>0</v>
      </c>
      <c r="AW84" s="1359"/>
      <c r="AX84" s="1359" t="n">
        <f aca="false">+$AN84*'ref.지급기준 (2)'!M83</f>
        <v>0</v>
      </c>
      <c r="AY84" s="1359"/>
      <c r="AZ84" s="1359" t="n">
        <f aca="false">+$AN84*'ref.지급기준 (2)'!O83</f>
        <v>0</v>
      </c>
      <c r="BA84" s="1362"/>
      <c r="BC84" s="1278"/>
      <c r="BD84" s="1278"/>
      <c r="BE84" s="1278"/>
      <c r="BF84" s="1278"/>
      <c r="BG84" s="1278"/>
      <c r="BH84" s="1278"/>
      <c r="BI84" s="1278"/>
      <c r="BJ84" s="1278"/>
      <c r="BK84" s="1278"/>
      <c r="BL84" s="1278"/>
      <c r="BM84" s="1278"/>
      <c r="BN84" s="1333"/>
      <c r="BO84" s="1333"/>
    </row>
    <row r="85" customFormat="false" ht="16.5" hidden="false" customHeight="true" outlineLevel="0" collapsed="false">
      <c r="A85" s="1307"/>
      <c r="B85" s="629"/>
      <c r="C85" s="1413"/>
      <c r="D85" s="1413"/>
      <c r="E85" s="1310"/>
      <c r="F85" s="1401" t="str">
        <f aca="false">+'ref.지급기준 (2)'!C84</f>
        <v>Saegol (SPA)</v>
      </c>
      <c r="G85" s="1414" t="n">
        <f aca="false">+'ref.지급기준 (2)'!D84</f>
        <v>993.6</v>
      </c>
      <c r="H85" s="1402" t="n">
        <f aca="false">+'Solar M&amp;A'!H19</f>
        <v>0.0979</v>
      </c>
      <c r="I85" s="1313"/>
      <c r="J85" s="1313" t="s">
        <v>1454</v>
      </c>
      <c r="K85" s="1314" t="s">
        <v>112</v>
      </c>
      <c r="L85" s="1315" t="n">
        <f aca="false">+'ref.지급기준 (2)'!F84*'ref.지급기준 (2)'!D84/1000</f>
        <v>1043280000</v>
      </c>
      <c r="M85" s="1315" t="n">
        <f aca="false">+L85*10%</f>
        <v>104328000</v>
      </c>
      <c r="N85" s="1316" t="n">
        <f aca="false">SUM(L85:M85)</f>
        <v>1147608000</v>
      </c>
      <c r="O85" s="1415"/>
      <c r="P85" s="1390"/>
      <c r="Q85" s="1319" t="b">
        <f aca="false">+N85=AN85</f>
        <v>1</v>
      </c>
      <c r="R85" s="1323" t="n">
        <f aca="false">+IFERROR(S85/N85,"-")</f>
        <v>0</v>
      </c>
      <c r="S85" s="1368" t="n">
        <f aca="false">+IFERROR(W85+Z85+AC85+AF85+AI85+AL85,"-")</f>
        <v>0</v>
      </c>
      <c r="T85" s="1403" t="n">
        <v>1470</v>
      </c>
      <c r="U85" s="1370" t="n">
        <f aca="false">+S85/T85</f>
        <v>0</v>
      </c>
      <c r="V85" s="1323" t="n">
        <f aca="false">+IFERROR(W85/$N85,"-")</f>
        <v>0</v>
      </c>
      <c r="W85" s="1392"/>
      <c r="X85" s="1393" t="n">
        <v>45716</v>
      </c>
      <c r="Y85" s="1345" t="n">
        <f aca="false">+IFERROR(Z85/$N85,"-")</f>
        <v>0</v>
      </c>
      <c r="Z85" s="1345"/>
      <c r="AA85" s="1346" t="n">
        <f aca="false">+EDATE(X85,1)+3</f>
        <v>45747</v>
      </c>
      <c r="AB85" s="1345" t="n">
        <f aca="false">+IFERROR(AC85/$N85,"-")</f>
        <v>0</v>
      </c>
      <c r="AC85" s="1345"/>
      <c r="AD85" s="1346" t="n">
        <f aca="false">+EDATE(AA85,3)</f>
        <v>45838</v>
      </c>
      <c r="AE85" s="1345" t="n">
        <f aca="false">+IFERROR(AF85/$N85,"-")</f>
        <v>0</v>
      </c>
      <c r="AF85" s="1345"/>
      <c r="AG85" s="1346" t="n">
        <f aca="false">+EDATE(AA85,4)</f>
        <v>45869</v>
      </c>
      <c r="AH85" s="1345" t="n">
        <f aca="false">+IFERROR(AI85/$N$6,"-")</f>
        <v>0</v>
      </c>
      <c r="AI85" s="1345"/>
      <c r="AJ85" s="1346" t="n">
        <f aca="false">+EDATE(AA85,6)</f>
        <v>45930</v>
      </c>
      <c r="AK85" s="1345" t="n">
        <f aca="false">+IFERROR(AL85/$N$6,"-")</f>
        <v>0</v>
      </c>
      <c r="AL85" s="1345"/>
      <c r="AM85" s="1345"/>
      <c r="AN85" s="1347" t="n">
        <f aca="false">+N85</f>
        <v>1147608000</v>
      </c>
      <c r="AO85" s="1347" t="n">
        <f aca="false">+AN85*'ref.지급기준 (2)'!G84</f>
        <v>114760800</v>
      </c>
      <c r="AP85" s="1348" t="n">
        <f aca="false">+X85</f>
        <v>45716</v>
      </c>
      <c r="AQ85" s="1328"/>
      <c r="AR85" s="1349" t="n">
        <f aca="false">+$AN85*'ref.지급기준 (2)'!G84</f>
        <v>114760800</v>
      </c>
      <c r="AS85" s="1347" t="n">
        <f aca="false">+W85</f>
        <v>0</v>
      </c>
      <c r="AT85" s="1347" t="n">
        <f aca="false">+$AN85*'ref.지급기준 (2)'!I84</f>
        <v>229521600</v>
      </c>
      <c r="AU85" s="1347" t="n">
        <f aca="false">+Z85</f>
        <v>0</v>
      </c>
      <c r="AV85" s="1347" t="n">
        <f aca="false">+$AN85*'ref.지급기준 (2)'!K84</f>
        <v>459043200</v>
      </c>
      <c r="AW85" s="1347"/>
      <c r="AX85" s="1347" t="n">
        <f aca="false">+$AN85*'ref.지급기준 (2)'!M84</f>
        <v>286902000</v>
      </c>
      <c r="AY85" s="1347"/>
      <c r="AZ85" s="1347" t="n">
        <f aca="false">+$AN85*'ref.지급기준 (2)'!O84</f>
        <v>57380400</v>
      </c>
      <c r="BA85" s="1350"/>
      <c r="BC85" s="1278"/>
      <c r="BD85" s="1332" t="b">
        <f aca="false">+(AZ85+AX85+AV85+AT85+AR85)=N85</f>
        <v>1</v>
      </c>
      <c r="BE85" s="1278"/>
      <c r="BF85" s="1278"/>
      <c r="BG85" s="1278"/>
      <c r="BH85" s="1278"/>
      <c r="BI85" s="1278"/>
      <c r="BJ85" s="1278"/>
      <c r="BK85" s="1278"/>
      <c r="BL85" s="1278"/>
      <c r="BM85" s="1278"/>
      <c r="BN85" s="1333"/>
      <c r="BO85" s="1333"/>
    </row>
    <row r="86" customFormat="false" ht="16.5" hidden="false" customHeight="true" outlineLevel="0" collapsed="false">
      <c r="A86" s="1307"/>
      <c r="B86" s="629"/>
      <c r="C86" s="1413"/>
      <c r="D86" s="1413"/>
      <c r="E86" s="1310"/>
      <c r="F86" s="1401"/>
      <c r="G86" s="1414"/>
      <c r="H86" s="1402"/>
      <c r="I86" s="1313"/>
      <c r="J86" s="1313"/>
      <c r="K86" s="1334" t="s">
        <v>114</v>
      </c>
      <c r="L86" s="1335" t="n">
        <f aca="false">+'ref.지급기준 (2)'!F85*'ref.지급기준 (2)'!D85/1000</f>
        <v>149040000</v>
      </c>
      <c r="M86" s="1335" t="n">
        <v>0</v>
      </c>
      <c r="N86" s="1336" t="n">
        <f aca="false">SUM(L86:M86)</f>
        <v>149040000</v>
      </c>
      <c r="O86" s="1415"/>
      <c r="P86" s="1390"/>
      <c r="Q86" s="1319" t="b">
        <f aca="false">+N86=AN86</f>
        <v>1</v>
      </c>
      <c r="R86" s="1337" t="n">
        <f aca="false">+IFERROR(S86/N86,"-")</f>
        <v>0</v>
      </c>
      <c r="S86" s="1338" t="n">
        <f aca="false">+IFERROR(W86+Z86+AC86+AF86+AI86+AL86,"-")</f>
        <v>0</v>
      </c>
      <c r="T86" s="1403"/>
      <c r="U86" s="1339" t="n">
        <f aca="false">+S86/T85</f>
        <v>0</v>
      </c>
      <c r="V86" s="1337" t="n">
        <f aca="false">+IFERROR(W86/$N86,"-")</f>
        <v>0</v>
      </c>
      <c r="W86" s="1395"/>
      <c r="X86" s="1396" t="n">
        <v>45777</v>
      </c>
      <c r="Y86" s="1345" t="n">
        <f aca="false">+IFERROR(Z86/$N86,"-")</f>
        <v>0</v>
      </c>
      <c r="Z86" s="1397"/>
      <c r="AA86" s="1346" t="n">
        <f aca="false">EDATE(X86,1)</f>
        <v>45807</v>
      </c>
      <c r="AB86" s="1345" t="n">
        <f aca="false">+IFERROR(AC86/$N86,"-")</f>
        <v>0</v>
      </c>
      <c r="AC86" s="1345"/>
      <c r="AD86" s="1346" t="n">
        <f aca="false">EDATE(AA86,4)</f>
        <v>45930</v>
      </c>
      <c r="AE86" s="1345" t="n">
        <f aca="false">+IFERROR(AF86/$N86,"-")</f>
        <v>0</v>
      </c>
      <c r="AF86" s="1345"/>
      <c r="AG86" s="1346" t="n">
        <f aca="false">EDATE(AA86,6)</f>
        <v>45991</v>
      </c>
      <c r="AH86" s="1345" t="n">
        <f aca="false">+IFERROR(AI86/$N$6,"-")</f>
        <v>0</v>
      </c>
      <c r="AI86" s="1345"/>
      <c r="AJ86" s="1346"/>
      <c r="AK86" s="1345" t="n">
        <f aca="false">+IFERROR(AL86/$N$6,"-")</f>
        <v>0</v>
      </c>
      <c r="AL86" s="1345"/>
      <c r="AM86" s="1345"/>
      <c r="AN86" s="1347" t="n">
        <f aca="false">+N86</f>
        <v>149040000</v>
      </c>
      <c r="AO86" s="1347" t="n">
        <f aca="false">+AN86*'ref.지급기준 (2)'!G85</f>
        <v>119232000</v>
      </c>
      <c r="AP86" s="1348" t="n">
        <f aca="false">+X86</f>
        <v>45777</v>
      </c>
      <c r="AQ86" s="1328"/>
      <c r="AR86" s="1349" t="n">
        <f aca="false">+$AN86*'ref.지급기준 (2)'!G85</f>
        <v>119232000</v>
      </c>
      <c r="AS86" s="1347" t="n">
        <f aca="false">+W86</f>
        <v>0</v>
      </c>
      <c r="AT86" s="1347" t="n">
        <f aca="false">+$AN86*'ref.지급기준 (2)'!I85</f>
        <v>0</v>
      </c>
      <c r="AU86" s="1347" t="n">
        <f aca="false">+Z86</f>
        <v>0</v>
      </c>
      <c r="AV86" s="1347" t="n">
        <f aca="false">+$AN86*'ref.지급기준 (2)'!K85</f>
        <v>0</v>
      </c>
      <c r="AW86" s="1347"/>
      <c r="AX86" s="1347" t="n">
        <f aca="false">+$AN86*'ref.지급기준 (2)'!M85</f>
        <v>29808000</v>
      </c>
      <c r="AY86" s="1347"/>
      <c r="AZ86" s="1347" t="n">
        <f aca="false">+$AN86*'ref.지급기준 (2)'!O85</f>
        <v>0</v>
      </c>
      <c r="BA86" s="1350"/>
      <c r="BC86" s="1278"/>
      <c r="BD86" s="1332" t="b">
        <f aca="false">+(AZ86+AX86+AV86+AT86+AR86)=N86</f>
        <v>1</v>
      </c>
      <c r="BE86" s="1278"/>
      <c r="BF86" s="1278"/>
      <c r="BG86" s="1278"/>
      <c r="BH86" s="1278"/>
      <c r="BI86" s="1278"/>
      <c r="BJ86" s="1278"/>
      <c r="BK86" s="1278"/>
      <c r="BL86" s="1278"/>
      <c r="BM86" s="1278"/>
      <c r="BN86" s="1333"/>
      <c r="BO86" s="1333"/>
    </row>
    <row r="87" customFormat="false" ht="16.5" hidden="false" customHeight="true" outlineLevel="0" collapsed="false">
      <c r="A87" s="1307"/>
      <c r="B87" s="629"/>
      <c r="C87" s="1413"/>
      <c r="D87" s="1413"/>
      <c r="E87" s="1310"/>
      <c r="F87" s="1401"/>
      <c r="G87" s="1414"/>
      <c r="H87" s="1402"/>
      <c r="I87" s="1313"/>
      <c r="J87" s="1313"/>
      <c r="K87" s="1334" t="s">
        <v>404</v>
      </c>
      <c r="L87" s="1335" t="n">
        <f aca="false">+'ref.지급기준 (2)'!F86*'ref.지급기준 (2)'!D86/1000</f>
        <v>298080000</v>
      </c>
      <c r="M87" s="1335" t="n">
        <v>0</v>
      </c>
      <c r="N87" s="1336" t="n">
        <f aca="false">SUM(L87:M87)</f>
        <v>298080000</v>
      </c>
      <c r="O87" s="1415"/>
      <c r="P87" s="1390"/>
      <c r="Q87" s="1319" t="b">
        <f aca="false">+N87=AN87</f>
        <v>1</v>
      </c>
      <c r="R87" s="1337" t="n">
        <f aca="false">+IFERROR(S87/N87,"-")</f>
        <v>0</v>
      </c>
      <c r="S87" s="1338" t="n">
        <f aca="false">+IFERROR(W87+Z87+AC87+AF87+AI87+AL87,"-")</f>
        <v>0</v>
      </c>
      <c r="T87" s="1403"/>
      <c r="U87" s="1339" t="n">
        <f aca="false">+S87/T85</f>
        <v>0</v>
      </c>
      <c r="V87" s="1337" t="n">
        <f aca="false">+IFERROR(W87/$N87,"-")</f>
        <v>0</v>
      </c>
      <c r="W87" s="1395"/>
      <c r="X87" s="1396" t="n">
        <f aca="false">X86</f>
        <v>45777</v>
      </c>
      <c r="Y87" s="1345" t="n">
        <f aca="false">+IFERROR(Z87/$N87,"-")</f>
        <v>0</v>
      </c>
      <c r="Z87" s="1345"/>
      <c r="AA87" s="1346" t="n">
        <f aca="false">AA86</f>
        <v>45807</v>
      </c>
      <c r="AB87" s="1345" t="n">
        <f aca="false">+IFERROR(AC87/$N87,"-")</f>
        <v>0</v>
      </c>
      <c r="AC87" s="1345"/>
      <c r="AD87" s="1346" t="n">
        <f aca="false">AD86</f>
        <v>45930</v>
      </c>
      <c r="AE87" s="1345" t="n">
        <f aca="false">+IFERROR(AF87/$N87,"-")</f>
        <v>0</v>
      </c>
      <c r="AF87" s="1345"/>
      <c r="AG87" s="1346" t="n">
        <f aca="false">AG86</f>
        <v>45991</v>
      </c>
      <c r="AH87" s="1345" t="n">
        <f aca="false">+IFERROR(AI87/$N$6,"-")</f>
        <v>0</v>
      </c>
      <c r="AI87" s="1345"/>
      <c r="AJ87" s="1346"/>
      <c r="AK87" s="1345" t="n">
        <f aca="false">+IFERROR(AL87/$N$6,"-")</f>
        <v>0</v>
      </c>
      <c r="AL87" s="1345"/>
      <c r="AM87" s="1345"/>
      <c r="AN87" s="1347" t="n">
        <f aca="false">+N87</f>
        <v>298080000</v>
      </c>
      <c r="AO87" s="1347" t="n">
        <f aca="false">+AN87*'ref.지급기준 (2)'!G86</f>
        <v>238464000</v>
      </c>
      <c r="AP87" s="1348" t="n">
        <f aca="false">+X87</f>
        <v>45777</v>
      </c>
      <c r="AQ87" s="1328"/>
      <c r="AR87" s="1349" t="n">
        <f aca="false">+$AN87*'ref.지급기준 (2)'!G86</f>
        <v>238464000</v>
      </c>
      <c r="AS87" s="1347" t="n">
        <f aca="false">+W87</f>
        <v>0</v>
      </c>
      <c r="AT87" s="1347" t="n">
        <f aca="false">+$AN87*'ref.지급기준 (2)'!I86</f>
        <v>0</v>
      </c>
      <c r="AU87" s="1347" t="n">
        <f aca="false">+Z87</f>
        <v>0</v>
      </c>
      <c r="AV87" s="1347" t="n">
        <f aca="false">+$AN87*'ref.지급기준 (2)'!K86</f>
        <v>0</v>
      </c>
      <c r="AW87" s="1347"/>
      <c r="AX87" s="1347" t="n">
        <f aca="false">+$AN87*'ref.지급기준 (2)'!M86</f>
        <v>59616000</v>
      </c>
      <c r="AY87" s="1347"/>
      <c r="AZ87" s="1347" t="n">
        <f aca="false">+$AN87*'ref.지급기준 (2)'!O86</f>
        <v>0</v>
      </c>
      <c r="BA87" s="1350"/>
      <c r="BC87" s="1278"/>
      <c r="BD87" s="1332" t="b">
        <f aca="false">+(AZ87+AX87+AV87+AT87+AR87)=N87</f>
        <v>1</v>
      </c>
      <c r="BE87" s="1278"/>
      <c r="BF87" s="1278"/>
      <c r="BG87" s="1278"/>
      <c r="BH87" s="1278"/>
      <c r="BI87" s="1278"/>
      <c r="BJ87" s="1278"/>
      <c r="BK87" s="1278"/>
      <c r="BL87" s="1278"/>
      <c r="BM87" s="1278"/>
      <c r="BN87" s="1333"/>
      <c r="BO87" s="1333"/>
    </row>
    <row r="88" customFormat="false" ht="16.5" hidden="false" customHeight="false" outlineLevel="0" collapsed="false">
      <c r="A88" s="1307"/>
      <c r="B88" s="629"/>
      <c r="C88" s="1413"/>
      <c r="D88" s="1413"/>
      <c r="E88" s="1310"/>
      <c r="F88" s="1401"/>
      <c r="G88" s="1414"/>
      <c r="H88" s="1402"/>
      <c r="I88" s="1313"/>
      <c r="J88" s="1313"/>
      <c r="K88" s="1334" t="s">
        <v>507</v>
      </c>
      <c r="L88" s="1335" t="n">
        <f aca="false">+'ref.지급기준 (2)'!F87*'ref.지급기준 (2)'!D87/1000</f>
        <v>198720000</v>
      </c>
      <c r="M88" s="1335" t="n">
        <v>0</v>
      </c>
      <c r="N88" s="1336" t="n">
        <f aca="false">SUM(L88:M88)</f>
        <v>198720000</v>
      </c>
      <c r="O88" s="1415"/>
      <c r="P88" s="1390"/>
      <c r="Q88" s="1404" t="b">
        <f aca="false">+N88=AN88</f>
        <v>1</v>
      </c>
      <c r="R88" s="1337" t="n">
        <f aca="false">+IFERROR(S88/N88,"-")</f>
        <v>0</v>
      </c>
      <c r="S88" s="1338" t="n">
        <f aca="false">+IFERROR(W88+Z88+AC88+AF88+AI88+AL88,"-")</f>
        <v>0</v>
      </c>
      <c r="T88" s="1403"/>
      <c r="U88" s="1339" t="n">
        <f aca="false">+S88/T85</f>
        <v>0</v>
      </c>
      <c r="V88" s="1337" t="n">
        <f aca="false">+IFERROR(W88/$N88,"-")</f>
        <v>0</v>
      </c>
      <c r="W88" s="1395"/>
      <c r="X88" s="1396" t="n">
        <f aca="false">X86</f>
        <v>45777</v>
      </c>
      <c r="Y88" s="1345" t="n">
        <f aca="false">+IFERROR(Z88/$N88,"-")</f>
        <v>0</v>
      </c>
      <c r="Z88" s="1345"/>
      <c r="AA88" s="1346" t="n">
        <f aca="false">AA86</f>
        <v>45807</v>
      </c>
      <c r="AB88" s="1345" t="n">
        <f aca="false">+IFERROR(AC88/$N88,"-")</f>
        <v>0</v>
      </c>
      <c r="AC88" s="1345"/>
      <c r="AD88" s="1346" t="n">
        <f aca="false">AD86</f>
        <v>45930</v>
      </c>
      <c r="AE88" s="1345" t="n">
        <f aca="false">+IFERROR(AF88/$N88,"-")</f>
        <v>0</v>
      </c>
      <c r="AF88" s="1345"/>
      <c r="AG88" s="1346" t="n">
        <f aca="false">AG86</f>
        <v>45991</v>
      </c>
      <c r="AH88" s="1345" t="n">
        <f aca="false">+IFERROR(AI88/$N$6,"-")</f>
        <v>0</v>
      </c>
      <c r="AI88" s="1345"/>
      <c r="AJ88" s="1346"/>
      <c r="AK88" s="1345" t="n">
        <f aca="false">+IFERROR(AL88/$N$6,"-")</f>
        <v>0</v>
      </c>
      <c r="AL88" s="1345"/>
      <c r="AM88" s="1345"/>
      <c r="AN88" s="1347" t="n">
        <f aca="false">+N88</f>
        <v>198720000</v>
      </c>
      <c r="AO88" s="1347" t="n">
        <f aca="false">+AN88*'ref.지급기준 (2)'!G87</f>
        <v>158976000</v>
      </c>
      <c r="AP88" s="1348" t="n">
        <f aca="false">+X88</f>
        <v>45777</v>
      </c>
      <c r="AQ88" s="1328"/>
      <c r="AR88" s="1349" t="n">
        <f aca="false">+$AN88*'ref.지급기준 (2)'!G87</f>
        <v>158976000</v>
      </c>
      <c r="AS88" s="1347" t="n">
        <f aca="false">+W88</f>
        <v>0</v>
      </c>
      <c r="AT88" s="1347" t="n">
        <f aca="false">+$AN88*'ref.지급기준 (2)'!I87</f>
        <v>0</v>
      </c>
      <c r="AU88" s="1347" t="n">
        <f aca="false">+Z88</f>
        <v>0</v>
      </c>
      <c r="AV88" s="1347" t="n">
        <f aca="false">+$AN88*'ref.지급기준 (2)'!K87</f>
        <v>0</v>
      </c>
      <c r="AW88" s="1347"/>
      <c r="AX88" s="1347" t="n">
        <f aca="false">+$AN88*'ref.지급기준 (2)'!M87</f>
        <v>39744000</v>
      </c>
      <c r="AY88" s="1347"/>
      <c r="AZ88" s="1347" t="n">
        <f aca="false">+$AN88*'ref.지급기준 (2)'!O87</f>
        <v>0</v>
      </c>
      <c r="BA88" s="1350"/>
      <c r="BC88" s="1278"/>
      <c r="BD88" s="1332" t="b">
        <f aca="false">+(AZ88+AX88+AV88+AT88+AR88)=N88</f>
        <v>1</v>
      </c>
      <c r="BE88" s="1278"/>
      <c r="BF88" s="1278"/>
      <c r="BG88" s="1278"/>
      <c r="BH88" s="1278"/>
      <c r="BI88" s="1278"/>
      <c r="BJ88" s="1278"/>
      <c r="BK88" s="1278"/>
      <c r="BL88" s="1278"/>
      <c r="BM88" s="1278"/>
      <c r="BN88" s="1333"/>
      <c r="BO88" s="1333"/>
    </row>
    <row r="89" customFormat="false" ht="16.5" hidden="false" customHeight="false" outlineLevel="0" collapsed="false">
      <c r="A89" s="1307"/>
      <c r="B89" s="629"/>
      <c r="C89" s="1413"/>
      <c r="D89" s="1413"/>
      <c r="E89" s="1310"/>
      <c r="F89" s="1401"/>
      <c r="G89" s="1414"/>
      <c r="H89" s="1402"/>
      <c r="I89" s="1313"/>
      <c r="J89" s="1313"/>
      <c r="K89" s="1351" t="s">
        <v>508</v>
      </c>
      <c r="L89" s="1352" t="n">
        <f aca="false">+'ref.지급기준 (2)'!F88*'ref.지급기준 (2)'!D88/1000</f>
        <v>0</v>
      </c>
      <c r="M89" s="1352"/>
      <c r="N89" s="1353"/>
      <c r="O89" s="1415"/>
      <c r="P89" s="1390"/>
      <c r="Q89" s="1405"/>
      <c r="R89" s="1406"/>
      <c r="S89" s="1407"/>
      <c r="T89" s="1403"/>
      <c r="U89" s="1408" t="n">
        <f aca="false">+S89/T85</f>
        <v>0</v>
      </c>
      <c r="V89" s="1406" t="str">
        <f aca="false">+IFERROR(W89/$N89,"-")</f>
        <v>-</v>
      </c>
      <c r="W89" s="1409"/>
      <c r="X89" s="1409"/>
      <c r="Y89" s="1409" t="str">
        <f aca="false">+IFERROR(Z89/$N89,"-")</f>
        <v>-</v>
      </c>
      <c r="Z89" s="1409"/>
      <c r="AA89" s="1410"/>
      <c r="AB89" s="1409" t="str">
        <f aca="false">+IFERROR(AC89/$N89,"-")</f>
        <v>-</v>
      </c>
      <c r="AC89" s="1409"/>
      <c r="AD89" s="1410"/>
      <c r="AE89" s="1409" t="str">
        <f aca="false">+IFERROR(AF89/$N89,"-")</f>
        <v>-</v>
      </c>
      <c r="AF89" s="1409"/>
      <c r="AG89" s="1410"/>
      <c r="AH89" s="1409" t="n">
        <f aca="false">+IFERROR(AI89/$N$6,"-")</f>
        <v>0</v>
      </c>
      <c r="AI89" s="1409"/>
      <c r="AJ89" s="1409"/>
      <c r="AK89" s="1409"/>
      <c r="AL89" s="1409"/>
      <c r="AM89" s="1409"/>
      <c r="AN89" s="1411" t="n">
        <f aca="false">+N89</f>
        <v>0</v>
      </c>
      <c r="AO89" s="1411" t="n">
        <f aca="false">+AR89+AT89</f>
        <v>0</v>
      </c>
      <c r="AP89" s="1412"/>
      <c r="AQ89" s="1328"/>
      <c r="AR89" s="1361" t="n">
        <f aca="false">+$AN89*'ref.지급기준 (2)'!G88</f>
        <v>0</v>
      </c>
      <c r="AS89" s="1359" t="n">
        <f aca="false">+W89</f>
        <v>0</v>
      </c>
      <c r="AT89" s="1359" t="n">
        <f aca="false">+$AN89*'ref.지급기준 (2)'!I88</f>
        <v>0</v>
      </c>
      <c r="AU89" s="1359" t="n">
        <f aca="false">+Z89</f>
        <v>0</v>
      </c>
      <c r="AV89" s="1359" t="n">
        <f aca="false">+$AN89*'ref.지급기준 (2)'!K88</f>
        <v>0</v>
      </c>
      <c r="AW89" s="1359"/>
      <c r="AX89" s="1359" t="n">
        <f aca="false">+$AN89*'ref.지급기준 (2)'!M88</f>
        <v>0</v>
      </c>
      <c r="AY89" s="1359"/>
      <c r="AZ89" s="1359" t="n">
        <f aca="false">+$AN89*'ref.지급기준 (2)'!O88</f>
        <v>0</v>
      </c>
      <c r="BA89" s="1362"/>
      <c r="BC89" s="1278"/>
      <c r="BD89" s="1278"/>
      <c r="BE89" s="1278"/>
      <c r="BF89" s="1278"/>
      <c r="BG89" s="1278"/>
      <c r="BH89" s="1278"/>
      <c r="BI89" s="1278"/>
      <c r="BJ89" s="1278"/>
      <c r="BK89" s="1278"/>
      <c r="BL89" s="1278"/>
      <c r="BM89" s="1278"/>
      <c r="BN89" s="1333"/>
      <c r="BO89" s="1333"/>
    </row>
    <row r="90" customFormat="false" ht="16.5" hidden="false" customHeight="true" outlineLevel="0" collapsed="false">
      <c r="A90" s="1307"/>
      <c r="B90" s="629"/>
      <c r="C90" s="1413"/>
      <c r="D90" s="1413"/>
      <c r="E90" s="1310"/>
      <c r="F90" s="1401" t="str">
        <f aca="false">+'ref.지급기준 (2)'!C89</f>
        <v>Jaesan (SPA)</v>
      </c>
      <c r="G90" s="1414" t="n">
        <f aca="false">+'ref.지급기준 (2)'!D89</f>
        <v>993.6</v>
      </c>
      <c r="H90" s="1402" t="n">
        <f aca="false">+'Solar M&amp;A'!H20</f>
        <v>0.0979</v>
      </c>
      <c r="I90" s="1313"/>
      <c r="J90" s="1313" t="s">
        <v>1454</v>
      </c>
      <c r="K90" s="1314" t="s">
        <v>112</v>
      </c>
      <c r="L90" s="1315" t="n">
        <f aca="false">+'ref.지급기준 (2)'!F89*'ref.지급기준 (2)'!D89/1000</f>
        <v>1043280000</v>
      </c>
      <c r="M90" s="1315" t="n">
        <f aca="false">+L90*10%</f>
        <v>104328000</v>
      </c>
      <c r="N90" s="1316" t="n">
        <f aca="false">SUM(L90:M90)</f>
        <v>1147608000</v>
      </c>
      <c r="O90" s="1415"/>
      <c r="P90" s="1390"/>
      <c r="Q90" s="1319" t="b">
        <f aca="false">+N90=AN90</f>
        <v>1</v>
      </c>
      <c r="R90" s="1323" t="n">
        <f aca="false">+IFERROR(S90/N90,"-")</f>
        <v>0</v>
      </c>
      <c r="S90" s="1368" t="n">
        <f aca="false">+IFERROR(W90+Z90+AC90+AF90+AI90+AL90,"-")</f>
        <v>0</v>
      </c>
      <c r="T90" s="1403" t="n">
        <v>1470</v>
      </c>
      <c r="U90" s="1370" t="n">
        <f aca="false">+S90/T90</f>
        <v>0</v>
      </c>
      <c r="V90" s="1323" t="n">
        <f aca="false">+IFERROR(W90/$N90,"-")</f>
        <v>0</v>
      </c>
      <c r="W90" s="1392"/>
      <c r="X90" s="1393" t="n">
        <v>45716</v>
      </c>
      <c r="Y90" s="1345" t="n">
        <f aca="false">+IFERROR(Z90/$N90,"-")</f>
        <v>0</v>
      </c>
      <c r="Z90" s="1345"/>
      <c r="AA90" s="1346" t="n">
        <f aca="false">+EDATE(X90,1)+3</f>
        <v>45747</v>
      </c>
      <c r="AB90" s="1345" t="n">
        <f aca="false">+IFERROR(AC90/$N90,"-")</f>
        <v>0</v>
      </c>
      <c r="AC90" s="1345"/>
      <c r="AD90" s="1346" t="n">
        <f aca="false">+EDATE(AA90,3)</f>
        <v>45838</v>
      </c>
      <c r="AE90" s="1345" t="n">
        <f aca="false">+IFERROR(AF90/$N90,"-")</f>
        <v>0</v>
      </c>
      <c r="AF90" s="1345"/>
      <c r="AG90" s="1346" t="n">
        <f aca="false">+EDATE(AA90,4)</f>
        <v>45869</v>
      </c>
      <c r="AH90" s="1345" t="n">
        <f aca="false">+IFERROR(AI90/$N$6,"-")</f>
        <v>0</v>
      </c>
      <c r="AI90" s="1345"/>
      <c r="AJ90" s="1346" t="n">
        <f aca="false">+EDATE(AA90,6)</f>
        <v>45930</v>
      </c>
      <c r="AK90" s="1345" t="n">
        <f aca="false">+IFERROR(AL90/$N$6,"-")</f>
        <v>0</v>
      </c>
      <c r="AL90" s="1345"/>
      <c r="AM90" s="1345"/>
      <c r="AN90" s="1347" t="n">
        <f aca="false">+N90</f>
        <v>1147608000</v>
      </c>
      <c r="AO90" s="1347" t="n">
        <f aca="false">+AN90*'ref.지급기준 (2)'!G89</f>
        <v>114760800</v>
      </c>
      <c r="AP90" s="1348" t="n">
        <f aca="false">+X90</f>
        <v>45716</v>
      </c>
      <c r="AQ90" s="1328"/>
      <c r="AR90" s="1349" t="n">
        <f aca="false">+$AN90*'ref.지급기준 (2)'!G89</f>
        <v>114760800</v>
      </c>
      <c r="AS90" s="1347" t="n">
        <f aca="false">+W90</f>
        <v>0</v>
      </c>
      <c r="AT90" s="1347" t="n">
        <f aca="false">+$AN90*'ref.지급기준 (2)'!I89</f>
        <v>229521600</v>
      </c>
      <c r="AU90" s="1347" t="n">
        <f aca="false">+Z90</f>
        <v>0</v>
      </c>
      <c r="AV90" s="1347" t="n">
        <f aca="false">+$AN90*'ref.지급기준 (2)'!K89</f>
        <v>459043200</v>
      </c>
      <c r="AW90" s="1347"/>
      <c r="AX90" s="1347" t="n">
        <f aca="false">+$AN90*'ref.지급기준 (2)'!M89</f>
        <v>286902000</v>
      </c>
      <c r="AY90" s="1347"/>
      <c r="AZ90" s="1347" t="n">
        <f aca="false">+$AN90*'ref.지급기준 (2)'!O89</f>
        <v>57380400</v>
      </c>
      <c r="BA90" s="1350"/>
      <c r="BC90" s="1278"/>
      <c r="BD90" s="1332" t="b">
        <f aca="false">+(AZ90+AX90+AV90+AT90+AR90)=N90</f>
        <v>1</v>
      </c>
      <c r="BE90" s="1278"/>
      <c r="BF90" s="1278"/>
      <c r="BG90" s="1278"/>
      <c r="BH90" s="1278"/>
      <c r="BI90" s="1278"/>
      <c r="BJ90" s="1278"/>
      <c r="BK90" s="1278"/>
      <c r="BL90" s="1278"/>
      <c r="BM90" s="1278"/>
      <c r="BN90" s="1333"/>
      <c r="BO90" s="1333"/>
    </row>
    <row r="91" customFormat="false" ht="16.5" hidden="false" customHeight="true" outlineLevel="0" collapsed="false">
      <c r="A91" s="1307"/>
      <c r="B91" s="629"/>
      <c r="C91" s="1413"/>
      <c r="D91" s="1413"/>
      <c r="E91" s="1310"/>
      <c r="F91" s="1401"/>
      <c r="G91" s="1414"/>
      <c r="H91" s="1402"/>
      <c r="I91" s="1313"/>
      <c r="J91" s="1313"/>
      <c r="K91" s="1334" t="s">
        <v>114</v>
      </c>
      <c r="L91" s="1335" t="n">
        <f aca="false">+'ref.지급기준 (2)'!F90*'ref.지급기준 (2)'!D90/1000</f>
        <v>149040000</v>
      </c>
      <c r="M91" s="1335" t="n">
        <v>0</v>
      </c>
      <c r="N91" s="1336" t="n">
        <f aca="false">SUM(L91:M91)</f>
        <v>149040000</v>
      </c>
      <c r="O91" s="1415"/>
      <c r="P91" s="1390"/>
      <c r="Q91" s="1319" t="b">
        <f aca="false">+N91=AN91</f>
        <v>1</v>
      </c>
      <c r="R91" s="1337" t="n">
        <f aca="false">+IFERROR(S91/N91,"-")</f>
        <v>0</v>
      </c>
      <c r="S91" s="1338" t="n">
        <f aca="false">+IFERROR(W91+Z91+AC91+AF91+AI91+AL91,"-")</f>
        <v>0</v>
      </c>
      <c r="T91" s="1403"/>
      <c r="U91" s="1339" t="n">
        <f aca="false">+S91/T90</f>
        <v>0</v>
      </c>
      <c r="V91" s="1337" t="n">
        <f aca="false">+IFERROR(W91/$N91,"-")</f>
        <v>0</v>
      </c>
      <c r="W91" s="1395"/>
      <c r="X91" s="1396" t="n">
        <v>45777</v>
      </c>
      <c r="Y91" s="1345" t="n">
        <f aca="false">+IFERROR(Z91/$N91,"-")</f>
        <v>0</v>
      </c>
      <c r="Z91" s="1397"/>
      <c r="AA91" s="1346" t="n">
        <f aca="false">EDATE(X91,1)</f>
        <v>45807</v>
      </c>
      <c r="AB91" s="1345" t="n">
        <f aca="false">+IFERROR(AC91/$N91,"-")</f>
        <v>0</v>
      </c>
      <c r="AC91" s="1345"/>
      <c r="AD91" s="1346" t="n">
        <f aca="false">EDATE(AA91,4)</f>
        <v>45930</v>
      </c>
      <c r="AE91" s="1345" t="n">
        <f aca="false">+IFERROR(AF91/$N91,"-")</f>
        <v>0</v>
      </c>
      <c r="AF91" s="1345"/>
      <c r="AG91" s="1346" t="n">
        <f aca="false">EDATE(AA91,6)</f>
        <v>45991</v>
      </c>
      <c r="AH91" s="1345" t="n">
        <f aca="false">+IFERROR(AI91/$N$6,"-")</f>
        <v>0</v>
      </c>
      <c r="AI91" s="1345"/>
      <c r="AJ91" s="1346"/>
      <c r="AK91" s="1345" t="n">
        <f aca="false">+IFERROR(AL91/$N$6,"-")</f>
        <v>0</v>
      </c>
      <c r="AL91" s="1345"/>
      <c r="AM91" s="1345"/>
      <c r="AN91" s="1347" t="n">
        <f aca="false">+N91</f>
        <v>149040000</v>
      </c>
      <c r="AO91" s="1347" t="n">
        <f aca="false">+AN91*'ref.지급기준 (2)'!G90</f>
        <v>119232000</v>
      </c>
      <c r="AP91" s="1348" t="n">
        <f aca="false">+X91</f>
        <v>45777</v>
      </c>
      <c r="AQ91" s="1328"/>
      <c r="AR91" s="1349" t="n">
        <f aca="false">+$AN91*'ref.지급기준 (2)'!G90</f>
        <v>119232000</v>
      </c>
      <c r="AS91" s="1347" t="n">
        <f aca="false">+W91</f>
        <v>0</v>
      </c>
      <c r="AT91" s="1347" t="n">
        <f aca="false">+$AN91*'ref.지급기준 (2)'!I90</f>
        <v>0</v>
      </c>
      <c r="AU91" s="1347" t="n">
        <f aca="false">+Z91</f>
        <v>0</v>
      </c>
      <c r="AV91" s="1347" t="n">
        <f aca="false">+$AN91*'ref.지급기준 (2)'!K90</f>
        <v>0</v>
      </c>
      <c r="AW91" s="1347"/>
      <c r="AX91" s="1347" t="n">
        <f aca="false">+$AN91*'ref.지급기준 (2)'!M90</f>
        <v>29808000</v>
      </c>
      <c r="AY91" s="1347"/>
      <c r="AZ91" s="1347" t="n">
        <f aca="false">+$AN91*'ref.지급기준 (2)'!O90</f>
        <v>0</v>
      </c>
      <c r="BA91" s="1350"/>
      <c r="BC91" s="1278"/>
      <c r="BD91" s="1332" t="b">
        <f aca="false">+(AZ91+AX91+AV91+AT91+AR91)=N91</f>
        <v>1</v>
      </c>
      <c r="BE91" s="1278"/>
      <c r="BF91" s="1278"/>
      <c r="BG91" s="1278"/>
      <c r="BH91" s="1278"/>
      <c r="BI91" s="1278"/>
      <c r="BJ91" s="1278"/>
      <c r="BK91" s="1278"/>
      <c r="BL91" s="1278"/>
      <c r="BM91" s="1278"/>
      <c r="BN91" s="1333"/>
      <c r="BO91" s="1333"/>
    </row>
    <row r="92" customFormat="false" ht="16.5" hidden="false" customHeight="true" outlineLevel="0" collapsed="false">
      <c r="A92" s="1307"/>
      <c r="B92" s="629"/>
      <c r="C92" s="1413"/>
      <c r="D92" s="1413"/>
      <c r="E92" s="1310"/>
      <c r="F92" s="1401"/>
      <c r="G92" s="1414"/>
      <c r="H92" s="1402"/>
      <c r="I92" s="1313"/>
      <c r="J92" s="1313"/>
      <c r="K92" s="1334" t="s">
        <v>404</v>
      </c>
      <c r="L92" s="1335" t="n">
        <f aca="false">+'ref.지급기준 (2)'!F91*'ref.지급기준 (2)'!D91/1000</f>
        <v>298080000</v>
      </c>
      <c r="M92" s="1335" t="n">
        <v>0</v>
      </c>
      <c r="N92" s="1336" t="n">
        <f aca="false">SUM(L92:M92)</f>
        <v>298080000</v>
      </c>
      <c r="O92" s="1415"/>
      <c r="P92" s="1390"/>
      <c r="Q92" s="1319" t="b">
        <f aca="false">+N92=AN92</f>
        <v>1</v>
      </c>
      <c r="R92" s="1337" t="n">
        <f aca="false">+IFERROR(S92/N92,"-")</f>
        <v>0</v>
      </c>
      <c r="S92" s="1338" t="n">
        <f aca="false">+IFERROR(W92+Z92+AC92+AF92+AI92+AL92,"-")</f>
        <v>0</v>
      </c>
      <c r="T92" s="1403"/>
      <c r="U92" s="1339" t="n">
        <f aca="false">+S92/T90</f>
        <v>0</v>
      </c>
      <c r="V92" s="1337" t="n">
        <f aca="false">+IFERROR(W92/$N92,"-")</f>
        <v>0</v>
      </c>
      <c r="W92" s="1395"/>
      <c r="X92" s="1396" t="n">
        <f aca="false">X91</f>
        <v>45777</v>
      </c>
      <c r="Y92" s="1345" t="n">
        <f aca="false">+IFERROR(Z92/$N92,"-")</f>
        <v>0</v>
      </c>
      <c r="Z92" s="1345"/>
      <c r="AA92" s="1346" t="n">
        <f aca="false">AA91</f>
        <v>45807</v>
      </c>
      <c r="AB92" s="1345" t="n">
        <f aca="false">+IFERROR(AC92/$N92,"-")</f>
        <v>0</v>
      </c>
      <c r="AC92" s="1345"/>
      <c r="AD92" s="1346" t="n">
        <f aca="false">AD91</f>
        <v>45930</v>
      </c>
      <c r="AE92" s="1345" t="n">
        <f aca="false">+IFERROR(AF92/$N92,"-")</f>
        <v>0</v>
      </c>
      <c r="AF92" s="1345"/>
      <c r="AG92" s="1346" t="n">
        <f aca="false">AG91</f>
        <v>45991</v>
      </c>
      <c r="AH92" s="1345" t="n">
        <f aca="false">+IFERROR(AI92/$N$6,"-")</f>
        <v>0</v>
      </c>
      <c r="AI92" s="1345"/>
      <c r="AJ92" s="1346"/>
      <c r="AK92" s="1345" t="n">
        <f aca="false">+IFERROR(AL92/$N$6,"-")</f>
        <v>0</v>
      </c>
      <c r="AL92" s="1345"/>
      <c r="AM92" s="1345"/>
      <c r="AN92" s="1347" t="n">
        <f aca="false">+N92</f>
        <v>298080000</v>
      </c>
      <c r="AO92" s="1347" t="n">
        <f aca="false">+AN92*'ref.지급기준 (2)'!G91</f>
        <v>238464000</v>
      </c>
      <c r="AP92" s="1348" t="n">
        <f aca="false">+X92</f>
        <v>45777</v>
      </c>
      <c r="AQ92" s="1328"/>
      <c r="AR92" s="1349" t="n">
        <f aca="false">+$AN92*'ref.지급기준 (2)'!G91</f>
        <v>238464000</v>
      </c>
      <c r="AS92" s="1347" t="n">
        <f aca="false">+W92</f>
        <v>0</v>
      </c>
      <c r="AT92" s="1347" t="n">
        <f aca="false">+$AN92*'ref.지급기준 (2)'!I91</f>
        <v>0</v>
      </c>
      <c r="AU92" s="1347" t="n">
        <f aca="false">+Z92</f>
        <v>0</v>
      </c>
      <c r="AV92" s="1347" t="n">
        <f aca="false">+$AN92*'ref.지급기준 (2)'!K91</f>
        <v>0</v>
      </c>
      <c r="AW92" s="1347"/>
      <c r="AX92" s="1347" t="n">
        <f aca="false">+$AN92*'ref.지급기준 (2)'!M91</f>
        <v>59616000</v>
      </c>
      <c r="AY92" s="1347"/>
      <c r="AZ92" s="1347" t="n">
        <f aca="false">+$AN92*'ref.지급기준 (2)'!O91</f>
        <v>0</v>
      </c>
      <c r="BA92" s="1350"/>
      <c r="BC92" s="1278"/>
      <c r="BD92" s="1332" t="b">
        <f aca="false">+(AZ92+AX92+AV92+AT92+AR92)=N92</f>
        <v>1</v>
      </c>
      <c r="BE92" s="1278"/>
      <c r="BF92" s="1278"/>
      <c r="BG92" s="1278"/>
      <c r="BH92" s="1278"/>
      <c r="BI92" s="1278"/>
      <c r="BJ92" s="1278"/>
      <c r="BK92" s="1278"/>
      <c r="BL92" s="1278"/>
      <c r="BM92" s="1278"/>
      <c r="BN92" s="1333"/>
      <c r="BO92" s="1333"/>
    </row>
    <row r="93" customFormat="false" ht="16.5" hidden="false" customHeight="false" outlineLevel="0" collapsed="false">
      <c r="A93" s="1307"/>
      <c r="B93" s="629"/>
      <c r="C93" s="1413"/>
      <c r="D93" s="1413"/>
      <c r="E93" s="1310"/>
      <c r="F93" s="1401"/>
      <c r="G93" s="1414"/>
      <c r="H93" s="1402"/>
      <c r="I93" s="1313"/>
      <c r="J93" s="1313"/>
      <c r="K93" s="1334" t="s">
        <v>507</v>
      </c>
      <c r="L93" s="1335" t="n">
        <f aca="false">+'ref.지급기준 (2)'!F92*'ref.지급기준 (2)'!D92/1000</f>
        <v>198720000</v>
      </c>
      <c r="M93" s="1335" t="n">
        <v>0</v>
      </c>
      <c r="N93" s="1336" t="n">
        <f aca="false">SUM(L93:M93)</f>
        <v>198720000</v>
      </c>
      <c r="O93" s="1415"/>
      <c r="P93" s="1390"/>
      <c r="Q93" s="1404" t="b">
        <f aca="false">+N93=AN93</f>
        <v>1</v>
      </c>
      <c r="R93" s="1337" t="n">
        <f aca="false">+IFERROR(S93/N93,"-")</f>
        <v>0</v>
      </c>
      <c r="S93" s="1338" t="n">
        <f aca="false">+IFERROR(W93+Z93+AC93+AF93+AI93+AL93,"-")</f>
        <v>0</v>
      </c>
      <c r="T93" s="1403"/>
      <c r="U93" s="1339" t="n">
        <f aca="false">+S93/T90</f>
        <v>0</v>
      </c>
      <c r="V93" s="1337" t="n">
        <f aca="false">+IFERROR(W93/$N93,"-")</f>
        <v>0</v>
      </c>
      <c r="W93" s="1395"/>
      <c r="X93" s="1396" t="n">
        <f aca="false">X91</f>
        <v>45777</v>
      </c>
      <c r="Y93" s="1345" t="n">
        <f aca="false">+IFERROR(Z93/$N93,"-")</f>
        <v>0</v>
      </c>
      <c r="Z93" s="1345"/>
      <c r="AA93" s="1346" t="n">
        <f aca="false">AA91</f>
        <v>45807</v>
      </c>
      <c r="AB93" s="1345" t="n">
        <f aca="false">+IFERROR(AC93/$N93,"-")</f>
        <v>0</v>
      </c>
      <c r="AC93" s="1345"/>
      <c r="AD93" s="1346" t="n">
        <f aca="false">AD91</f>
        <v>45930</v>
      </c>
      <c r="AE93" s="1345" t="n">
        <f aca="false">+IFERROR(AF93/$N93,"-")</f>
        <v>0</v>
      </c>
      <c r="AF93" s="1345"/>
      <c r="AG93" s="1346" t="n">
        <f aca="false">AG91</f>
        <v>45991</v>
      </c>
      <c r="AH93" s="1345" t="n">
        <f aca="false">+IFERROR(AI93/$N$6,"-")</f>
        <v>0</v>
      </c>
      <c r="AI93" s="1345"/>
      <c r="AJ93" s="1346"/>
      <c r="AK93" s="1345" t="n">
        <f aca="false">+IFERROR(AL93/$N$6,"-")</f>
        <v>0</v>
      </c>
      <c r="AL93" s="1345"/>
      <c r="AM93" s="1345"/>
      <c r="AN93" s="1347" t="n">
        <f aca="false">+N93</f>
        <v>198720000</v>
      </c>
      <c r="AO93" s="1347" t="n">
        <f aca="false">+AN93*'ref.지급기준 (2)'!G92</f>
        <v>158976000</v>
      </c>
      <c r="AP93" s="1348" t="n">
        <f aca="false">+X93</f>
        <v>45777</v>
      </c>
      <c r="AQ93" s="1328"/>
      <c r="AR93" s="1349" t="n">
        <f aca="false">+$AN93*'ref.지급기준 (2)'!G92</f>
        <v>158976000</v>
      </c>
      <c r="AS93" s="1347" t="n">
        <f aca="false">+W93</f>
        <v>0</v>
      </c>
      <c r="AT93" s="1347" t="n">
        <f aca="false">+$AN93*'ref.지급기준 (2)'!I92</f>
        <v>0</v>
      </c>
      <c r="AU93" s="1347" t="n">
        <f aca="false">+Z93</f>
        <v>0</v>
      </c>
      <c r="AV93" s="1347" t="n">
        <f aca="false">+$AN93*'ref.지급기준 (2)'!K92</f>
        <v>0</v>
      </c>
      <c r="AW93" s="1347"/>
      <c r="AX93" s="1347" t="n">
        <f aca="false">+$AN93*'ref.지급기준 (2)'!M92</f>
        <v>39744000</v>
      </c>
      <c r="AY93" s="1347"/>
      <c r="AZ93" s="1347" t="n">
        <f aca="false">+$AN93*'ref.지급기준 (2)'!O92</f>
        <v>0</v>
      </c>
      <c r="BA93" s="1350"/>
      <c r="BC93" s="1278"/>
      <c r="BD93" s="1332" t="b">
        <f aca="false">+(AZ93+AX93+AV93+AT93+AR93)=N93</f>
        <v>1</v>
      </c>
      <c r="BE93" s="1278"/>
      <c r="BF93" s="1278"/>
      <c r="BG93" s="1278"/>
      <c r="BH93" s="1278"/>
      <c r="BI93" s="1278"/>
      <c r="BJ93" s="1278"/>
      <c r="BK93" s="1278"/>
      <c r="BL93" s="1278"/>
      <c r="BM93" s="1278"/>
      <c r="BN93" s="1333"/>
      <c r="BO93" s="1333"/>
    </row>
    <row r="94" customFormat="false" ht="16.5" hidden="false" customHeight="false" outlineLevel="0" collapsed="false">
      <c r="A94" s="1307"/>
      <c r="B94" s="629"/>
      <c r="C94" s="1413"/>
      <c r="D94" s="1413"/>
      <c r="E94" s="1310"/>
      <c r="F94" s="1401"/>
      <c r="G94" s="1414"/>
      <c r="H94" s="1402"/>
      <c r="I94" s="1313"/>
      <c r="J94" s="1313"/>
      <c r="K94" s="1351" t="s">
        <v>508</v>
      </c>
      <c r="L94" s="1352" t="n">
        <f aca="false">+'ref.지급기준 (2)'!F93*'ref.지급기준 (2)'!D93/1000</f>
        <v>0</v>
      </c>
      <c r="M94" s="1352"/>
      <c r="N94" s="1353"/>
      <c r="O94" s="1415"/>
      <c r="P94" s="1390"/>
      <c r="Q94" s="1405"/>
      <c r="R94" s="1406"/>
      <c r="S94" s="1407"/>
      <c r="T94" s="1403"/>
      <c r="U94" s="1408" t="n">
        <f aca="false">+S94/T90</f>
        <v>0</v>
      </c>
      <c r="V94" s="1406" t="str">
        <f aca="false">+IFERROR(W94/$N94,"-")</f>
        <v>-</v>
      </c>
      <c r="W94" s="1409"/>
      <c r="X94" s="1409"/>
      <c r="Y94" s="1409" t="str">
        <f aca="false">+IFERROR(Z94/$N94,"-")</f>
        <v>-</v>
      </c>
      <c r="Z94" s="1409"/>
      <c r="AA94" s="1410"/>
      <c r="AB94" s="1409" t="str">
        <f aca="false">+IFERROR(AC94/$N94,"-")</f>
        <v>-</v>
      </c>
      <c r="AC94" s="1409"/>
      <c r="AD94" s="1410"/>
      <c r="AE94" s="1409" t="str">
        <f aca="false">+IFERROR(AF94/$N94,"-")</f>
        <v>-</v>
      </c>
      <c r="AF94" s="1409"/>
      <c r="AG94" s="1410"/>
      <c r="AH94" s="1409" t="n">
        <f aca="false">+IFERROR(AI94/$N$6,"-")</f>
        <v>0</v>
      </c>
      <c r="AI94" s="1409"/>
      <c r="AJ94" s="1409"/>
      <c r="AK94" s="1409"/>
      <c r="AL94" s="1409"/>
      <c r="AM94" s="1409"/>
      <c r="AN94" s="1411" t="n">
        <f aca="false">+N94</f>
        <v>0</v>
      </c>
      <c r="AO94" s="1411" t="n">
        <f aca="false">+AR94+AT94</f>
        <v>0</v>
      </c>
      <c r="AP94" s="1412"/>
      <c r="AQ94" s="1328"/>
      <c r="AR94" s="1361" t="n">
        <f aca="false">+$AN94*'ref.지급기준 (2)'!G93</f>
        <v>0</v>
      </c>
      <c r="AS94" s="1359" t="n">
        <f aca="false">+W94</f>
        <v>0</v>
      </c>
      <c r="AT94" s="1359" t="n">
        <f aca="false">+$AN94*'ref.지급기준 (2)'!I93</f>
        <v>0</v>
      </c>
      <c r="AU94" s="1359" t="n">
        <f aca="false">+Z94</f>
        <v>0</v>
      </c>
      <c r="AV94" s="1359" t="n">
        <f aca="false">+$AN94*'ref.지급기준 (2)'!K93</f>
        <v>0</v>
      </c>
      <c r="AW94" s="1359"/>
      <c r="AX94" s="1359" t="n">
        <f aca="false">+$AN94*'ref.지급기준 (2)'!M93</f>
        <v>0</v>
      </c>
      <c r="AY94" s="1359"/>
      <c r="AZ94" s="1359" t="n">
        <f aca="false">+$AN94*'ref.지급기준 (2)'!O93</f>
        <v>0</v>
      </c>
      <c r="BA94" s="1362"/>
      <c r="BC94" s="1278"/>
      <c r="BD94" s="1278"/>
      <c r="BE94" s="1278"/>
      <c r="BF94" s="1278"/>
      <c r="BG94" s="1278"/>
      <c r="BH94" s="1278"/>
      <c r="BI94" s="1278"/>
      <c r="BJ94" s="1278"/>
      <c r="BK94" s="1278"/>
      <c r="BL94" s="1278"/>
      <c r="BM94" s="1278"/>
      <c r="BN94" s="1333"/>
      <c r="BO94" s="1333"/>
    </row>
  </sheetData>
  <mergeCells count="156">
    <mergeCell ref="BC2:BD2"/>
    <mergeCell ref="B3:B4"/>
    <mergeCell ref="C3:C4"/>
    <mergeCell ref="D3:D4"/>
    <mergeCell ref="E3:F4"/>
    <mergeCell ref="G3:G4"/>
    <mergeCell ref="H3:H4"/>
    <mergeCell ref="I3:I4"/>
    <mergeCell ref="J3:J4"/>
    <mergeCell ref="K3:K4"/>
    <mergeCell ref="L3:L4"/>
    <mergeCell ref="M3:M4"/>
    <mergeCell ref="N3:N4"/>
    <mergeCell ref="O3:O4"/>
    <mergeCell ref="P3:P4"/>
    <mergeCell ref="R3:U3"/>
    <mergeCell ref="V3:X3"/>
    <mergeCell ref="Y3:AA3"/>
    <mergeCell ref="AB3:AD3"/>
    <mergeCell ref="AE3:AG3"/>
    <mergeCell ref="AH3:AJ3"/>
    <mergeCell ref="AK3:AM3"/>
    <mergeCell ref="AN3:AN4"/>
    <mergeCell ref="AO3:AO4"/>
    <mergeCell ref="AP3:AP4"/>
    <mergeCell ref="AR3:AS3"/>
    <mergeCell ref="AT3:AU3"/>
    <mergeCell ref="AV3:AW3"/>
    <mergeCell ref="AX3:AY3"/>
    <mergeCell ref="AZ3:BA3"/>
    <mergeCell ref="BB3:BB4"/>
    <mergeCell ref="BC3:BD3"/>
    <mergeCell ref="B5:B94"/>
    <mergeCell ref="C5:C74"/>
    <mergeCell ref="D5:D74"/>
    <mergeCell ref="E5:E44"/>
    <mergeCell ref="F5:F9"/>
    <mergeCell ref="G5:G9"/>
    <mergeCell ref="H5:H9"/>
    <mergeCell ref="I5:I9"/>
    <mergeCell ref="J5:J9"/>
    <mergeCell ref="O5:O44"/>
    <mergeCell ref="P5:P44"/>
    <mergeCell ref="T5:T9"/>
    <mergeCell ref="BB5:BB44"/>
    <mergeCell ref="F10:F14"/>
    <mergeCell ref="G10:G14"/>
    <mergeCell ref="H10:H14"/>
    <mergeCell ref="I10:I14"/>
    <mergeCell ref="J10:J14"/>
    <mergeCell ref="T10:T14"/>
    <mergeCell ref="F15:F19"/>
    <mergeCell ref="G15:G19"/>
    <mergeCell ref="H15:H19"/>
    <mergeCell ref="I15:I19"/>
    <mergeCell ref="J15:J19"/>
    <mergeCell ref="T15:T19"/>
    <mergeCell ref="F20:F24"/>
    <mergeCell ref="G20:G24"/>
    <mergeCell ref="H20:H24"/>
    <mergeCell ref="I20:I24"/>
    <mergeCell ref="J20:J24"/>
    <mergeCell ref="T20:T24"/>
    <mergeCell ref="F25:F29"/>
    <mergeCell ref="G25:G29"/>
    <mergeCell ref="H25:H29"/>
    <mergeCell ref="I25:I29"/>
    <mergeCell ref="J25:J29"/>
    <mergeCell ref="T25:T29"/>
    <mergeCell ref="F30:F34"/>
    <mergeCell ref="G30:G34"/>
    <mergeCell ref="H30:H34"/>
    <mergeCell ref="I30:I34"/>
    <mergeCell ref="J30:J34"/>
    <mergeCell ref="T30:T34"/>
    <mergeCell ref="F35:F39"/>
    <mergeCell ref="G35:G39"/>
    <mergeCell ref="H35:H39"/>
    <mergeCell ref="I35:I39"/>
    <mergeCell ref="J35:J39"/>
    <mergeCell ref="T35:T39"/>
    <mergeCell ref="F40:F44"/>
    <mergeCell ref="G40:G44"/>
    <mergeCell ref="H40:H44"/>
    <mergeCell ref="I40:I44"/>
    <mergeCell ref="J40:J44"/>
    <mergeCell ref="T40:T44"/>
    <mergeCell ref="E45:E74"/>
    <mergeCell ref="F45:F49"/>
    <mergeCell ref="G45:G49"/>
    <mergeCell ref="H45:H49"/>
    <mergeCell ref="I45:I49"/>
    <mergeCell ref="J45:J49"/>
    <mergeCell ref="O45:O74"/>
    <mergeCell ref="P45:P74"/>
    <mergeCell ref="T45:T49"/>
    <mergeCell ref="BB45:BB74"/>
    <mergeCell ref="F50:F54"/>
    <mergeCell ref="G50:G54"/>
    <mergeCell ref="H50:H54"/>
    <mergeCell ref="I50:I54"/>
    <mergeCell ref="J50:J54"/>
    <mergeCell ref="T50:T54"/>
    <mergeCell ref="F55:F59"/>
    <mergeCell ref="G55:G59"/>
    <mergeCell ref="H55:H59"/>
    <mergeCell ref="I55:I59"/>
    <mergeCell ref="J55:J59"/>
    <mergeCell ref="T55:T59"/>
    <mergeCell ref="F60:F64"/>
    <mergeCell ref="G60:G64"/>
    <mergeCell ref="H60:H64"/>
    <mergeCell ref="I60:I64"/>
    <mergeCell ref="J60:J64"/>
    <mergeCell ref="T60:T64"/>
    <mergeCell ref="F65:F69"/>
    <mergeCell ref="G65:G69"/>
    <mergeCell ref="H65:H69"/>
    <mergeCell ref="I65:I69"/>
    <mergeCell ref="J65:J69"/>
    <mergeCell ref="T65:T69"/>
    <mergeCell ref="F70:F74"/>
    <mergeCell ref="G70:G74"/>
    <mergeCell ref="H70:H74"/>
    <mergeCell ref="I70:I74"/>
    <mergeCell ref="J70:J74"/>
    <mergeCell ref="T70:T74"/>
    <mergeCell ref="C75:C94"/>
    <mergeCell ref="D75:D94"/>
    <mergeCell ref="E75:E94"/>
    <mergeCell ref="F75:F79"/>
    <mergeCell ref="G75:G79"/>
    <mergeCell ref="H75:H79"/>
    <mergeCell ref="I75:I79"/>
    <mergeCell ref="J75:J79"/>
    <mergeCell ref="O75:O94"/>
    <mergeCell ref="P75:P94"/>
    <mergeCell ref="T75:T79"/>
    <mergeCell ref="F80:F84"/>
    <mergeCell ref="G80:G84"/>
    <mergeCell ref="H80:H84"/>
    <mergeCell ref="I80:I84"/>
    <mergeCell ref="J80:J84"/>
    <mergeCell ref="T80:T84"/>
    <mergeCell ref="F85:F89"/>
    <mergeCell ref="G85:G89"/>
    <mergeCell ref="H85:H89"/>
    <mergeCell ref="I85:I89"/>
    <mergeCell ref="J85:J89"/>
    <mergeCell ref="T85:T89"/>
    <mergeCell ref="F90:F94"/>
    <mergeCell ref="G90:G94"/>
    <mergeCell ref="H90:H94"/>
    <mergeCell ref="I90:I94"/>
    <mergeCell ref="J90:J94"/>
    <mergeCell ref="T90:T94"/>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BP196"/>
  <sheetViews>
    <sheetView showFormulas="false" showGridLines="false" showRowColHeaders="true" showZeros="true" rightToLeft="false" tabSelected="false" showOutlineSymbols="true" defaultGridColor="true" view="normal" topLeftCell="A1" colorId="64" zoomScale="115" zoomScaleNormal="115" zoomScalePageLayoutView="55" workbookViewId="0">
      <pane xSplit="10" ySplit="4" topLeftCell="P154" activePane="bottomRight" state="frozen"/>
      <selection pane="topLeft" activeCell="A1" activeCellId="0" sqref="A1"/>
      <selection pane="topRight" activeCell="P1" activeCellId="0" sqref="P1"/>
      <selection pane="bottomLeft" activeCell="A154" activeCellId="0" sqref="A154"/>
      <selection pane="bottomRight" activeCell="R174" activeCellId="0" sqref="R174"/>
    </sheetView>
  </sheetViews>
  <sheetFormatPr defaultColWidth="9" defaultRowHeight="16.5" zeroHeight="false" outlineLevelRow="1" outlineLevelCol="1"/>
  <cols>
    <col collapsed="false" customWidth="true" hidden="false" outlineLevel="0" max="1" min="1" style="39" width="1.63"/>
    <col collapsed="false" customWidth="true" hidden="false" outlineLevel="0" max="2" min="2" style="39" width="4.88"/>
    <col collapsed="false" customWidth="true" hidden="false" outlineLevel="0" max="3" min="3" style="39" width="21"/>
    <col collapsed="false" customWidth="true" hidden="true" outlineLevel="1" max="4" min="4" style="39" width="12.62"/>
    <col collapsed="false" customWidth="true" hidden="true" outlineLevel="1" max="5" min="5" style="39" width="12.37"/>
    <col collapsed="false" customWidth="true" hidden="true" outlineLevel="1" max="6" min="6" style="39" width="17"/>
    <col collapsed="false" customWidth="true" hidden="true" outlineLevel="1" max="7" min="7" style="39" width="8.12"/>
    <col collapsed="false" customWidth="true" hidden="true" outlineLevel="1" max="8" min="8" style="39" width="8.63"/>
    <col collapsed="false" customWidth="true" hidden="false" outlineLevel="0" max="9" min="9" style="39" width="16.75"/>
    <col collapsed="false" customWidth="true" hidden="false" outlineLevel="0" max="10" min="10" style="39" width="17.38"/>
    <col collapsed="false" customWidth="true" hidden="false" outlineLevel="0" max="11" min="11" style="39" width="8.88"/>
    <col collapsed="false" customWidth="true" hidden="false" outlineLevel="0" max="14" min="12" style="39" width="8.63"/>
    <col collapsed="false" customWidth="true" hidden="false" outlineLevel="0" max="15" min="15" style="39" width="16.51"/>
    <col collapsed="false" customWidth="true" hidden="false" outlineLevel="0" max="18" min="16" style="39" width="13.63"/>
    <col collapsed="false" customWidth="true" hidden="true" outlineLevel="0" max="19" min="19" style="39" width="4.88"/>
    <col collapsed="false" customWidth="true" hidden="false" outlineLevel="0" max="20" min="20" style="39" width="6.88"/>
    <col collapsed="false" customWidth="true" hidden="false" outlineLevel="0" max="21" min="21" style="39" width="13.63"/>
    <col collapsed="false" customWidth="true" hidden="false" outlineLevel="0" max="22" min="22" style="39" width="5.5"/>
    <col collapsed="false" customWidth="true" hidden="false" outlineLevel="0" max="24" min="23" style="39" width="12.12"/>
    <col collapsed="false" customWidth="true" hidden="false" outlineLevel="0" max="26" min="25" style="39" width="6.88"/>
    <col collapsed="false" customWidth="true" hidden="false" outlineLevel="0" max="28" min="27" style="39" width="12.12"/>
    <col collapsed="false" customWidth="true" hidden="false" outlineLevel="0" max="29" min="29" style="39" width="6.88"/>
    <col collapsed="false" customWidth="true" hidden="false" outlineLevel="0" max="31" min="30" style="39" width="12.12"/>
    <col collapsed="false" customWidth="true" hidden="false" outlineLevel="0" max="32" min="32" style="39" width="6.88"/>
    <col collapsed="false" customWidth="true" hidden="false" outlineLevel="0" max="34" min="33" style="39" width="12.12"/>
    <col collapsed="false" customWidth="true" hidden="false" outlineLevel="0" max="35" min="35" style="39" width="6.88"/>
    <col collapsed="false" customWidth="true" hidden="false" outlineLevel="0" max="37" min="36" style="39" width="12.12"/>
    <col collapsed="false" customWidth="true" hidden="true" outlineLevel="0" max="38" min="38" style="39" width="6.75"/>
    <col collapsed="false" customWidth="true" hidden="true" outlineLevel="0" max="40" min="39" style="39" width="12.37"/>
    <col collapsed="false" customWidth="true" hidden="false" outlineLevel="0" max="43" min="41" style="39" width="13.63"/>
    <col collapsed="false" customWidth="true" hidden="false" outlineLevel="0" max="44" min="44" style="1276" width="3.63"/>
    <col collapsed="false" customWidth="true" hidden="false" outlineLevel="1" max="54" min="45" style="39" width="13.63"/>
    <col collapsed="false" customWidth="true" hidden="false" outlineLevel="1" max="55" min="55" style="69" width="22.25"/>
    <col collapsed="false" customWidth="false" hidden="false" outlineLevel="0" max="16384" min="56" style="39" width="9"/>
  </cols>
  <sheetData>
    <row r="1" s="1276" customFormat="true" ht="16.5" hidden="false" customHeight="false" outlineLevel="0" collapsed="false">
      <c r="L1" s="1416"/>
      <c r="M1" s="1416"/>
      <c r="N1" s="1416"/>
      <c r="BC1" s="1277"/>
    </row>
    <row r="2" customFormat="false" ht="16.5" hidden="false" customHeight="false" outlineLevel="0" collapsed="false">
      <c r="A2" s="1278"/>
      <c r="B2" s="1279" t="s">
        <v>1429</v>
      </c>
      <c r="C2" s="1279"/>
      <c r="D2" s="1280"/>
      <c r="E2" s="1280"/>
      <c r="F2" s="1280"/>
      <c r="G2" s="1280"/>
      <c r="H2" s="1280"/>
      <c r="I2" s="1280"/>
      <c r="J2" s="1280"/>
      <c r="K2" s="1280"/>
      <c r="L2" s="1416"/>
      <c r="M2" s="1416"/>
      <c r="N2" s="1417"/>
      <c r="O2" s="1278"/>
      <c r="P2" s="1281"/>
      <c r="Q2" s="1281"/>
      <c r="R2" s="1281"/>
      <c r="S2" s="1278"/>
      <c r="T2" s="1278"/>
      <c r="U2" s="1278"/>
      <c r="V2" s="1278"/>
      <c r="W2" s="1278"/>
      <c r="X2" s="1278"/>
      <c r="Y2" s="1278"/>
      <c r="Z2" s="1278"/>
      <c r="AA2" s="1278"/>
      <c r="AB2" s="1278"/>
      <c r="AC2" s="1278"/>
      <c r="AD2" s="1282"/>
      <c r="AE2" s="1283"/>
      <c r="AF2" s="1278"/>
      <c r="AG2" s="1278"/>
      <c r="AH2" s="1278"/>
      <c r="AI2" s="1278"/>
      <c r="AJ2" s="1278"/>
      <c r="AK2" s="1278"/>
      <c r="AL2" s="1278"/>
      <c r="AM2" s="1278"/>
      <c r="AN2" s="1278"/>
      <c r="AO2" s="1284"/>
      <c r="AP2" s="1284"/>
      <c r="AQ2" s="1278"/>
      <c r="AR2" s="1278"/>
      <c r="AS2" s="1278"/>
      <c r="AT2" s="1278"/>
      <c r="AU2" s="1278"/>
      <c r="AV2" s="1278"/>
      <c r="AW2" s="1278"/>
      <c r="AX2" s="1278"/>
      <c r="AY2" s="1278"/>
      <c r="AZ2" s="1285"/>
      <c r="BA2" s="1285"/>
      <c r="BB2" s="1285"/>
      <c r="BC2" s="1280"/>
      <c r="BD2" s="1286"/>
      <c r="BE2" s="1286"/>
      <c r="BF2" s="1278"/>
      <c r="BG2" s="1278"/>
      <c r="BH2" s="1278"/>
      <c r="BI2" s="1278"/>
      <c r="BJ2" s="1278"/>
      <c r="BK2" s="1278"/>
      <c r="BL2" s="1278"/>
      <c r="BM2" s="1278"/>
      <c r="BN2" s="1278"/>
      <c r="BO2" s="1278"/>
      <c r="BP2" s="1278"/>
    </row>
    <row r="3" s="40" customFormat="true" ht="27.75" hidden="false" customHeight="true" outlineLevel="0" collapsed="false">
      <c r="A3" s="621"/>
      <c r="B3" s="1287" t="s">
        <v>24</v>
      </c>
      <c r="C3" s="1418" t="s">
        <v>140</v>
      </c>
      <c r="D3" s="1289" t="s">
        <v>143</v>
      </c>
      <c r="E3" s="1289" t="s">
        <v>141</v>
      </c>
      <c r="F3" s="1419" t="s">
        <v>149</v>
      </c>
      <c r="G3" s="1288" t="s">
        <v>1430</v>
      </c>
      <c r="H3" s="1289" t="s">
        <v>147</v>
      </c>
      <c r="I3" s="1290" t="s">
        <v>122</v>
      </c>
      <c r="J3" s="1290"/>
      <c r="K3" s="1291" t="s">
        <v>123</v>
      </c>
      <c r="L3" s="1291" t="s">
        <v>1431</v>
      </c>
      <c r="M3" s="1291" t="s">
        <v>1432</v>
      </c>
      <c r="N3" s="1291" t="s">
        <v>1433</v>
      </c>
      <c r="O3" s="1291" t="s">
        <v>488</v>
      </c>
      <c r="P3" s="1291" t="s">
        <v>489</v>
      </c>
      <c r="Q3" s="1291" t="s">
        <v>490</v>
      </c>
      <c r="R3" s="1291" t="s">
        <v>491</v>
      </c>
      <c r="S3" s="1292"/>
      <c r="T3" s="1420" t="s">
        <v>1436</v>
      </c>
      <c r="U3" s="1420"/>
      <c r="V3" s="1421" t="s">
        <v>1465</v>
      </c>
      <c r="W3" s="1422"/>
      <c r="X3" s="1423"/>
      <c r="Y3" s="1423"/>
      <c r="Z3" s="1293" t="s">
        <v>436</v>
      </c>
      <c r="AA3" s="1293"/>
      <c r="AB3" s="1293"/>
      <c r="AC3" s="1293" t="s">
        <v>437</v>
      </c>
      <c r="AD3" s="1293"/>
      <c r="AE3" s="1293"/>
      <c r="AF3" s="1293" t="s">
        <v>438</v>
      </c>
      <c r="AG3" s="1293"/>
      <c r="AH3" s="1293"/>
      <c r="AI3" s="1293" t="s">
        <v>493</v>
      </c>
      <c r="AJ3" s="1293"/>
      <c r="AK3" s="1293"/>
      <c r="AL3" s="1293" t="s">
        <v>494</v>
      </c>
      <c r="AM3" s="1293"/>
      <c r="AN3" s="1293"/>
      <c r="AO3" s="1294" t="s">
        <v>1437</v>
      </c>
      <c r="AP3" s="1294" t="s">
        <v>1438</v>
      </c>
      <c r="AQ3" s="1295" t="s">
        <v>1439</v>
      </c>
      <c r="AR3" s="1296"/>
      <c r="AS3" s="1297" t="s">
        <v>1440</v>
      </c>
      <c r="AT3" s="1297"/>
      <c r="AU3" s="1293" t="s">
        <v>1441</v>
      </c>
      <c r="AV3" s="1293"/>
      <c r="AW3" s="1293" t="s">
        <v>1442</v>
      </c>
      <c r="AX3" s="1293"/>
      <c r="AY3" s="1293" t="s">
        <v>1443</v>
      </c>
      <c r="AZ3" s="1293"/>
      <c r="BA3" s="1293" t="s">
        <v>1444</v>
      </c>
      <c r="BB3" s="1293"/>
      <c r="BC3" s="1298" t="s">
        <v>1445</v>
      </c>
      <c r="BD3" s="1299"/>
      <c r="BE3" s="1299"/>
      <c r="BF3" s="621"/>
      <c r="BG3" s="621"/>
      <c r="BH3" s="621"/>
      <c r="BI3" s="621"/>
      <c r="BJ3" s="621"/>
      <c r="BK3" s="621"/>
      <c r="BL3" s="621"/>
      <c r="BM3" s="621"/>
      <c r="BN3" s="621"/>
      <c r="BO3" s="625"/>
      <c r="BP3" s="625"/>
    </row>
    <row r="4" s="40" customFormat="true" ht="27.75" hidden="false" customHeight="true" outlineLevel="0" collapsed="false">
      <c r="A4" s="621"/>
      <c r="B4" s="1287"/>
      <c r="C4" s="1418"/>
      <c r="D4" s="1289"/>
      <c r="E4" s="1289"/>
      <c r="F4" s="1419"/>
      <c r="G4" s="1288"/>
      <c r="H4" s="1289"/>
      <c r="I4" s="1290"/>
      <c r="J4" s="1290"/>
      <c r="K4" s="1291"/>
      <c r="L4" s="1291"/>
      <c r="M4" s="1291"/>
      <c r="N4" s="1291"/>
      <c r="O4" s="1291"/>
      <c r="P4" s="1291"/>
      <c r="Q4" s="1291"/>
      <c r="R4" s="1291"/>
      <c r="S4" s="1300"/>
      <c r="T4" s="1301" t="s">
        <v>339</v>
      </c>
      <c r="U4" s="1302" t="s">
        <v>1446</v>
      </c>
      <c r="V4" s="1424" t="s">
        <v>1466</v>
      </c>
      <c r="W4" s="1424" t="s">
        <v>1467</v>
      </c>
      <c r="X4" s="1424" t="s">
        <v>432</v>
      </c>
      <c r="Y4" s="1304"/>
      <c r="Z4" s="1304" t="s">
        <v>339</v>
      </c>
      <c r="AA4" s="1304" t="s">
        <v>1449</v>
      </c>
      <c r="AB4" s="1304" t="s">
        <v>1450</v>
      </c>
      <c r="AC4" s="1304" t="s">
        <v>339</v>
      </c>
      <c r="AD4" s="1304" t="s">
        <v>1449</v>
      </c>
      <c r="AE4" s="1304" t="s">
        <v>1450</v>
      </c>
      <c r="AF4" s="1304" t="s">
        <v>339</v>
      </c>
      <c r="AG4" s="1304" t="s">
        <v>1449</v>
      </c>
      <c r="AH4" s="1304" t="s">
        <v>1450</v>
      </c>
      <c r="AI4" s="1304" t="s">
        <v>339</v>
      </c>
      <c r="AJ4" s="1304" t="s">
        <v>1449</v>
      </c>
      <c r="AK4" s="1304" t="s">
        <v>1450</v>
      </c>
      <c r="AL4" s="1304" t="s">
        <v>339</v>
      </c>
      <c r="AM4" s="1304" t="s">
        <v>1449</v>
      </c>
      <c r="AN4" s="1304" t="s">
        <v>1450</v>
      </c>
      <c r="AO4" s="1294"/>
      <c r="AP4" s="1294"/>
      <c r="AQ4" s="1295"/>
      <c r="AR4" s="1296"/>
      <c r="AS4" s="1305" t="s">
        <v>1451</v>
      </c>
      <c r="AT4" s="1306" t="s">
        <v>192</v>
      </c>
      <c r="AU4" s="1306" t="s">
        <v>1451</v>
      </c>
      <c r="AV4" s="1306" t="s">
        <v>192</v>
      </c>
      <c r="AW4" s="1306" t="s">
        <v>1451</v>
      </c>
      <c r="AX4" s="1306" t="s">
        <v>192</v>
      </c>
      <c r="AY4" s="1306" t="s">
        <v>1451</v>
      </c>
      <c r="AZ4" s="1306" t="s">
        <v>192</v>
      </c>
      <c r="BA4" s="1306" t="s">
        <v>1451</v>
      </c>
      <c r="BB4" s="1306" t="s">
        <v>192</v>
      </c>
      <c r="BC4" s="1298"/>
      <c r="BD4" s="621"/>
      <c r="BE4" s="621"/>
      <c r="BF4" s="621"/>
      <c r="BG4" s="621"/>
      <c r="BH4" s="621"/>
      <c r="BI4" s="621"/>
      <c r="BJ4" s="621"/>
      <c r="BK4" s="621"/>
      <c r="BL4" s="621"/>
      <c r="BM4" s="621"/>
      <c r="BN4" s="621"/>
      <c r="BO4" s="625"/>
      <c r="BP4" s="625"/>
    </row>
    <row r="5" customFormat="false" ht="16.5" hidden="false" customHeight="true" outlineLevel="0" collapsed="false">
      <c r="A5" s="1307"/>
      <c r="B5" s="1425" t="n">
        <v>2</v>
      </c>
      <c r="C5" s="1426" t="s">
        <v>1468</v>
      </c>
      <c r="D5" s="1379" t="s">
        <v>1469</v>
      </c>
      <c r="E5" s="1427" t="s">
        <v>1470</v>
      </c>
      <c r="F5" s="1428" t="s">
        <v>1471</v>
      </c>
      <c r="G5" s="1429" t="n">
        <f aca="false">SUBTOTAL(103,I5:I64)</f>
        <v>11</v>
      </c>
      <c r="H5" s="1430" t="s">
        <v>1472</v>
      </c>
      <c r="I5" s="1431" t="s">
        <v>1473</v>
      </c>
      <c r="J5" s="1432" t="s">
        <v>1474</v>
      </c>
      <c r="K5" s="1433" t="n">
        <f aca="false">+'DG-PV Organic'!O9</f>
        <v>1041</v>
      </c>
      <c r="L5" s="1434" t="n">
        <f aca="false">+'DG-PV Organic'!H9</f>
        <v>0.1033</v>
      </c>
      <c r="M5" s="1435" t="n">
        <f aca="false">+'DG-PV Organic'!J10</f>
        <v>0.105</v>
      </c>
      <c r="N5" s="1435" t="s">
        <v>1454</v>
      </c>
      <c r="O5" s="1365" t="s">
        <v>112</v>
      </c>
      <c r="P5" s="1366" t="n">
        <f aca="false">+'PAYMENT RATIO_RAW'!F34*'SPVs Status 3'!$K$5/1000</f>
        <v>1093050000</v>
      </c>
      <c r="Q5" s="1366" t="n">
        <f aca="false">+P5*10%</f>
        <v>109305000</v>
      </c>
      <c r="R5" s="1436" t="n">
        <f aca="false">SUM(P5:Q5)</f>
        <v>1202355000</v>
      </c>
      <c r="S5" s="1437" t="b">
        <f aca="false">+R5=AO5</f>
        <v>1</v>
      </c>
      <c r="T5" s="1320" t="n">
        <f aca="false">+IFERROR(U5/R5,"-")</f>
        <v>0</v>
      </c>
      <c r="U5" s="645" t="n">
        <f aca="false">+IFERROR(X5+AA5+AD5+AG5+AJ5+AM5,"-")</f>
        <v>0</v>
      </c>
      <c r="V5" s="1371" t="n">
        <f aca="false">+IFERROR(X5/$R5,"-")</f>
        <v>0</v>
      </c>
      <c r="W5" s="1346" t="n">
        <f aca="false">AE8</f>
        <v>45838</v>
      </c>
      <c r="X5" s="1438"/>
      <c r="Y5" s="1371"/>
      <c r="Z5" s="1345" t="n">
        <f aca="false">+IFERROR(AA5/$R5,"-")</f>
        <v>0</v>
      </c>
      <c r="AA5" s="1345"/>
      <c r="AB5" s="1346" t="n">
        <f aca="false">+EDATE(W5,1)</f>
        <v>45868</v>
      </c>
      <c r="AC5" s="1345" t="n">
        <f aca="false">+IFERROR(AD5/$R5,"-")</f>
        <v>0</v>
      </c>
      <c r="AD5" s="1345"/>
      <c r="AE5" s="1346" t="n">
        <f aca="false">+EDATE(AB5,3)</f>
        <v>45960</v>
      </c>
      <c r="AF5" s="1345" t="n">
        <f aca="false">+IFERROR(AG5/$R5,"-")</f>
        <v>0</v>
      </c>
      <c r="AG5" s="1345"/>
      <c r="AH5" s="1346" t="n">
        <f aca="false">+EDATE(AB5,4)</f>
        <v>45991</v>
      </c>
      <c r="AI5" s="1345" t="str">
        <f aca="false">+IFERROR(AJ5/#REF!,"-")</f>
        <v>-</v>
      </c>
      <c r="AJ5" s="1345"/>
      <c r="AK5" s="1346" t="n">
        <f aca="false">+EDATE(AB5,6)+1</f>
        <v>46053</v>
      </c>
      <c r="AL5" s="1371" t="str">
        <f aca="false">+IFERROR(AM5/#REF!,"-")</f>
        <v>-</v>
      </c>
      <c r="AM5" s="1371"/>
      <c r="AN5" s="1371"/>
      <c r="AO5" s="1373" t="n">
        <f aca="false">+R5</f>
        <v>1202355000</v>
      </c>
      <c r="AP5" s="1373" t="n">
        <f aca="false">+AS5</f>
        <v>120235500</v>
      </c>
      <c r="AQ5" s="1439" t="s">
        <v>373</v>
      </c>
      <c r="AR5" s="1440"/>
      <c r="AS5" s="1349" t="n">
        <f aca="false">+$AO5*'ref.지급기준 (2)'!G94</f>
        <v>120235500</v>
      </c>
      <c r="AT5" s="1347" t="n">
        <f aca="false">+X5</f>
        <v>0</v>
      </c>
      <c r="AU5" s="1347" t="n">
        <f aca="false">+$AO5*'ref.지급기준 (2)'!I94</f>
        <v>240471000</v>
      </c>
      <c r="AV5" s="1347" t="n">
        <f aca="false">+AA5</f>
        <v>0</v>
      </c>
      <c r="AW5" s="1347" t="n">
        <f aca="false">+$AO5*'ref.지급기준 (2)'!K94</f>
        <v>480942000</v>
      </c>
      <c r="AX5" s="1347"/>
      <c r="AY5" s="1347" t="n">
        <f aca="false">+$AO5*'ref.지급기준 (2)'!M94</f>
        <v>300588750</v>
      </c>
      <c r="AZ5" s="1347"/>
      <c r="BA5" s="1347" t="n">
        <f aca="false">+$AO5*'ref.지급기준 (2)'!O94</f>
        <v>60117750</v>
      </c>
      <c r="BB5" s="1350"/>
      <c r="BC5" s="1441" t="s">
        <v>1475</v>
      </c>
      <c r="BD5" s="1278"/>
      <c r="BE5" s="1332" t="b">
        <f aca="false">+(BA5+AY5+AW5+AU5+AS5)=R5</f>
        <v>1</v>
      </c>
      <c r="BF5" s="1278"/>
      <c r="BG5" s="1278"/>
      <c r="BH5" s="1278"/>
      <c r="BI5" s="1278"/>
      <c r="BJ5" s="1278"/>
      <c r="BK5" s="1278"/>
      <c r="BL5" s="1278"/>
      <c r="BM5" s="1278"/>
      <c r="BN5" s="1278"/>
      <c r="BO5" s="1333"/>
      <c r="BP5" s="1333"/>
    </row>
    <row r="6" customFormat="false" ht="16.5" hidden="false" customHeight="false" outlineLevel="0" collapsed="false">
      <c r="A6" s="1307"/>
      <c r="B6" s="1425"/>
      <c r="C6" s="1426"/>
      <c r="D6" s="1379"/>
      <c r="E6" s="1427"/>
      <c r="F6" s="1428"/>
      <c r="G6" s="1429"/>
      <c r="H6" s="1430"/>
      <c r="I6" s="1431"/>
      <c r="J6" s="1432"/>
      <c r="K6" s="1433"/>
      <c r="L6" s="1434"/>
      <c r="M6" s="1435"/>
      <c r="N6" s="1435"/>
      <c r="O6" s="1334" t="s">
        <v>114</v>
      </c>
      <c r="P6" s="1335" t="n">
        <f aca="false">+'PAYMENT RATIO_RAW'!F35*'SPVs Status 3'!$K$5/1000</f>
        <v>312300000</v>
      </c>
      <c r="Q6" s="1335" t="n">
        <f aca="false">+P6*10%</f>
        <v>31230000</v>
      </c>
      <c r="R6" s="1384" t="n">
        <f aca="false">SUM(P6:Q6)</f>
        <v>343530000</v>
      </c>
      <c r="S6" s="1437" t="b">
        <f aca="false">+R6=AO6</f>
        <v>1</v>
      </c>
      <c r="T6" s="1337" t="n">
        <f aca="false">+IFERROR(U6/R6,"-")</f>
        <v>0.3</v>
      </c>
      <c r="U6" s="1338" t="n">
        <f aca="false">+IFERROR(X6+AA6+AD6+AG6+AJ6+AM6,"-")</f>
        <v>103059000</v>
      </c>
      <c r="V6" s="1343" t="n">
        <f aca="false">+IFERROR(X6/$R6,"-")</f>
        <v>0.3</v>
      </c>
      <c r="W6" s="1442" t="n">
        <v>45714</v>
      </c>
      <c r="X6" s="1341" t="n">
        <f aca="false">300000000*K5/1000*30%*1.1</f>
        <v>103059000</v>
      </c>
      <c r="Y6" s="1343"/>
      <c r="Z6" s="1345" t="n">
        <f aca="false">+IFERROR(AA6/$R6,"-")</f>
        <v>0</v>
      </c>
      <c r="AA6" s="1397"/>
      <c r="AB6" s="1346" t="n">
        <v>45807</v>
      </c>
      <c r="AC6" s="1345" t="n">
        <f aca="false">+IFERROR(AD6/$R6,"-")</f>
        <v>0</v>
      </c>
      <c r="AD6" s="1345"/>
      <c r="AE6" s="1346" t="n">
        <f aca="false">+EDATE(AB6,1)</f>
        <v>45838</v>
      </c>
      <c r="AF6" s="1345" t="n">
        <f aca="false">+IFERROR(AG6/$R6,"-")</f>
        <v>0</v>
      </c>
      <c r="AG6" s="1345"/>
      <c r="AH6" s="1346" t="n">
        <f aca="false">+EDATE(AB5,9)</f>
        <v>46142</v>
      </c>
      <c r="AI6" s="1345" t="str">
        <f aca="false">+IFERROR(AJ6/#REF!,"-")</f>
        <v>-</v>
      </c>
      <c r="AJ6" s="1345"/>
      <c r="AK6" s="1345"/>
      <c r="AL6" s="1345" t="str">
        <f aca="false">+IFERROR(AM6/#REF!,"-")</f>
        <v>-</v>
      </c>
      <c r="AM6" s="1345"/>
      <c r="AN6" s="1345"/>
      <c r="AO6" s="1347" t="n">
        <f aca="false">+R6</f>
        <v>343530000</v>
      </c>
      <c r="AP6" s="1347" t="n">
        <f aca="false">+AS6</f>
        <v>103059000</v>
      </c>
      <c r="AQ6" s="1443"/>
      <c r="AR6" s="1440"/>
      <c r="AS6" s="1349" t="n">
        <f aca="false">+$AO6*'ref.지급기준 (2)'!G95</f>
        <v>103059000</v>
      </c>
      <c r="AT6" s="1347" t="n">
        <f aca="false">+X6</f>
        <v>103059000</v>
      </c>
      <c r="AU6" s="1347" t="n">
        <f aca="false">+$AO6*'ref.지급기준 (2)'!I95</f>
        <v>34353000</v>
      </c>
      <c r="AV6" s="1347" t="n">
        <f aca="false">+AA6</f>
        <v>0</v>
      </c>
      <c r="AW6" s="1347" t="n">
        <f aca="false">+$AO6*'ref.지급기준 (2)'!K95</f>
        <v>171765000</v>
      </c>
      <c r="AX6" s="1347"/>
      <c r="AY6" s="1347" t="n">
        <f aca="false">+$AO6*'ref.지급기준 (2)'!M95</f>
        <v>34353000</v>
      </c>
      <c r="AZ6" s="1347"/>
      <c r="BA6" s="1347" t="n">
        <f aca="false">+$AO6*'ref.지급기준 (2)'!O95</f>
        <v>0</v>
      </c>
      <c r="BB6" s="1350"/>
      <c r="BC6" s="1441"/>
      <c r="BD6" s="1278"/>
      <c r="BE6" s="1332" t="b">
        <f aca="false">+(BA6+AY6+AW6+AU6+AS6)=R6</f>
        <v>1</v>
      </c>
      <c r="BF6" s="1278"/>
      <c r="BG6" s="1278"/>
      <c r="BH6" s="1278"/>
      <c r="BI6" s="1278"/>
      <c r="BJ6" s="1278"/>
      <c r="BK6" s="1278"/>
      <c r="BL6" s="1278"/>
      <c r="BM6" s="1278"/>
      <c r="BN6" s="1278"/>
      <c r="BO6" s="1333"/>
      <c r="BP6" s="1333"/>
    </row>
    <row r="7" customFormat="false" ht="16.5" hidden="false" customHeight="false" outlineLevel="0" collapsed="false">
      <c r="A7" s="1307"/>
      <c r="B7" s="1425"/>
      <c r="C7" s="1426"/>
      <c r="D7" s="1379"/>
      <c r="E7" s="1427"/>
      <c r="F7" s="1428"/>
      <c r="G7" s="1429"/>
      <c r="H7" s="1430"/>
      <c r="I7" s="1431"/>
      <c r="J7" s="1432"/>
      <c r="K7" s="1433"/>
      <c r="L7" s="1380" t="n">
        <f aca="false">+'DG-PV Organic'!H10</f>
        <v>0.0978</v>
      </c>
      <c r="M7" s="1435"/>
      <c r="N7" s="1435"/>
      <c r="O7" s="1334" t="s">
        <v>404</v>
      </c>
      <c r="P7" s="1335" t="e">
        <f aca="false">+'payment ratio_raw'!#ref!*'SPVs Status 3'!$K$5/1000</f>
        <v>#VALUE!</v>
      </c>
      <c r="Q7" s="1335"/>
      <c r="R7" s="1384" t="e">
        <f aca="false">SUM(P7:Q7)</f>
        <v>#VALUE!</v>
      </c>
      <c r="S7" s="1354" t="e">
        <f aca="false">+R7=AO7</f>
        <v>#VALUE!</v>
      </c>
      <c r="T7" s="1337" t="str">
        <f aca="false">+IFERROR(U7/R7,"-")</f>
        <v>-</v>
      </c>
      <c r="U7" s="1338" t="n">
        <f aca="false">+IFERROR(X7+AA7+AD7+AG7+AJ7+AM7,"-")</f>
        <v>0</v>
      </c>
      <c r="V7" s="1345" t="str">
        <f aca="false">+IFERROR(X7/$R7,"-")</f>
        <v>-</v>
      </c>
      <c r="W7" s="1444"/>
      <c r="X7" s="1395"/>
      <c r="Y7" s="1345"/>
      <c r="Z7" s="1345" t="str">
        <f aca="false">+IFERROR(AA7/$R7,"-")</f>
        <v>-</v>
      </c>
      <c r="AA7" s="1345"/>
      <c r="AB7" s="1346"/>
      <c r="AC7" s="1345" t="str">
        <f aca="false">+IFERROR(AD7/$R7,"-")</f>
        <v>-</v>
      </c>
      <c r="AD7" s="1345"/>
      <c r="AE7" s="1346"/>
      <c r="AF7" s="1345" t="str">
        <f aca="false">+IFERROR(AG7/$R7,"-")</f>
        <v>-</v>
      </c>
      <c r="AG7" s="1345"/>
      <c r="AH7" s="1346"/>
      <c r="AI7" s="1345" t="str">
        <f aca="false">+IFERROR(AJ7/#REF!,"-")</f>
        <v>-</v>
      </c>
      <c r="AJ7" s="1345"/>
      <c r="AK7" s="1345"/>
      <c r="AL7" s="1345" t="str">
        <f aca="false">+IFERROR(AM7/#REF!,"-")</f>
        <v>-</v>
      </c>
      <c r="AM7" s="1345"/>
      <c r="AN7" s="1345"/>
      <c r="AO7" s="1347" t="e">
        <f aca="false">+R7</f>
        <v>#VALUE!</v>
      </c>
      <c r="AP7" s="1347" t="e">
        <f aca="false">+AS7</f>
        <v>#VALUE!</v>
      </c>
      <c r="AQ7" s="1443"/>
      <c r="AR7" s="1440"/>
      <c r="AS7" s="1349" t="e">
        <f aca="false">+$AO7*'ref.지급기준 (2)'!G96</f>
        <v>#VALUE!</v>
      </c>
      <c r="AT7" s="1347" t="n">
        <f aca="false">+X7</f>
        <v>0</v>
      </c>
      <c r="AU7" s="1347" t="e">
        <f aca="false">+$AO7*'ref.지급기준 (2)'!I96</f>
        <v>#VALUE!</v>
      </c>
      <c r="AV7" s="1347" t="n">
        <f aca="false">+AA7</f>
        <v>0</v>
      </c>
      <c r="AW7" s="1347" t="e">
        <f aca="false">+$AO7*'ref.지급기준 (2)'!K96</f>
        <v>#VALUE!</v>
      </c>
      <c r="AX7" s="1347"/>
      <c r="AY7" s="1347" t="e">
        <f aca="false">+$AO7*'ref.지급기준 (2)'!M96</f>
        <v>#VALUE!</v>
      </c>
      <c r="AZ7" s="1347"/>
      <c r="BA7" s="1347" t="e">
        <f aca="false">+$AO7*'ref.지급기준 (2)'!O96</f>
        <v>#VALUE!</v>
      </c>
      <c r="BB7" s="1350"/>
      <c r="BC7" s="1441"/>
      <c r="BD7" s="1278"/>
      <c r="BE7" s="1278" t="e">
        <f aca="false">+(BA7+AY7+AW7+AU7+AS7)=R7</f>
        <v>#VALUE!</v>
      </c>
      <c r="BF7" s="1278"/>
      <c r="BG7" s="1278"/>
      <c r="BH7" s="1278"/>
      <c r="BI7" s="1278"/>
      <c r="BJ7" s="1278"/>
      <c r="BK7" s="1278"/>
      <c r="BL7" s="1278"/>
      <c r="BM7" s="1278"/>
      <c r="BN7" s="1278"/>
      <c r="BO7" s="1333"/>
      <c r="BP7" s="1333"/>
    </row>
    <row r="8" customFormat="false" ht="16.5" hidden="false" customHeight="false" outlineLevel="0" collapsed="false">
      <c r="A8" s="1307"/>
      <c r="B8" s="1425"/>
      <c r="C8" s="1426"/>
      <c r="D8" s="1379"/>
      <c r="E8" s="1427"/>
      <c r="F8" s="1428"/>
      <c r="G8" s="1429"/>
      <c r="H8" s="1430"/>
      <c r="I8" s="1431"/>
      <c r="J8" s="1432"/>
      <c r="K8" s="1433"/>
      <c r="L8" s="1380"/>
      <c r="M8" s="1435"/>
      <c r="N8" s="1435"/>
      <c r="O8" s="1334" t="s">
        <v>507</v>
      </c>
      <c r="P8" s="1335" t="n">
        <f aca="false">+'PAYMENT RATIO_RAW'!F36*'SPVs Status 3'!$K$5/1000</f>
        <v>52050000</v>
      </c>
      <c r="Q8" s="1335" t="n">
        <f aca="false">+P8*10%</f>
        <v>5205000</v>
      </c>
      <c r="R8" s="1387" t="n">
        <f aca="false">SUM(P8:Q8)</f>
        <v>57255000</v>
      </c>
      <c r="S8" s="1404" t="b">
        <f aca="false">+R8=AO8</f>
        <v>1</v>
      </c>
      <c r="T8" s="1337" t="n">
        <f aca="false">+IFERROR(U8/R8,"-")</f>
        <v>0.3</v>
      </c>
      <c r="U8" s="1338" t="n">
        <f aca="false">+IFERROR(X8+AA8+AD8+AG8+AJ8+AM8,"-")</f>
        <v>17176500</v>
      </c>
      <c r="V8" s="1343" t="n">
        <f aca="false">+IFERROR(X8/$R8,"-")</f>
        <v>0.3</v>
      </c>
      <c r="W8" s="1342" t="n">
        <f aca="false">W6</f>
        <v>45714</v>
      </c>
      <c r="X8" s="1341" t="n">
        <f aca="false">50000000*K5/1000*30%*1.1</f>
        <v>17176500</v>
      </c>
      <c r="Y8" s="1343"/>
      <c r="Z8" s="1345" t="n">
        <f aca="false">+IFERROR(AA8/$R8,"-")</f>
        <v>0</v>
      </c>
      <c r="AA8" s="1345"/>
      <c r="AB8" s="1346" t="n">
        <f aca="false">AB6</f>
        <v>45807</v>
      </c>
      <c r="AC8" s="1345" t="n">
        <f aca="false">+IFERROR(AD8/$R8,"-")</f>
        <v>0</v>
      </c>
      <c r="AD8" s="1345"/>
      <c r="AE8" s="1346" t="n">
        <f aca="false">AE6</f>
        <v>45838</v>
      </c>
      <c r="AF8" s="1345" t="n">
        <f aca="false">+IFERROR(AG8/$R8,"-")</f>
        <v>0</v>
      </c>
      <c r="AG8" s="1345"/>
      <c r="AH8" s="1346" t="n">
        <f aca="false">AH6</f>
        <v>46142</v>
      </c>
      <c r="AI8" s="1345" t="str">
        <f aca="false">+IFERROR(AJ8/#REF!,"-")</f>
        <v>-</v>
      </c>
      <c r="AJ8" s="1345"/>
      <c r="AK8" s="1345"/>
      <c r="AL8" s="1345" t="str">
        <f aca="false">+IFERROR(AM8/#REF!,"-")</f>
        <v>-</v>
      </c>
      <c r="AM8" s="1345"/>
      <c r="AN8" s="1345"/>
      <c r="AO8" s="1347" t="n">
        <f aca="false">+R8</f>
        <v>57255000</v>
      </c>
      <c r="AP8" s="1347" t="n">
        <f aca="false">+AS8</f>
        <v>17176500</v>
      </c>
      <c r="AQ8" s="1443"/>
      <c r="AR8" s="1440"/>
      <c r="AS8" s="1349" t="n">
        <f aca="false">+$AO8*'ref.지급기준 (2)'!G97</f>
        <v>17176500</v>
      </c>
      <c r="AT8" s="1347" t="n">
        <f aca="false">+X8</f>
        <v>17176500</v>
      </c>
      <c r="AU8" s="1347" t="n">
        <f aca="false">+$AO8*'ref.지급기준 (2)'!I97</f>
        <v>5725500</v>
      </c>
      <c r="AV8" s="1347" t="n">
        <f aca="false">+AA8</f>
        <v>0</v>
      </c>
      <c r="AW8" s="1347" t="n">
        <f aca="false">+$AO8*'ref.지급기준 (2)'!K97</f>
        <v>28627500</v>
      </c>
      <c r="AX8" s="1347"/>
      <c r="AY8" s="1347" t="n">
        <f aca="false">+$AO8*'ref.지급기준 (2)'!M97</f>
        <v>5725500</v>
      </c>
      <c r="AZ8" s="1347"/>
      <c r="BA8" s="1347" t="n">
        <f aca="false">+$AO8*'ref.지급기준 (2)'!O97</f>
        <v>0</v>
      </c>
      <c r="BB8" s="1350"/>
      <c r="BC8" s="1441"/>
      <c r="BD8" s="1278"/>
      <c r="BE8" s="1332" t="b">
        <f aca="false">+(BA8+AY8+AW8+AU8+AS8)=R8</f>
        <v>1</v>
      </c>
      <c r="BF8" s="1278"/>
      <c r="BG8" s="1278"/>
      <c r="BH8" s="1278"/>
      <c r="BI8" s="1278"/>
      <c r="BJ8" s="1278"/>
      <c r="BK8" s="1278"/>
      <c r="BL8" s="1278"/>
      <c r="BM8" s="1278"/>
      <c r="BN8" s="1278"/>
      <c r="BO8" s="1333"/>
      <c r="BP8" s="1333"/>
    </row>
    <row r="9" customFormat="false" ht="16.5" hidden="false" customHeight="false" outlineLevel="0" collapsed="false">
      <c r="A9" s="1307"/>
      <c r="B9" s="1425"/>
      <c r="C9" s="1426"/>
      <c r="D9" s="1379"/>
      <c r="E9" s="1427"/>
      <c r="F9" s="1428"/>
      <c r="G9" s="1429"/>
      <c r="H9" s="1430"/>
      <c r="I9" s="1431"/>
      <c r="J9" s="1432"/>
      <c r="K9" s="1433"/>
      <c r="L9" s="1380"/>
      <c r="M9" s="1435"/>
      <c r="N9" s="1435"/>
      <c r="O9" s="1385" t="s">
        <v>508</v>
      </c>
      <c r="P9" s="1386" t="n">
        <f aca="false">+'PAYMENT RATIO_RAW'!F37*'SPVs Status 3'!$K$5/1000</f>
        <v>182175000</v>
      </c>
      <c r="Q9" s="1387" t="n">
        <f aca="false">+P9*10%</f>
        <v>18217500</v>
      </c>
      <c r="R9" s="1398" t="n">
        <f aca="false">SUM(P9:Q9)</f>
        <v>200392500</v>
      </c>
      <c r="S9" s="1437" t="b">
        <f aca="false">+R9=AO9</f>
        <v>1</v>
      </c>
      <c r="T9" s="1445"/>
      <c r="U9" s="1446"/>
      <c r="V9" s="1355" t="n">
        <f aca="false">+IFERROR(X9/$R9,"-")</f>
        <v>0</v>
      </c>
      <c r="W9" s="1357"/>
      <c r="X9" s="1357"/>
      <c r="Y9" s="1357"/>
      <c r="Z9" s="1447" t="n">
        <f aca="false">+IFERROR(AA9/$R9,"-")</f>
        <v>0</v>
      </c>
      <c r="AA9" s="1447"/>
      <c r="AB9" s="1448"/>
      <c r="AC9" s="1447" t="n">
        <f aca="false">+IFERROR(AD9/$R9,"-")</f>
        <v>0</v>
      </c>
      <c r="AD9" s="1447"/>
      <c r="AE9" s="1448"/>
      <c r="AF9" s="1447" t="n">
        <f aca="false">+IFERROR(AG9/$R9,"-")</f>
        <v>0</v>
      </c>
      <c r="AG9" s="1447"/>
      <c r="AH9" s="1448"/>
      <c r="AI9" s="1447" t="str">
        <f aca="false">+IFERROR(AJ9/#REF!,"-")</f>
        <v>-</v>
      </c>
      <c r="AJ9" s="1447"/>
      <c r="AK9" s="1447"/>
      <c r="AL9" s="1447"/>
      <c r="AM9" s="1447"/>
      <c r="AN9" s="1447"/>
      <c r="AO9" s="1449" t="n">
        <f aca="false">+R9</f>
        <v>200392500</v>
      </c>
      <c r="AP9" s="1449" t="n">
        <f aca="false">+AS9+AU9</f>
        <v>200392500</v>
      </c>
      <c r="AQ9" s="1450"/>
      <c r="AR9" s="1440"/>
      <c r="AS9" s="1361" t="n">
        <f aca="false">+$AO9*'ref.지급기준 (2)'!G98</f>
        <v>200392500</v>
      </c>
      <c r="AT9" s="1359" t="n">
        <f aca="false">+X9</f>
        <v>0</v>
      </c>
      <c r="AU9" s="1359" t="n">
        <f aca="false">+$AO9*'ref.지급기준 (2)'!I98</f>
        <v>0</v>
      </c>
      <c r="AV9" s="1359" t="n">
        <f aca="false">+AA9</f>
        <v>0</v>
      </c>
      <c r="AW9" s="1359" t="n">
        <f aca="false">+$AO9*'ref.지급기준 (2)'!K98</f>
        <v>0</v>
      </c>
      <c r="AX9" s="1359"/>
      <c r="AY9" s="1359" t="n">
        <f aca="false">+$AO9*'ref.지급기준 (2)'!M98</f>
        <v>0</v>
      </c>
      <c r="AZ9" s="1359"/>
      <c r="BA9" s="1359" t="n">
        <f aca="false">+$AO9*'ref.지급기준 (2)'!O98</f>
        <v>0</v>
      </c>
      <c r="BB9" s="1362"/>
      <c r="BC9" s="1441"/>
      <c r="BD9" s="1278"/>
      <c r="BE9" s="1278"/>
      <c r="BF9" s="1278"/>
      <c r="BG9" s="1278"/>
      <c r="BH9" s="1278"/>
      <c r="BI9" s="1278"/>
      <c r="BJ9" s="1278"/>
      <c r="BK9" s="1278"/>
      <c r="BL9" s="1278"/>
      <c r="BM9" s="1278"/>
      <c r="BN9" s="1278"/>
      <c r="BO9" s="1333"/>
      <c r="BP9" s="1333"/>
    </row>
    <row r="10" customFormat="false" ht="16.5" hidden="false" customHeight="true" outlineLevel="0" collapsed="false">
      <c r="A10" s="1307"/>
      <c r="B10" s="1425"/>
      <c r="C10" s="1426"/>
      <c r="D10" s="1379"/>
      <c r="E10" s="1427"/>
      <c r="F10" s="1428"/>
      <c r="G10" s="1429"/>
      <c r="H10" s="1430"/>
      <c r="I10" s="1451" t="s">
        <v>1476</v>
      </c>
      <c r="J10" s="1452" t="s">
        <v>848</v>
      </c>
      <c r="K10" s="1453" t="n">
        <f aca="false">+'DG-PV Organic'!O11</f>
        <v>406</v>
      </c>
      <c r="L10" s="1376" t="n">
        <f aca="false">+'DG-PV Organic'!H11</f>
        <v>0.0925</v>
      </c>
      <c r="M10" s="1364" t="n">
        <f aca="false">+'DG-PV Organic'!J11</f>
        <v>0.105</v>
      </c>
      <c r="N10" s="1364" t="s">
        <v>1454</v>
      </c>
      <c r="O10" s="1365" t="s">
        <v>112</v>
      </c>
      <c r="P10" s="1366" t="n">
        <f aca="false">+'DG-PV Organic'!AL11</f>
        <v>426300000</v>
      </c>
      <c r="Q10" s="1366" t="n">
        <f aca="false">+P10*10%</f>
        <v>42630000</v>
      </c>
      <c r="R10" s="1436" t="n">
        <f aca="false">SUM(P10:Q10)</f>
        <v>468930000</v>
      </c>
      <c r="S10" s="1454" t="b">
        <f aca="false">+R10=AO10</f>
        <v>1</v>
      </c>
      <c r="T10" s="1323" t="n">
        <f aca="false">+IFERROR(U10/R10,"-")</f>
        <v>0</v>
      </c>
      <c r="U10" s="1368" t="n">
        <f aca="false">+IFERROR(X10+AA10+AD10+AG10+AJ10+AM10,"-")</f>
        <v>0</v>
      </c>
      <c r="V10" s="1345" t="n">
        <f aca="false">+IFERROR(X10/$R10,"-")</f>
        <v>0</v>
      </c>
      <c r="W10" s="1346" t="n">
        <f aca="false">AE13</f>
        <v>45838</v>
      </c>
      <c r="X10" s="1395"/>
      <c r="Y10" s="1345"/>
      <c r="Z10" s="1345" t="n">
        <f aca="false">+IFERROR(AA10/$R10,"-")</f>
        <v>0</v>
      </c>
      <c r="AA10" s="1345"/>
      <c r="AB10" s="1346" t="n">
        <f aca="false">+EDATE(W10,1)</f>
        <v>45868</v>
      </c>
      <c r="AC10" s="1345" t="n">
        <f aca="false">+IFERROR(AD10/$R10,"-")</f>
        <v>0</v>
      </c>
      <c r="AD10" s="1345"/>
      <c r="AE10" s="1346" t="n">
        <f aca="false">+EDATE(AB10,3)</f>
        <v>45960</v>
      </c>
      <c r="AF10" s="1345" t="n">
        <f aca="false">+IFERROR(AG10/$R10,"-")</f>
        <v>0</v>
      </c>
      <c r="AG10" s="1345"/>
      <c r="AH10" s="1346" t="n">
        <f aca="false">+EDATE(AB10,4)</f>
        <v>45991</v>
      </c>
      <c r="AI10" s="1345" t="str">
        <f aca="false">+IFERROR(AJ10/#REF!,"-")</f>
        <v>-</v>
      </c>
      <c r="AJ10" s="1345"/>
      <c r="AK10" s="1346" t="n">
        <f aca="false">+EDATE(AB10,6)+1</f>
        <v>46053</v>
      </c>
      <c r="AL10" s="1324" t="str">
        <f aca="false">+IFERROR(AM10/#REF!,"-")</f>
        <v>-</v>
      </c>
      <c r="AM10" s="1324"/>
      <c r="AN10" s="1324"/>
      <c r="AO10" s="1326" t="n">
        <f aca="false">+R10</f>
        <v>468930000</v>
      </c>
      <c r="AP10" s="1326" t="n">
        <f aca="false">+AS10</f>
        <v>46893000</v>
      </c>
      <c r="AQ10" s="1455" t="s">
        <v>373</v>
      </c>
      <c r="AR10" s="1440"/>
      <c r="AS10" s="1349" t="n">
        <f aca="false">+$AO10*'ref.지급기준 (2)'!G64</f>
        <v>46893000</v>
      </c>
      <c r="AT10" s="1347" t="n">
        <f aca="false">+X10</f>
        <v>0</v>
      </c>
      <c r="AU10" s="1347" t="n">
        <f aca="false">+$AO10*'ref.지급기준 (2)'!I64</f>
        <v>93786000</v>
      </c>
      <c r="AV10" s="1347" t="n">
        <f aca="false">+AA10</f>
        <v>0</v>
      </c>
      <c r="AW10" s="1347" t="n">
        <f aca="false">+$AO10*'ref.지급기준 (2)'!K64</f>
        <v>187572000</v>
      </c>
      <c r="AX10" s="1347"/>
      <c r="AY10" s="1347" t="n">
        <f aca="false">+$AO10*'ref.지급기준 (2)'!M64</f>
        <v>117232500</v>
      </c>
      <c r="AZ10" s="1347"/>
      <c r="BA10" s="1347" t="n">
        <f aca="false">+$AO10*'ref.지급기준 (2)'!O64</f>
        <v>23446500</v>
      </c>
      <c r="BB10" s="1350"/>
      <c r="BC10" s="1441" t="s">
        <v>1475</v>
      </c>
      <c r="BD10" s="1278"/>
      <c r="BE10" s="1332" t="b">
        <f aca="false">+(BA10+AY10+AW10+AU10+AS10)=R10</f>
        <v>1</v>
      </c>
      <c r="BF10" s="1278"/>
      <c r="BG10" s="1278"/>
      <c r="BH10" s="1278"/>
      <c r="BI10" s="1278"/>
      <c r="BJ10" s="1278"/>
      <c r="BK10" s="1278"/>
      <c r="BL10" s="1278"/>
      <c r="BM10" s="1278"/>
      <c r="BN10" s="1278"/>
      <c r="BO10" s="1333"/>
      <c r="BP10" s="1333"/>
    </row>
    <row r="11" customFormat="false" ht="16.5" hidden="false" customHeight="false" outlineLevel="0" collapsed="false">
      <c r="A11" s="1307"/>
      <c r="B11" s="1425"/>
      <c r="C11" s="1426"/>
      <c r="D11" s="1379"/>
      <c r="E11" s="1427"/>
      <c r="F11" s="1428"/>
      <c r="G11" s="1429"/>
      <c r="H11" s="1430"/>
      <c r="I11" s="1451"/>
      <c r="J11" s="1452"/>
      <c r="K11" s="1453"/>
      <c r="L11" s="1376"/>
      <c r="M11" s="1364"/>
      <c r="N11" s="1364"/>
      <c r="O11" s="1334" t="s">
        <v>114</v>
      </c>
      <c r="P11" s="1335" t="n">
        <f aca="false">+'DG-PV Organic'!AK11</f>
        <v>121800000</v>
      </c>
      <c r="Q11" s="1335" t="n">
        <f aca="false">+P11*10%</f>
        <v>12180000</v>
      </c>
      <c r="R11" s="1384" t="n">
        <f aca="false">SUM(P11:Q11)</f>
        <v>133980000</v>
      </c>
      <c r="S11" s="1404" t="b">
        <f aca="false">+R11=AO11</f>
        <v>1</v>
      </c>
      <c r="T11" s="1337" t="n">
        <f aca="false">+IFERROR(U11/R11,"-")</f>
        <v>0.3</v>
      </c>
      <c r="U11" s="1338" t="n">
        <f aca="false">+IFERROR(X11+AA11+AD11+AG11+AJ11+AM11,"-")</f>
        <v>40194000</v>
      </c>
      <c r="V11" s="1343" t="n">
        <f aca="false">+IFERROR(X11/$R11,"-")</f>
        <v>0.3</v>
      </c>
      <c r="W11" s="1442" t="n">
        <v>45730</v>
      </c>
      <c r="X11" s="1341" t="n">
        <f aca="false">300000000*K10/1000*30%*1.1</f>
        <v>40194000</v>
      </c>
      <c r="Y11" s="1343"/>
      <c r="Z11" s="1345" t="n">
        <f aca="false">+IFERROR(AA11/$R11,"-")</f>
        <v>0</v>
      </c>
      <c r="AA11" s="1397"/>
      <c r="AB11" s="1346" t="n">
        <v>45777</v>
      </c>
      <c r="AC11" s="1345" t="n">
        <f aca="false">+IFERROR(AD11/$R11,"-")</f>
        <v>0</v>
      </c>
      <c r="AD11" s="1345"/>
      <c r="AE11" s="1346" t="n">
        <f aca="false">+EDATE(AB11,2)</f>
        <v>45838</v>
      </c>
      <c r="AF11" s="1345" t="n">
        <f aca="false">+IFERROR(AG11/$R11,"-")</f>
        <v>0</v>
      </c>
      <c r="AG11" s="1345"/>
      <c r="AH11" s="1346" t="n">
        <f aca="false">+EDATE(AB10,9)</f>
        <v>46142</v>
      </c>
      <c r="AI11" s="1345" t="str">
        <f aca="false">+IFERROR(AJ11/#REF!,"-")</f>
        <v>-</v>
      </c>
      <c r="AJ11" s="1345"/>
      <c r="AK11" s="1345"/>
      <c r="AL11" s="1345" t="str">
        <f aca="false">+IFERROR(AM11/#REF!,"-")</f>
        <v>-</v>
      </c>
      <c r="AM11" s="1345"/>
      <c r="AN11" s="1345"/>
      <c r="AO11" s="1347" t="n">
        <f aca="false">+R11</f>
        <v>133980000</v>
      </c>
      <c r="AP11" s="1347" t="n">
        <f aca="false">+AS11</f>
        <v>53592000</v>
      </c>
      <c r="AQ11" s="1456"/>
      <c r="AR11" s="1440"/>
      <c r="AS11" s="1349" t="n">
        <f aca="false">+$AO11*'ref.지급기준 (2)'!G65</f>
        <v>53592000</v>
      </c>
      <c r="AT11" s="1347" t="n">
        <f aca="false">+X11</f>
        <v>40194000</v>
      </c>
      <c r="AU11" s="1347" t="n">
        <f aca="false">+$AO11*'ref.지급기준 (2)'!I65</f>
        <v>26796000</v>
      </c>
      <c r="AV11" s="1347" t="n">
        <f aca="false">+AA11</f>
        <v>0</v>
      </c>
      <c r="AW11" s="1347" t="n">
        <f aca="false">+$AO11*'ref.지급기준 (2)'!K65</f>
        <v>40194000</v>
      </c>
      <c r="AX11" s="1347"/>
      <c r="AY11" s="1347" t="n">
        <f aca="false">+$AO11*'ref.지급기준 (2)'!M65</f>
        <v>13398000</v>
      </c>
      <c r="AZ11" s="1347"/>
      <c r="BA11" s="1347" t="n">
        <f aca="false">+$AO11*'ref.지급기준 (2)'!O65</f>
        <v>0</v>
      </c>
      <c r="BB11" s="1350"/>
      <c r="BC11" s="1441"/>
      <c r="BD11" s="1278"/>
      <c r="BE11" s="1332" t="b">
        <f aca="false">+(BA11+AY11+AW11+AU11+AS11)=R11</f>
        <v>1</v>
      </c>
      <c r="BF11" s="1278"/>
      <c r="BG11" s="1278"/>
      <c r="BH11" s="1278"/>
      <c r="BI11" s="1278"/>
      <c r="BJ11" s="1278"/>
      <c r="BK11" s="1278"/>
      <c r="BL11" s="1278"/>
      <c r="BM11" s="1278"/>
      <c r="BN11" s="1278"/>
      <c r="BO11" s="1333"/>
      <c r="BP11" s="1333"/>
    </row>
    <row r="12" customFormat="false" ht="16.5" hidden="false" customHeight="false" outlineLevel="0" collapsed="false">
      <c r="A12" s="1307"/>
      <c r="B12" s="1425"/>
      <c r="C12" s="1426"/>
      <c r="D12" s="1379"/>
      <c r="E12" s="1427"/>
      <c r="F12" s="1428"/>
      <c r="G12" s="1429"/>
      <c r="H12" s="1430"/>
      <c r="I12" s="1451"/>
      <c r="J12" s="1452"/>
      <c r="K12" s="1453"/>
      <c r="L12" s="1376"/>
      <c r="M12" s="1364"/>
      <c r="N12" s="1364"/>
      <c r="O12" s="1334" t="s">
        <v>404</v>
      </c>
      <c r="P12" s="1335" t="n">
        <v>0</v>
      </c>
      <c r="Q12" s="1335"/>
      <c r="R12" s="1384" t="n">
        <f aca="false">SUM(P12:Q12)</f>
        <v>0</v>
      </c>
      <c r="S12" s="1404" t="b">
        <f aca="false">+R12=AO12</f>
        <v>1</v>
      </c>
      <c r="T12" s="1337" t="str">
        <f aca="false">+IFERROR(U12/R12,"-")</f>
        <v>-</v>
      </c>
      <c r="U12" s="1338" t="n">
        <f aca="false">+IFERROR(X12+AA12+AD12+AG12+AJ12+AM12,"-")</f>
        <v>0</v>
      </c>
      <c r="V12" s="1345" t="str">
        <f aca="false">+IFERROR(X12/$R12,"-")</f>
        <v>-</v>
      </c>
      <c r="W12" s="1444"/>
      <c r="X12" s="1395"/>
      <c r="Y12" s="1345"/>
      <c r="Z12" s="1345" t="str">
        <f aca="false">+IFERROR(AA12/$R12,"-")</f>
        <v>-</v>
      </c>
      <c r="AA12" s="1345"/>
      <c r="AB12" s="1346"/>
      <c r="AC12" s="1345" t="str">
        <f aca="false">+IFERROR(AD12/$R12,"-")</f>
        <v>-</v>
      </c>
      <c r="AD12" s="1345"/>
      <c r="AE12" s="1346"/>
      <c r="AF12" s="1345" t="str">
        <f aca="false">+IFERROR(AG12/$R12,"-")</f>
        <v>-</v>
      </c>
      <c r="AG12" s="1345"/>
      <c r="AH12" s="1346"/>
      <c r="AI12" s="1345" t="str">
        <f aca="false">+IFERROR(AJ12/#REF!,"-")</f>
        <v>-</v>
      </c>
      <c r="AJ12" s="1345"/>
      <c r="AK12" s="1345"/>
      <c r="AL12" s="1345" t="str">
        <f aca="false">+IFERROR(AM12/#REF!,"-")</f>
        <v>-</v>
      </c>
      <c r="AM12" s="1345"/>
      <c r="AN12" s="1345"/>
      <c r="AO12" s="1347" t="n">
        <f aca="false">+R12</f>
        <v>0</v>
      </c>
      <c r="AP12" s="1347" t="n">
        <f aca="false">+AS12</f>
        <v>0</v>
      </c>
      <c r="AQ12" s="1456"/>
      <c r="AR12" s="1440"/>
      <c r="AS12" s="1349" t="n">
        <f aca="false">+$AO12*'ref.지급기준 (2)'!G66</f>
        <v>0</v>
      </c>
      <c r="AT12" s="1347" t="n">
        <f aca="false">+X12</f>
        <v>0</v>
      </c>
      <c r="AU12" s="1347" t="n">
        <f aca="false">+$AO12*'ref.지급기준 (2)'!I66</f>
        <v>0</v>
      </c>
      <c r="AV12" s="1347" t="n">
        <f aca="false">+AA12</f>
        <v>0</v>
      </c>
      <c r="AW12" s="1347" t="n">
        <f aca="false">+$AO12*'ref.지급기준 (2)'!K66</f>
        <v>0</v>
      </c>
      <c r="AX12" s="1347"/>
      <c r="AY12" s="1347" t="n">
        <f aca="false">+$AO12*'ref.지급기준 (2)'!M66</f>
        <v>0</v>
      </c>
      <c r="AZ12" s="1347"/>
      <c r="BA12" s="1347" t="n">
        <f aca="false">+$AO12*'ref.지급기준 (2)'!O66</f>
        <v>0</v>
      </c>
      <c r="BB12" s="1350"/>
      <c r="BC12" s="1441"/>
      <c r="BD12" s="1278"/>
      <c r="BE12" s="1332" t="b">
        <f aca="false">+(BA12+AY12+AW12+AU12+AS12)=R12</f>
        <v>1</v>
      </c>
      <c r="BF12" s="1278"/>
      <c r="BG12" s="1278"/>
      <c r="BH12" s="1278"/>
      <c r="BI12" s="1278"/>
      <c r="BJ12" s="1278"/>
      <c r="BK12" s="1278"/>
      <c r="BL12" s="1278"/>
      <c r="BM12" s="1278"/>
      <c r="BN12" s="1278"/>
      <c r="BO12" s="1333"/>
      <c r="BP12" s="1333"/>
    </row>
    <row r="13" customFormat="false" ht="16.5" hidden="false" customHeight="false" outlineLevel="0" collapsed="false">
      <c r="A13" s="1307"/>
      <c r="B13" s="1425"/>
      <c r="C13" s="1426"/>
      <c r="D13" s="1379"/>
      <c r="E13" s="1427"/>
      <c r="F13" s="1428"/>
      <c r="G13" s="1429"/>
      <c r="H13" s="1430"/>
      <c r="I13" s="1451"/>
      <c r="J13" s="1452"/>
      <c r="K13" s="1453"/>
      <c r="L13" s="1376"/>
      <c r="M13" s="1364"/>
      <c r="N13" s="1364"/>
      <c r="O13" s="1334" t="s">
        <v>507</v>
      </c>
      <c r="P13" s="1335" t="n">
        <f aca="false">+'DG-PV Organic'!AJ11</f>
        <v>20300000</v>
      </c>
      <c r="Q13" s="1335" t="n">
        <f aca="false">+P13*10%</f>
        <v>2030000</v>
      </c>
      <c r="R13" s="1384" t="n">
        <f aca="false">SUM(P13:Q13)</f>
        <v>22330000</v>
      </c>
      <c r="S13" s="1404" t="b">
        <f aca="false">+R13=AO13</f>
        <v>1</v>
      </c>
      <c r="T13" s="1337" t="n">
        <f aca="false">+IFERROR(U13/R13,"-")</f>
        <v>0.3</v>
      </c>
      <c r="U13" s="1338" t="n">
        <f aca="false">+IFERROR(X13+AA13+AD13+AG13+AJ13+AM13,"-")</f>
        <v>6699000</v>
      </c>
      <c r="V13" s="1343" t="n">
        <f aca="false">+IFERROR(X13/$R13,"-")</f>
        <v>0.3</v>
      </c>
      <c r="W13" s="1342" t="n">
        <f aca="false">W11</f>
        <v>45730</v>
      </c>
      <c r="X13" s="1341" t="n">
        <f aca="false">50000000*K10/1000*30%*1.1</f>
        <v>6699000</v>
      </c>
      <c r="Y13" s="1343"/>
      <c r="Z13" s="1345" t="n">
        <f aca="false">+IFERROR(AA13/$R13,"-")</f>
        <v>0</v>
      </c>
      <c r="AA13" s="1345"/>
      <c r="AB13" s="1346" t="n">
        <f aca="false">AB11</f>
        <v>45777</v>
      </c>
      <c r="AC13" s="1345" t="n">
        <f aca="false">+IFERROR(AD13/$R13,"-")</f>
        <v>0</v>
      </c>
      <c r="AD13" s="1345"/>
      <c r="AE13" s="1346" t="n">
        <f aca="false">AE11</f>
        <v>45838</v>
      </c>
      <c r="AF13" s="1345" t="n">
        <f aca="false">+IFERROR(AG13/$R13,"-")</f>
        <v>0</v>
      </c>
      <c r="AG13" s="1345"/>
      <c r="AH13" s="1346" t="n">
        <f aca="false">AH11</f>
        <v>46142</v>
      </c>
      <c r="AI13" s="1345" t="str">
        <f aca="false">+IFERROR(AJ13/#REF!,"-")</f>
        <v>-</v>
      </c>
      <c r="AJ13" s="1345"/>
      <c r="AK13" s="1345"/>
      <c r="AL13" s="1345" t="str">
        <f aca="false">+IFERROR(AM13/#REF!,"-")</f>
        <v>-</v>
      </c>
      <c r="AM13" s="1345"/>
      <c r="AN13" s="1345"/>
      <c r="AO13" s="1347" t="n">
        <f aca="false">+R13</f>
        <v>22330000</v>
      </c>
      <c r="AP13" s="1347" t="n">
        <f aca="false">+AS13</f>
        <v>8932000</v>
      </c>
      <c r="AQ13" s="1456"/>
      <c r="AR13" s="1440"/>
      <c r="AS13" s="1349" t="n">
        <f aca="false">+$AO13*'ref.지급기준 (2)'!G67</f>
        <v>8932000</v>
      </c>
      <c r="AT13" s="1347" t="n">
        <f aca="false">+X13</f>
        <v>6699000</v>
      </c>
      <c r="AU13" s="1347" t="n">
        <f aca="false">+$AO13*'ref.지급기준 (2)'!I67</f>
        <v>4466000</v>
      </c>
      <c r="AV13" s="1347" t="n">
        <f aca="false">+AA13</f>
        <v>0</v>
      </c>
      <c r="AW13" s="1347" t="n">
        <f aca="false">+$AO13*'ref.지급기준 (2)'!K67</f>
        <v>6699000</v>
      </c>
      <c r="AX13" s="1347"/>
      <c r="AY13" s="1347" t="n">
        <f aca="false">+$AO13*'ref.지급기준 (2)'!M67</f>
        <v>2233000</v>
      </c>
      <c r="AZ13" s="1347"/>
      <c r="BA13" s="1347" t="n">
        <f aca="false">+$AO13*'ref.지급기준 (2)'!O67</f>
        <v>0</v>
      </c>
      <c r="BB13" s="1350"/>
      <c r="BC13" s="1441"/>
      <c r="BD13" s="1278"/>
      <c r="BE13" s="1332" t="b">
        <f aca="false">+(BA13+AY13+AW13+AU13+AS13)=R13</f>
        <v>1</v>
      </c>
      <c r="BF13" s="1278"/>
      <c r="BG13" s="1278"/>
      <c r="BH13" s="1278"/>
      <c r="BI13" s="1278"/>
      <c r="BJ13" s="1278"/>
      <c r="BK13" s="1278"/>
      <c r="BL13" s="1278"/>
      <c r="BM13" s="1278"/>
      <c r="BN13" s="1278"/>
      <c r="BO13" s="1333"/>
      <c r="BP13" s="1333"/>
    </row>
    <row r="14" customFormat="false" ht="16.5" hidden="false" customHeight="false" outlineLevel="0" collapsed="false">
      <c r="A14" s="1307"/>
      <c r="B14" s="1425"/>
      <c r="C14" s="1426"/>
      <c r="D14" s="1379"/>
      <c r="E14" s="1427"/>
      <c r="F14" s="1428"/>
      <c r="G14" s="1429"/>
      <c r="H14" s="1430"/>
      <c r="I14" s="1451"/>
      <c r="J14" s="1452"/>
      <c r="K14" s="1453"/>
      <c r="L14" s="1376"/>
      <c r="M14" s="1364"/>
      <c r="N14" s="1364"/>
      <c r="O14" s="1351" t="s">
        <v>508</v>
      </c>
      <c r="P14" s="1352" t="n">
        <f aca="false">+'DG-PV Organic'!AI11</f>
        <v>71050000</v>
      </c>
      <c r="Q14" s="1352" t="n">
        <f aca="false">+P14*0.1</f>
        <v>7105000</v>
      </c>
      <c r="R14" s="1457" t="n">
        <f aca="false">SUM(P14:Q14)</f>
        <v>78155000</v>
      </c>
      <c r="S14" s="1458" t="b">
        <f aca="false">+R14=AO14</f>
        <v>1</v>
      </c>
      <c r="T14" s="1355"/>
      <c r="U14" s="668"/>
      <c r="V14" s="1355" t="n">
        <f aca="false">+IFERROR(X14/$R14,"-")</f>
        <v>0</v>
      </c>
      <c r="W14" s="1357"/>
      <c r="X14" s="1357"/>
      <c r="Y14" s="1357"/>
      <c r="Z14" s="1357" t="n">
        <f aca="false">+IFERROR(AA14/$R14,"-")</f>
        <v>0</v>
      </c>
      <c r="AA14" s="1357"/>
      <c r="AB14" s="1358"/>
      <c r="AC14" s="1357" t="n">
        <f aca="false">+IFERROR(AD14/$R14,"-")</f>
        <v>0</v>
      </c>
      <c r="AD14" s="1357"/>
      <c r="AE14" s="1358"/>
      <c r="AF14" s="1357" t="n">
        <f aca="false">+IFERROR(AG14/$R14,"-")</f>
        <v>0</v>
      </c>
      <c r="AG14" s="1357"/>
      <c r="AH14" s="1358"/>
      <c r="AI14" s="1357" t="str">
        <f aca="false">+IFERROR(AJ14/#REF!,"-")</f>
        <v>-</v>
      </c>
      <c r="AJ14" s="1357"/>
      <c r="AK14" s="1357"/>
      <c r="AL14" s="1357"/>
      <c r="AM14" s="1357"/>
      <c r="AN14" s="1357"/>
      <c r="AO14" s="1359" t="n">
        <f aca="false">+R14</f>
        <v>78155000</v>
      </c>
      <c r="AP14" s="1359" t="n">
        <f aca="false">+AS14+AU14</f>
        <v>0</v>
      </c>
      <c r="AQ14" s="1459"/>
      <c r="AR14" s="1440"/>
      <c r="AS14" s="1361" t="n">
        <f aca="false">+$AO14*'ref.지급기준 (2)'!G68</f>
        <v>0</v>
      </c>
      <c r="AT14" s="1359" t="n">
        <f aca="false">+X14</f>
        <v>0</v>
      </c>
      <c r="AU14" s="1359" t="n">
        <f aca="false">+$AO14*'ref.지급기준 (2)'!I68</f>
        <v>0</v>
      </c>
      <c r="AV14" s="1359" t="n">
        <f aca="false">+AA14</f>
        <v>0</v>
      </c>
      <c r="AW14" s="1359" t="n">
        <f aca="false">+$AO14*'ref.지급기준 (2)'!K68</f>
        <v>0</v>
      </c>
      <c r="AX14" s="1359"/>
      <c r="AY14" s="1359" t="n">
        <f aca="false">+$AO14*'ref.지급기준 (2)'!M68</f>
        <v>0</v>
      </c>
      <c r="AZ14" s="1359"/>
      <c r="BA14" s="1359" t="n">
        <f aca="false">+$AO14*'ref.지급기준 (2)'!O68</f>
        <v>0</v>
      </c>
      <c r="BB14" s="1362"/>
      <c r="BC14" s="1441"/>
      <c r="BD14" s="1278"/>
      <c r="BE14" s="1332" t="b">
        <f aca="false">+(BA14+AY14+AW14+AU14+AS14)=R14</f>
        <v>0</v>
      </c>
      <c r="BF14" s="1278"/>
      <c r="BG14" s="1278"/>
      <c r="BH14" s="1278"/>
      <c r="BI14" s="1278"/>
      <c r="BJ14" s="1278"/>
      <c r="BK14" s="1278"/>
      <c r="BL14" s="1278"/>
      <c r="BM14" s="1278"/>
      <c r="BN14" s="1278"/>
      <c r="BO14" s="1333"/>
      <c r="BP14" s="1333"/>
    </row>
    <row r="15" customFormat="false" ht="16.5" hidden="false" customHeight="true" outlineLevel="0" collapsed="false">
      <c r="A15" s="1307"/>
      <c r="B15" s="1425"/>
      <c r="C15" s="1426"/>
      <c r="D15" s="1379"/>
      <c r="E15" s="1427"/>
      <c r="F15" s="1428"/>
      <c r="G15" s="1429"/>
      <c r="H15" s="1430"/>
      <c r="I15" s="1451" t="s">
        <v>1477</v>
      </c>
      <c r="J15" s="1452" t="str">
        <f aca="false">+'ref.지급기준 (2)'!C109</f>
        <v>Doori Industry</v>
      </c>
      <c r="K15" s="1453" t="n">
        <f aca="false">+'DG-PV Organic'!O29</f>
        <v>210</v>
      </c>
      <c r="L15" s="1376" t="n">
        <f aca="false">+'DG-PV Organic'!H29</f>
        <v>0.0909</v>
      </c>
      <c r="M15" s="1364" t="n">
        <f aca="false">+'DG-PV Organic'!J29</f>
        <v>0.096</v>
      </c>
      <c r="N15" s="1364" t="s">
        <v>1454</v>
      </c>
      <c r="O15" s="1365" t="s">
        <v>112</v>
      </c>
      <c r="P15" s="1366" t="n">
        <f aca="false">+'DG-PV Organic'!AL29</f>
        <v>220500000</v>
      </c>
      <c r="Q15" s="1366" t="n">
        <f aca="false">+P15*10%</f>
        <v>22050000</v>
      </c>
      <c r="R15" s="1436" t="n">
        <f aca="false">SUM(P15:Q15)</f>
        <v>242550000</v>
      </c>
      <c r="S15" s="1454" t="b">
        <f aca="false">+R15=AO15</f>
        <v>1</v>
      </c>
      <c r="T15" s="1323" t="n">
        <f aca="false">+IFERROR(U15/R15,"-")</f>
        <v>0</v>
      </c>
      <c r="U15" s="1368" t="n">
        <f aca="false">+IFERROR(X15+AA15+AD15+AG15+AJ15+AM15,"-")</f>
        <v>0</v>
      </c>
      <c r="V15" s="1345" t="n">
        <f aca="false">+IFERROR(X15/$R15,"-")</f>
        <v>0</v>
      </c>
      <c r="W15" s="1346" t="n">
        <f aca="false">AE18</f>
        <v>45899</v>
      </c>
      <c r="X15" s="1395"/>
      <c r="Y15" s="1345"/>
      <c r="Z15" s="1345" t="n">
        <f aca="false">+IFERROR(AA15/$R15,"-")</f>
        <v>0</v>
      </c>
      <c r="AA15" s="1345"/>
      <c r="AB15" s="1346" t="n">
        <f aca="false">+EDATE(W15,1)</f>
        <v>45930</v>
      </c>
      <c r="AC15" s="1345" t="n">
        <f aca="false">+IFERROR(AD15/$R15,"-")</f>
        <v>0</v>
      </c>
      <c r="AD15" s="1345"/>
      <c r="AE15" s="1346" t="n">
        <f aca="false">+EDATE(AB15,3)</f>
        <v>46021</v>
      </c>
      <c r="AF15" s="1345" t="n">
        <f aca="false">+IFERROR(AG15/$R15,"-")</f>
        <v>0</v>
      </c>
      <c r="AG15" s="1345"/>
      <c r="AH15" s="1346" t="n">
        <f aca="false">+EDATE(AB15,4)</f>
        <v>46052</v>
      </c>
      <c r="AI15" s="1345" t="str">
        <f aca="false">+IFERROR(AJ15/#REF!,"-")</f>
        <v>-</v>
      </c>
      <c r="AJ15" s="1345"/>
      <c r="AK15" s="1346" t="n">
        <f aca="false">+EDATE(AB15,6)+1</f>
        <v>46112</v>
      </c>
      <c r="AL15" s="1324" t="str">
        <f aca="false">+IFERROR(AM15/#REF!,"-")</f>
        <v>-</v>
      </c>
      <c r="AM15" s="1324"/>
      <c r="AN15" s="1324"/>
      <c r="AO15" s="1326" t="n">
        <f aca="false">+R15</f>
        <v>242550000</v>
      </c>
      <c r="AP15" s="1326" t="n">
        <f aca="false">+AS15</f>
        <v>24255000</v>
      </c>
      <c r="AQ15" s="1455" t="s">
        <v>373</v>
      </c>
      <c r="AR15" s="1440"/>
      <c r="AS15" s="1349" t="n">
        <f aca="false">+$AO15*'ref.지급기준 (2)'!G99</f>
        <v>24255000</v>
      </c>
      <c r="AT15" s="1347" t="n">
        <f aca="false">+X15</f>
        <v>0</v>
      </c>
      <c r="AU15" s="1347" t="n">
        <f aca="false">+$AO15*'ref.지급기준 (2)'!I99</f>
        <v>48510000</v>
      </c>
      <c r="AV15" s="1347" t="n">
        <f aca="false">+AA15</f>
        <v>0</v>
      </c>
      <c r="AW15" s="1347" t="n">
        <f aca="false">+$AO15*'ref.지급기준 (2)'!K99</f>
        <v>97020000</v>
      </c>
      <c r="AX15" s="1347"/>
      <c r="AY15" s="1347" t="n">
        <f aca="false">+$AO15*'ref.지급기준 (2)'!M99</f>
        <v>60637500</v>
      </c>
      <c r="AZ15" s="1347"/>
      <c r="BA15" s="1347" t="n">
        <f aca="false">+$AO15*'ref.지급기준 (2)'!O99</f>
        <v>12127500</v>
      </c>
      <c r="BB15" s="1350"/>
      <c r="BC15" s="1441" t="s">
        <v>1475</v>
      </c>
      <c r="BD15" s="1278"/>
      <c r="BE15" s="1332" t="b">
        <f aca="false">+(BA15+AY15+AW15+AU15+AS15)=R15</f>
        <v>1</v>
      </c>
      <c r="BF15" s="1278"/>
      <c r="BG15" s="1278"/>
      <c r="BH15" s="1278"/>
      <c r="BI15" s="1278"/>
      <c r="BJ15" s="1278"/>
      <c r="BK15" s="1278"/>
      <c r="BL15" s="1278"/>
      <c r="BM15" s="1278"/>
      <c r="BN15" s="1278"/>
      <c r="BO15" s="1333"/>
      <c r="BP15" s="1333"/>
    </row>
    <row r="16" customFormat="false" ht="16.5" hidden="false" customHeight="false" outlineLevel="0" collapsed="false">
      <c r="A16" s="1307"/>
      <c r="B16" s="1425"/>
      <c r="C16" s="1426"/>
      <c r="D16" s="1379"/>
      <c r="E16" s="1427"/>
      <c r="F16" s="1428"/>
      <c r="G16" s="1429"/>
      <c r="H16" s="1430"/>
      <c r="I16" s="1451"/>
      <c r="J16" s="1452"/>
      <c r="K16" s="1453"/>
      <c r="L16" s="1376"/>
      <c r="M16" s="1364"/>
      <c r="N16" s="1364"/>
      <c r="O16" s="1334" t="s">
        <v>114</v>
      </c>
      <c r="P16" s="1335" t="n">
        <f aca="false">+'DG-PV Organic'!AK29</f>
        <v>63000000</v>
      </c>
      <c r="Q16" s="1335" t="n">
        <f aca="false">+P16*10%</f>
        <v>6300000</v>
      </c>
      <c r="R16" s="1384" t="n">
        <f aca="false">SUM(P16:Q16)</f>
        <v>69300000</v>
      </c>
      <c r="S16" s="1404" t="b">
        <f aca="false">+R16=AO16</f>
        <v>1</v>
      </c>
      <c r="T16" s="1337" t="n">
        <f aca="false">+IFERROR(U16/R16,"-")</f>
        <v>0.3</v>
      </c>
      <c r="U16" s="1338" t="n">
        <f aca="false">+IFERROR(X16+AA16+AD16+AG16+AJ16+AM16,"-")</f>
        <v>20790000</v>
      </c>
      <c r="V16" s="1343" t="n">
        <f aca="false">+IFERROR(X16/$R16,"-")</f>
        <v>0.3</v>
      </c>
      <c r="W16" s="1442" t="n">
        <v>45764</v>
      </c>
      <c r="X16" s="1341" t="n">
        <f aca="false">300000000*K15/1000*30%*1.1</f>
        <v>20790000</v>
      </c>
      <c r="Y16" s="1343"/>
      <c r="Z16" s="1345" t="n">
        <f aca="false">+IFERROR(AA16/$R16,"-")</f>
        <v>0</v>
      </c>
      <c r="AA16" s="1397"/>
      <c r="AB16" s="1346" t="n">
        <v>45838</v>
      </c>
      <c r="AC16" s="1345" t="n">
        <f aca="false">+IFERROR(AD16/$R16,"-")</f>
        <v>0</v>
      </c>
      <c r="AD16" s="1345"/>
      <c r="AE16" s="1346" t="n">
        <f aca="false">+EDATE(AB16,2)</f>
        <v>45899</v>
      </c>
      <c r="AF16" s="1345" t="n">
        <f aca="false">+IFERROR(AG16/$R16,"-")</f>
        <v>0</v>
      </c>
      <c r="AG16" s="1345"/>
      <c r="AH16" s="1346" t="n">
        <f aca="false">+EDATE(AB15,11)</f>
        <v>46264</v>
      </c>
      <c r="AI16" s="1345" t="str">
        <f aca="false">+IFERROR(AJ16/#REF!,"-")</f>
        <v>-</v>
      </c>
      <c r="AJ16" s="1345"/>
      <c r="AK16" s="1345"/>
      <c r="AL16" s="1345" t="str">
        <f aca="false">+IFERROR(AM16/#REF!,"-")</f>
        <v>-</v>
      </c>
      <c r="AM16" s="1345"/>
      <c r="AN16" s="1345"/>
      <c r="AO16" s="1347" t="n">
        <f aca="false">+R16</f>
        <v>69300000</v>
      </c>
      <c r="AP16" s="1347" t="n">
        <f aca="false">+AS16</f>
        <v>20790000</v>
      </c>
      <c r="AQ16" s="1456"/>
      <c r="AR16" s="1440"/>
      <c r="AS16" s="1349" t="n">
        <f aca="false">+$AO16*'ref.지급기준 (2)'!G100</f>
        <v>20790000</v>
      </c>
      <c r="AT16" s="1347" t="n">
        <f aca="false">+X16</f>
        <v>20790000</v>
      </c>
      <c r="AU16" s="1347" t="n">
        <f aca="false">+$AO16*'ref.지급기준 (2)'!I100</f>
        <v>6930000</v>
      </c>
      <c r="AV16" s="1347" t="n">
        <f aca="false">+AA16</f>
        <v>0</v>
      </c>
      <c r="AW16" s="1347" t="n">
        <f aca="false">+$AO16*'ref.지급기준 (2)'!K100</f>
        <v>34650000</v>
      </c>
      <c r="AX16" s="1347"/>
      <c r="AY16" s="1347" t="n">
        <f aca="false">+$AO16*'ref.지급기준 (2)'!M100</f>
        <v>6930000</v>
      </c>
      <c r="AZ16" s="1347"/>
      <c r="BA16" s="1347" t="n">
        <f aca="false">+$AO16*'ref.지급기준 (2)'!O100</f>
        <v>0</v>
      </c>
      <c r="BB16" s="1350"/>
      <c r="BC16" s="1441"/>
      <c r="BD16" s="1278"/>
      <c r="BE16" s="1332" t="b">
        <f aca="false">+(BA16+AY16+AW16+AU16+AS16)=R16</f>
        <v>1</v>
      </c>
      <c r="BF16" s="1278"/>
      <c r="BG16" s="1278"/>
      <c r="BH16" s="1278"/>
      <c r="BI16" s="1278"/>
      <c r="BJ16" s="1278"/>
      <c r="BK16" s="1278"/>
      <c r="BL16" s="1278"/>
      <c r="BM16" s="1278"/>
      <c r="BN16" s="1278"/>
      <c r="BO16" s="1333"/>
      <c r="BP16" s="1333"/>
    </row>
    <row r="17" customFormat="false" ht="16.5" hidden="false" customHeight="false" outlineLevel="0" collapsed="false">
      <c r="A17" s="1307"/>
      <c r="B17" s="1425"/>
      <c r="C17" s="1426"/>
      <c r="D17" s="1379"/>
      <c r="E17" s="1427"/>
      <c r="F17" s="1428"/>
      <c r="G17" s="1429"/>
      <c r="H17" s="1430"/>
      <c r="I17" s="1451"/>
      <c r="J17" s="1452"/>
      <c r="K17" s="1453"/>
      <c r="L17" s="1376"/>
      <c r="M17" s="1364"/>
      <c r="N17" s="1364"/>
      <c r="O17" s="1334" t="s">
        <v>404</v>
      </c>
      <c r="P17" s="1335"/>
      <c r="Q17" s="1335"/>
      <c r="R17" s="1384" t="n">
        <f aca="false">SUM(P17:Q17)</f>
        <v>0</v>
      </c>
      <c r="S17" s="1404" t="b">
        <f aca="false">+R17=AO17</f>
        <v>1</v>
      </c>
      <c r="T17" s="1337" t="str">
        <f aca="false">+IFERROR(U17/R17,"-")</f>
        <v>-</v>
      </c>
      <c r="U17" s="1338" t="n">
        <f aca="false">+IFERROR(X17+AA17+AD17+AG17+AJ17+AM17,"-")</f>
        <v>0</v>
      </c>
      <c r="V17" s="1345" t="str">
        <f aca="false">+IFERROR(X17/$R17,"-")</f>
        <v>-</v>
      </c>
      <c r="W17" s="1444"/>
      <c r="X17" s="1395"/>
      <c r="Y17" s="1345"/>
      <c r="Z17" s="1345" t="str">
        <f aca="false">+IFERROR(AA17/$R17,"-")</f>
        <v>-</v>
      </c>
      <c r="AA17" s="1345"/>
      <c r="AB17" s="1346"/>
      <c r="AC17" s="1345" t="str">
        <f aca="false">+IFERROR(AD17/$R17,"-")</f>
        <v>-</v>
      </c>
      <c r="AD17" s="1345"/>
      <c r="AE17" s="1346"/>
      <c r="AF17" s="1345" t="str">
        <f aca="false">+IFERROR(AG17/$R17,"-")</f>
        <v>-</v>
      </c>
      <c r="AG17" s="1345"/>
      <c r="AH17" s="1346"/>
      <c r="AI17" s="1345" t="str">
        <f aca="false">+IFERROR(AJ17/#REF!,"-")</f>
        <v>-</v>
      </c>
      <c r="AJ17" s="1345"/>
      <c r="AK17" s="1345"/>
      <c r="AL17" s="1345" t="str">
        <f aca="false">+IFERROR(AM17/#REF!,"-")</f>
        <v>-</v>
      </c>
      <c r="AM17" s="1345"/>
      <c r="AN17" s="1345"/>
      <c r="AO17" s="1347" t="n">
        <f aca="false">+R17</f>
        <v>0</v>
      </c>
      <c r="AP17" s="1347" t="n">
        <f aca="false">+AS17</f>
        <v>0</v>
      </c>
      <c r="AQ17" s="1456"/>
      <c r="AR17" s="1440"/>
      <c r="AS17" s="1349" t="n">
        <f aca="false">+$AO17*'ref.지급기준 (2)'!G101</f>
        <v>0</v>
      </c>
      <c r="AT17" s="1347" t="n">
        <f aca="false">+X17</f>
        <v>0</v>
      </c>
      <c r="AU17" s="1347" t="n">
        <f aca="false">+$AO17*'ref.지급기준 (2)'!I101</f>
        <v>0</v>
      </c>
      <c r="AV17" s="1347" t="n">
        <f aca="false">+AA17</f>
        <v>0</v>
      </c>
      <c r="AW17" s="1347" t="n">
        <f aca="false">+$AO17*'ref.지급기준 (2)'!K101</f>
        <v>0</v>
      </c>
      <c r="AX17" s="1347"/>
      <c r="AY17" s="1347" t="n">
        <f aca="false">+$AO17*'ref.지급기준 (2)'!M101</f>
        <v>0</v>
      </c>
      <c r="AZ17" s="1347"/>
      <c r="BA17" s="1347" t="n">
        <f aca="false">+$AO17*'ref.지급기준 (2)'!O101</f>
        <v>0</v>
      </c>
      <c r="BB17" s="1350"/>
      <c r="BC17" s="1441"/>
      <c r="BD17" s="1278"/>
      <c r="BE17" s="1332" t="b">
        <f aca="false">+(BA17+AY17+AW17+AU17+AS17)=R17</f>
        <v>1</v>
      </c>
      <c r="BF17" s="1278"/>
      <c r="BG17" s="1278"/>
      <c r="BH17" s="1278"/>
      <c r="BI17" s="1278"/>
      <c r="BJ17" s="1278"/>
      <c r="BK17" s="1278"/>
      <c r="BL17" s="1278"/>
      <c r="BM17" s="1278"/>
      <c r="BN17" s="1278"/>
      <c r="BO17" s="1333"/>
      <c r="BP17" s="1333"/>
    </row>
    <row r="18" customFormat="false" ht="16.5" hidden="false" customHeight="false" outlineLevel="0" collapsed="false">
      <c r="A18" s="1307"/>
      <c r="B18" s="1425"/>
      <c r="C18" s="1426"/>
      <c r="D18" s="1379"/>
      <c r="E18" s="1427"/>
      <c r="F18" s="1428"/>
      <c r="G18" s="1429"/>
      <c r="H18" s="1430"/>
      <c r="I18" s="1451"/>
      <c r="J18" s="1452"/>
      <c r="K18" s="1453"/>
      <c r="L18" s="1376"/>
      <c r="M18" s="1364"/>
      <c r="N18" s="1364"/>
      <c r="O18" s="1334" t="s">
        <v>507</v>
      </c>
      <c r="P18" s="1335" t="n">
        <f aca="false">+'DG-PV Organic'!AJ29</f>
        <v>31500000</v>
      </c>
      <c r="Q18" s="1335" t="n">
        <f aca="false">+P18*10%</f>
        <v>3150000</v>
      </c>
      <c r="R18" s="1384" t="n">
        <f aca="false">SUM(P18:Q18)</f>
        <v>34650000</v>
      </c>
      <c r="S18" s="1404" t="b">
        <f aca="false">+R18=AO18</f>
        <v>1</v>
      </c>
      <c r="T18" s="1337" t="n">
        <f aca="false">+IFERROR(U18/R18,"-")</f>
        <v>0.3</v>
      </c>
      <c r="U18" s="1338" t="n">
        <f aca="false">+IFERROR(X18+AA18+AD18+AG18+AJ18+AM18,"-")</f>
        <v>10395000</v>
      </c>
      <c r="V18" s="1343" t="n">
        <f aca="false">+IFERROR(X18/$R18,"-")</f>
        <v>0.3</v>
      </c>
      <c r="W18" s="1342" t="n">
        <v>45764</v>
      </c>
      <c r="X18" s="1341" t="n">
        <f aca="false">150000000*K15/1000*30%*1.1</f>
        <v>10395000</v>
      </c>
      <c r="Y18" s="1343"/>
      <c r="Z18" s="1345" t="n">
        <f aca="false">+IFERROR(AA18/$R18,"-")</f>
        <v>0</v>
      </c>
      <c r="AA18" s="1345"/>
      <c r="AB18" s="1346" t="n">
        <f aca="false">AB16</f>
        <v>45838</v>
      </c>
      <c r="AC18" s="1345" t="n">
        <f aca="false">+IFERROR(AD18/$R18,"-")</f>
        <v>0</v>
      </c>
      <c r="AD18" s="1345"/>
      <c r="AE18" s="1346" t="n">
        <f aca="false">AE16</f>
        <v>45899</v>
      </c>
      <c r="AF18" s="1345" t="n">
        <f aca="false">+IFERROR(AG18/$R18,"-")</f>
        <v>0</v>
      </c>
      <c r="AG18" s="1345"/>
      <c r="AH18" s="1346" t="n">
        <f aca="false">AH16</f>
        <v>46264</v>
      </c>
      <c r="AI18" s="1345" t="str">
        <f aca="false">+IFERROR(AJ18/#REF!,"-")</f>
        <v>-</v>
      </c>
      <c r="AJ18" s="1345"/>
      <c r="AK18" s="1345"/>
      <c r="AL18" s="1345" t="str">
        <f aca="false">+IFERROR(AM18/#REF!,"-")</f>
        <v>-</v>
      </c>
      <c r="AM18" s="1345"/>
      <c r="AN18" s="1345"/>
      <c r="AO18" s="1347" t="n">
        <f aca="false">+R18</f>
        <v>34650000</v>
      </c>
      <c r="AP18" s="1347" t="n">
        <f aca="false">+AS18</f>
        <v>10395000</v>
      </c>
      <c r="AQ18" s="1456"/>
      <c r="AR18" s="1440"/>
      <c r="AS18" s="1349" t="n">
        <f aca="false">+$AO18*'ref.지급기준 (2)'!G102</f>
        <v>10395000</v>
      </c>
      <c r="AT18" s="1347" t="n">
        <f aca="false">+X18</f>
        <v>10395000</v>
      </c>
      <c r="AU18" s="1347" t="n">
        <f aca="false">+$AO18*'ref.지급기준 (2)'!I102</f>
        <v>3465000</v>
      </c>
      <c r="AV18" s="1347" t="n">
        <f aca="false">+AA18</f>
        <v>0</v>
      </c>
      <c r="AW18" s="1347" t="n">
        <f aca="false">+$AO18*'ref.지급기준 (2)'!K102</f>
        <v>17325000</v>
      </c>
      <c r="AX18" s="1347"/>
      <c r="AY18" s="1347" t="n">
        <f aca="false">+$AO18*'ref.지급기준 (2)'!M102</f>
        <v>3465000</v>
      </c>
      <c r="AZ18" s="1347"/>
      <c r="BA18" s="1347" t="n">
        <f aca="false">+$AO18*'ref.지급기준 (2)'!O102</f>
        <v>0</v>
      </c>
      <c r="BB18" s="1350"/>
      <c r="BC18" s="1441"/>
      <c r="BD18" s="1278"/>
      <c r="BE18" s="1332" t="b">
        <f aca="false">+(BA18+AY18+AW18+AU18+AS18)=R18</f>
        <v>1</v>
      </c>
      <c r="BF18" s="1278"/>
      <c r="BG18" s="1278"/>
      <c r="BH18" s="1278"/>
      <c r="BI18" s="1278"/>
      <c r="BJ18" s="1278"/>
      <c r="BK18" s="1278"/>
      <c r="BL18" s="1278"/>
      <c r="BM18" s="1278"/>
      <c r="BN18" s="1278"/>
      <c r="BO18" s="1333"/>
      <c r="BP18" s="1333"/>
    </row>
    <row r="19" customFormat="false" ht="16.5" hidden="false" customHeight="false" outlineLevel="0" collapsed="false">
      <c r="A19" s="1307"/>
      <c r="B19" s="1425"/>
      <c r="C19" s="1426"/>
      <c r="D19" s="1379"/>
      <c r="E19" s="1427"/>
      <c r="F19" s="1428"/>
      <c r="G19" s="1429"/>
      <c r="H19" s="1430"/>
      <c r="I19" s="1451"/>
      <c r="J19" s="1452"/>
      <c r="K19" s="1453"/>
      <c r="L19" s="1376"/>
      <c r="M19" s="1364"/>
      <c r="N19" s="1364"/>
      <c r="O19" s="1351" t="s">
        <v>508</v>
      </c>
      <c r="P19" s="1352" t="n">
        <f aca="false">+'DG-PV Organic'!AI29</f>
        <v>42000000</v>
      </c>
      <c r="Q19" s="1352" t="n">
        <f aca="false">+P19*0.1</f>
        <v>4200000</v>
      </c>
      <c r="R19" s="1457" t="n">
        <f aca="false">SUM(P19:Q19)</f>
        <v>46200000</v>
      </c>
      <c r="S19" s="1458" t="b">
        <f aca="false">+R19=AO19</f>
        <v>1</v>
      </c>
      <c r="T19" s="1355"/>
      <c r="U19" s="668"/>
      <c r="V19" s="1355" t="n">
        <f aca="false">+IFERROR(X19/$R19,"-")</f>
        <v>0</v>
      </c>
      <c r="W19" s="1357"/>
      <c r="X19" s="1357"/>
      <c r="Y19" s="1357"/>
      <c r="Z19" s="1357" t="n">
        <f aca="false">+IFERROR(AA19/$R19,"-")</f>
        <v>0</v>
      </c>
      <c r="AA19" s="1357"/>
      <c r="AB19" s="1358"/>
      <c r="AC19" s="1357" t="n">
        <f aca="false">+IFERROR(AD19/$R19,"-")</f>
        <v>0</v>
      </c>
      <c r="AD19" s="1357"/>
      <c r="AE19" s="1358"/>
      <c r="AF19" s="1357" t="n">
        <f aca="false">+IFERROR(AG19/$R19,"-")</f>
        <v>0</v>
      </c>
      <c r="AG19" s="1357"/>
      <c r="AH19" s="1358"/>
      <c r="AI19" s="1357" t="str">
        <f aca="false">+IFERROR(AJ19/#REF!,"-")</f>
        <v>-</v>
      </c>
      <c r="AJ19" s="1357"/>
      <c r="AK19" s="1357"/>
      <c r="AL19" s="1357"/>
      <c r="AM19" s="1357"/>
      <c r="AN19" s="1357"/>
      <c r="AO19" s="1359" t="n">
        <f aca="false">+R19</f>
        <v>46200000</v>
      </c>
      <c r="AP19" s="1359" t="n">
        <f aca="false">+AS19+AU19</f>
        <v>46200000</v>
      </c>
      <c r="AQ19" s="1459"/>
      <c r="AR19" s="1440"/>
      <c r="AS19" s="1361" t="n">
        <f aca="false">+$AO19*'ref.지급기준 (2)'!G103</f>
        <v>46200000</v>
      </c>
      <c r="AT19" s="1359" t="n">
        <f aca="false">+X19</f>
        <v>0</v>
      </c>
      <c r="AU19" s="1359" t="n">
        <f aca="false">+$AO19*'ref.지급기준 (2)'!I103</f>
        <v>0</v>
      </c>
      <c r="AV19" s="1359" t="n">
        <f aca="false">+AA19</f>
        <v>0</v>
      </c>
      <c r="AW19" s="1359" t="n">
        <f aca="false">+$AO19*'ref.지급기준 (2)'!K103</f>
        <v>0</v>
      </c>
      <c r="AX19" s="1359"/>
      <c r="AY19" s="1359" t="n">
        <f aca="false">+$AO19*'ref.지급기준 (2)'!M103</f>
        <v>0</v>
      </c>
      <c r="AZ19" s="1359"/>
      <c r="BA19" s="1359" t="n">
        <f aca="false">+$AO19*'ref.지급기준 (2)'!O103</f>
        <v>0</v>
      </c>
      <c r="BB19" s="1362"/>
      <c r="BC19" s="1441"/>
      <c r="BD19" s="1278"/>
      <c r="BE19" s="1332" t="b">
        <f aca="false">+(BA19+AY19+AW19+AU19+AS19)=R19</f>
        <v>1</v>
      </c>
      <c r="BF19" s="1278"/>
      <c r="BG19" s="1278"/>
      <c r="BH19" s="1278"/>
      <c r="BI19" s="1278"/>
      <c r="BJ19" s="1278"/>
      <c r="BK19" s="1278"/>
      <c r="BL19" s="1278"/>
      <c r="BM19" s="1278"/>
      <c r="BN19" s="1278"/>
      <c r="BO19" s="1333"/>
      <c r="BP19" s="1333"/>
    </row>
    <row r="20" customFormat="false" ht="16.5" hidden="false" customHeight="true" outlineLevel="0" collapsed="false">
      <c r="A20" s="1307"/>
      <c r="B20" s="1425"/>
      <c r="C20" s="1426"/>
      <c r="D20" s="1379"/>
      <c r="E20" s="1427"/>
      <c r="F20" s="1428"/>
      <c r="G20" s="1429"/>
      <c r="H20" s="1430"/>
      <c r="I20" s="1451" t="s">
        <v>1478</v>
      </c>
      <c r="J20" s="1460" t="str">
        <f aca="false">+'ref.지급기준 (2)'!C114</f>
        <v>Gyeongju Hyosung Energy farm</v>
      </c>
      <c r="K20" s="1453" t="n">
        <f aca="false">+'DG-PV Organic'!O30</f>
        <v>249.6</v>
      </c>
      <c r="L20" s="1376" t="n">
        <f aca="false">+'DG-PV Organic'!H30</f>
        <v>0.0904</v>
      </c>
      <c r="M20" s="1364" t="n">
        <f aca="false">+'DG-PV Organic'!J30</f>
        <v>0.096</v>
      </c>
      <c r="N20" s="1364" t="s">
        <v>1479</v>
      </c>
      <c r="O20" s="1365" t="s">
        <v>112</v>
      </c>
      <c r="P20" s="1366" t="n">
        <f aca="false">+'DG-PV Organic'!AL30</f>
        <v>262080000</v>
      </c>
      <c r="Q20" s="1366" t="n">
        <f aca="false">+P20*10%</f>
        <v>26208000</v>
      </c>
      <c r="R20" s="1436" t="n">
        <f aca="false">SUM(P20:Q20)</f>
        <v>288288000</v>
      </c>
      <c r="S20" s="1454" t="b">
        <f aca="false">+R20=AO20</f>
        <v>1</v>
      </c>
      <c r="T20" s="1323" t="n">
        <f aca="false">+IFERROR(U20/R20,"-")</f>
        <v>0</v>
      </c>
      <c r="U20" s="1368" t="n">
        <f aca="false">+IFERROR(X20+AA20+AD20+AG20+AJ20+AM20,"-")</f>
        <v>0</v>
      </c>
      <c r="V20" s="1323" t="n">
        <f aca="false">+IFERROR(X20/$R20,"-")</f>
        <v>0</v>
      </c>
      <c r="W20" s="1346" t="n">
        <f aca="false">AE23</f>
        <v>45899</v>
      </c>
      <c r="X20" s="1392"/>
      <c r="Y20" s="1324"/>
      <c r="Z20" s="1345" t="n">
        <f aca="false">+IFERROR(AA20/$R20,"-")</f>
        <v>0</v>
      </c>
      <c r="AA20" s="1345"/>
      <c r="AB20" s="1346" t="n">
        <f aca="false">+EDATE(W20,1)</f>
        <v>45930</v>
      </c>
      <c r="AC20" s="1345" t="n">
        <f aca="false">+IFERROR(AD20/$R20,"-")</f>
        <v>0</v>
      </c>
      <c r="AD20" s="1345"/>
      <c r="AE20" s="1346" t="n">
        <f aca="false">+EDATE(AB20,3)</f>
        <v>46021</v>
      </c>
      <c r="AF20" s="1345" t="n">
        <f aca="false">+IFERROR(AG20/$R20,"-")</f>
        <v>0</v>
      </c>
      <c r="AG20" s="1345"/>
      <c r="AH20" s="1346" t="n">
        <f aca="false">+EDATE(AB20,4)</f>
        <v>46052</v>
      </c>
      <c r="AI20" s="1345" t="str">
        <f aca="false">+IFERROR(AJ20/#REF!,"-")</f>
        <v>-</v>
      </c>
      <c r="AJ20" s="1345"/>
      <c r="AK20" s="1346" t="n">
        <f aca="false">+EDATE(AB20,6)+1</f>
        <v>46112</v>
      </c>
      <c r="AL20" s="1324" t="str">
        <f aca="false">+IFERROR(AM20/#REF!,"-")</f>
        <v>-</v>
      </c>
      <c r="AM20" s="1324"/>
      <c r="AN20" s="1324"/>
      <c r="AO20" s="1326" t="n">
        <f aca="false">+R20</f>
        <v>288288000</v>
      </c>
      <c r="AP20" s="1326" t="n">
        <f aca="false">+AS20</f>
        <v>28828800</v>
      </c>
      <c r="AQ20" s="1455" t="s">
        <v>373</v>
      </c>
      <c r="AR20" s="1440"/>
      <c r="AS20" s="1349" t="n">
        <f aca="false">+$AO20*'ref.지급기준 (2)'!G104</f>
        <v>28828800</v>
      </c>
      <c r="AT20" s="1347" t="n">
        <f aca="false">+X20</f>
        <v>0</v>
      </c>
      <c r="AU20" s="1347" t="n">
        <f aca="false">+$AO20*'ref.지급기준 (2)'!I104</f>
        <v>57657600</v>
      </c>
      <c r="AV20" s="1347" t="n">
        <f aca="false">+AA20</f>
        <v>0</v>
      </c>
      <c r="AW20" s="1347" t="n">
        <f aca="false">+$AO20*'ref.지급기준 (2)'!K104</f>
        <v>115315200</v>
      </c>
      <c r="AX20" s="1347"/>
      <c r="AY20" s="1347" t="n">
        <f aca="false">+$AO20*'ref.지급기준 (2)'!M104</f>
        <v>72072000</v>
      </c>
      <c r="AZ20" s="1347"/>
      <c r="BA20" s="1347" t="n">
        <f aca="false">+$AO20*'ref.지급기준 (2)'!O104</f>
        <v>14414400</v>
      </c>
      <c r="BB20" s="1350"/>
      <c r="BC20" s="1441" t="s">
        <v>1475</v>
      </c>
      <c r="BD20" s="1278"/>
      <c r="BE20" s="1332" t="b">
        <f aca="false">+(BA20+AY20+AW20+AU20+AS20)=R20</f>
        <v>1</v>
      </c>
      <c r="BF20" s="1278"/>
      <c r="BG20" s="1278"/>
      <c r="BH20" s="1278"/>
      <c r="BI20" s="1278"/>
      <c r="BJ20" s="1278"/>
      <c r="BK20" s="1278"/>
      <c r="BL20" s="1278"/>
      <c r="BM20" s="1278"/>
      <c r="BN20" s="1278"/>
      <c r="BO20" s="1333"/>
      <c r="BP20" s="1333"/>
    </row>
    <row r="21" customFormat="false" ht="16.5" hidden="false" customHeight="false" outlineLevel="0" collapsed="false">
      <c r="A21" s="1307"/>
      <c r="B21" s="1425"/>
      <c r="C21" s="1426"/>
      <c r="D21" s="1379"/>
      <c r="E21" s="1427"/>
      <c r="F21" s="1428"/>
      <c r="G21" s="1429"/>
      <c r="H21" s="1430"/>
      <c r="I21" s="1451"/>
      <c r="J21" s="1460"/>
      <c r="K21" s="1453"/>
      <c r="L21" s="1376"/>
      <c r="M21" s="1364"/>
      <c r="N21" s="1364"/>
      <c r="O21" s="1334" t="s">
        <v>114</v>
      </c>
      <c r="P21" s="1335" t="n">
        <f aca="false">+'DG-PV Organic'!AK30</f>
        <v>74880000</v>
      </c>
      <c r="Q21" s="1335" t="n">
        <f aca="false">+P21*10%</f>
        <v>7488000</v>
      </c>
      <c r="R21" s="1384" t="n">
        <f aca="false">SUM(P21:Q21)</f>
        <v>82368000</v>
      </c>
      <c r="S21" s="1404" t="b">
        <f aca="false">+R21=AO21</f>
        <v>1</v>
      </c>
      <c r="T21" s="1337" t="n">
        <f aca="false">+IFERROR(U21/R21,"-")</f>
        <v>0</v>
      </c>
      <c r="U21" s="1338" t="n">
        <f aca="false">+IFERROR(X21+AA21+AD21+AG21+AJ21+AM21,"-")</f>
        <v>0</v>
      </c>
      <c r="V21" s="1337" t="n">
        <f aca="false">+IFERROR(X21/$R21,"-")</f>
        <v>0</v>
      </c>
      <c r="W21" s="1396" t="n">
        <v>45777</v>
      </c>
      <c r="X21" s="1395"/>
      <c r="Y21" s="1345"/>
      <c r="Z21" s="1345" t="n">
        <f aca="false">+IFERROR(AA21/$R21,"-")</f>
        <v>0</v>
      </c>
      <c r="AA21" s="1397"/>
      <c r="AB21" s="1346" t="n">
        <v>45838</v>
      </c>
      <c r="AC21" s="1345" t="n">
        <f aca="false">+IFERROR(AD21/$R21,"-")</f>
        <v>0</v>
      </c>
      <c r="AD21" s="1345"/>
      <c r="AE21" s="1346" t="n">
        <f aca="false">+EDATE(AB21,2)</f>
        <v>45899</v>
      </c>
      <c r="AF21" s="1345" t="n">
        <f aca="false">+IFERROR(AG21/$R21,"-")</f>
        <v>0</v>
      </c>
      <c r="AG21" s="1345"/>
      <c r="AH21" s="1346" t="n">
        <f aca="false">+EDATE(AB20,12)</f>
        <v>46295</v>
      </c>
      <c r="AI21" s="1345" t="str">
        <f aca="false">+IFERROR(AJ21/#REF!,"-")</f>
        <v>-</v>
      </c>
      <c r="AJ21" s="1345"/>
      <c r="AK21" s="1345"/>
      <c r="AL21" s="1345" t="str">
        <f aca="false">+IFERROR(AM21/#REF!,"-")</f>
        <v>-</v>
      </c>
      <c r="AM21" s="1345"/>
      <c r="AN21" s="1345"/>
      <c r="AO21" s="1347" t="n">
        <f aca="false">+R21</f>
        <v>82368000</v>
      </c>
      <c r="AP21" s="1347" t="n">
        <f aca="false">+AS21</f>
        <v>24710400</v>
      </c>
      <c r="AQ21" s="1456"/>
      <c r="AR21" s="1440"/>
      <c r="AS21" s="1349" t="n">
        <f aca="false">+$AO21*'ref.지급기준 (2)'!G105</f>
        <v>24710400</v>
      </c>
      <c r="AT21" s="1347" t="n">
        <f aca="false">+X21</f>
        <v>0</v>
      </c>
      <c r="AU21" s="1347" t="n">
        <f aca="false">+$AO21*'ref.지급기준 (2)'!I105</f>
        <v>8236800</v>
      </c>
      <c r="AV21" s="1347" t="n">
        <f aca="false">+AA21</f>
        <v>0</v>
      </c>
      <c r="AW21" s="1347" t="n">
        <f aca="false">+$AO21*'ref.지급기준 (2)'!K105</f>
        <v>41184000</v>
      </c>
      <c r="AX21" s="1347"/>
      <c r="AY21" s="1347" t="n">
        <f aca="false">+$AO21*'ref.지급기준 (2)'!M105</f>
        <v>8236800</v>
      </c>
      <c r="AZ21" s="1347"/>
      <c r="BA21" s="1347" t="n">
        <f aca="false">+$AO21*'ref.지급기준 (2)'!O105</f>
        <v>0</v>
      </c>
      <c r="BB21" s="1350"/>
      <c r="BC21" s="1441"/>
      <c r="BD21" s="1278"/>
      <c r="BE21" s="1332" t="b">
        <f aca="false">+(BA21+AY21+AW21+AU21+AS21)=R21</f>
        <v>1</v>
      </c>
      <c r="BF21" s="1278"/>
      <c r="BG21" s="1278"/>
      <c r="BH21" s="1278"/>
      <c r="BI21" s="1278"/>
      <c r="BJ21" s="1278"/>
      <c r="BK21" s="1278"/>
      <c r="BL21" s="1278"/>
      <c r="BM21" s="1278"/>
      <c r="BN21" s="1278"/>
      <c r="BO21" s="1333"/>
      <c r="BP21" s="1333"/>
    </row>
    <row r="22" customFormat="false" ht="16.5" hidden="false" customHeight="false" outlineLevel="0" collapsed="false">
      <c r="A22" s="1307"/>
      <c r="B22" s="1425"/>
      <c r="C22" s="1426"/>
      <c r="D22" s="1379"/>
      <c r="E22" s="1427"/>
      <c r="F22" s="1428"/>
      <c r="G22" s="1429"/>
      <c r="H22" s="1430"/>
      <c r="I22" s="1451"/>
      <c r="J22" s="1460"/>
      <c r="K22" s="1453"/>
      <c r="L22" s="1376"/>
      <c r="M22" s="1364"/>
      <c r="N22" s="1364"/>
      <c r="O22" s="1334" t="s">
        <v>404</v>
      </c>
      <c r="P22" s="1335" t="n">
        <f aca="false">+'ref.지급기준 (2)'!F106*'ref.지급기준 (2)'!D106/'ref.지급기준 (2)'!$Q$2</f>
        <v>0</v>
      </c>
      <c r="Q22" s="1335"/>
      <c r="R22" s="1384" t="n">
        <f aca="false">SUM(P22:Q22)</f>
        <v>0</v>
      </c>
      <c r="S22" s="1404" t="b">
        <f aca="false">+R22=AO22</f>
        <v>1</v>
      </c>
      <c r="T22" s="1337" t="str">
        <f aca="false">+IFERROR(U22/R22,"-")</f>
        <v>-</v>
      </c>
      <c r="U22" s="1338" t="n">
        <f aca="false">+IFERROR(X22+AA22+AD22+AG22+AJ22+AM22,"-")</f>
        <v>0</v>
      </c>
      <c r="V22" s="1337" t="str">
        <f aca="false">+IFERROR(X22/$R22,"-")</f>
        <v>-</v>
      </c>
      <c r="W22" s="1396"/>
      <c r="X22" s="1395"/>
      <c r="Y22" s="1345"/>
      <c r="Z22" s="1345" t="str">
        <f aca="false">+IFERROR(AA22/$R22,"-")</f>
        <v>-</v>
      </c>
      <c r="AA22" s="1345"/>
      <c r="AB22" s="1346"/>
      <c r="AC22" s="1345" t="str">
        <f aca="false">+IFERROR(AD22/$R22,"-")</f>
        <v>-</v>
      </c>
      <c r="AD22" s="1345"/>
      <c r="AE22" s="1346"/>
      <c r="AF22" s="1345" t="str">
        <f aca="false">+IFERROR(AG22/$R22,"-")</f>
        <v>-</v>
      </c>
      <c r="AG22" s="1345"/>
      <c r="AH22" s="1346"/>
      <c r="AI22" s="1345" t="str">
        <f aca="false">+IFERROR(AJ22/#REF!,"-")</f>
        <v>-</v>
      </c>
      <c r="AJ22" s="1345"/>
      <c r="AK22" s="1345"/>
      <c r="AL22" s="1345" t="str">
        <f aca="false">+IFERROR(AM22/#REF!,"-")</f>
        <v>-</v>
      </c>
      <c r="AM22" s="1345"/>
      <c r="AN22" s="1345"/>
      <c r="AO22" s="1347" t="n">
        <f aca="false">+R22</f>
        <v>0</v>
      </c>
      <c r="AP22" s="1347" t="n">
        <f aca="false">+AS22</f>
        <v>0</v>
      </c>
      <c r="AQ22" s="1456"/>
      <c r="AR22" s="1440"/>
      <c r="AS22" s="1349" t="n">
        <f aca="false">+$AO22*'ref.지급기준 (2)'!G106</f>
        <v>0</v>
      </c>
      <c r="AT22" s="1347" t="n">
        <f aca="false">+X22</f>
        <v>0</v>
      </c>
      <c r="AU22" s="1347" t="n">
        <f aca="false">+$AO22*'ref.지급기준 (2)'!I106</f>
        <v>0</v>
      </c>
      <c r="AV22" s="1347" t="n">
        <f aca="false">+AA22</f>
        <v>0</v>
      </c>
      <c r="AW22" s="1347" t="n">
        <f aca="false">+$AO22*'ref.지급기준 (2)'!K106</f>
        <v>0</v>
      </c>
      <c r="AX22" s="1347"/>
      <c r="AY22" s="1347" t="n">
        <f aca="false">+$AO22*'ref.지급기준 (2)'!M106</f>
        <v>0</v>
      </c>
      <c r="AZ22" s="1347"/>
      <c r="BA22" s="1347" t="n">
        <f aca="false">+$AO22*'ref.지급기준 (2)'!O106</f>
        <v>0</v>
      </c>
      <c r="BB22" s="1350"/>
      <c r="BC22" s="1441"/>
      <c r="BD22" s="1278"/>
      <c r="BE22" s="1332" t="b">
        <f aca="false">+(BA22+AY22+AW22+AU22+AS22)=R22</f>
        <v>1</v>
      </c>
      <c r="BF22" s="1278"/>
      <c r="BG22" s="1278"/>
      <c r="BH22" s="1278"/>
      <c r="BI22" s="1278"/>
      <c r="BJ22" s="1278"/>
      <c r="BK22" s="1278"/>
      <c r="BL22" s="1278"/>
      <c r="BM22" s="1278"/>
      <c r="BN22" s="1278"/>
      <c r="BO22" s="1333"/>
      <c r="BP22" s="1333"/>
    </row>
    <row r="23" customFormat="false" ht="16.5" hidden="false" customHeight="false" outlineLevel="0" collapsed="false">
      <c r="A23" s="1307"/>
      <c r="B23" s="1425"/>
      <c r="C23" s="1426"/>
      <c r="D23" s="1379"/>
      <c r="E23" s="1427"/>
      <c r="F23" s="1428"/>
      <c r="G23" s="1429"/>
      <c r="H23" s="1430"/>
      <c r="I23" s="1451"/>
      <c r="J23" s="1460"/>
      <c r="K23" s="1453"/>
      <c r="L23" s="1376"/>
      <c r="M23" s="1364"/>
      <c r="N23" s="1364"/>
      <c r="O23" s="1334" t="s">
        <v>507</v>
      </c>
      <c r="P23" s="1335" t="n">
        <f aca="false">+'DG-PV Organic'!AJ30</f>
        <v>37440000</v>
      </c>
      <c r="Q23" s="1335" t="n">
        <f aca="false">+P23*10%</f>
        <v>3744000</v>
      </c>
      <c r="R23" s="1384" t="n">
        <f aca="false">SUM(P23:Q23)</f>
        <v>41184000</v>
      </c>
      <c r="S23" s="1404" t="b">
        <f aca="false">+R23=AO23</f>
        <v>1</v>
      </c>
      <c r="T23" s="1337" t="n">
        <f aca="false">+IFERROR(U23/R23,"-")</f>
        <v>0</v>
      </c>
      <c r="U23" s="1338" t="n">
        <f aca="false">+IFERROR(X23+AA23+AD23+AG23+AJ23+AM23,"-")</f>
        <v>0</v>
      </c>
      <c r="V23" s="1337" t="n">
        <f aca="false">+IFERROR(X23/$R23,"-")</f>
        <v>0</v>
      </c>
      <c r="W23" s="1396" t="n">
        <f aca="false">W21</f>
        <v>45777</v>
      </c>
      <c r="X23" s="1395"/>
      <c r="Y23" s="1345"/>
      <c r="Z23" s="1345" t="n">
        <f aca="false">+IFERROR(AA23/$R23,"-")</f>
        <v>0</v>
      </c>
      <c r="AA23" s="1345"/>
      <c r="AB23" s="1346" t="n">
        <f aca="false">AB21</f>
        <v>45838</v>
      </c>
      <c r="AC23" s="1345" t="n">
        <f aca="false">+IFERROR(AD23/$R23,"-")</f>
        <v>0</v>
      </c>
      <c r="AD23" s="1345"/>
      <c r="AE23" s="1346" t="n">
        <f aca="false">AE21</f>
        <v>45899</v>
      </c>
      <c r="AF23" s="1345" t="n">
        <f aca="false">+IFERROR(AG23/$R23,"-")</f>
        <v>0</v>
      </c>
      <c r="AG23" s="1345"/>
      <c r="AH23" s="1346" t="n">
        <f aca="false">AH21</f>
        <v>46295</v>
      </c>
      <c r="AI23" s="1345" t="str">
        <f aca="false">+IFERROR(AJ23/#REF!,"-")</f>
        <v>-</v>
      </c>
      <c r="AJ23" s="1345"/>
      <c r="AK23" s="1345"/>
      <c r="AL23" s="1345" t="str">
        <f aca="false">+IFERROR(AM23/#REF!,"-")</f>
        <v>-</v>
      </c>
      <c r="AM23" s="1345"/>
      <c r="AN23" s="1345"/>
      <c r="AO23" s="1347" t="n">
        <f aca="false">+R23</f>
        <v>41184000</v>
      </c>
      <c r="AP23" s="1347" t="n">
        <f aca="false">+AS23</f>
        <v>12355200</v>
      </c>
      <c r="AQ23" s="1456"/>
      <c r="AR23" s="1440"/>
      <c r="AS23" s="1349" t="n">
        <f aca="false">+$AO23*'ref.지급기준 (2)'!G107</f>
        <v>12355200</v>
      </c>
      <c r="AT23" s="1347" t="n">
        <f aca="false">+X23</f>
        <v>0</v>
      </c>
      <c r="AU23" s="1347" t="n">
        <f aca="false">+$AO23*'ref.지급기준 (2)'!I107</f>
        <v>4118400</v>
      </c>
      <c r="AV23" s="1347" t="n">
        <f aca="false">+AA23</f>
        <v>0</v>
      </c>
      <c r="AW23" s="1347" t="n">
        <f aca="false">+$AO23*'ref.지급기준 (2)'!K107</f>
        <v>20592000</v>
      </c>
      <c r="AX23" s="1347"/>
      <c r="AY23" s="1347" t="n">
        <f aca="false">+$AO23*'ref.지급기준 (2)'!M107</f>
        <v>4118400</v>
      </c>
      <c r="AZ23" s="1347"/>
      <c r="BA23" s="1347" t="n">
        <f aca="false">+$AO23*'ref.지급기준 (2)'!O107</f>
        <v>0</v>
      </c>
      <c r="BB23" s="1350"/>
      <c r="BC23" s="1441"/>
      <c r="BD23" s="1278"/>
      <c r="BE23" s="1332" t="b">
        <f aca="false">+(BA23+AY23+AW23+AU23+AS23)=R23</f>
        <v>1</v>
      </c>
      <c r="BF23" s="1278"/>
      <c r="BG23" s="1278"/>
      <c r="BH23" s="1278"/>
      <c r="BI23" s="1278"/>
      <c r="BJ23" s="1278"/>
      <c r="BK23" s="1278"/>
      <c r="BL23" s="1278"/>
      <c r="BM23" s="1278"/>
      <c r="BN23" s="1278"/>
      <c r="BO23" s="1333"/>
      <c r="BP23" s="1333"/>
    </row>
    <row r="24" customFormat="false" ht="16.5" hidden="false" customHeight="false" outlineLevel="0" collapsed="false">
      <c r="A24" s="1307"/>
      <c r="B24" s="1425"/>
      <c r="C24" s="1426"/>
      <c r="D24" s="1379"/>
      <c r="E24" s="1427"/>
      <c r="F24" s="1428"/>
      <c r="G24" s="1429"/>
      <c r="H24" s="1430"/>
      <c r="I24" s="1451"/>
      <c r="J24" s="1460"/>
      <c r="K24" s="1453"/>
      <c r="L24" s="1376"/>
      <c r="M24" s="1364"/>
      <c r="N24" s="1364"/>
      <c r="O24" s="1351" t="s">
        <v>508</v>
      </c>
      <c r="P24" s="1352" t="n">
        <f aca="false">+'DG-PV Organic'!AI30</f>
        <v>43680000</v>
      </c>
      <c r="Q24" s="1352" t="n">
        <f aca="false">+P24*0.1</f>
        <v>4368000</v>
      </c>
      <c r="R24" s="1457" t="n">
        <f aca="false">SUM(P24:Q24)</f>
        <v>48048000</v>
      </c>
      <c r="S24" s="1458" t="b">
        <f aca="false">+R24=AO24</f>
        <v>1</v>
      </c>
      <c r="T24" s="1355"/>
      <c r="U24" s="668"/>
      <c r="V24" s="1355" t="n">
        <f aca="false">+IFERROR(X24/$R24,"-")</f>
        <v>0</v>
      </c>
      <c r="W24" s="1357"/>
      <c r="X24" s="1357"/>
      <c r="Y24" s="1357"/>
      <c r="Z24" s="1357" t="n">
        <f aca="false">+IFERROR(AA24/$R24,"-")</f>
        <v>0</v>
      </c>
      <c r="AA24" s="1357"/>
      <c r="AB24" s="1358"/>
      <c r="AC24" s="1357" t="n">
        <f aca="false">+IFERROR(AD24/$R24,"-")</f>
        <v>0</v>
      </c>
      <c r="AD24" s="1357"/>
      <c r="AE24" s="1358"/>
      <c r="AF24" s="1357" t="n">
        <f aca="false">+IFERROR(AG24/$R24,"-")</f>
        <v>0</v>
      </c>
      <c r="AG24" s="1357"/>
      <c r="AH24" s="1358"/>
      <c r="AI24" s="1357" t="str">
        <f aca="false">+IFERROR(AJ24/#REF!,"-")</f>
        <v>-</v>
      </c>
      <c r="AJ24" s="1357"/>
      <c r="AK24" s="1357"/>
      <c r="AL24" s="1357"/>
      <c r="AM24" s="1357"/>
      <c r="AN24" s="1357"/>
      <c r="AO24" s="1359" t="n">
        <f aca="false">+R24</f>
        <v>48048000</v>
      </c>
      <c r="AP24" s="1359" t="n">
        <f aca="false">+AS24+AU24</f>
        <v>48048000</v>
      </c>
      <c r="AQ24" s="1459"/>
      <c r="AR24" s="1440"/>
      <c r="AS24" s="1361" t="n">
        <f aca="false">+$AO24*'ref.지급기준 (2)'!G108</f>
        <v>48048000</v>
      </c>
      <c r="AT24" s="1359" t="n">
        <f aca="false">+X24</f>
        <v>0</v>
      </c>
      <c r="AU24" s="1359" t="n">
        <f aca="false">+$AO24*'ref.지급기준 (2)'!I108</f>
        <v>0</v>
      </c>
      <c r="AV24" s="1359" t="n">
        <f aca="false">+AA24</f>
        <v>0</v>
      </c>
      <c r="AW24" s="1359" t="n">
        <f aca="false">+$AO24*'ref.지급기준 (2)'!K108</f>
        <v>0</v>
      </c>
      <c r="AX24" s="1359"/>
      <c r="AY24" s="1359" t="n">
        <f aca="false">+$AO24*'ref.지급기준 (2)'!M108</f>
        <v>0</v>
      </c>
      <c r="AZ24" s="1359"/>
      <c r="BA24" s="1359" t="n">
        <f aca="false">+$AO24*'ref.지급기준 (2)'!O108</f>
        <v>0</v>
      </c>
      <c r="BB24" s="1362"/>
      <c r="BC24" s="1441"/>
      <c r="BD24" s="1278"/>
      <c r="BE24" s="1332" t="b">
        <f aca="false">+(BA24+AY24+AW24+AU24+AS24)=R24</f>
        <v>1</v>
      </c>
      <c r="BF24" s="1278"/>
      <c r="BG24" s="1278"/>
      <c r="BH24" s="1278"/>
      <c r="BI24" s="1278"/>
      <c r="BJ24" s="1278"/>
      <c r="BK24" s="1278"/>
      <c r="BL24" s="1278"/>
      <c r="BM24" s="1278"/>
      <c r="BN24" s="1278"/>
      <c r="BO24" s="1333"/>
      <c r="BP24" s="1333"/>
    </row>
    <row r="25" customFormat="false" ht="16.5" hidden="false" customHeight="true" outlineLevel="0" collapsed="false">
      <c r="A25" s="1307"/>
      <c r="B25" s="1425"/>
      <c r="C25" s="1426"/>
      <c r="D25" s="1379"/>
      <c r="E25" s="1427"/>
      <c r="F25" s="1428"/>
      <c r="G25" s="1429"/>
      <c r="H25" s="1430"/>
      <c r="I25" s="1451" t="s">
        <v>1480</v>
      </c>
      <c r="J25" s="1452" t="str">
        <f aca="false">+'ref.지급기준 (2)'!C119</f>
        <v>Kojimom Bio</v>
      </c>
      <c r="K25" s="1453" t="n">
        <f aca="false">+'DG-PV Organic'!O31</f>
        <v>264.32</v>
      </c>
      <c r="L25" s="1376" t="n">
        <f aca="false">+'DG-PV Organic'!H31</f>
        <v>0.0869</v>
      </c>
      <c r="M25" s="1364" t="n">
        <f aca="false">+'DG-PV Organic'!J31</f>
        <v>0.096</v>
      </c>
      <c r="N25" s="1364" t="s">
        <v>1479</v>
      </c>
      <c r="O25" s="1365" t="s">
        <v>112</v>
      </c>
      <c r="P25" s="1366" t="n">
        <f aca="false">+'DG-PV Organic'!AL31</f>
        <v>277536000</v>
      </c>
      <c r="Q25" s="1366" t="n">
        <f aca="false">+P25*10%</f>
        <v>27753600</v>
      </c>
      <c r="R25" s="1436" t="n">
        <f aca="false">SUM(P25:Q25)</f>
        <v>305289600</v>
      </c>
      <c r="S25" s="1454" t="b">
        <f aca="false">+R25=AO25</f>
        <v>1</v>
      </c>
      <c r="T25" s="1323" t="n">
        <f aca="false">+IFERROR(U25/R25,"-")</f>
        <v>0</v>
      </c>
      <c r="U25" s="1368" t="n">
        <f aca="false">+IFERROR(X25+AA25+AD25+AG25+AJ25+AM25,"-")</f>
        <v>0</v>
      </c>
      <c r="V25" s="1323" t="n">
        <f aca="false">+IFERROR(X25/$R25,"-")</f>
        <v>0</v>
      </c>
      <c r="W25" s="1346" t="n">
        <f aca="false">AE28</f>
        <v>45899</v>
      </c>
      <c r="X25" s="1392"/>
      <c r="Y25" s="1324"/>
      <c r="Z25" s="1345" t="n">
        <f aca="false">+IFERROR(AA25/$R25,"-")</f>
        <v>0</v>
      </c>
      <c r="AA25" s="1345"/>
      <c r="AB25" s="1346" t="n">
        <f aca="false">+EDATE(W25,1)</f>
        <v>45930</v>
      </c>
      <c r="AC25" s="1345" t="n">
        <f aca="false">+IFERROR(AD25/$R25,"-")</f>
        <v>0</v>
      </c>
      <c r="AD25" s="1345"/>
      <c r="AE25" s="1346" t="n">
        <f aca="false">+EDATE(AB25,3)</f>
        <v>46021</v>
      </c>
      <c r="AF25" s="1345" t="n">
        <f aca="false">+IFERROR(AG25/$R25,"-")</f>
        <v>0</v>
      </c>
      <c r="AG25" s="1345"/>
      <c r="AH25" s="1346" t="n">
        <f aca="false">+EDATE(AB25,4)</f>
        <v>46052</v>
      </c>
      <c r="AI25" s="1345" t="str">
        <f aca="false">+IFERROR(AJ25/#REF!,"-")</f>
        <v>-</v>
      </c>
      <c r="AJ25" s="1345"/>
      <c r="AK25" s="1346" t="n">
        <f aca="false">+EDATE(AB25,6)+1</f>
        <v>46112</v>
      </c>
      <c r="AL25" s="1324" t="str">
        <f aca="false">+IFERROR(AM25/#REF!,"-")</f>
        <v>-</v>
      </c>
      <c r="AM25" s="1324"/>
      <c r="AN25" s="1324"/>
      <c r="AO25" s="1326" t="n">
        <f aca="false">+R25</f>
        <v>305289600</v>
      </c>
      <c r="AP25" s="1326" t="e">
        <f aca="false">+AS25</f>
        <v>#VALUE!</v>
      </c>
      <c r="AQ25" s="1455" t="s">
        <v>373</v>
      </c>
      <c r="AR25" s="1440"/>
      <c r="AS25" s="1349" t="e">
        <f aca="false">+$AO25*'ref.지급기준 (2)'!#ref!</f>
        <v>#VALUE!</v>
      </c>
      <c r="AT25" s="1347" t="n">
        <f aca="false">+X25</f>
        <v>0</v>
      </c>
      <c r="AU25" s="1347" t="e">
        <f aca="false">+$AO25*'ref.지급기준 (2)'!#ref!</f>
        <v>#VALUE!</v>
      </c>
      <c r="AV25" s="1347" t="n">
        <f aca="false">+AA25</f>
        <v>0</v>
      </c>
      <c r="AW25" s="1347" t="e">
        <f aca="false">+$AO25*'ref.지급기준 (2)'!#ref!</f>
        <v>#VALUE!</v>
      </c>
      <c r="AX25" s="1347"/>
      <c r="AY25" s="1347" t="e">
        <f aca="false">+$AO25*'ref.지급기준 (2)'!#ref!</f>
        <v>#VALUE!</v>
      </c>
      <c r="AZ25" s="1347"/>
      <c r="BA25" s="1347" t="e">
        <f aca="false">+$AO25*'ref.지급기준 (2)'!#ref!</f>
        <v>#VALUE!</v>
      </c>
      <c r="BB25" s="1350"/>
      <c r="BC25" s="1441" t="s">
        <v>1475</v>
      </c>
      <c r="BD25" s="1278"/>
      <c r="BE25" s="1278" t="e">
        <f aca="false">+(BA25+AY25+AW25+AU25+AS25)=R25</f>
        <v>#VALUE!</v>
      </c>
      <c r="BF25" s="1278"/>
      <c r="BG25" s="1278"/>
      <c r="BH25" s="1278"/>
      <c r="BI25" s="1278"/>
      <c r="BJ25" s="1278"/>
      <c r="BK25" s="1278"/>
      <c r="BL25" s="1278"/>
      <c r="BM25" s="1278"/>
      <c r="BN25" s="1278"/>
      <c r="BO25" s="1333"/>
      <c r="BP25" s="1333"/>
    </row>
    <row r="26" customFormat="false" ht="16.5" hidden="false" customHeight="false" outlineLevel="0" collapsed="false">
      <c r="A26" s="1307"/>
      <c r="B26" s="1425"/>
      <c r="C26" s="1426"/>
      <c r="D26" s="1379"/>
      <c r="E26" s="1427"/>
      <c r="F26" s="1428"/>
      <c r="G26" s="1429"/>
      <c r="H26" s="1430"/>
      <c r="I26" s="1451"/>
      <c r="J26" s="1452"/>
      <c r="K26" s="1453"/>
      <c r="L26" s="1376"/>
      <c r="M26" s="1364"/>
      <c r="N26" s="1364"/>
      <c r="O26" s="1334" t="s">
        <v>114</v>
      </c>
      <c r="P26" s="1335" t="n">
        <f aca="false">+'DG-PV Organic'!AK31</f>
        <v>79296000</v>
      </c>
      <c r="Q26" s="1335" t="n">
        <f aca="false">+P26*10%</f>
        <v>7929600</v>
      </c>
      <c r="R26" s="1384" t="n">
        <f aca="false">SUM(P26:Q26)</f>
        <v>87225600</v>
      </c>
      <c r="S26" s="1404" t="b">
        <f aca="false">+R26=AO26</f>
        <v>1</v>
      </c>
      <c r="T26" s="1337" t="n">
        <f aca="false">+IFERROR(U26/R26,"-")</f>
        <v>0</v>
      </c>
      <c r="U26" s="1338" t="n">
        <f aca="false">+IFERROR(X26+AA26+AD26+AG26+AJ26+AM26,"-")</f>
        <v>0</v>
      </c>
      <c r="V26" s="1337" t="n">
        <f aca="false">+IFERROR(X26/$R26,"-")</f>
        <v>0</v>
      </c>
      <c r="W26" s="1396" t="n">
        <v>45777</v>
      </c>
      <c r="X26" s="1395"/>
      <c r="Y26" s="1345"/>
      <c r="Z26" s="1345" t="n">
        <f aca="false">+IFERROR(AA26/$R26,"-")</f>
        <v>0</v>
      </c>
      <c r="AA26" s="1397"/>
      <c r="AB26" s="1346" t="n">
        <v>45838</v>
      </c>
      <c r="AC26" s="1345" t="n">
        <f aca="false">+IFERROR(AD26/$R26,"-")</f>
        <v>0</v>
      </c>
      <c r="AD26" s="1345"/>
      <c r="AE26" s="1346" t="n">
        <f aca="false">+EDATE(AB26,2)</f>
        <v>45899</v>
      </c>
      <c r="AF26" s="1345" t="n">
        <f aca="false">+IFERROR(AG26/$R26,"-")</f>
        <v>0</v>
      </c>
      <c r="AG26" s="1345"/>
      <c r="AH26" s="1346" t="n">
        <f aca="false">+EDATE(AB25,12)</f>
        <v>46295</v>
      </c>
      <c r="AI26" s="1345" t="str">
        <f aca="false">+IFERROR(AJ26/#REF!,"-")</f>
        <v>-</v>
      </c>
      <c r="AJ26" s="1345"/>
      <c r="AK26" s="1345"/>
      <c r="AL26" s="1345" t="str">
        <f aca="false">+IFERROR(AM26/#REF!,"-")</f>
        <v>-</v>
      </c>
      <c r="AM26" s="1345"/>
      <c r="AN26" s="1345"/>
      <c r="AO26" s="1347" t="n">
        <f aca="false">+R26</f>
        <v>87225600</v>
      </c>
      <c r="AP26" s="1347" t="e">
        <f aca="false">+AS26</f>
        <v>#VALUE!</v>
      </c>
      <c r="AQ26" s="1456"/>
      <c r="AR26" s="1440"/>
      <c r="AS26" s="1349" t="e">
        <f aca="false">+$AO26*'ref.지급기준 (2)'!#ref!</f>
        <v>#VALUE!</v>
      </c>
      <c r="AT26" s="1347" t="n">
        <f aca="false">+X26</f>
        <v>0</v>
      </c>
      <c r="AU26" s="1347" t="e">
        <f aca="false">+$AO26*'ref.지급기준 (2)'!#ref!</f>
        <v>#VALUE!</v>
      </c>
      <c r="AV26" s="1347" t="n">
        <f aca="false">+AA26</f>
        <v>0</v>
      </c>
      <c r="AW26" s="1347" t="e">
        <f aca="false">+$AO26*'ref.지급기준 (2)'!#ref!</f>
        <v>#VALUE!</v>
      </c>
      <c r="AX26" s="1347"/>
      <c r="AY26" s="1347" t="e">
        <f aca="false">+$AO26*'ref.지급기준 (2)'!#ref!</f>
        <v>#VALUE!</v>
      </c>
      <c r="AZ26" s="1347"/>
      <c r="BA26" s="1347" t="e">
        <f aca="false">+$AO26*'ref.지급기준 (2)'!#ref!</f>
        <v>#VALUE!</v>
      </c>
      <c r="BB26" s="1350"/>
      <c r="BC26" s="1441"/>
      <c r="BD26" s="1278"/>
      <c r="BE26" s="1278" t="e">
        <f aca="false">+(BA26+AY26+AW26+AU26+AS26)=R26</f>
        <v>#VALUE!</v>
      </c>
      <c r="BF26" s="1278"/>
      <c r="BG26" s="1278"/>
      <c r="BH26" s="1278"/>
      <c r="BI26" s="1278"/>
      <c r="BJ26" s="1278"/>
      <c r="BK26" s="1278"/>
      <c r="BL26" s="1278"/>
      <c r="BM26" s="1278"/>
      <c r="BN26" s="1278"/>
      <c r="BO26" s="1333"/>
      <c r="BP26" s="1333"/>
    </row>
    <row r="27" customFormat="false" ht="16.5" hidden="false" customHeight="false" outlineLevel="0" collapsed="false">
      <c r="A27" s="1307"/>
      <c r="B27" s="1425"/>
      <c r="C27" s="1426"/>
      <c r="D27" s="1379"/>
      <c r="E27" s="1427"/>
      <c r="F27" s="1428"/>
      <c r="G27" s="1429"/>
      <c r="H27" s="1430"/>
      <c r="I27" s="1451"/>
      <c r="J27" s="1452"/>
      <c r="K27" s="1453"/>
      <c r="L27" s="1376"/>
      <c r="M27" s="1364"/>
      <c r="N27" s="1364"/>
      <c r="O27" s="1334" t="s">
        <v>404</v>
      </c>
      <c r="P27" s="1335" t="n">
        <v>0</v>
      </c>
      <c r="Q27" s="1335"/>
      <c r="R27" s="1384" t="n">
        <f aca="false">SUM(P27:Q27)</f>
        <v>0</v>
      </c>
      <c r="S27" s="1404" t="b">
        <f aca="false">+R27=AO27</f>
        <v>1</v>
      </c>
      <c r="T27" s="1337" t="str">
        <f aca="false">+IFERROR(U27/R27,"-")</f>
        <v>-</v>
      </c>
      <c r="U27" s="1338" t="n">
        <f aca="false">+IFERROR(X27+AA27+AD27+AG27+AJ27+AM27,"-")</f>
        <v>0</v>
      </c>
      <c r="V27" s="1337" t="str">
        <f aca="false">+IFERROR(X27/$R27,"-")</f>
        <v>-</v>
      </c>
      <c r="W27" s="1396"/>
      <c r="X27" s="1395"/>
      <c r="Y27" s="1345"/>
      <c r="Z27" s="1345" t="str">
        <f aca="false">+IFERROR(AA27/$R27,"-")</f>
        <v>-</v>
      </c>
      <c r="AA27" s="1345"/>
      <c r="AB27" s="1346"/>
      <c r="AC27" s="1345" t="str">
        <f aca="false">+IFERROR(AD27/$R27,"-")</f>
        <v>-</v>
      </c>
      <c r="AD27" s="1345"/>
      <c r="AE27" s="1346"/>
      <c r="AF27" s="1345" t="str">
        <f aca="false">+IFERROR(AG27/$R27,"-")</f>
        <v>-</v>
      </c>
      <c r="AG27" s="1345"/>
      <c r="AH27" s="1346"/>
      <c r="AI27" s="1345" t="str">
        <f aca="false">+IFERROR(AJ27/#REF!,"-")</f>
        <v>-</v>
      </c>
      <c r="AJ27" s="1345"/>
      <c r="AK27" s="1345"/>
      <c r="AL27" s="1345" t="str">
        <f aca="false">+IFERROR(AM27/#REF!,"-")</f>
        <v>-</v>
      </c>
      <c r="AM27" s="1345"/>
      <c r="AN27" s="1345"/>
      <c r="AO27" s="1347" t="n">
        <f aca="false">+R27</f>
        <v>0</v>
      </c>
      <c r="AP27" s="1347" t="e">
        <f aca="false">+AS27</f>
        <v>#VALUE!</v>
      </c>
      <c r="AQ27" s="1456"/>
      <c r="AR27" s="1440"/>
      <c r="AS27" s="1349" t="e">
        <f aca="false">+$AO27*'ref.지급기준 (2)'!#ref!</f>
        <v>#VALUE!</v>
      </c>
      <c r="AT27" s="1347" t="n">
        <f aca="false">+X27</f>
        <v>0</v>
      </c>
      <c r="AU27" s="1347" t="e">
        <f aca="false">+$AO27*'ref.지급기준 (2)'!#ref!</f>
        <v>#VALUE!</v>
      </c>
      <c r="AV27" s="1347" t="n">
        <f aca="false">+AA27</f>
        <v>0</v>
      </c>
      <c r="AW27" s="1347" t="e">
        <f aca="false">+$AO27*'ref.지급기준 (2)'!#ref!</f>
        <v>#VALUE!</v>
      </c>
      <c r="AX27" s="1347"/>
      <c r="AY27" s="1347" t="e">
        <f aca="false">+$AO27*'ref.지급기준 (2)'!#ref!</f>
        <v>#VALUE!</v>
      </c>
      <c r="AZ27" s="1347"/>
      <c r="BA27" s="1347" t="e">
        <f aca="false">+$AO27*'ref.지급기준 (2)'!#ref!</f>
        <v>#VALUE!</v>
      </c>
      <c r="BB27" s="1350"/>
      <c r="BC27" s="1441"/>
      <c r="BD27" s="1278"/>
      <c r="BE27" s="1278" t="e">
        <f aca="false">+(BA27+AY27+AW27+AU27+AS27)=R27</f>
        <v>#VALUE!</v>
      </c>
      <c r="BF27" s="1278"/>
      <c r="BG27" s="1278"/>
      <c r="BH27" s="1278"/>
      <c r="BI27" s="1278"/>
      <c r="BJ27" s="1278"/>
      <c r="BK27" s="1278"/>
      <c r="BL27" s="1278"/>
      <c r="BM27" s="1278"/>
      <c r="BN27" s="1278"/>
      <c r="BO27" s="1333"/>
      <c r="BP27" s="1333"/>
    </row>
    <row r="28" customFormat="false" ht="16.5" hidden="false" customHeight="false" outlineLevel="0" collapsed="false">
      <c r="A28" s="1307"/>
      <c r="B28" s="1425"/>
      <c r="C28" s="1426"/>
      <c r="D28" s="1379"/>
      <c r="E28" s="1427"/>
      <c r="F28" s="1428"/>
      <c r="G28" s="1429"/>
      <c r="H28" s="1430"/>
      <c r="I28" s="1451"/>
      <c r="J28" s="1452"/>
      <c r="K28" s="1453"/>
      <c r="L28" s="1376"/>
      <c r="M28" s="1364"/>
      <c r="N28" s="1364"/>
      <c r="O28" s="1334" t="s">
        <v>507</v>
      </c>
      <c r="P28" s="1335" t="n">
        <f aca="false">+'DG-PV Organic'!AJ31</f>
        <v>39648000</v>
      </c>
      <c r="Q28" s="1335" t="n">
        <f aca="false">+P28*10%</f>
        <v>3964800</v>
      </c>
      <c r="R28" s="1384" t="n">
        <f aca="false">SUM(P28:Q28)</f>
        <v>43612800</v>
      </c>
      <c r="S28" s="1404" t="b">
        <f aca="false">+R28=AO28</f>
        <v>1</v>
      </c>
      <c r="T28" s="1337" t="n">
        <f aca="false">+IFERROR(U28/R28,"-")</f>
        <v>0</v>
      </c>
      <c r="U28" s="1338" t="n">
        <f aca="false">+IFERROR(X28+AA28+AD28+AG28+AJ28+AM28,"-")</f>
        <v>0</v>
      </c>
      <c r="V28" s="1337" t="n">
        <f aca="false">+IFERROR(X28/$R28,"-")</f>
        <v>0</v>
      </c>
      <c r="W28" s="1396" t="n">
        <f aca="false">W26</f>
        <v>45777</v>
      </c>
      <c r="X28" s="1395"/>
      <c r="Y28" s="1345"/>
      <c r="Z28" s="1345" t="n">
        <f aca="false">+IFERROR(AA28/$R28,"-")</f>
        <v>0</v>
      </c>
      <c r="AA28" s="1345"/>
      <c r="AB28" s="1346" t="n">
        <f aca="false">AB26</f>
        <v>45838</v>
      </c>
      <c r="AC28" s="1345" t="n">
        <f aca="false">+IFERROR(AD28/$R28,"-")</f>
        <v>0</v>
      </c>
      <c r="AD28" s="1345"/>
      <c r="AE28" s="1346" t="n">
        <f aca="false">AE26</f>
        <v>45899</v>
      </c>
      <c r="AF28" s="1345" t="n">
        <f aca="false">+IFERROR(AG28/$R28,"-")</f>
        <v>0</v>
      </c>
      <c r="AG28" s="1345"/>
      <c r="AH28" s="1346" t="n">
        <f aca="false">AH26</f>
        <v>46295</v>
      </c>
      <c r="AI28" s="1345" t="str">
        <f aca="false">+IFERROR(AJ28/#REF!,"-")</f>
        <v>-</v>
      </c>
      <c r="AJ28" s="1345"/>
      <c r="AK28" s="1345"/>
      <c r="AL28" s="1345" t="str">
        <f aca="false">+IFERROR(AM28/#REF!,"-")</f>
        <v>-</v>
      </c>
      <c r="AM28" s="1345"/>
      <c r="AN28" s="1345"/>
      <c r="AO28" s="1347" t="n">
        <f aca="false">+R28</f>
        <v>43612800</v>
      </c>
      <c r="AP28" s="1347" t="e">
        <f aca="false">+AS28</f>
        <v>#VALUE!</v>
      </c>
      <c r="AQ28" s="1456"/>
      <c r="AR28" s="1440"/>
      <c r="AS28" s="1349" t="e">
        <f aca="false">+$AO28*'ref.지급기준 (2)'!#ref!</f>
        <v>#VALUE!</v>
      </c>
      <c r="AT28" s="1347" t="n">
        <f aca="false">+X28</f>
        <v>0</v>
      </c>
      <c r="AU28" s="1347" t="e">
        <f aca="false">+$AO28*'ref.지급기준 (2)'!#ref!</f>
        <v>#VALUE!</v>
      </c>
      <c r="AV28" s="1347" t="n">
        <f aca="false">+AA28</f>
        <v>0</v>
      </c>
      <c r="AW28" s="1347" t="e">
        <f aca="false">+$AO28*'ref.지급기준 (2)'!#ref!</f>
        <v>#VALUE!</v>
      </c>
      <c r="AX28" s="1347"/>
      <c r="AY28" s="1347" t="e">
        <f aca="false">+$AO28*'ref.지급기준 (2)'!#ref!</f>
        <v>#VALUE!</v>
      </c>
      <c r="AZ28" s="1347"/>
      <c r="BA28" s="1347" t="e">
        <f aca="false">+$AO28*'ref.지급기준 (2)'!#ref!</f>
        <v>#VALUE!</v>
      </c>
      <c r="BB28" s="1350"/>
      <c r="BC28" s="1441"/>
      <c r="BD28" s="1278"/>
      <c r="BE28" s="1278" t="e">
        <f aca="false">+(BA28+AY28+AW28+AU28+AS28)=R28</f>
        <v>#VALUE!</v>
      </c>
      <c r="BF28" s="1278"/>
      <c r="BG28" s="1278"/>
      <c r="BH28" s="1278"/>
      <c r="BI28" s="1278"/>
      <c r="BJ28" s="1278"/>
      <c r="BK28" s="1278"/>
      <c r="BL28" s="1278"/>
      <c r="BM28" s="1278"/>
      <c r="BN28" s="1278"/>
      <c r="BO28" s="1333"/>
      <c r="BP28" s="1333"/>
    </row>
    <row r="29" customFormat="false" ht="16.5" hidden="false" customHeight="false" outlineLevel="0" collapsed="false">
      <c r="A29" s="1307"/>
      <c r="B29" s="1425"/>
      <c r="C29" s="1426"/>
      <c r="D29" s="1379"/>
      <c r="E29" s="1427"/>
      <c r="F29" s="1428"/>
      <c r="G29" s="1429"/>
      <c r="H29" s="1430"/>
      <c r="I29" s="1451"/>
      <c r="J29" s="1452"/>
      <c r="K29" s="1453"/>
      <c r="L29" s="1376"/>
      <c r="M29" s="1364"/>
      <c r="N29" s="1364"/>
      <c r="O29" s="1351" t="s">
        <v>508</v>
      </c>
      <c r="P29" s="1352" t="n">
        <f aca="false">+'DG-PV Organic'!AI31</f>
        <v>46256000</v>
      </c>
      <c r="Q29" s="1352" t="n">
        <f aca="false">+P29*0.1</f>
        <v>4625600</v>
      </c>
      <c r="R29" s="1457" t="n">
        <f aca="false">SUM(P29:Q29)</f>
        <v>50881600</v>
      </c>
      <c r="S29" s="1458" t="b">
        <f aca="false">+R29=AO29</f>
        <v>1</v>
      </c>
      <c r="T29" s="1355"/>
      <c r="U29" s="668"/>
      <c r="V29" s="1355" t="n">
        <f aca="false">+IFERROR(X29/$R29,"-")</f>
        <v>0</v>
      </c>
      <c r="W29" s="1357"/>
      <c r="X29" s="1357"/>
      <c r="Y29" s="1357"/>
      <c r="Z29" s="1357" t="n">
        <f aca="false">+IFERROR(AA29/$R29,"-")</f>
        <v>0</v>
      </c>
      <c r="AA29" s="1357"/>
      <c r="AB29" s="1358"/>
      <c r="AC29" s="1357" t="n">
        <f aca="false">+IFERROR(AD29/$R29,"-")</f>
        <v>0</v>
      </c>
      <c r="AD29" s="1357"/>
      <c r="AE29" s="1358"/>
      <c r="AF29" s="1357" t="n">
        <f aca="false">+IFERROR(AG29/$R29,"-")</f>
        <v>0</v>
      </c>
      <c r="AG29" s="1357"/>
      <c r="AH29" s="1358"/>
      <c r="AI29" s="1357" t="str">
        <f aca="false">+IFERROR(AJ29/#REF!,"-")</f>
        <v>-</v>
      </c>
      <c r="AJ29" s="1357"/>
      <c r="AK29" s="1357"/>
      <c r="AL29" s="1357"/>
      <c r="AM29" s="1357"/>
      <c r="AN29" s="1357"/>
      <c r="AO29" s="1359" t="n">
        <f aca="false">+R29</f>
        <v>50881600</v>
      </c>
      <c r="AP29" s="1359" t="e">
        <f aca="false">+AS29+AU29</f>
        <v>#VALUE!</v>
      </c>
      <c r="AQ29" s="1459"/>
      <c r="AR29" s="1440"/>
      <c r="AS29" s="1361" t="e">
        <f aca="false">+$AO29*'ref.지급기준 (2)'!#ref!</f>
        <v>#VALUE!</v>
      </c>
      <c r="AT29" s="1359" t="n">
        <f aca="false">+X29</f>
        <v>0</v>
      </c>
      <c r="AU29" s="1359" t="e">
        <f aca="false">+$AO29*'ref.지급기준 (2)'!#ref!</f>
        <v>#VALUE!</v>
      </c>
      <c r="AV29" s="1359" t="n">
        <f aca="false">+AA29</f>
        <v>0</v>
      </c>
      <c r="AW29" s="1359" t="e">
        <f aca="false">+$AO29*'ref.지급기준 (2)'!#ref!</f>
        <v>#VALUE!</v>
      </c>
      <c r="AX29" s="1359"/>
      <c r="AY29" s="1359" t="e">
        <f aca="false">+$AO29*'ref.지급기준 (2)'!#ref!</f>
        <v>#VALUE!</v>
      </c>
      <c r="AZ29" s="1359"/>
      <c r="BA29" s="1359" t="e">
        <f aca="false">+$AO29*'ref.지급기준 (2)'!#ref!</f>
        <v>#VALUE!</v>
      </c>
      <c r="BB29" s="1362"/>
      <c r="BC29" s="1441"/>
      <c r="BD29" s="1278"/>
      <c r="BE29" s="1278" t="e">
        <f aca="false">+(BA29+AY29+AW29+AU29+AS29)=R29</f>
        <v>#VALUE!</v>
      </c>
      <c r="BF29" s="1278"/>
      <c r="BG29" s="1278"/>
      <c r="BH29" s="1278"/>
      <c r="BI29" s="1278"/>
      <c r="BJ29" s="1278"/>
      <c r="BK29" s="1278"/>
      <c r="BL29" s="1278"/>
      <c r="BM29" s="1278"/>
      <c r="BN29" s="1278"/>
      <c r="BO29" s="1333"/>
      <c r="BP29" s="1333"/>
    </row>
    <row r="30" customFormat="false" ht="16.5" hidden="false" customHeight="true" outlineLevel="0" collapsed="false">
      <c r="A30" s="1307"/>
      <c r="B30" s="1425"/>
      <c r="C30" s="1426"/>
      <c r="D30" s="1379"/>
      <c r="E30" s="1427"/>
      <c r="F30" s="1428"/>
      <c r="G30" s="1429"/>
      <c r="H30" s="1430"/>
      <c r="I30" s="1451" t="s">
        <v>1481</v>
      </c>
      <c r="J30" s="1452" t="str">
        <f aca="false">+'ref.지급기준 (2)'!C124</f>
        <v>Dongshin Motek</v>
      </c>
      <c r="K30" s="1453" t="n">
        <f aca="false">+'DG-PV Organic'!O32</f>
        <v>380.8</v>
      </c>
      <c r="L30" s="1376" t="n">
        <f aca="false">+'DG-PV Organic'!H32</f>
        <v>0.0953</v>
      </c>
      <c r="M30" s="1364" t="n">
        <f aca="false">+'DG-PV Organic'!J32</f>
        <v>0.096</v>
      </c>
      <c r="N30" s="1364" t="s">
        <v>1479</v>
      </c>
      <c r="O30" s="1365" t="s">
        <v>112</v>
      </c>
      <c r="P30" s="1366" t="n">
        <f aca="false">+'DG-PV Organic'!AL32</f>
        <v>399840000</v>
      </c>
      <c r="Q30" s="1366" t="n">
        <f aca="false">+P30*10%</f>
        <v>39984000</v>
      </c>
      <c r="R30" s="1436" t="n">
        <f aca="false">SUM(P30:Q30)</f>
        <v>439824000</v>
      </c>
      <c r="S30" s="1454" t="b">
        <f aca="false">+R30=AO30</f>
        <v>1</v>
      </c>
      <c r="T30" s="1323" t="n">
        <f aca="false">+IFERROR(U30/R30,"-")</f>
        <v>0</v>
      </c>
      <c r="U30" s="1368" t="n">
        <f aca="false">+IFERROR(X30+AA30+AD30+AG30+AJ30+AM30,"-")</f>
        <v>0</v>
      </c>
      <c r="V30" s="1323" t="n">
        <f aca="false">+IFERROR(X30/$R30,"-")</f>
        <v>0</v>
      </c>
      <c r="W30" s="1346" t="n">
        <f aca="false">AE33</f>
        <v>45899</v>
      </c>
      <c r="X30" s="1392"/>
      <c r="Y30" s="1324"/>
      <c r="Z30" s="1345" t="n">
        <f aca="false">+IFERROR(AA30/$R30,"-")</f>
        <v>0</v>
      </c>
      <c r="AA30" s="1345"/>
      <c r="AB30" s="1346" t="n">
        <f aca="false">+EDATE(W30,1)</f>
        <v>45930</v>
      </c>
      <c r="AC30" s="1345" t="n">
        <f aca="false">+IFERROR(AD30/$R30,"-")</f>
        <v>0</v>
      </c>
      <c r="AD30" s="1345"/>
      <c r="AE30" s="1346" t="n">
        <f aca="false">+EDATE(AB30,3)</f>
        <v>46021</v>
      </c>
      <c r="AF30" s="1345" t="n">
        <f aca="false">+IFERROR(AG30/$R30,"-")</f>
        <v>0</v>
      </c>
      <c r="AG30" s="1345"/>
      <c r="AH30" s="1346" t="n">
        <f aca="false">+EDATE(AB30,4)</f>
        <v>46052</v>
      </c>
      <c r="AI30" s="1345" t="str">
        <f aca="false">+IFERROR(AJ30/#REF!,"-")</f>
        <v>-</v>
      </c>
      <c r="AJ30" s="1345"/>
      <c r="AK30" s="1346" t="n">
        <f aca="false">+EDATE(AB30,6)+1</f>
        <v>46112</v>
      </c>
      <c r="AL30" s="1324" t="str">
        <f aca="false">+IFERROR(AM30/#REF!,"-")</f>
        <v>-</v>
      </c>
      <c r="AM30" s="1324"/>
      <c r="AN30" s="1324"/>
      <c r="AO30" s="1326" t="n">
        <f aca="false">+R30</f>
        <v>439824000</v>
      </c>
      <c r="AP30" s="1326" t="e">
        <f aca="false">+AS30</f>
        <v>#VALUE!</v>
      </c>
      <c r="AQ30" s="1455" t="s">
        <v>373</v>
      </c>
      <c r="AR30" s="1440"/>
      <c r="AS30" s="1349" t="e">
        <f aca="false">+$AO30*'ref.지급기준 (2)'!#ref!</f>
        <v>#VALUE!</v>
      </c>
      <c r="AT30" s="1347" t="n">
        <f aca="false">+X30</f>
        <v>0</v>
      </c>
      <c r="AU30" s="1347" t="e">
        <f aca="false">+$AO30*'ref.지급기준 (2)'!#ref!</f>
        <v>#VALUE!</v>
      </c>
      <c r="AV30" s="1347" t="n">
        <f aca="false">+AA30</f>
        <v>0</v>
      </c>
      <c r="AW30" s="1347" t="e">
        <f aca="false">+$AO30*'ref.지급기준 (2)'!#ref!</f>
        <v>#VALUE!</v>
      </c>
      <c r="AX30" s="1347"/>
      <c r="AY30" s="1347" t="e">
        <f aca="false">+$AO30*'ref.지급기준 (2)'!#ref!</f>
        <v>#VALUE!</v>
      </c>
      <c r="AZ30" s="1347"/>
      <c r="BA30" s="1347" t="e">
        <f aca="false">+$AO30*'ref.지급기준 (2)'!#ref!</f>
        <v>#VALUE!</v>
      </c>
      <c r="BB30" s="1350"/>
      <c r="BC30" s="1441" t="s">
        <v>1475</v>
      </c>
      <c r="BD30" s="1278"/>
      <c r="BE30" s="1278" t="e">
        <f aca="false">+(BA30+AY30+AW30+AU30+AS30)=R30</f>
        <v>#VALUE!</v>
      </c>
      <c r="BF30" s="1278"/>
      <c r="BG30" s="1278"/>
      <c r="BH30" s="1278"/>
      <c r="BI30" s="1278"/>
      <c r="BJ30" s="1278"/>
      <c r="BK30" s="1278"/>
      <c r="BL30" s="1278"/>
      <c r="BM30" s="1278"/>
      <c r="BN30" s="1278"/>
      <c r="BO30" s="1333"/>
      <c r="BP30" s="1333"/>
    </row>
    <row r="31" customFormat="false" ht="16.5" hidden="false" customHeight="false" outlineLevel="0" collapsed="false">
      <c r="A31" s="1307"/>
      <c r="B31" s="1425"/>
      <c r="C31" s="1426"/>
      <c r="D31" s="1379"/>
      <c r="E31" s="1427"/>
      <c r="F31" s="1428"/>
      <c r="G31" s="1429"/>
      <c r="H31" s="1430"/>
      <c r="I31" s="1451"/>
      <c r="J31" s="1452"/>
      <c r="K31" s="1453"/>
      <c r="L31" s="1376"/>
      <c r="M31" s="1364"/>
      <c r="N31" s="1364"/>
      <c r="O31" s="1334" t="s">
        <v>114</v>
      </c>
      <c r="P31" s="1335" t="n">
        <f aca="false">+'DG-PV Organic'!AK32</f>
        <v>114240000</v>
      </c>
      <c r="Q31" s="1335" t="n">
        <f aca="false">+P31*10%</f>
        <v>11424000</v>
      </c>
      <c r="R31" s="1384" t="n">
        <f aca="false">SUM(P31:Q31)</f>
        <v>125664000</v>
      </c>
      <c r="S31" s="1404" t="b">
        <f aca="false">+R31=AO31</f>
        <v>1</v>
      </c>
      <c r="T31" s="1337" t="n">
        <f aca="false">+IFERROR(U31/R31,"-")</f>
        <v>0</v>
      </c>
      <c r="U31" s="1338" t="n">
        <f aca="false">+IFERROR(X31+AA31+AD31+AG31+AJ31+AM31,"-")</f>
        <v>0</v>
      </c>
      <c r="V31" s="1337" t="n">
        <f aca="false">+IFERROR(X31/$R31,"-")</f>
        <v>0</v>
      </c>
      <c r="W31" s="1396" t="n">
        <v>45777</v>
      </c>
      <c r="X31" s="1395"/>
      <c r="Y31" s="1345"/>
      <c r="Z31" s="1345" t="n">
        <f aca="false">+IFERROR(AA31/$R31,"-")</f>
        <v>0</v>
      </c>
      <c r="AA31" s="1397"/>
      <c r="AB31" s="1346" t="n">
        <v>45838</v>
      </c>
      <c r="AC31" s="1345" t="n">
        <f aca="false">+IFERROR(AD31/$R31,"-")</f>
        <v>0</v>
      </c>
      <c r="AD31" s="1345"/>
      <c r="AE31" s="1346" t="n">
        <f aca="false">+EDATE(AB31,2)</f>
        <v>45899</v>
      </c>
      <c r="AF31" s="1345" t="n">
        <f aca="false">+IFERROR(AG31/$R31,"-")</f>
        <v>0</v>
      </c>
      <c r="AG31" s="1345"/>
      <c r="AH31" s="1346" t="n">
        <f aca="false">+EDATE(AB30,12)</f>
        <v>46295</v>
      </c>
      <c r="AI31" s="1345" t="str">
        <f aca="false">+IFERROR(AJ31/#REF!,"-")</f>
        <v>-</v>
      </c>
      <c r="AJ31" s="1345"/>
      <c r="AK31" s="1345"/>
      <c r="AL31" s="1345" t="str">
        <f aca="false">+IFERROR(AM31/#REF!,"-")</f>
        <v>-</v>
      </c>
      <c r="AM31" s="1345"/>
      <c r="AN31" s="1345"/>
      <c r="AO31" s="1347" t="n">
        <f aca="false">+R31</f>
        <v>125664000</v>
      </c>
      <c r="AP31" s="1347" t="e">
        <f aca="false">+AS31</f>
        <v>#VALUE!</v>
      </c>
      <c r="AQ31" s="1456"/>
      <c r="AR31" s="1440"/>
      <c r="AS31" s="1349" t="e">
        <f aca="false">+$AO31*'ref.지급기준 (2)'!#ref!</f>
        <v>#VALUE!</v>
      </c>
      <c r="AT31" s="1347" t="n">
        <f aca="false">+X31</f>
        <v>0</v>
      </c>
      <c r="AU31" s="1347" t="e">
        <f aca="false">+$AO31*'ref.지급기준 (2)'!#ref!</f>
        <v>#VALUE!</v>
      </c>
      <c r="AV31" s="1347" t="n">
        <f aca="false">+AA31</f>
        <v>0</v>
      </c>
      <c r="AW31" s="1347" t="e">
        <f aca="false">+$AO31*'ref.지급기준 (2)'!#ref!</f>
        <v>#VALUE!</v>
      </c>
      <c r="AX31" s="1347"/>
      <c r="AY31" s="1347" t="e">
        <f aca="false">+$AO31*'ref.지급기준 (2)'!#ref!</f>
        <v>#VALUE!</v>
      </c>
      <c r="AZ31" s="1347"/>
      <c r="BA31" s="1347" t="e">
        <f aca="false">+$AO31*'ref.지급기준 (2)'!#ref!</f>
        <v>#VALUE!</v>
      </c>
      <c r="BB31" s="1350"/>
      <c r="BC31" s="1441"/>
      <c r="BD31" s="1278"/>
      <c r="BE31" s="1278" t="e">
        <f aca="false">+(BA31+AY31+AW31+AU31+AS31)=R31</f>
        <v>#VALUE!</v>
      </c>
      <c r="BF31" s="1278"/>
      <c r="BG31" s="1278"/>
      <c r="BH31" s="1278"/>
      <c r="BI31" s="1278"/>
      <c r="BJ31" s="1278"/>
      <c r="BK31" s="1278"/>
      <c r="BL31" s="1278"/>
      <c r="BM31" s="1278"/>
      <c r="BN31" s="1278"/>
      <c r="BO31" s="1333"/>
      <c r="BP31" s="1333"/>
    </row>
    <row r="32" customFormat="false" ht="16.5" hidden="false" customHeight="false" outlineLevel="0" collapsed="false">
      <c r="A32" s="1307"/>
      <c r="B32" s="1425"/>
      <c r="C32" s="1426"/>
      <c r="D32" s="1379"/>
      <c r="E32" s="1427"/>
      <c r="F32" s="1428"/>
      <c r="G32" s="1429"/>
      <c r="H32" s="1430"/>
      <c r="I32" s="1451"/>
      <c r="J32" s="1452"/>
      <c r="K32" s="1453"/>
      <c r="L32" s="1376"/>
      <c r="M32" s="1364"/>
      <c r="N32" s="1364"/>
      <c r="O32" s="1334" t="s">
        <v>404</v>
      </c>
      <c r="P32" s="1335" t="n">
        <v>0</v>
      </c>
      <c r="Q32" s="1335"/>
      <c r="R32" s="1384" t="n">
        <f aca="false">SUM(P32:Q32)</f>
        <v>0</v>
      </c>
      <c r="S32" s="1404" t="b">
        <f aca="false">+R32=AO32</f>
        <v>1</v>
      </c>
      <c r="T32" s="1337" t="str">
        <f aca="false">+IFERROR(U32/R32,"-")</f>
        <v>-</v>
      </c>
      <c r="U32" s="1338" t="n">
        <f aca="false">+IFERROR(X32+AA32+AD32+AG32+AJ32+AM32,"-")</f>
        <v>0</v>
      </c>
      <c r="V32" s="1337" t="str">
        <f aca="false">+IFERROR(X32/$R32,"-")</f>
        <v>-</v>
      </c>
      <c r="W32" s="1396"/>
      <c r="X32" s="1395"/>
      <c r="Y32" s="1345"/>
      <c r="Z32" s="1345" t="str">
        <f aca="false">+IFERROR(AA32/$R32,"-")</f>
        <v>-</v>
      </c>
      <c r="AA32" s="1345"/>
      <c r="AB32" s="1346"/>
      <c r="AC32" s="1345" t="str">
        <f aca="false">+IFERROR(AD32/$R32,"-")</f>
        <v>-</v>
      </c>
      <c r="AD32" s="1345"/>
      <c r="AE32" s="1346"/>
      <c r="AF32" s="1345" t="str">
        <f aca="false">+IFERROR(AG32/$R32,"-")</f>
        <v>-</v>
      </c>
      <c r="AG32" s="1345"/>
      <c r="AH32" s="1346"/>
      <c r="AI32" s="1345" t="str">
        <f aca="false">+IFERROR(AJ32/#REF!,"-")</f>
        <v>-</v>
      </c>
      <c r="AJ32" s="1345"/>
      <c r="AK32" s="1345"/>
      <c r="AL32" s="1345" t="str">
        <f aca="false">+IFERROR(AM32/#REF!,"-")</f>
        <v>-</v>
      </c>
      <c r="AM32" s="1345"/>
      <c r="AN32" s="1345"/>
      <c r="AO32" s="1347" t="n">
        <f aca="false">+R32</f>
        <v>0</v>
      </c>
      <c r="AP32" s="1347" t="e">
        <f aca="false">+AS32</f>
        <v>#VALUE!</v>
      </c>
      <c r="AQ32" s="1456"/>
      <c r="AR32" s="1440"/>
      <c r="AS32" s="1349" t="e">
        <f aca="false">+$AO32*'ref.지급기준 (2)'!#ref!</f>
        <v>#VALUE!</v>
      </c>
      <c r="AT32" s="1347" t="n">
        <f aca="false">+X32</f>
        <v>0</v>
      </c>
      <c r="AU32" s="1347" t="e">
        <f aca="false">+$AO32*'ref.지급기준 (2)'!#ref!</f>
        <v>#VALUE!</v>
      </c>
      <c r="AV32" s="1347" t="n">
        <f aca="false">+AA32</f>
        <v>0</v>
      </c>
      <c r="AW32" s="1347" t="e">
        <f aca="false">+$AO32*'ref.지급기준 (2)'!#ref!</f>
        <v>#VALUE!</v>
      </c>
      <c r="AX32" s="1347"/>
      <c r="AY32" s="1347" t="e">
        <f aca="false">+$AO32*'ref.지급기준 (2)'!#ref!</f>
        <v>#VALUE!</v>
      </c>
      <c r="AZ32" s="1347"/>
      <c r="BA32" s="1347" t="e">
        <f aca="false">+$AO32*'ref.지급기준 (2)'!#ref!</f>
        <v>#VALUE!</v>
      </c>
      <c r="BB32" s="1350"/>
      <c r="BC32" s="1441"/>
      <c r="BD32" s="1278"/>
      <c r="BE32" s="1278" t="e">
        <f aca="false">+(BA32+AY32+AW32+AU32+AS32)=R32</f>
        <v>#VALUE!</v>
      </c>
      <c r="BF32" s="1278"/>
      <c r="BG32" s="1278"/>
      <c r="BH32" s="1278"/>
      <c r="BI32" s="1278"/>
      <c r="BJ32" s="1278"/>
      <c r="BK32" s="1278"/>
      <c r="BL32" s="1278"/>
      <c r="BM32" s="1278"/>
      <c r="BN32" s="1278"/>
      <c r="BO32" s="1333"/>
      <c r="BP32" s="1333"/>
    </row>
    <row r="33" customFormat="false" ht="16.5" hidden="false" customHeight="false" outlineLevel="0" collapsed="false">
      <c r="A33" s="1307"/>
      <c r="B33" s="1425"/>
      <c r="C33" s="1426"/>
      <c r="D33" s="1379"/>
      <c r="E33" s="1427"/>
      <c r="F33" s="1428"/>
      <c r="G33" s="1429"/>
      <c r="H33" s="1430"/>
      <c r="I33" s="1451"/>
      <c r="J33" s="1452"/>
      <c r="K33" s="1453"/>
      <c r="L33" s="1376"/>
      <c r="M33" s="1364"/>
      <c r="N33" s="1364"/>
      <c r="O33" s="1334" t="s">
        <v>507</v>
      </c>
      <c r="P33" s="1335" t="n">
        <f aca="false">+'DG-PV Organic'!AJ32</f>
        <v>57120000</v>
      </c>
      <c r="Q33" s="1335" t="n">
        <f aca="false">+P33*10%</f>
        <v>5712000</v>
      </c>
      <c r="R33" s="1384" t="n">
        <f aca="false">SUM(P33:Q33)</f>
        <v>62832000</v>
      </c>
      <c r="S33" s="1404" t="b">
        <f aca="false">+R33=AO33</f>
        <v>1</v>
      </c>
      <c r="T33" s="1337" t="n">
        <f aca="false">+IFERROR(U33/R33,"-")</f>
        <v>0</v>
      </c>
      <c r="U33" s="1338" t="n">
        <f aca="false">+IFERROR(X33+AA33+AD33+AG33+AJ33+AM33,"-")</f>
        <v>0</v>
      </c>
      <c r="V33" s="1337" t="n">
        <f aca="false">+IFERROR(X33/$R33,"-")</f>
        <v>0</v>
      </c>
      <c r="W33" s="1396" t="n">
        <f aca="false">W31</f>
        <v>45777</v>
      </c>
      <c r="X33" s="1395"/>
      <c r="Y33" s="1345"/>
      <c r="Z33" s="1345" t="n">
        <f aca="false">+IFERROR(AA33/$R33,"-")</f>
        <v>0</v>
      </c>
      <c r="AA33" s="1345"/>
      <c r="AB33" s="1346" t="n">
        <f aca="false">AB31</f>
        <v>45838</v>
      </c>
      <c r="AC33" s="1345" t="n">
        <f aca="false">+IFERROR(AD33/$R33,"-")</f>
        <v>0</v>
      </c>
      <c r="AD33" s="1345"/>
      <c r="AE33" s="1346" t="n">
        <f aca="false">AE31</f>
        <v>45899</v>
      </c>
      <c r="AF33" s="1345" t="n">
        <f aca="false">+IFERROR(AG33/$R33,"-")</f>
        <v>0</v>
      </c>
      <c r="AG33" s="1345"/>
      <c r="AH33" s="1346" t="n">
        <f aca="false">AH31</f>
        <v>46295</v>
      </c>
      <c r="AI33" s="1345" t="str">
        <f aca="false">+IFERROR(AJ33/#REF!,"-")</f>
        <v>-</v>
      </c>
      <c r="AJ33" s="1345"/>
      <c r="AK33" s="1345"/>
      <c r="AL33" s="1345" t="str">
        <f aca="false">+IFERROR(AM33/#REF!,"-")</f>
        <v>-</v>
      </c>
      <c r="AM33" s="1345"/>
      <c r="AN33" s="1345"/>
      <c r="AO33" s="1347" t="n">
        <f aca="false">+R33</f>
        <v>62832000</v>
      </c>
      <c r="AP33" s="1347" t="e">
        <f aca="false">+AS33</f>
        <v>#VALUE!</v>
      </c>
      <c r="AQ33" s="1456"/>
      <c r="AR33" s="1440"/>
      <c r="AS33" s="1349" t="e">
        <f aca="false">+$AO33*'ref.지급기준 (2)'!#ref!</f>
        <v>#VALUE!</v>
      </c>
      <c r="AT33" s="1347" t="n">
        <f aca="false">+X33</f>
        <v>0</v>
      </c>
      <c r="AU33" s="1347" t="e">
        <f aca="false">+$AO33*'ref.지급기준 (2)'!#ref!</f>
        <v>#VALUE!</v>
      </c>
      <c r="AV33" s="1347" t="n">
        <f aca="false">+AA33</f>
        <v>0</v>
      </c>
      <c r="AW33" s="1347" t="e">
        <f aca="false">+$AO33*'ref.지급기준 (2)'!#ref!</f>
        <v>#VALUE!</v>
      </c>
      <c r="AX33" s="1347"/>
      <c r="AY33" s="1347" t="e">
        <f aca="false">+$AO33*'ref.지급기준 (2)'!#ref!</f>
        <v>#VALUE!</v>
      </c>
      <c r="AZ33" s="1347"/>
      <c r="BA33" s="1347" t="e">
        <f aca="false">+$AO33*'ref.지급기준 (2)'!#ref!</f>
        <v>#VALUE!</v>
      </c>
      <c r="BB33" s="1350"/>
      <c r="BC33" s="1441"/>
      <c r="BD33" s="1278"/>
      <c r="BE33" s="1278" t="e">
        <f aca="false">+(BA33+AY33+AW33+AU33+AS33)=R33</f>
        <v>#VALUE!</v>
      </c>
      <c r="BF33" s="1278"/>
      <c r="BG33" s="1278"/>
      <c r="BH33" s="1278"/>
      <c r="BI33" s="1278"/>
      <c r="BJ33" s="1278"/>
      <c r="BK33" s="1278"/>
      <c r="BL33" s="1278"/>
      <c r="BM33" s="1278"/>
      <c r="BN33" s="1278"/>
      <c r="BO33" s="1333"/>
      <c r="BP33" s="1333"/>
    </row>
    <row r="34" customFormat="false" ht="16.5" hidden="false" customHeight="false" outlineLevel="0" collapsed="false">
      <c r="A34" s="1307"/>
      <c r="B34" s="1425"/>
      <c r="C34" s="1426"/>
      <c r="D34" s="1379"/>
      <c r="E34" s="1427"/>
      <c r="F34" s="1428"/>
      <c r="G34" s="1429"/>
      <c r="H34" s="1430"/>
      <c r="I34" s="1451"/>
      <c r="J34" s="1452"/>
      <c r="K34" s="1453"/>
      <c r="L34" s="1376"/>
      <c r="M34" s="1364"/>
      <c r="N34" s="1364"/>
      <c r="O34" s="1351" t="s">
        <v>508</v>
      </c>
      <c r="P34" s="1352" t="n">
        <f aca="false">+'DG-PV Organic'!AI32</f>
        <v>66640000</v>
      </c>
      <c r="Q34" s="1352" t="n">
        <f aca="false">+P34*0.1</f>
        <v>6664000</v>
      </c>
      <c r="R34" s="1457" t="n">
        <f aca="false">SUM(P34:Q34)</f>
        <v>73304000</v>
      </c>
      <c r="S34" s="1458" t="b">
        <f aca="false">+R34=AO34</f>
        <v>1</v>
      </c>
      <c r="T34" s="1355"/>
      <c r="U34" s="668"/>
      <c r="V34" s="1355" t="n">
        <f aca="false">+IFERROR(X34/$R34,"-")</f>
        <v>0</v>
      </c>
      <c r="W34" s="1357"/>
      <c r="X34" s="1357"/>
      <c r="Y34" s="1357"/>
      <c r="Z34" s="1357" t="n">
        <f aca="false">+IFERROR(AA34/$R34,"-")</f>
        <v>0</v>
      </c>
      <c r="AA34" s="1357"/>
      <c r="AB34" s="1358"/>
      <c r="AC34" s="1357" t="n">
        <f aca="false">+IFERROR(AD34/$R34,"-")</f>
        <v>0</v>
      </c>
      <c r="AD34" s="1357"/>
      <c r="AE34" s="1358"/>
      <c r="AF34" s="1357" t="n">
        <f aca="false">+IFERROR(AG34/$R34,"-")</f>
        <v>0</v>
      </c>
      <c r="AG34" s="1357"/>
      <c r="AH34" s="1358"/>
      <c r="AI34" s="1357" t="str">
        <f aca="false">+IFERROR(AJ34/#REF!,"-")</f>
        <v>-</v>
      </c>
      <c r="AJ34" s="1357"/>
      <c r="AK34" s="1357"/>
      <c r="AL34" s="1357"/>
      <c r="AM34" s="1357"/>
      <c r="AN34" s="1357"/>
      <c r="AO34" s="1359" t="n">
        <f aca="false">+R34</f>
        <v>73304000</v>
      </c>
      <c r="AP34" s="1359" t="e">
        <f aca="false">+AS34+AU34</f>
        <v>#VALUE!</v>
      </c>
      <c r="AQ34" s="1459"/>
      <c r="AR34" s="1440"/>
      <c r="AS34" s="1361" t="e">
        <f aca="false">+$AO34*'ref.지급기준 (2)'!#ref!</f>
        <v>#VALUE!</v>
      </c>
      <c r="AT34" s="1359" t="n">
        <f aca="false">+X34</f>
        <v>0</v>
      </c>
      <c r="AU34" s="1359" t="e">
        <f aca="false">+$AO34*'ref.지급기준 (2)'!#ref!</f>
        <v>#VALUE!</v>
      </c>
      <c r="AV34" s="1359" t="n">
        <f aca="false">+AA34</f>
        <v>0</v>
      </c>
      <c r="AW34" s="1359" t="e">
        <f aca="false">+$AO34*'ref.지급기준 (2)'!#ref!</f>
        <v>#VALUE!</v>
      </c>
      <c r="AX34" s="1359"/>
      <c r="AY34" s="1359" t="e">
        <f aca="false">+$AO34*'ref.지급기준 (2)'!#ref!</f>
        <v>#VALUE!</v>
      </c>
      <c r="AZ34" s="1359"/>
      <c r="BA34" s="1359" t="e">
        <f aca="false">+$AO34*'ref.지급기준 (2)'!#ref!</f>
        <v>#VALUE!</v>
      </c>
      <c r="BB34" s="1362"/>
      <c r="BC34" s="1441"/>
      <c r="BD34" s="1278"/>
      <c r="BE34" s="1278" t="e">
        <f aca="false">+(BA34+AY34+AW34+AU34+AS34)=R34</f>
        <v>#VALUE!</v>
      </c>
      <c r="BF34" s="1278"/>
      <c r="BG34" s="1278"/>
      <c r="BH34" s="1278"/>
      <c r="BI34" s="1278"/>
      <c r="BJ34" s="1278"/>
      <c r="BK34" s="1278"/>
      <c r="BL34" s="1278"/>
      <c r="BM34" s="1278"/>
      <c r="BN34" s="1278"/>
      <c r="BO34" s="1333"/>
      <c r="BP34" s="1333"/>
    </row>
    <row r="35" customFormat="false" ht="16.5" hidden="false" customHeight="true" outlineLevel="0" collapsed="false">
      <c r="A35" s="1307"/>
      <c r="B35" s="1425"/>
      <c r="C35" s="1426"/>
      <c r="D35" s="1379"/>
      <c r="E35" s="1427"/>
      <c r="F35" s="1428"/>
      <c r="G35" s="1429"/>
      <c r="H35" s="1430"/>
      <c r="I35" s="1461" t="s">
        <v>1482</v>
      </c>
      <c r="J35" s="1452" t="str">
        <f aca="false">+'ref.지급기준 (2)'!C129</f>
        <v>Vega</v>
      </c>
      <c r="K35" s="1453" t="n">
        <f aca="false">+'DG-PV Organic'!O33</f>
        <v>560</v>
      </c>
      <c r="L35" s="1376" t="n">
        <f aca="false">+'DG-PV Organic'!H33</f>
        <v>0.0965</v>
      </c>
      <c r="M35" s="1364" t="n">
        <f aca="false">+'DG-PV Organic'!J33</f>
        <v>0.096</v>
      </c>
      <c r="N35" s="1364" t="s">
        <v>1479</v>
      </c>
      <c r="O35" s="1365" t="s">
        <v>112</v>
      </c>
      <c r="P35" s="1366" t="n">
        <f aca="false">+'DG-PV Organic'!AL33</f>
        <v>588000000</v>
      </c>
      <c r="Q35" s="1366" t="n">
        <f aca="false">+P35*10%</f>
        <v>58800000</v>
      </c>
      <c r="R35" s="1436" t="n">
        <f aca="false">SUM(P35:Q35)</f>
        <v>646800000</v>
      </c>
      <c r="S35" s="1454" t="b">
        <f aca="false">+R35=AO35</f>
        <v>1</v>
      </c>
      <c r="T35" s="1323" t="n">
        <f aca="false">+IFERROR(U35/R35,"-")</f>
        <v>0</v>
      </c>
      <c r="U35" s="1368" t="n">
        <f aca="false">+IFERROR(X35+AA35+AD35+AG35+AJ35+AM35,"-")</f>
        <v>0</v>
      </c>
      <c r="V35" s="1323" t="n">
        <f aca="false">+IFERROR(X35/$R35,"-")</f>
        <v>0</v>
      </c>
      <c r="W35" s="1346" t="n">
        <f aca="false">AE38</f>
        <v>45899</v>
      </c>
      <c r="X35" s="1392"/>
      <c r="Y35" s="1324"/>
      <c r="Z35" s="1345" t="n">
        <f aca="false">+IFERROR(AA35/$R35,"-")</f>
        <v>0</v>
      </c>
      <c r="AA35" s="1345"/>
      <c r="AB35" s="1346" t="n">
        <f aca="false">+EDATE(W35,1)</f>
        <v>45930</v>
      </c>
      <c r="AC35" s="1345" t="n">
        <f aca="false">+IFERROR(AD35/$R35,"-")</f>
        <v>0</v>
      </c>
      <c r="AD35" s="1345"/>
      <c r="AE35" s="1346" t="n">
        <f aca="false">+EDATE(AB35,3)</f>
        <v>46021</v>
      </c>
      <c r="AF35" s="1345" t="n">
        <f aca="false">+IFERROR(AG35/$R35,"-")</f>
        <v>0</v>
      </c>
      <c r="AG35" s="1345"/>
      <c r="AH35" s="1346" t="n">
        <f aca="false">+EDATE(AB35,4)</f>
        <v>46052</v>
      </c>
      <c r="AI35" s="1345" t="str">
        <f aca="false">+IFERROR(AJ35/#REF!,"-")</f>
        <v>-</v>
      </c>
      <c r="AJ35" s="1345"/>
      <c r="AK35" s="1346" t="n">
        <f aca="false">+EDATE(AB35,6)+1</f>
        <v>46112</v>
      </c>
      <c r="AL35" s="1324" t="str">
        <f aca="false">+IFERROR(AM35/#REF!,"-")</f>
        <v>-</v>
      </c>
      <c r="AM35" s="1324"/>
      <c r="AN35" s="1324"/>
      <c r="AO35" s="1326" t="n">
        <f aca="false">+R35</f>
        <v>646800000</v>
      </c>
      <c r="AP35" s="1326" t="e">
        <f aca="false">+AS35</f>
        <v>#VALUE!</v>
      </c>
      <c r="AQ35" s="1455" t="s">
        <v>373</v>
      </c>
      <c r="AR35" s="1440"/>
      <c r="AS35" s="1349" t="e">
        <f aca="false">+$AO35*'ref.지급기준 (2)'!#ref!</f>
        <v>#VALUE!</v>
      </c>
      <c r="AT35" s="1347" t="n">
        <f aca="false">+X35</f>
        <v>0</v>
      </c>
      <c r="AU35" s="1347" t="e">
        <f aca="false">+$AO35*'ref.지급기준 (2)'!#ref!</f>
        <v>#VALUE!</v>
      </c>
      <c r="AV35" s="1347" t="n">
        <f aca="false">+AA35</f>
        <v>0</v>
      </c>
      <c r="AW35" s="1347" t="e">
        <f aca="false">+$AO35*'ref.지급기준 (2)'!#ref!</f>
        <v>#VALUE!</v>
      </c>
      <c r="AX35" s="1347"/>
      <c r="AY35" s="1347" t="e">
        <f aca="false">+$AO35*'ref.지급기준 (2)'!#ref!</f>
        <v>#VALUE!</v>
      </c>
      <c r="AZ35" s="1347"/>
      <c r="BA35" s="1347" t="e">
        <f aca="false">+$AO35*'ref.지급기준 (2)'!#ref!</f>
        <v>#VALUE!</v>
      </c>
      <c r="BB35" s="1350"/>
      <c r="BC35" s="1441" t="s">
        <v>1475</v>
      </c>
      <c r="BD35" s="1278"/>
      <c r="BE35" s="1278" t="e">
        <f aca="false">+(BA35+AY35+AW35+AU35+AS35)=R35</f>
        <v>#VALUE!</v>
      </c>
      <c r="BF35" s="1278"/>
      <c r="BG35" s="1278"/>
      <c r="BH35" s="1278"/>
      <c r="BI35" s="1278"/>
      <c r="BJ35" s="1278"/>
      <c r="BK35" s="1278"/>
      <c r="BL35" s="1278"/>
      <c r="BM35" s="1278"/>
      <c r="BN35" s="1278"/>
      <c r="BO35" s="1333"/>
      <c r="BP35" s="1333"/>
    </row>
    <row r="36" customFormat="false" ht="16.5" hidden="false" customHeight="false" outlineLevel="0" collapsed="false">
      <c r="A36" s="1307"/>
      <c r="B36" s="1425"/>
      <c r="C36" s="1426"/>
      <c r="D36" s="1379"/>
      <c r="E36" s="1427"/>
      <c r="F36" s="1428"/>
      <c r="G36" s="1429"/>
      <c r="H36" s="1430"/>
      <c r="I36" s="1461"/>
      <c r="J36" s="1452"/>
      <c r="K36" s="1453"/>
      <c r="L36" s="1376"/>
      <c r="M36" s="1364"/>
      <c r="N36" s="1364"/>
      <c r="O36" s="1334" t="s">
        <v>114</v>
      </c>
      <c r="P36" s="1335" t="n">
        <f aca="false">+'DG-PV Organic'!AK33</f>
        <v>168000000</v>
      </c>
      <c r="Q36" s="1335" t="n">
        <f aca="false">+P36*10%</f>
        <v>16800000</v>
      </c>
      <c r="R36" s="1384" t="n">
        <f aca="false">SUM(P36:Q36)</f>
        <v>184800000</v>
      </c>
      <c r="S36" s="1404" t="b">
        <f aca="false">+R36=AO36</f>
        <v>1</v>
      </c>
      <c r="T36" s="1337" t="n">
        <f aca="false">+IFERROR(U36/R36,"-")</f>
        <v>0</v>
      </c>
      <c r="U36" s="1338" t="n">
        <f aca="false">+IFERROR(X36+AA36+AD36+AG36+AJ36+AM36,"-")</f>
        <v>0</v>
      </c>
      <c r="V36" s="1337" t="n">
        <f aca="false">+IFERROR(X36/$R36,"-")</f>
        <v>0</v>
      </c>
      <c r="W36" s="1396" t="n">
        <v>45777</v>
      </c>
      <c r="X36" s="1395"/>
      <c r="Y36" s="1345"/>
      <c r="Z36" s="1345" t="n">
        <f aca="false">+IFERROR(AA36/$R36,"-")</f>
        <v>0</v>
      </c>
      <c r="AA36" s="1397"/>
      <c r="AB36" s="1346" t="n">
        <v>45838</v>
      </c>
      <c r="AC36" s="1345" t="n">
        <f aca="false">+IFERROR(AD36/$R36,"-")</f>
        <v>0</v>
      </c>
      <c r="AD36" s="1345"/>
      <c r="AE36" s="1346" t="n">
        <f aca="false">+EDATE(AB36,2)</f>
        <v>45899</v>
      </c>
      <c r="AF36" s="1345" t="n">
        <f aca="false">+IFERROR(AG36/$R36,"-")</f>
        <v>0</v>
      </c>
      <c r="AG36" s="1345"/>
      <c r="AH36" s="1346" t="n">
        <f aca="false">+EDATE(AB35,12)</f>
        <v>46295</v>
      </c>
      <c r="AI36" s="1345" t="str">
        <f aca="false">+IFERROR(AJ36/#REF!,"-")</f>
        <v>-</v>
      </c>
      <c r="AJ36" s="1345"/>
      <c r="AK36" s="1345"/>
      <c r="AL36" s="1345" t="str">
        <f aca="false">+IFERROR(AM36/#REF!,"-")</f>
        <v>-</v>
      </c>
      <c r="AM36" s="1345"/>
      <c r="AN36" s="1345"/>
      <c r="AO36" s="1347" t="n">
        <f aca="false">+R36</f>
        <v>184800000</v>
      </c>
      <c r="AP36" s="1347" t="e">
        <f aca="false">+AS36</f>
        <v>#VALUE!</v>
      </c>
      <c r="AQ36" s="1456"/>
      <c r="AR36" s="1440"/>
      <c r="AS36" s="1349" t="e">
        <f aca="false">+$AO36*'ref.지급기준 (2)'!#ref!</f>
        <v>#VALUE!</v>
      </c>
      <c r="AT36" s="1347" t="n">
        <f aca="false">+X36</f>
        <v>0</v>
      </c>
      <c r="AU36" s="1347" t="e">
        <f aca="false">+$AO36*'ref.지급기준 (2)'!#ref!</f>
        <v>#VALUE!</v>
      </c>
      <c r="AV36" s="1347" t="n">
        <f aca="false">+AA36</f>
        <v>0</v>
      </c>
      <c r="AW36" s="1347" t="e">
        <f aca="false">+$AO36*'ref.지급기준 (2)'!#ref!</f>
        <v>#VALUE!</v>
      </c>
      <c r="AX36" s="1347"/>
      <c r="AY36" s="1347" t="e">
        <f aca="false">+$AO36*'ref.지급기준 (2)'!#ref!</f>
        <v>#VALUE!</v>
      </c>
      <c r="AZ36" s="1347"/>
      <c r="BA36" s="1347" t="e">
        <f aca="false">+$AO36*'ref.지급기준 (2)'!#ref!</f>
        <v>#VALUE!</v>
      </c>
      <c r="BB36" s="1350"/>
      <c r="BC36" s="1441"/>
      <c r="BD36" s="1278"/>
      <c r="BE36" s="1278" t="e">
        <f aca="false">+(BA36+AY36+AW36+AU36+AS36)=R36</f>
        <v>#VALUE!</v>
      </c>
      <c r="BF36" s="1278"/>
      <c r="BG36" s="1278"/>
      <c r="BH36" s="1278"/>
      <c r="BI36" s="1278"/>
      <c r="BJ36" s="1278"/>
      <c r="BK36" s="1278"/>
      <c r="BL36" s="1278"/>
      <c r="BM36" s="1278"/>
      <c r="BN36" s="1278"/>
      <c r="BO36" s="1333"/>
      <c r="BP36" s="1333"/>
    </row>
    <row r="37" customFormat="false" ht="16.5" hidden="false" customHeight="false" outlineLevel="0" collapsed="false">
      <c r="A37" s="1307"/>
      <c r="B37" s="1425"/>
      <c r="C37" s="1426"/>
      <c r="D37" s="1379"/>
      <c r="E37" s="1427"/>
      <c r="F37" s="1428"/>
      <c r="G37" s="1429"/>
      <c r="H37" s="1430"/>
      <c r="I37" s="1461"/>
      <c r="J37" s="1452"/>
      <c r="K37" s="1453"/>
      <c r="L37" s="1376"/>
      <c r="M37" s="1364"/>
      <c r="N37" s="1364"/>
      <c r="O37" s="1334" t="s">
        <v>404</v>
      </c>
      <c r="P37" s="1335" t="n">
        <v>0</v>
      </c>
      <c r="Q37" s="1335"/>
      <c r="R37" s="1384" t="n">
        <f aca="false">SUM(P37:Q37)</f>
        <v>0</v>
      </c>
      <c r="S37" s="1404" t="b">
        <f aca="false">+R37=AO37</f>
        <v>1</v>
      </c>
      <c r="T37" s="1337" t="str">
        <f aca="false">+IFERROR(U37/R37,"-")</f>
        <v>-</v>
      </c>
      <c r="U37" s="1338" t="n">
        <f aca="false">+IFERROR(X37+AA37+AD37+AG37+AJ37+AM37,"-")</f>
        <v>0</v>
      </c>
      <c r="V37" s="1337" t="str">
        <f aca="false">+IFERROR(X37/$R37,"-")</f>
        <v>-</v>
      </c>
      <c r="W37" s="1396"/>
      <c r="X37" s="1395"/>
      <c r="Y37" s="1345"/>
      <c r="Z37" s="1345" t="str">
        <f aca="false">+IFERROR(AA37/$R37,"-")</f>
        <v>-</v>
      </c>
      <c r="AA37" s="1345"/>
      <c r="AB37" s="1346"/>
      <c r="AC37" s="1345" t="str">
        <f aca="false">+IFERROR(AD37/$R37,"-")</f>
        <v>-</v>
      </c>
      <c r="AD37" s="1345"/>
      <c r="AE37" s="1346"/>
      <c r="AF37" s="1345" t="str">
        <f aca="false">+IFERROR(AG37/$R37,"-")</f>
        <v>-</v>
      </c>
      <c r="AG37" s="1345"/>
      <c r="AH37" s="1346"/>
      <c r="AI37" s="1345" t="str">
        <f aca="false">+IFERROR(AJ37/#REF!,"-")</f>
        <v>-</v>
      </c>
      <c r="AJ37" s="1345"/>
      <c r="AK37" s="1345"/>
      <c r="AL37" s="1345" t="str">
        <f aca="false">+IFERROR(AM37/#REF!,"-")</f>
        <v>-</v>
      </c>
      <c r="AM37" s="1345"/>
      <c r="AN37" s="1345"/>
      <c r="AO37" s="1347" t="n">
        <f aca="false">+R37</f>
        <v>0</v>
      </c>
      <c r="AP37" s="1347" t="e">
        <f aca="false">+AS37</f>
        <v>#VALUE!</v>
      </c>
      <c r="AQ37" s="1456"/>
      <c r="AR37" s="1440"/>
      <c r="AS37" s="1349" t="e">
        <f aca="false">+$AO37*'ref.지급기준 (2)'!#ref!</f>
        <v>#VALUE!</v>
      </c>
      <c r="AT37" s="1347" t="n">
        <f aca="false">+X37</f>
        <v>0</v>
      </c>
      <c r="AU37" s="1347" t="e">
        <f aca="false">+$AO37*'ref.지급기준 (2)'!#ref!</f>
        <v>#VALUE!</v>
      </c>
      <c r="AV37" s="1347" t="n">
        <f aca="false">+AA37</f>
        <v>0</v>
      </c>
      <c r="AW37" s="1347" t="e">
        <f aca="false">+$AO37*'ref.지급기준 (2)'!#ref!</f>
        <v>#VALUE!</v>
      </c>
      <c r="AX37" s="1347"/>
      <c r="AY37" s="1347" t="e">
        <f aca="false">+$AO37*'ref.지급기준 (2)'!#ref!</f>
        <v>#VALUE!</v>
      </c>
      <c r="AZ37" s="1347"/>
      <c r="BA37" s="1347" t="e">
        <f aca="false">+$AO37*'ref.지급기준 (2)'!#ref!</f>
        <v>#VALUE!</v>
      </c>
      <c r="BB37" s="1350"/>
      <c r="BC37" s="1441"/>
      <c r="BD37" s="1278"/>
      <c r="BE37" s="1278" t="e">
        <f aca="false">+(BA37+AY37+AW37+AU37+AS37)=R37</f>
        <v>#VALUE!</v>
      </c>
      <c r="BF37" s="1278"/>
      <c r="BG37" s="1278"/>
      <c r="BH37" s="1278"/>
      <c r="BI37" s="1278"/>
      <c r="BJ37" s="1278"/>
      <c r="BK37" s="1278"/>
      <c r="BL37" s="1278"/>
      <c r="BM37" s="1278"/>
      <c r="BN37" s="1278"/>
      <c r="BO37" s="1333"/>
      <c r="BP37" s="1333"/>
    </row>
    <row r="38" customFormat="false" ht="16.5" hidden="false" customHeight="false" outlineLevel="0" collapsed="false">
      <c r="A38" s="1307"/>
      <c r="B38" s="1425"/>
      <c r="C38" s="1426"/>
      <c r="D38" s="1379"/>
      <c r="E38" s="1427"/>
      <c r="F38" s="1428"/>
      <c r="G38" s="1429"/>
      <c r="H38" s="1430"/>
      <c r="I38" s="1461"/>
      <c r="J38" s="1452"/>
      <c r="K38" s="1453"/>
      <c r="L38" s="1376"/>
      <c r="M38" s="1364"/>
      <c r="N38" s="1364"/>
      <c r="O38" s="1334" t="s">
        <v>507</v>
      </c>
      <c r="P38" s="1335" t="n">
        <f aca="false">+'DG-PV Organic'!AJ33</f>
        <v>84000000</v>
      </c>
      <c r="Q38" s="1335" t="n">
        <f aca="false">+P38*10%</f>
        <v>8400000</v>
      </c>
      <c r="R38" s="1384" t="n">
        <f aca="false">SUM(P38:Q38)</f>
        <v>92400000</v>
      </c>
      <c r="S38" s="1404" t="b">
        <f aca="false">+R38=AO38</f>
        <v>1</v>
      </c>
      <c r="T38" s="1337" t="n">
        <f aca="false">+IFERROR(U38/R38,"-")</f>
        <v>0</v>
      </c>
      <c r="U38" s="1338" t="n">
        <f aca="false">+IFERROR(X38+AA38+AD38+AG38+AJ38+AM38,"-")</f>
        <v>0</v>
      </c>
      <c r="V38" s="1337" t="n">
        <f aca="false">+IFERROR(X38/$R38,"-")</f>
        <v>0</v>
      </c>
      <c r="W38" s="1396" t="n">
        <f aca="false">W36</f>
        <v>45777</v>
      </c>
      <c r="X38" s="1395"/>
      <c r="Y38" s="1345"/>
      <c r="Z38" s="1345" t="n">
        <f aca="false">+IFERROR(AA38/$R38,"-")</f>
        <v>0</v>
      </c>
      <c r="AA38" s="1345"/>
      <c r="AB38" s="1346" t="n">
        <f aca="false">AB36</f>
        <v>45838</v>
      </c>
      <c r="AC38" s="1345" t="n">
        <f aca="false">+IFERROR(AD38/$R38,"-")</f>
        <v>0</v>
      </c>
      <c r="AD38" s="1345"/>
      <c r="AE38" s="1346" t="n">
        <f aca="false">AE36</f>
        <v>45899</v>
      </c>
      <c r="AF38" s="1345" t="n">
        <f aca="false">+IFERROR(AG38/$R38,"-")</f>
        <v>0</v>
      </c>
      <c r="AG38" s="1345"/>
      <c r="AH38" s="1346" t="n">
        <f aca="false">AH36</f>
        <v>46295</v>
      </c>
      <c r="AI38" s="1345" t="str">
        <f aca="false">+IFERROR(AJ38/#REF!,"-")</f>
        <v>-</v>
      </c>
      <c r="AJ38" s="1345"/>
      <c r="AK38" s="1345"/>
      <c r="AL38" s="1345" t="str">
        <f aca="false">+IFERROR(AM38/#REF!,"-")</f>
        <v>-</v>
      </c>
      <c r="AM38" s="1345"/>
      <c r="AN38" s="1345"/>
      <c r="AO38" s="1347" t="n">
        <f aca="false">+R38</f>
        <v>92400000</v>
      </c>
      <c r="AP38" s="1347" t="e">
        <f aca="false">+AS38</f>
        <v>#VALUE!</v>
      </c>
      <c r="AQ38" s="1456"/>
      <c r="AR38" s="1440"/>
      <c r="AS38" s="1349" t="e">
        <f aca="false">+$AO38*'ref.지급기준 (2)'!#ref!</f>
        <v>#VALUE!</v>
      </c>
      <c r="AT38" s="1347" t="n">
        <f aca="false">+X38</f>
        <v>0</v>
      </c>
      <c r="AU38" s="1347" t="e">
        <f aca="false">+$AO38*'ref.지급기준 (2)'!#ref!</f>
        <v>#VALUE!</v>
      </c>
      <c r="AV38" s="1347" t="n">
        <f aca="false">+AA38</f>
        <v>0</v>
      </c>
      <c r="AW38" s="1347" t="e">
        <f aca="false">+$AO38*'ref.지급기준 (2)'!#ref!</f>
        <v>#VALUE!</v>
      </c>
      <c r="AX38" s="1347"/>
      <c r="AY38" s="1347" t="e">
        <f aca="false">+$AO38*'ref.지급기준 (2)'!#ref!</f>
        <v>#VALUE!</v>
      </c>
      <c r="AZ38" s="1347"/>
      <c r="BA38" s="1347" t="e">
        <f aca="false">+$AO38*'ref.지급기준 (2)'!#ref!</f>
        <v>#VALUE!</v>
      </c>
      <c r="BB38" s="1350"/>
      <c r="BC38" s="1441"/>
      <c r="BD38" s="1278"/>
      <c r="BE38" s="1278" t="e">
        <f aca="false">+(BA38+AY38+AW38+AU38+AS38)=R38</f>
        <v>#VALUE!</v>
      </c>
      <c r="BF38" s="1278"/>
      <c r="BG38" s="1278"/>
      <c r="BH38" s="1278"/>
      <c r="BI38" s="1278"/>
      <c r="BJ38" s="1278"/>
      <c r="BK38" s="1278"/>
      <c r="BL38" s="1278"/>
      <c r="BM38" s="1278"/>
      <c r="BN38" s="1278"/>
      <c r="BO38" s="1333"/>
      <c r="BP38" s="1333"/>
    </row>
    <row r="39" customFormat="false" ht="16.5" hidden="false" customHeight="false" outlineLevel="0" collapsed="false">
      <c r="A39" s="1307"/>
      <c r="B39" s="1425"/>
      <c r="C39" s="1426"/>
      <c r="D39" s="1379"/>
      <c r="E39" s="1427"/>
      <c r="F39" s="1428"/>
      <c r="G39" s="1429"/>
      <c r="H39" s="1430"/>
      <c r="I39" s="1461"/>
      <c r="J39" s="1452"/>
      <c r="K39" s="1453"/>
      <c r="L39" s="1376"/>
      <c r="M39" s="1364"/>
      <c r="N39" s="1364"/>
      <c r="O39" s="1351" t="s">
        <v>508</v>
      </c>
      <c r="P39" s="1352" t="n">
        <f aca="false">+'DG-PV Organic'!AI33</f>
        <v>98000000</v>
      </c>
      <c r="Q39" s="1352" t="n">
        <f aca="false">+P39*0.1</f>
        <v>9800000</v>
      </c>
      <c r="R39" s="1457" t="n">
        <f aca="false">SUM(P39:Q39)</f>
        <v>107800000</v>
      </c>
      <c r="S39" s="1458" t="b">
        <f aca="false">+R39=AO39</f>
        <v>1</v>
      </c>
      <c r="T39" s="1355"/>
      <c r="U39" s="668"/>
      <c r="V39" s="1355" t="n">
        <f aca="false">+IFERROR(X39/$R39,"-")</f>
        <v>0</v>
      </c>
      <c r="W39" s="1357"/>
      <c r="X39" s="1357"/>
      <c r="Y39" s="1357"/>
      <c r="Z39" s="1357" t="n">
        <f aca="false">+IFERROR(AA39/$R39,"-")</f>
        <v>0</v>
      </c>
      <c r="AA39" s="1357"/>
      <c r="AB39" s="1358"/>
      <c r="AC39" s="1357" t="n">
        <f aca="false">+IFERROR(AD39/$R39,"-")</f>
        <v>0</v>
      </c>
      <c r="AD39" s="1357"/>
      <c r="AE39" s="1358"/>
      <c r="AF39" s="1357" t="n">
        <f aca="false">+IFERROR(AG39/$R39,"-")</f>
        <v>0</v>
      </c>
      <c r="AG39" s="1357"/>
      <c r="AH39" s="1358"/>
      <c r="AI39" s="1357" t="str">
        <f aca="false">+IFERROR(AJ39/#REF!,"-")</f>
        <v>-</v>
      </c>
      <c r="AJ39" s="1357"/>
      <c r="AK39" s="1357"/>
      <c r="AL39" s="1357"/>
      <c r="AM39" s="1357"/>
      <c r="AN39" s="1357"/>
      <c r="AO39" s="1359" t="n">
        <f aca="false">+R39</f>
        <v>107800000</v>
      </c>
      <c r="AP39" s="1359" t="e">
        <f aca="false">+AS39+AU39</f>
        <v>#VALUE!</v>
      </c>
      <c r="AQ39" s="1459"/>
      <c r="AR39" s="1440"/>
      <c r="AS39" s="1361" t="e">
        <f aca="false">+$AO39*'ref.지급기준 (2)'!#ref!</f>
        <v>#VALUE!</v>
      </c>
      <c r="AT39" s="1359" t="n">
        <f aca="false">+X39</f>
        <v>0</v>
      </c>
      <c r="AU39" s="1359" t="e">
        <f aca="false">+$AO39*'ref.지급기준 (2)'!#ref!</f>
        <v>#VALUE!</v>
      </c>
      <c r="AV39" s="1359" t="n">
        <f aca="false">+AA39</f>
        <v>0</v>
      </c>
      <c r="AW39" s="1359" t="e">
        <f aca="false">+$AO39*'ref.지급기준 (2)'!#ref!</f>
        <v>#VALUE!</v>
      </c>
      <c r="AX39" s="1359"/>
      <c r="AY39" s="1359" t="e">
        <f aca="false">+$AO39*'ref.지급기준 (2)'!#ref!</f>
        <v>#VALUE!</v>
      </c>
      <c r="AZ39" s="1359"/>
      <c r="BA39" s="1359" t="e">
        <f aca="false">+$AO39*'ref.지급기준 (2)'!#ref!</f>
        <v>#VALUE!</v>
      </c>
      <c r="BB39" s="1362"/>
      <c r="BC39" s="1441"/>
      <c r="BD39" s="1278"/>
      <c r="BE39" s="1278" t="e">
        <f aca="false">+(BA39+AY39+AW39+AU39+AS39)=R39</f>
        <v>#VALUE!</v>
      </c>
      <c r="BF39" s="1278"/>
      <c r="BG39" s="1278"/>
      <c r="BH39" s="1278"/>
      <c r="BI39" s="1278"/>
      <c r="BJ39" s="1278"/>
      <c r="BK39" s="1278"/>
      <c r="BL39" s="1278"/>
      <c r="BM39" s="1278"/>
      <c r="BN39" s="1278"/>
      <c r="BO39" s="1333"/>
      <c r="BP39" s="1333"/>
    </row>
    <row r="40" customFormat="false" ht="16.5" hidden="false" customHeight="true" outlineLevel="0" collapsed="false">
      <c r="A40" s="1307"/>
      <c r="B40" s="1425"/>
      <c r="C40" s="1426"/>
      <c r="D40" s="1379"/>
      <c r="E40" s="1427"/>
      <c r="F40" s="1428"/>
      <c r="G40" s="1429"/>
      <c r="H40" s="1430"/>
      <c r="I40" s="1451" t="s">
        <v>1483</v>
      </c>
      <c r="J40" s="1452" t="str">
        <f aca="false">+'ref.지급기준 (2)'!C134</f>
        <v>Korea Kospack</v>
      </c>
      <c r="K40" s="1453" t="n">
        <f aca="false">+'DG-PV Organic'!O34</f>
        <v>556.16</v>
      </c>
      <c r="L40" s="1376" t="n">
        <f aca="false">+'DG-PV Organic'!H34</f>
        <v>0.0873</v>
      </c>
      <c r="M40" s="1364" t="n">
        <f aca="false">+'DG-PV Organic'!J34</f>
        <v>0.096</v>
      </c>
      <c r="N40" s="1364" t="s">
        <v>1479</v>
      </c>
      <c r="O40" s="1365" t="s">
        <v>112</v>
      </c>
      <c r="P40" s="1366" t="n">
        <f aca="false">+'DG-PV Organic'!AL34</f>
        <v>583968000</v>
      </c>
      <c r="Q40" s="1366" t="n">
        <f aca="false">+P40*10%</f>
        <v>58396800</v>
      </c>
      <c r="R40" s="1436" t="n">
        <f aca="false">SUM(P40:Q40)</f>
        <v>642364800</v>
      </c>
      <c r="S40" s="1454" t="b">
        <f aca="false">+R40=AO40</f>
        <v>1</v>
      </c>
      <c r="T40" s="1323" t="n">
        <f aca="false">+IFERROR(U40/R40,"-")</f>
        <v>0</v>
      </c>
      <c r="U40" s="1368" t="n">
        <f aca="false">+IFERROR(X40+AA40+AD40+AG40+AJ40+AM40,"-")</f>
        <v>0</v>
      </c>
      <c r="V40" s="1323" t="n">
        <f aca="false">+IFERROR(X40/$R40,"-")</f>
        <v>0</v>
      </c>
      <c r="W40" s="1346" t="n">
        <f aca="false">AE43</f>
        <v>45838</v>
      </c>
      <c r="X40" s="1392"/>
      <c r="Y40" s="1324"/>
      <c r="Z40" s="1345" t="n">
        <f aca="false">+IFERROR(AA40/$R40,"-")</f>
        <v>0</v>
      </c>
      <c r="AA40" s="1345"/>
      <c r="AB40" s="1346" t="n">
        <f aca="false">+EDATE(W40,1)</f>
        <v>45868</v>
      </c>
      <c r="AC40" s="1345" t="n">
        <f aca="false">+IFERROR(AD40/$R40,"-")</f>
        <v>0</v>
      </c>
      <c r="AD40" s="1345"/>
      <c r="AE40" s="1346" t="n">
        <f aca="false">+EDATE(AB40,3)</f>
        <v>45960</v>
      </c>
      <c r="AF40" s="1345" t="n">
        <f aca="false">+IFERROR(AG40/$R40,"-")</f>
        <v>0</v>
      </c>
      <c r="AG40" s="1345"/>
      <c r="AH40" s="1346" t="n">
        <f aca="false">+EDATE(AB40,4)</f>
        <v>45991</v>
      </c>
      <c r="AI40" s="1345" t="str">
        <f aca="false">+IFERROR(AJ40/#REF!,"-")</f>
        <v>-</v>
      </c>
      <c r="AJ40" s="1345"/>
      <c r="AK40" s="1346" t="n">
        <f aca="false">+EDATE(AB40,6)+1</f>
        <v>46053</v>
      </c>
      <c r="AL40" s="1324" t="str">
        <f aca="false">+IFERROR(AM40/#REF!,"-")</f>
        <v>-</v>
      </c>
      <c r="AM40" s="1324"/>
      <c r="AN40" s="1324"/>
      <c r="AO40" s="1326" t="n">
        <f aca="false">+R40</f>
        <v>642364800</v>
      </c>
      <c r="AP40" s="1326" t="e">
        <f aca="false">+AS40</f>
        <v>#VALUE!</v>
      </c>
      <c r="AQ40" s="1455" t="s">
        <v>373</v>
      </c>
      <c r="AR40" s="1440"/>
      <c r="AS40" s="1349" t="e">
        <f aca="false">+$AO40*'ref.지급기준 (2)'!#ref!</f>
        <v>#VALUE!</v>
      </c>
      <c r="AT40" s="1347" t="n">
        <f aca="false">+X40</f>
        <v>0</v>
      </c>
      <c r="AU40" s="1347" t="e">
        <f aca="false">+$AO40*'ref.지급기준 (2)'!#ref!</f>
        <v>#VALUE!</v>
      </c>
      <c r="AV40" s="1347" t="n">
        <f aca="false">+AA40</f>
        <v>0</v>
      </c>
      <c r="AW40" s="1347" t="e">
        <f aca="false">+$AO40*'ref.지급기준 (2)'!#ref!</f>
        <v>#VALUE!</v>
      </c>
      <c r="AX40" s="1347"/>
      <c r="AY40" s="1347" t="e">
        <f aca="false">+$AO40*'ref.지급기준 (2)'!#ref!</f>
        <v>#VALUE!</v>
      </c>
      <c r="AZ40" s="1347"/>
      <c r="BA40" s="1347" t="e">
        <f aca="false">+$AO40*'ref.지급기준 (2)'!#ref!</f>
        <v>#VALUE!</v>
      </c>
      <c r="BB40" s="1350"/>
      <c r="BC40" s="1441" t="s">
        <v>1475</v>
      </c>
      <c r="BD40" s="1278"/>
      <c r="BE40" s="1278" t="e">
        <f aca="false">+(BA40+AY40+AW40+AU40+AS40)=R40</f>
        <v>#VALUE!</v>
      </c>
      <c r="BF40" s="1278"/>
      <c r="BG40" s="1278"/>
      <c r="BH40" s="1278"/>
      <c r="BI40" s="1278"/>
      <c r="BJ40" s="1278"/>
      <c r="BK40" s="1278"/>
      <c r="BL40" s="1278"/>
      <c r="BM40" s="1278"/>
      <c r="BN40" s="1278"/>
      <c r="BO40" s="1333"/>
      <c r="BP40" s="1333"/>
    </row>
    <row r="41" customFormat="false" ht="16.5" hidden="false" customHeight="false" outlineLevel="0" collapsed="false">
      <c r="A41" s="1307"/>
      <c r="B41" s="1425"/>
      <c r="C41" s="1426"/>
      <c r="D41" s="1379"/>
      <c r="E41" s="1427"/>
      <c r="F41" s="1428"/>
      <c r="G41" s="1429"/>
      <c r="H41" s="1430"/>
      <c r="I41" s="1451"/>
      <c r="J41" s="1452"/>
      <c r="K41" s="1453"/>
      <c r="L41" s="1376"/>
      <c r="M41" s="1364"/>
      <c r="N41" s="1364"/>
      <c r="O41" s="1334" t="s">
        <v>114</v>
      </c>
      <c r="P41" s="1335" t="n">
        <f aca="false">+'DG-PV Organic'!AK34</f>
        <v>166848000</v>
      </c>
      <c r="Q41" s="1335" t="n">
        <f aca="false">+P41*10%</f>
        <v>16684800</v>
      </c>
      <c r="R41" s="1384" t="n">
        <f aca="false">SUM(P41:Q41)</f>
        <v>183532800</v>
      </c>
      <c r="S41" s="1404" t="b">
        <f aca="false">+R41=AO41</f>
        <v>1</v>
      </c>
      <c r="T41" s="1337" t="n">
        <f aca="false">+IFERROR(U41/R41,"-")</f>
        <v>0</v>
      </c>
      <c r="U41" s="1338" t="n">
        <f aca="false">+IFERROR(X41+AA41+AD41+AG41+AJ41+AM41,"-")</f>
        <v>0</v>
      </c>
      <c r="V41" s="1337" t="n">
        <f aca="false">+IFERROR(X41/$R41,"-")</f>
        <v>0</v>
      </c>
      <c r="W41" s="1396" t="n">
        <v>45703</v>
      </c>
      <c r="X41" s="1395"/>
      <c r="Y41" s="1345"/>
      <c r="Z41" s="1345" t="n">
        <f aca="false">+IFERROR(AA41/$R41,"-")</f>
        <v>0</v>
      </c>
      <c r="AA41" s="1397"/>
      <c r="AB41" s="1346" t="n">
        <v>45808</v>
      </c>
      <c r="AC41" s="1345" t="n">
        <f aca="false">+IFERROR(AD41/$R41,"-")</f>
        <v>0</v>
      </c>
      <c r="AD41" s="1345"/>
      <c r="AE41" s="1346" t="n">
        <f aca="false">+EDATE(AB41,1)</f>
        <v>45838</v>
      </c>
      <c r="AF41" s="1345" t="n">
        <f aca="false">+IFERROR(AG41/$R41,"-")</f>
        <v>0</v>
      </c>
      <c r="AG41" s="1345"/>
      <c r="AH41" s="1346" t="n">
        <f aca="false">+EDATE(AB40,12)</f>
        <v>46233</v>
      </c>
      <c r="AI41" s="1345" t="str">
        <f aca="false">+IFERROR(AJ41/#REF!,"-")</f>
        <v>-</v>
      </c>
      <c r="AJ41" s="1345"/>
      <c r="AK41" s="1345"/>
      <c r="AL41" s="1345" t="str">
        <f aca="false">+IFERROR(AM41/#REF!,"-")</f>
        <v>-</v>
      </c>
      <c r="AM41" s="1345"/>
      <c r="AN41" s="1345"/>
      <c r="AO41" s="1347" t="n">
        <f aca="false">+R41</f>
        <v>183532800</v>
      </c>
      <c r="AP41" s="1347" t="e">
        <f aca="false">+AS41</f>
        <v>#VALUE!</v>
      </c>
      <c r="AQ41" s="1456"/>
      <c r="AR41" s="1440"/>
      <c r="AS41" s="1349" t="e">
        <f aca="false">+$AO41*'ref.지급기준 (2)'!#ref!</f>
        <v>#VALUE!</v>
      </c>
      <c r="AT41" s="1347" t="n">
        <f aca="false">+X41</f>
        <v>0</v>
      </c>
      <c r="AU41" s="1347" t="e">
        <f aca="false">+$AO41*'ref.지급기준 (2)'!#ref!</f>
        <v>#VALUE!</v>
      </c>
      <c r="AV41" s="1347" t="n">
        <f aca="false">+AA41</f>
        <v>0</v>
      </c>
      <c r="AW41" s="1347" t="e">
        <f aca="false">+$AO41*'ref.지급기준 (2)'!#ref!</f>
        <v>#VALUE!</v>
      </c>
      <c r="AX41" s="1347"/>
      <c r="AY41" s="1347" t="e">
        <f aca="false">+$AO41*'ref.지급기준 (2)'!#ref!</f>
        <v>#VALUE!</v>
      </c>
      <c r="AZ41" s="1347"/>
      <c r="BA41" s="1347" t="e">
        <f aca="false">+$AO41*'ref.지급기준 (2)'!#ref!</f>
        <v>#VALUE!</v>
      </c>
      <c r="BB41" s="1350"/>
      <c r="BC41" s="1441"/>
      <c r="BD41" s="1278"/>
      <c r="BE41" s="1278" t="e">
        <f aca="false">+(BA41+AY41+AW41+AU41+AS41)=R41</f>
        <v>#VALUE!</v>
      </c>
      <c r="BF41" s="1278"/>
      <c r="BG41" s="1278"/>
      <c r="BH41" s="1278"/>
      <c r="BI41" s="1278"/>
      <c r="BJ41" s="1278"/>
      <c r="BK41" s="1278"/>
      <c r="BL41" s="1278"/>
      <c r="BM41" s="1278"/>
      <c r="BN41" s="1278"/>
      <c r="BO41" s="1333"/>
      <c r="BP41" s="1333"/>
    </row>
    <row r="42" customFormat="false" ht="16.5" hidden="false" customHeight="false" outlineLevel="0" collapsed="false">
      <c r="A42" s="1307"/>
      <c r="B42" s="1425"/>
      <c r="C42" s="1426"/>
      <c r="D42" s="1379"/>
      <c r="E42" s="1427"/>
      <c r="F42" s="1428"/>
      <c r="G42" s="1429"/>
      <c r="H42" s="1430"/>
      <c r="I42" s="1451"/>
      <c r="J42" s="1452"/>
      <c r="K42" s="1453"/>
      <c r="L42" s="1376"/>
      <c r="M42" s="1364"/>
      <c r="N42" s="1364"/>
      <c r="O42" s="1334" t="s">
        <v>404</v>
      </c>
      <c r="P42" s="1335" t="n">
        <v>0</v>
      </c>
      <c r="Q42" s="1335"/>
      <c r="R42" s="1384" t="n">
        <f aca="false">SUM(P42:Q42)</f>
        <v>0</v>
      </c>
      <c r="S42" s="1404" t="b">
        <f aca="false">+R42=AO42</f>
        <v>1</v>
      </c>
      <c r="T42" s="1337" t="str">
        <f aca="false">+IFERROR(U42/R42,"-")</f>
        <v>-</v>
      </c>
      <c r="U42" s="1338" t="n">
        <f aca="false">+IFERROR(X42+AA42+AD42+AG42+AJ42+AM42,"-")</f>
        <v>0</v>
      </c>
      <c r="V42" s="1337" t="str">
        <f aca="false">+IFERROR(X42/$R42,"-")</f>
        <v>-</v>
      </c>
      <c r="W42" s="1396"/>
      <c r="X42" s="1395"/>
      <c r="Y42" s="1345"/>
      <c r="Z42" s="1345" t="str">
        <f aca="false">+IFERROR(AA42/$R42,"-")</f>
        <v>-</v>
      </c>
      <c r="AA42" s="1345"/>
      <c r="AB42" s="1346"/>
      <c r="AC42" s="1345" t="str">
        <f aca="false">+IFERROR(AD42/$R42,"-")</f>
        <v>-</v>
      </c>
      <c r="AD42" s="1345"/>
      <c r="AE42" s="1346"/>
      <c r="AF42" s="1345" t="str">
        <f aca="false">+IFERROR(AG42/$R42,"-")</f>
        <v>-</v>
      </c>
      <c r="AG42" s="1345"/>
      <c r="AH42" s="1346"/>
      <c r="AI42" s="1345" t="str">
        <f aca="false">+IFERROR(AJ42/#REF!,"-")</f>
        <v>-</v>
      </c>
      <c r="AJ42" s="1345"/>
      <c r="AK42" s="1345"/>
      <c r="AL42" s="1345" t="str">
        <f aca="false">+IFERROR(AM42/#REF!,"-")</f>
        <v>-</v>
      </c>
      <c r="AM42" s="1345"/>
      <c r="AN42" s="1345"/>
      <c r="AO42" s="1347" t="n">
        <f aca="false">+R42</f>
        <v>0</v>
      </c>
      <c r="AP42" s="1347" t="e">
        <f aca="false">+AS42</f>
        <v>#VALUE!</v>
      </c>
      <c r="AQ42" s="1456"/>
      <c r="AR42" s="1440"/>
      <c r="AS42" s="1349" t="e">
        <f aca="false">+$AO42*'ref.지급기준 (2)'!#ref!</f>
        <v>#VALUE!</v>
      </c>
      <c r="AT42" s="1347" t="n">
        <f aca="false">+X42</f>
        <v>0</v>
      </c>
      <c r="AU42" s="1347" t="e">
        <f aca="false">+$AO42*'ref.지급기준 (2)'!#ref!</f>
        <v>#VALUE!</v>
      </c>
      <c r="AV42" s="1347" t="n">
        <f aca="false">+AA42</f>
        <v>0</v>
      </c>
      <c r="AW42" s="1347" t="e">
        <f aca="false">+$AO42*'ref.지급기준 (2)'!#ref!</f>
        <v>#VALUE!</v>
      </c>
      <c r="AX42" s="1347"/>
      <c r="AY42" s="1347" t="e">
        <f aca="false">+$AO42*'ref.지급기준 (2)'!#ref!</f>
        <v>#VALUE!</v>
      </c>
      <c r="AZ42" s="1347"/>
      <c r="BA42" s="1347" t="e">
        <f aca="false">+$AO42*'ref.지급기준 (2)'!#ref!</f>
        <v>#VALUE!</v>
      </c>
      <c r="BB42" s="1350"/>
      <c r="BC42" s="1441"/>
      <c r="BD42" s="1278"/>
      <c r="BE42" s="1278" t="e">
        <f aca="false">+(BA42+AY42+AW42+AU42+AS42)=R42</f>
        <v>#VALUE!</v>
      </c>
      <c r="BF42" s="1278"/>
      <c r="BG42" s="1278"/>
      <c r="BH42" s="1278"/>
      <c r="BI42" s="1278"/>
      <c r="BJ42" s="1278"/>
      <c r="BK42" s="1278"/>
      <c r="BL42" s="1278"/>
      <c r="BM42" s="1278"/>
      <c r="BN42" s="1278"/>
      <c r="BO42" s="1333"/>
      <c r="BP42" s="1333"/>
    </row>
    <row r="43" customFormat="false" ht="16.5" hidden="false" customHeight="false" outlineLevel="0" collapsed="false">
      <c r="A43" s="1307"/>
      <c r="B43" s="1425"/>
      <c r="C43" s="1426"/>
      <c r="D43" s="1379"/>
      <c r="E43" s="1427"/>
      <c r="F43" s="1428"/>
      <c r="G43" s="1429"/>
      <c r="H43" s="1430"/>
      <c r="I43" s="1451"/>
      <c r="J43" s="1452"/>
      <c r="K43" s="1453"/>
      <c r="L43" s="1376"/>
      <c r="M43" s="1364"/>
      <c r="N43" s="1364"/>
      <c r="O43" s="1334" t="s">
        <v>507</v>
      </c>
      <c r="P43" s="1335" t="n">
        <f aca="false">+'DG-PV Organic'!AJ34</f>
        <v>83424000</v>
      </c>
      <c r="Q43" s="1335" t="n">
        <f aca="false">+P43*10%</f>
        <v>8342400</v>
      </c>
      <c r="R43" s="1384" t="n">
        <f aca="false">SUM(P43:Q43)</f>
        <v>91766400</v>
      </c>
      <c r="S43" s="1404" t="b">
        <f aca="false">+R43=AO43</f>
        <v>1</v>
      </c>
      <c r="T43" s="1337" t="n">
        <f aca="false">+IFERROR(U43/R43,"-")</f>
        <v>0</v>
      </c>
      <c r="U43" s="1338" t="n">
        <f aca="false">+IFERROR(X43+AA43+AD43+AG43+AJ43+AM43,"-")</f>
        <v>0</v>
      </c>
      <c r="V43" s="1337" t="n">
        <f aca="false">+IFERROR(X43/$R43,"-")</f>
        <v>0</v>
      </c>
      <c r="W43" s="1396" t="n">
        <f aca="false">W41</f>
        <v>45703</v>
      </c>
      <c r="X43" s="1395"/>
      <c r="Y43" s="1345"/>
      <c r="Z43" s="1345" t="n">
        <f aca="false">+IFERROR(AA43/$R43,"-")</f>
        <v>0</v>
      </c>
      <c r="AA43" s="1345"/>
      <c r="AB43" s="1346" t="n">
        <f aca="false">AB41</f>
        <v>45808</v>
      </c>
      <c r="AC43" s="1345" t="n">
        <f aca="false">+IFERROR(AD43/$R43,"-")</f>
        <v>0</v>
      </c>
      <c r="AD43" s="1345"/>
      <c r="AE43" s="1346" t="n">
        <f aca="false">AE41</f>
        <v>45838</v>
      </c>
      <c r="AF43" s="1345" t="n">
        <f aca="false">+IFERROR(AG43/$R43,"-")</f>
        <v>0</v>
      </c>
      <c r="AG43" s="1345"/>
      <c r="AH43" s="1346" t="n">
        <f aca="false">AH41</f>
        <v>46233</v>
      </c>
      <c r="AI43" s="1345" t="str">
        <f aca="false">+IFERROR(AJ43/#REF!,"-")</f>
        <v>-</v>
      </c>
      <c r="AJ43" s="1345"/>
      <c r="AK43" s="1345"/>
      <c r="AL43" s="1345" t="str">
        <f aca="false">+IFERROR(AM43/#REF!,"-")</f>
        <v>-</v>
      </c>
      <c r="AM43" s="1345"/>
      <c r="AN43" s="1345"/>
      <c r="AO43" s="1347" t="n">
        <f aca="false">+R43</f>
        <v>91766400</v>
      </c>
      <c r="AP43" s="1347" t="e">
        <f aca="false">+AS43</f>
        <v>#VALUE!</v>
      </c>
      <c r="AQ43" s="1456"/>
      <c r="AR43" s="1440"/>
      <c r="AS43" s="1349" t="e">
        <f aca="false">+$AO43*'ref.지급기준 (2)'!#ref!</f>
        <v>#VALUE!</v>
      </c>
      <c r="AT43" s="1347" t="n">
        <f aca="false">+X43</f>
        <v>0</v>
      </c>
      <c r="AU43" s="1347" t="e">
        <f aca="false">+$AO43*'ref.지급기준 (2)'!#ref!</f>
        <v>#VALUE!</v>
      </c>
      <c r="AV43" s="1347" t="n">
        <f aca="false">+AA43</f>
        <v>0</v>
      </c>
      <c r="AW43" s="1347" t="e">
        <f aca="false">+$AO43*'ref.지급기준 (2)'!#ref!</f>
        <v>#VALUE!</v>
      </c>
      <c r="AX43" s="1347"/>
      <c r="AY43" s="1347" t="e">
        <f aca="false">+$AO43*'ref.지급기준 (2)'!#ref!</f>
        <v>#VALUE!</v>
      </c>
      <c r="AZ43" s="1347"/>
      <c r="BA43" s="1347" t="e">
        <f aca="false">+$AO43*'ref.지급기준 (2)'!#ref!</f>
        <v>#VALUE!</v>
      </c>
      <c r="BB43" s="1350"/>
      <c r="BC43" s="1441"/>
      <c r="BD43" s="1278"/>
      <c r="BE43" s="1278" t="e">
        <f aca="false">+(BA43+AY43+AW43+AU43+AS43)=R43</f>
        <v>#VALUE!</v>
      </c>
      <c r="BF43" s="1278"/>
      <c r="BG43" s="1278"/>
      <c r="BH43" s="1278"/>
      <c r="BI43" s="1278"/>
      <c r="BJ43" s="1278"/>
      <c r="BK43" s="1278"/>
      <c r="BL43" s="1278"/>
      <c r="BM43" s="1278"/>
      <c r="BN43" s="1278"/>
      <c r="BO43" s="1333"/>
      <c r="BP43" s="1333"/>
    </row>
    <row r="44" customFormat="false" ht="16.5" hidden="false" customHeight="false" outlineLevel="0" collapsed="false">
      <c r="A44" s="1307"/>
      <c r="B44" s="1425"/>
      <c r="C44" s="1426"/>
      <c r="D44" s="1379"/>
      <c r="E44" s="1427"/>
      <c r="F44" s="1428"/>
      <c r="G44" s="1429"/>
      <c r="H44" s="1430"/>
      <c r="I44" s="1451"/>
      <c r="J44" s="1452"/>
      <c r="K44" s="1453"/>
      <c r="L44" s="1376"/>
      <c r="M44" s="1364"/>
      <c r="N44" s="1364"/>
      <c r="O44" s="1351" t="s">
        <v>508</v>
      </c>
      <c r="P44" s="1352" t="n">
        <f aca="false">+'DG-PV Organic'!AI34</f>
        <v>97328000</v>
      </c>
      <c r="Q44" s="1352" t="n">
        <f aca="false">+P44*0.1</f>
        <v>9732800</v>
      </c>
      <c r="R44" s="1457" t="n">
        <f aca="false">SUM(P44:Q44)</f>
        <v>107060800</v>
      </c>
      <c r="S44" s="1458" t="b">
        <f aca="false">+R44=AO44</f>
        <v>1</v>
      </c>
      <c r="T44" s="1355"/>
      <c r="U44" s="668"/>
      <c r="V44" s="1355" t="n">
        <f aca="false">+IFERROR(X44/$R44,"-")</f>
        <v>0</v>
      </c>
      <c r="W44" s="1357"/>
      <c r="X44" s="1357"/>
      <c r="Y44" s="1357"/>
      <c r="Z44" s="1357" t="n">
        <f aca="false">+IFERROR(AA44/$R44,"-")</f>
        <v>0</v>
      </c>
      <c r="AA44" s="1357"/>
      <c r="AB44" s="1358"/>
      <c r="AC44" s="1357" t="n">
        <f aca="false">+IFERROR(AD44/$R44,"-")</f>
        <v>0</v>
      </c>
      <c r="AD44" s="1357"/>
      <c r="AE44" s="1358"/>
      <c r="AF44" s="1357" t="n">
        <f aca="false">+IFERROR(AG44/$R44,"-")</f>
        <v>0</v>
      </c>
      <c r="AG44" s="1357"/>
      <c r="AH44" s="1358"/>
      <c r="AI44" s="1357" t="str">
        <f aca="false">+IFERROR(AJ44/#REF!,"-")</f>
        <v>-</v>
      </c>
      <c r="AJ44" s="1357"/>
      <c r="AK44" s="1357"/>
      <c r="AL44" s="1357"/>
      <c r="AM44" s="1357"/>
      <c r="AN44" s="1357"/>
      <c r="AO44" s="1359" t="n">
        <f aca="false">+R44</f>
        <v>107060800</v>
      </c>
      <c r="AP44" s="1359" t="e">
        <f aca="false">+AS44+AU44</f>
        <v>#VALUE!</v>
      </c>
      <c r="AQ44" s="1459"/>
      <c r="AR44" s="1440"/>
      <c r="AS44" s="1361" t="e">
        <f aca="false">+$AO44*'ref.지급기준 (2)'!#ref!</f>
        <v>#VALUE!</v>
      </c>
      <c r="AT44" s="1359" t="n">
        <f aca="false">+X44</f>
        <v>0</v>
      </c>
      <c r="AU44" s="1359" t="e">
        <f aca="false">+$AO44*'ref.지급기준 (2)'!#ref!</f>
        <v>#VALUE!</v>
      </c>
      <c r="AV44" s="1359" t="n">
        <f aca="false">+AA44</f>
        <v>0</v>
      </c>
      <c r="AW44" s="1359" t="e">
        <f aca="false">+$AO44*'ref.지급기준 (2)'!#ref!</f>
        <v>#VALUE!</v>
      </c>
      <c r="AX44" s="1359"/>
      <c r="AY44" s="1359" t="e">
        <f aca="false">+$AO44*'ref.지급기준 (2)'!#ref!</f>
        <v>#VALUE!</v>
      </c>
      <c r="AZ44" s="1359"/>
      <c r="BA44" s="1359" t="e">
        <f aca="false">+$AO44*'ref.지급기준 (2)'!#ref!</f>
        <v>#VALUE!</v>
      </c>
      <c r="BB44" s="1362"/>
      <c r="BC44" s="1441"/>
      <c r="BD44" s="1278"/>
      <c r="BE44" s="1278" t="e">
        <f aca="false">+(BA44+AY44+AW44+AU44+AS44)=R44</f>
        <v>#VALUE!</v>
      </c>
      <c r="BF44" s="1278"/>
      <c r="BG44" s="1278"/>
      <c r="BH44" s="1278"/>
      <c r="BI44" s="1278"/>
      <c r="BJ44" s="1278"/>
      <c r="BK44" s="1278"/>
      <c r="BL44" s="1278"/>
      <c r="BM44" s="1278"/>
      <c r="BN44" s="1278"/>
      <c r="BO44" s="1333"/>
      <c r="BP44" s="1333"/>
    </row>
    <row r="45" customFormat="false" ht="16.5" hidden="false" customHeight="true" outlineLevel="0" collapsed="false">
      <c r="A45" s="1307"/>
      <c r="B45" s="1425"/>
      <c r="C45" s="1426"/>
      <c r="D45" s="1379"/>
      <c r="E45" s="1427"/>
      <c r="F45" s="1428"/>
      <c r="G45" s="1429"/>
      <c r="H45" s="1430"/>
      <c r="I45" s="1451" t="s">
        <v>1484</v>
      </c>
      <c r="J45" s="1452" t="str">
        <f aca="false">+'ref.지급기준 (2)'!C139</f>
        <v>Pungcheon Im clan</v>
      </c>
      <c r="K45" s="1453" t="n">
        <f aca="false">+'DG-PV Organic'!O35</f>
        <v>188.16</v>
      </c>
      <c r="L45" s="1376" t="n">
        <f aca="false">+'DG-PV Organic'!H35</f>
        <v>0.0919</v>
      </c>
      <c r="M45" s="1364" t="n">
        <f aca="false">+'DG-PV Organic'!J35</f>
        <v>0.096</v>
      </c>
      <c r="N45" s="1364" t="s">
        <v>1479</v>
      </c>
      <c r="O45" s="1365" t="s">
        <v>112</v>
      </c>
      <c r="P45" s="1366" t="n">
        <f aca="false">+'DG-PV Organic'!AL35</f>
        <v>197568000</v>
      </c>
      <c r="Q45" s="1366" t="n">
        <f aca="false">+P45*10%</f>
        <v>19756800</v>
      </c>
      <c r="R45" s="1436" t="n">
        <f aca="false">SUM(P45:Q45)</f>
        <v>217324800</v>
      </c>
      <c r="S45" s="1454" t="b">
        <f aca="false">+R45=AO45</f>
        <v>1</v>
      </c>
      <c r="T45" s="1323" t="n">
        <f aca="false">+IFERROR(U45/R45,"-")</f>
        <v>0</v>
      </c>
      <c r="U45" s="1368" t="n">
        <f aca="false">+IFERROR(X45+AA45+AD45+AG45+AJ45+AM45,"-")</f>
        <v>0</v>
      </c>
      <c r="V45" s="1323" t="n">
        <f aca="false">+IFERROR(X45/$R45,"-")</f>
        <v>0</v>
      </c>
      <c r="W45" s="1346" t="n">
        <f aca="false">AE48</f>
        <v>45838</v>
      </c>
      <c r="X45" s="1392"/>
      <c r="Y45" s="1324"/>
      <c r="Z45" s="1345" t="n">
        <f aca="false">+IFERROR(AA45/$R45,"-")</f>
        <v>0</v>
      </c>
      <c r="AA45" s="1345"/>
      <c r="AB45" s="1346" t="n">
        <f aca="false">+EDATE(W45,1)</f>
        <v>45868</v>
      </c>
      <c r="AC45" s="1345" t="n">
        <f aca="false">+IFERROR(AD45/$R45,"-")</f>
        <v>0</v>
      </c>
      <c r="AD45" s="1345"/>
      <c r="AE45" s="1346" t="n">
        <f aca="false">+EDATE(AB45,3)</f>
        <v>45960</v>
      </c>
      <c r="AF45" s="1345" t="n">
        <f aca="false">+IFERROR(AG45/$R45,"-")</f>
        <v>0</v>
      </c>
      <c r="AG45" s="1345"/>
      <c r="AH45" s="1346" t="n">
        <f aca="false">+EDATE(AB45,4)</f>
        <v>45991</v>
      </c>
      <c r="AI45" s="1345" t="str">
        <f aca="false">+IFERROR(AJ45/#REF!,"-")</f>
        <v>-</v>
      </c>
      <c r="AJ45" s="1345"/>
      <c r="AK45" s="1346" t="n">
        <f aca="false">+EDATE(AB45,6)+1</f>
        <v>46053</v>
      </c>
      <c r="AL45" s="1324" t="str">
        <f aca="false">+IFERROR(AM45/#REF!,"-")</f>
        <v>-</v>
      </c>
      <c r="AM45" s="1324"/>
      <c r="AN45" s="1324"/>
      <c r="AO45" s="1326" t="n">
        <f aca="false">+R45</f>
        <v>217324800</v>
      </c>
      <c r="AP45" s="1326" t="e">
        <f aca="false">+AS45</f>
        <v>#VALUE!</v>
      </c>
      <c r="AQ45" s="1455" t="s">
        <v>373</v>
      </c>
      <c r="AR45" s="1440"/>
      <c r="AS45" s="1349" t="e">
        <f aca="false">+$AO45*'ref.지급기준 (2)'!#ref!</f>
        <v>#VALUE!</v>
      </c>
      <c r="AT45" s="1347" t="n">
        <f aca="false">+X45</f>
        <v>0</v>
      </c>
      <c r="AU45" s="1347" t="e">
        <f aca="false">+$AO45*'ref.지급기준 (2)'!#ref!</f>
        <v>#VALUE!</v>
      </c>
      <c r="AV45" s="1347" t="n">
        <f aca="false">+AA45</f>
        <v>0</v>
      </c>
      <c r="AW45" s="1347" t="e">
        <f aca="false">+$AO45*'ref.지급기준 (2)'!#ref!</f>
        <v>#VALUE!</v>
      </c>
      <c r="AX45" s="1347"/>
      <c r="AY45" s="1347" t="e">
        <f aca="false">+$AO45*'ref.지급기준 (2)'!#ref!</f>
        <v>#VALUE!</v>
      </c>
      <c r="AZ45" s="1347"/>
      <c r="BA45" s="1347" t="e">
        <f aca="false">+$AO45*'ref.지급기준 (2)'!#ref!</f>
        <v>#VALUE!</v>
      </c>
      <c r="BB45" s="1350"/>
      <c r="BC45" s="1441" t="s">
        <v>1475</v>
      </c>
      <c r="BD45" s="1278"/>
      <c r="BE45" s="1278" t="e">
        <f aca="false">+(BA45+AY45+AW45+AU45+AS45)=R45</f>
        <v>#VALUE!</v>
      </c>
      <c r="BF45" s="1278"/>
      <c r="BG45" s="1278"/>
      <c r="BH45" s="1278"/>
      <c r="BI45" s="1278"/>
      <c r="BJ45" s="1278"/>
      <c r="BK45" s="1278"/>
      <c r="BL45" s="1278"/>
      <c r="BM45" s="1278"/>
      <c r="BN45" s="1278"/>
      <c r="BO45" s="1333"/>
      <c r="BP45" s="1333"/>
    </row>
    <row r="46" customFormat="false" ht="16.5" hidden="false" customHeight="false" outlineLevel="0" collapsed="false">
      <c r="A46" s="1307"/>
      <c r="B46" s="1425"/>
      <c r="C46" s="1426"/>
      <c r="D46" s="1379"/>
      <c r="E46" s="1427"/>
      <c r="F46" s="1428"/>
      <c r="G46" s="1429"/>
      <c r="H46" s="1430"/>
      <c r="I46" s="1451"/>
      <c r="J46" s="1452"/>
      <c r="K46" s="1453"/>
      <c r="L46" s="1376"/>
      <c r="M46" s="1364"/>
      <c r="N46" s="1364"/>
      <c r="O46" s="1334" t="s">
        <v>114</v>
      </c>
      <c r="P46" s="1335" t="n">
        <f aca="false">+'DG-PV Organic'!AK35</f>
        <v>56448000</v>
      </c>
      <c r="Q46" s="1335" t="n">
        <f aca="false">+P46*10%</f>
        <v>5644800</v>
      </c>
      <c r="R46" s="1384" t="n">
        <f aca="false">SUM(P46:Q46)</f>
        <v>62092800</v>
      </c>
      <c r="S46" s="1404" t="b">
        <f aca="false">+R46=AO46</f>
        <v>1</v>
      </c>
      <c r="T46" s="1337" t="n">
        <f aca="false">+IFERROR(U46/R46,"-")</f>
        <v>0</v>
      </c>
      <c r="U46" s="1338" t="n">
        <f aca="false">+IFERROR(X46+AA46+AD46+AG46+AJ46+AM46,"-")</f>
        <v>0</v>
      </c>
      <c r="V46" s="1337" t="n">
        <f aca="false">+IFERROR(X46/$R46,"-")</f>
        <v>0</v>
      </c>
      <c r="W46" s="1396" t="n">
        <v>45703</v>
      </c>
      <c r="X46" s="1395"/>
      <c r="Y46" s="1345"/>
      <c r="Z46" s="1345" t="n">
        <f aca="false">+IFERROR(AA46/$R46,"-")</f>
        <v>0</v>
      </c>
      <c r="AA46" s="1397"/>
      <c r="AB46" s="1346" t="n">
        <v>45808</v>
      </c>
      <c r="AC46" s="1345" t="n">
        <f aca="false">+IFERROR(AD46/$R46,"-")</f>
        <v>0</v>
      </c>
      <c r="AD46" s="1345"/>
      <c r="AE46" s="1346" t="n">
        <f aca="false">+EDATE(AB46,1)</f>
        <v>45838</v>
      </c>
      <c r="AF46" s="1345" t="n">
        <f aca="false">+IFERROR(AG46/$R46,"-")</f>
        <v>0</v>
      </c>
      <c r="AG46" s="1345"/>
      <c r="AH46" s="1346" t="n">
        <f aca="false">+EDATE(AB45,12)</f>
        <v>46233</v>
      </c>
      <c r="AI46" s="1345" t="str">
        <f aca="false">+IFERROR(AJ46/#REF!,"-")</f>
        <v>-</v>
      </c>
      <c r="AJ46" s="1345"/>
      <c r="AK46" s="1345"/>
      <c r="AL46" s="1345" t="str">
        <f aca="false">+IFERROR(AM46/#REF!,"-")</f>
        <v>-</v>
      </c>
      <c r="AM46" s="1345"/>
      <c r="AN46" s="1345"/>
      <c r="AO46" s="1347" t="n">
        <f aca="false">+R46</f>
        <v>62092800</v>
      </c>
      <c r="AP46" s="1347" t="e">
        <f aca="false">+AS46</f>
        <v>#VALUE!</v>
      </c>
      <c r="AQ46" s="1456"/>
      <c r="AR46" s="1440"/>
      <c r="AS46" s="1349" t="e">
        <f aca="false">+$AO46*'ref.지급기준 (2)'!#ref!</f>
        <v>#VALUE!</v>
      </c>
      <c r="AT46" s="1347" t="n">
        <f aca="false">+X46</f>
        <v>0</v>
      </c>
      <c r="AU46" s="1347" t="e">
        <f aca="false">+$AO46*'ref.지급기준 (2)'!#ref!</f>
        <v>#VALUE!</v>
      </c>
      <c r="AV46" s="1347" t="n">
        <f aca="false">+AA46</f>
        <v>0</v>
      </c>
      <c r="AW46" s="1347" t="e">
        <f aca="false">+$AO46*'ref.지급기준 (2)'!#ref!</f>
        <v>#VALUE!</v>
      </c>
      <c r="AX46" s="1347"/>
      <c r="AY46" s="1347" t="e">
        <f aca="false">+$AO46*'ref.지급기준 (2)'!#ref!</f>
        <v>#VALUE!</v>
      </c>
      <c r="AZ46" s="1347"/>
      <c r="BA46" s="1347" t="e">
        <f aca="false">+$AO46*'ref.지급기준 (2)'!#ref!</f>
        <v>#VALUE!</v>
      </c>
      <c r="BB46" s="1350"/>
      <c r="BC46" s="1441"/>
      <c r="BD46" s="1278"/>
      <c r="BE46" s="1278" t="e">
        <f aca="false">+(BA46+AY46+AW46+AU46+AS46)=R46</f>
        <v>#VALUE!</v>
      </c>
      <c r="BF46" s="1278"/>
      <c r="BG46" s="1278"/>
      <c r="BH46" s="1278"/>
      <c r="BI46" s="1278"/>
      <c r="BJ46" s="1278"/>
      <c r="BK46" s="1278"/>
      <c r="BL46" s="1278"/>
      <c r="BM46" s="1278"/>
      <c r="BN46" s="1278"/>
      <c r="BO46" s="1333"/>
      <c r="BP46" s="1333"/>
    </row>
    <row r="47" customFormat="false" ht="16.5" hidden="false" customHeight="false" outlineLevel="0" collapsed="false">
      <c r="A47" s="1307"/>
      <c r="B47" s="1425"/>
      <c r="C47" s="1426"/>
      <c r="D47" s="1379"/>
      <c r="E47" s="1427"/>
      <c r="F47" s="1428"/>
      <c r="G47" s="1429"/>
      <c r="H47" s="1430"/>
      <c r="I47" s="1451"/>
      <c r="J47" s="1452"/>
      <c r="K47" s="1453"/>
      <c r="L47" s="1376"/>
      <c r="M47" s="1364"/>
      <c r="N47" s="1364"/>
      <c r="O47" s="1334" t="s">
        <v>404</v>
      </c>
      <c r="P47" s="1335" t="n">
        <v>0</v>
      </c>
      <c r="Q47" s="1335"/>
      <c r="R47" s="1384" t="n">
        <f aca="false">SUM(P47:Q47)</f>
        <v>0</v>
      </c>
      <c r="S47" s="1404" t="b">
        <f aca="false">+R47=AO47</f>
        <v>1</v>
      </c>
      <c r="T47" s="1337" t="str">
        <f aca="false">+IFERROR(U47/R47,"-")</f>
        <v>-</v>
      </c>
      <c r="U47" s="1338" t="n">
        <f aca="false">+IFERROR(X47+AA47+AD47+AG47+AJ47+AM47,"-")</f>
        <v>0</v>
      </c>
      <c r="V47" s="1337" t="str">
        <f aca="false">+IFERROR(X47/$R47,"-")</f>
        <v>-</v>
      </c>
      <c r="W47" s="1396"/>
      <c r="X47" s="1395"/>
      <c r="Y47" s="1345"/>
      <c r="Z47" s="1345" t="str">
        <f aca="false">+IFERROR(AA47/$R47,"-")</f>
        <v>-</v>
      </c>
      <c r="AA47" s="1345"/>
      <c r="AB47" s="1346"/>
      <c r="AC47" s="1345" t="str">
        <f aca="false">+IFERROR(AD47/$R47,"-")</f>
        <v>-</v>
      </c>
      <c r="AD47" s="1345"/>
      <c r="AE47" s="1346"/>
      <c r="AF47" s="1345" t="str">
        <f aca="false">+IFERROR(AG47/$R47,"-")</f>
        <v>-</v>
      </c>
      <c r="AG47" s="1345"/>
      <c r="AH47" s="1346"/>
      <c r="AI47" s="1345" t="str">
        <f aca="false">+IFERROR(AJ47/#REF!,"-")</f>
        <v>-</v>
      </c>
      <c r="AJ47" s="1345"/>
      <c r="AK47" s="1345"/>
      <c r="AL47" s="1345" t="str">
        <f aca="false">+IFERROR(AM47/#REF!,"-")</f>
        <v>-</v>
      </c>
      <c r="AM47" s="1345"/>
      <c r="AN47" s="1345"/>
      <c r="AO47" s="1347" t="n">
        <f aca="false">+R47</f>
        <v>0</v>
      </c>
      <c r="AP47" s="1347" t="e">
        <f aca="false">+AS47</f>
        <v>#VALUE!</v>
      </c>
      <c r="AQ47" s="1456"/>
      <c r="AR47" s="1440"/>
      <c r="AS47" s="1349" t="e">
        <f aca="false">+$AO47*'ref.지급기준 (2)'!#ref!</f>
        <v>#VALUE!</v>
      </c>
      <c r="AT47" s="1347" t="n">
        <f aca="false">+X47</f>
        <v>0</v>
      </c>
      <c r="AU47" s="1347" t="e">
        <f aca="false">+$AO47*'ref.지급기준 (2)'!#ref!</f>
        <v>#VALUE!</v>
      </c>
      <c r="AV47" s="1347" t="n">
        <f aca="false">+AA47</f>
        <v>0</v>
      </c>
      <c r="AW47" s="1347" t="e">
        <f aca="false">+$AO47*'ref.지급기준 (2)'!#ref!</f>
        <v>#VALUE!</v>
      </c>
      <c r="AX47" s="1347"/>
      <c r="AY47" s="1347" t="e">
        <f aca="false">+$AO47*'ref.지급기준 (2)'!#ref!</f>
        <v>#VALUE!</v>
      </c>
      <c r="AZ47" s="1347"/>
      <c r="BA47" s="1347" t="e">
        <f aca="false">+$AO47*'ref.지급기준 (2)'!#ref!</f>
        <v>#VALUE!</v>
      </c>
      <c r="BB47" s="1350"/>
      <c r="BC47" s="1441"/>
      <c r="BD47" s="1278"/>
      <c r="BE47" s="1278" t="e">
        <f aca="false">+(BA47+AY47+AW47+AU47+AS47)=R47</f>
        <v>#VALUE!</v>
      </c>
      <c r="BF47" s="1278"/>
      <c r="BG47" s="1278"/>
      <c r="BH47" s="1278"/>
      <c r="BI47" s="1278"/>
      <c r="BJ47" s="1278"/>
      <c r="BK47" s="1278"/>
      <c r="BL47" s="1278"/>
      <c r="BM47" s="1278"/>
      <c r="BN47" s="1278"/>
      <c r="BO47" s="1333"/>
      <c r="BP47" s="1333"/>
    </row>
    <row r="48" customFormat="false" ht="16.5" hidden="false" customHeight="false" outlineLevel="0" collapsed="false">
      <c r="A48" s="1307"/>
      <c r="B48" s="1425"/>
      <c r="C48" s="1426"/>
      <c r="D48" s="1379"/>
      <c r="E48" s="1427"/>
      <c r="F48" s="1428"/>
      <c r="G48" s="1429"/>
      <c r="H48" s="1430"/>
      <c r="I48" s="1451"/>
      <c r="J48" s="1452"/>
      <c r="K48" s="1453"/>
      <c r="L48" s="1376"/>
      <c r="M48" s="1364"/>
      <c r="N48" s="1364"/>
      <c r="O48" s="1334" t="s">
        <v>507</v>
      </c>
      <c r="P48" s="1335" t="n">
        <f aca="false">+'DG-PV Organic'!AJ35</f>
        <v>28224000</v>
      </c>
      <c r="Q48" s="1335" t="n">
        <f aca="false">+P48*10%</f>
        <v>2822400</v>
      </c>
      <c r="R48" s="1384" t="n">
        <f aca="false">SUM(P48:Q48)</f>
        <v>31046400</v>
      </c>
      <c r="S48" s="1404" t="b">
        <f aca="false">+R48=AO48</f>
        <v>1</v>
      </c>
      <c r="T48" s="1337" t="n">
        <f aca="false">+IFERROR(U48/R48,"-")</f>
        <v>0</v>
      </c>
      <c r="U48" s="1338" t="n">
        <f aca="false">+IFERROR(X48+AA48+AD48+AG48+AJ48+AM48,"-")</f>
        <v>0</v>
      </c>
      <c r="V48" s="1337" t="n">
        <f aca="false">+IFERROR(X48/$R48,"-")</f>
        <v>0</v>
      </c>
      <c r="W48" s="1396" t="n">
        <f aca="false">W46</f>
        <v>45703</v>
      </c>
      <c r="X48" s="1395"/>
      <c r="Y48" s="1345"/>
      <c r="Z48" s="1345" t="n">
        <f aca="false">+IFERROR(AA48/$R48,"-")</f>
        <v>0</v>
      </c>
      <c r="AA48" s="1345"/>
      <c r="AB48" s="1346" t="n">
        <f aca="false">AB46</f>
        <v>45808</v>
      </c>
      <c r="AC48" s="1345" t="n">
        <f aca="false">+IFERROR(AD48/$R48,"-")</f>
        <v>0</v>
      </c>
      <c r="AD48" s="1345"/>
      <c r="AE48" s="1346" t="n">
        <f aca="false">AE46</f>
        <v>45838</v>
      </c>
      <c r="AF48" s="1345" t="n">
        <f aca="false">+IFERROR(AG48/$R48,"-")</f>
        <v>0</v>
      </c>
      <c r="AG48" s="1345"/>
      <c r="AH48" s="1346" t="n">
        <f aca="false">AH46</f>
        <v>46233</v>
      </c>
      <c r="AI48" s="1345" t="str">
        <f aca="false">+IFERROR(AJ48/#REF!,"-")</f>
        <v>-</v>
      </c>
      <c r="AJ48" s="1345"/>
      <c r="AK48" s="1345"/>
      <c r="AL48" s="1345" t="str">
        <f aca="false">+IFERROR(AM48/#REF!,"-")</f>
        <v>-</v>
      </c>
      <c r="AM48" s="1345"/>
      <c r="AN48" s="1345"/>
      <c r="AO48" s="1347" t="n">
        <f aca="false">+R48</f>
        <v>31046400</v>
      </c>
      <c r="AP48" s="1347" t="e">
        <f aca="false">+AS48</f>
        <v>#VALUE!</v>
      </c>
      <c r="AQ48" s="1456"/>
      <c r="AR48" s="1440"/>
      <c r="AS48" s="1349" t="e">
        <f aca="false">+$AO48*'ref.지급기준 (2)'!#ref!</f>
        <v>#VALUE!</v>
      </c>
      <c r="AT48" s="1347" t="n">
        <f aca="false">+X48</f>
        <v>0</v>
      </c>
      <c r="AU48" s="1347" t="e">
        <f aca="false">+$AO48*'ref.지급기준 (2)'!#ref!</f>
        <v>#VALUE!</v>
      </c>
      <c r="AV48" s="1347" t="n">
        <f aca="false">+AA48</f>
        <v>0</v>
      </c>
      <c r="AW48" s="1347" t="e">
        <f aca="false">+$AO48*'ref.지급기준 (2)'!#ref!</f>
        <v>#VALUE!</v>
      </c>
      <c r="AX48" s="1347"/>
      <c r="AY48" s="1347" t="e">
        <f aca="false">+$AO48*'ref.지급기준 (2)'!#ref!</f>
        <v>#VALUE!</v>
      </c>
      <c r="AZ48" s="1347"/>
      <c r="BA48" s="1347" t="e">
        <f aca="false">+$AO48*'ref.지급기준 (2)'!#ref!</f>
        <v>#VALUE!</v>
      </c>
      <c r="BB48" s="1350"/>
      <c r="BC48" s="1441"/>
      <c r="BD48" s="1278"/>
      <c r="BE48" s="1278" t="e">
        <f aca="false">+(BA48+AY48+AW48+AU48+AS48)=R48</f>
        <v>#VALUE!</v>
      </c>
      <c r="BF48" s="1278"/>
      <c r="BG48" s="1278"/>
      <c r="BH48" s="1278"/>
      <c r="BI48" s="1278"/>
      <c r="BJ48" s="1278"/>
      <c r="BK48" s="1278"/>
      <c r="BL48" s="1278"/>
      <c r="BM48" s="1278"/>
      <c r="BN48" s="1278"/>
      <c r="BO48" s="1333"/>
      <c r="BP48" s="1333"/>
    </row>
    <row r="49" customFormat="false" ht="16.5" hidden="false" customHeight="false" outlineLevel="0" collapsed="false">
      <c r="A49" s="1307"/>
      <c r="B49" s="1425"/>
      <c r="C49" s="1426"/>
      <c r="D49" s="1379"/>
      <c r="E49" s="1427"/>
      <c r="F49" s="1428"/>
      <c r="G49" s="1429"/>
      <c r="H49" s="1430"/>
      <c r="I49" s="1451"/>
      <c r="J49" s="1452"/>
      <c r="K49" s="1453"/>
      <c r="L49" s="1376"/>
      <c r="M49" s="1364"/>
      <c r="N49" s="1364"/>
      <c r="O49" s="1351" t="s">
        <v>508</v>
      </c>
      <c r="P49" s="1352" t="n">
        <f aca="false">+'DG-PV Organic'!AI35</f>
        <v>32928000</v>
      </c>
      <c r="Q49" s="1352" t="n">
        <f aca="false">+P49*0.1</f>
        <v>3292800</v>
      </c>
      <c r="R49" s="1457" t="n">
        <f aca="false">SUM(P49:Q49)</f>
        <v>36220800</v>
      </c>
      <c r="S49" s="1458" t="b">
        <f aca="false">+R49=AO49</f>
        <v>1</v>
      </c>
      <c r="T49" s="1355"/>
      <c r="U49" s="668"/>
      <c r="V49" s="1355" t="n">
        <f aca="false">+IFERROR(X49/$R49,"-")</f>
        <v>0</v>
      </c>
      <c r="W49" s="1357"/>
      <c r="X49" s="1357"/>
      <c r="Y49" s="1357"/>
      <c r="Z49" s="1357" t="n">
        <f aca="false">+IFERROR(AA49/$R49,"-")</f>
        <v>0</v>
      </c>
      <c r="AA49" s="1357"/>
      <c r="AB49" s="1358"/>
      <c r="AC49" s="1357" t="n">
        <f aca="false">+IFERROR(AD49/$R49,"-")</f>
        <v>0</v>
      </c>
      <c r="AD49" s="1357"/>
      <c r="AE49" s="1358"/>
      <c r="AF49" s="1357" t="n">
        <f aca="false">+IFERROR(AG49/$R49,"-")</f>
        <v>0</v>
      </c>
      <c r="AG49" s="1357"/>
      <c r="AH49" s="1358"/>
      <c r="AI49" s="1357" t="str">
        <f aca="false">+IFERROR(AJ49/#REF!,"-")</f>
        <v>-</v>
      </c>
      <c r="AJ49" s="1357"/>
      <c r="AK49" s="1357"/>
      <c r="AL49" s="1357"/>
      <c r="AM49" s="1357"/>
      <c r="AN49" s="1357"/>
      <c r="AO49" s="1359" t="n">
        <f aca="false">+R49</f>
        <v>36220800</v>
      </c>
      <c r="AP49" s="1359" t="e">
        <f aca="false">+AS49+AU49</f>
        <v>#VALUE!</v>
      </c>
      <c r="AQ49" s="1459"/>
      <c r="AR49" s="1440"/>
      <c r="AS49" s="1361" t="e">
        <f aca="false">+$AO49*'ref.지급기준 (2)'!#ref!</f>
        <v>#VALUE!</v>
      </c>
      <c r="AT49" s="1359" t="n">
        <f aca="false">+X49</f>
        <v>0</v>
      </c>
      <c r="AU49" s="1359" t="e">
        <f aca="false">+$AO49*'ref.지급기준 (2)'!#ref!</f>
        <v>#VALUE!</v>
      </c>
      <c r="AV49" s="1359" t="n">
        <f aca="false">+AA49</f>
        <v>0</v>
      </c>
      <c r="AW49" s="1359" t="e">
        <f aca="false">+$AO49*'ref.지급기준 (2)'!#ref!</f>
        <v>#VALUE!</v>
      </c>
      <c r="AX49" s="1359"/>
      <c r="AY49" s="1359" t="e">
        <f aca="false">+$AO49*'ref.지급기준 (2)'!#ref!</f>
        <v>#VALUE!</v>
      </c>
      <c r="AZ49" s="1359"/>
      <c r="BA49" s="1359" t="e">
        <f aca="false">+$AO49*'ref.지급기준 (2)'!#ref!</f>
        <v>#VALUE!</v>
      </c>
      <c r="BB49" s="1362"/>
      <c r="BC49" s="1441"/>
      <c r="BD49" s="1278"/>
      <c r="BE49" s="1278" t="e">
        <f aca="false">+(BA49+AY49+AW49+AU49+AS49)=R49</f>
        <v>#VALUE!</v>
      </c>
      <c r="BF49" s="1278"/>
      <c r="BG49" s="1278"/>
      <c r="BH49" s="1278"/>
      <c r="BI49" s="1278"/>
      <c r="BJ49" s="1278"/>
      <c r="BK49" s="1278"/>
      <c r="BL49" s="1278"/>
      <c r="BM49" s="1278"/>
      <c r="BN49" s="1278"/>
      <c r="BO49" s="1333"/>
      <c r="BP49" s="1333"/>
    </row>
    <row r="50" customFormat="false" ht="16.5" hidden="false" customHeight="true" outlineLevel="0" collapsed="false">
      <c r="A50" s="1307"/>
      <c r="B50" s="1425"/>
      <c r="C50" s="1426"/>
      <c r="D50" s="1379"/>
      <c r="E50" s="1427"/>
      <c r="F50" s="1428"/>
      <c r="G50" s="1429"/>
      <c r="H50" s="1430"/>
      <c r="I50" s="1451" t="s">
        <v>1485</v>
      </c>
      <c r="J50" s="1452" t="str">
        <f aca="false">+'ref.지급기준 (2)'!C144</f>
        <v>Guemjeong Techno</v>
      </c>
      <c r="K50" s="1453" t="n">
        <f aca="false">+'ref.지급기준 (2)'!D144</f>
        <v>122</v>
      </c>
      <c r="L50" s="1376" t="n">
        <f aca="false">+'DG-PV Organic'!H38</f>
        <v>0.0895</v>
      </c>
      <c r="M50" s="1364" t="n">
        <f aca="false">+'DG-PV Organic'!J38</f>
        <v>0.096</v>
      </c>
      <c r="N50" s="1364" t="s">
        <v>1454</v>
      </c>
      <c r="O50" s="1365" t="s">
        <v>112</v>
      </c>
      <c r="P50" s="1366" t="n">
        <f aca="false">+'DG-PV Organic'!AL38</f>
        <v>128100000</v>
      </c>
      <c r="Q50" s="1366" t="n">
        <f aca="false">+P50*10%</f>
        <v>12810000</v>
      </c>
      <c r="R50" s="1436" t="n">
        <f aca="false">SUM(P50:Q50)</f>
        <v>140910000</v>
      </c>
      <c r="S50" s="1454" t="b">
        <f aca="false">+R50=AO50</f>
        <v>1</v>
      </c>
      <c r="T50" s="1323" t="n">
        <f aca="false">+IFERROR(U50/R50,"-")</f>
        <v>0</v>
      </c>
      <c r="U50" s="1368" t="n">
        <f aca="false">+IFERROR(X50+AA50+AD50+AG50+AJ50+AM50,"-")</f>
        <v>0</v>
      </c>
      <c r="V50" s="1345" t="n">
        <f aca="false">+IFERROR(X50/$R50,"-")</f>
        <v>0</v>
      </c>
      <c r="W50" s="1346" t="n">
        <f aca="false">AE53</f>
        <v>45838</v>
      </c>
      <c r="X50" s="1395"/>
      <c r="Y50" s="1345"/>
      <c r="Z50" s="1345" t="n">
        <f aca="false">+IFERROR(AA50/$R50,"-")</f>
        <v>0</v>
      </c>
      <c r="AA50" s="1345"/>
      <c r="AB50" s="1346" t="n">
        <f aca="false">+EDATE(W50,1)</f>
        <v>45868</v>
      </c>
      <c r="AC50" s="1345" t="n">
        <f aca="false">+IFERROR(AD50/$R50,"-")</f>
        <v>0</v>
      </c>
      <c r="AD50" s="1345"/>
      <c r="AE50" s="1346" t="n">
        <f aca="false">+EDATE(AB50,3)</f>
        <v>45960</v>
      </c>
      <c r="AF50" s="1345" t="n">
        <f aca="false">+IFERROR(AG50/$R50,"-")</f>
        <v>0</v>
      </c>
      <c r="AG50" s="1345"/>
      <c r="AH50" s="1346" t="n">
        <f aca="false">+EDATE(AB50,4)</f>
        <v>45991</v>
      </c>
      <c r="AI50" s="1345" t="str">
        <f aca="false">+IFERROR(AJ50/#REF!,"-")</f>
        <v>-</v>
      </c>
      <c r="AJ50" s="1345"/>
      <c r="AK50" s="1346" t="n">
        <f aca="false">+EDATE(AB50,6)+1</f>
        <v>46053</v>
      </c>
      <c r="AL50" s="1324" t="str">
        <f aca="false">+IFERROR(AM50/#REF!,"-")</f>
        <v>-</v>
      </c>
      <c r="AM50" s="1324"/>
      <c r="AN50" s="1324"/>
      <c r="AO50" s="1326" t="n">
        <f aca="false">+R50</f>
        <v>140910000</v>
      </c>
      <c r="AP50" s="1326" t="n">
        <f aca="false">+AS50</f>
        <v>14091000</v>
      </c>
      <c r="AQ50" s="1455" t="s">
        <v>373</v>
      </c>
      <c r="AR50" s="1440"/>
      <c r="AS50" s="1349" t="n">
        <f aca="false">+$AO50*'ref.지급기준 (2)'!G134</f>
        <v>14091000</v>
      </c>
      <c r="AT50" s="1347" t="n">
        <f aca="false">+X50</f>
        <v>0</v>
      </c>
      <c r="AU50" s="1347" t="n">
        <f aca="false">+$AO50*'ref.지급기준 (2)'!I134</f>
        <v>28182000</v>
      </c>
      <c r="AV50" s="1347" t="n">
        <f aca="false">+AA50</f>
        <v>0</v>
      </c>
      <c r="AW50" s="1347" t="n">
        <f aca="false">+$AO50*'ref.지급기준 (2)'!K134</f>
        <v>56364000</v>
      </c>
      <c r="AX50" s="1347"/>
      <c r="AY50" s="1347" t="n">
        <f aca="false">+$AO50*'ref.지급기준 (2)'!M134</f>
        <v>35227500</v>
      </c>
      <c r="AZ50" s="1347"/>
      <c r="BA50" s="1347" t="n">
        <f aca="false">+$AO50*'ref.지급기준 (2)'!O134</f>
        <v>7045500</v>
      </c>
      <c r="BB50" s="1350"/>
      <c r="BC50" s="1441" t="s">
        <v>1475</v>
      </c>
      <c r="BD50" s="1278"/>
      <c r="BE50" s="1332" t="b">
        <f aca="false">+(BA50+AY50+AW50+AU50+AS50)=R50</f>
        <v>1</v>
      </c>
      <c r="BF50" s="1278"/>
      <c r="BG50" s="1278"/>
      <c r="BH50" s="1278"/>
      <c r="BI50" s="1278"/>
      <c r="BJ50" s="1278"/>
      <c r="BK50" s="1278"/>
      <c r="BL50" s="1278"/>
      <c r="BM50" s="1278"/>
      <c r="BN50" s="1278"/>
      <c r="BO50" s="1333"/>
      <c r="BP50" s="1333"/>
    </row>
    <row r="51" customFormat="false" ht="16.5" hidden="false" customHeight="false" outlineLevel="0" collapsed="false">
      <c r="A51" s="1307"/>
      <c r="B51" s="1425"/>
      <c r="C51" s="1426"/>
      <c r="D51" s="1379"/>
      <c r="E51" s="1427"/>
      <c r="F51" s="1428"/>
      <c r="G51" s="1429"/>
      <c r="H51" s="1430"/>
      <c r="I51" s="1451"/>
      <c r="J51" s="1452"/>
      <c r="K51" s="1453"/>
      <c r="L51" s="1376"/>
      <c r="M51" s="1364"/>
      <c r="N51" s="1364"/>
      <c r="O51" s="1334" t="s">
        <v>114</v>
      </c>
      <c r="P51" s="1335" t="n">
        <f aca="false">+'DG-PV Organic'!AK38</f>
        <v>36600000</v>
      </c>
      <c r="Q51" s="1335" t="n">
        <f aca="false">+P51*10%</f>
        <v>3660000</v>
      </c>
      <c r="R51" s="1384" t="n">
        <f aca="false">SUM(P51:Q51)</f>
        <v>40260000</v>
      </c>
      <c r="S51" s="1404" t="b">
        <f aca="false">+R51=AO51</f>
        <v>1</v>
      </c>
      <c r="T51" s="1337" t="n">
        <f aca="false">+IFERROR(U51/R51,"-")</f>
        <v>0.3</v>
      </c>
      <c r="U51" s="1338" t="n">
        <f aca="false">+IFERROR(X51+AA51+AD51+AG51+AJ51+AM51,"-")</f>
        <v>12078000</v>
      </c>
      <c r="V51" s="1343" t="n">
        <f aca="false">+IFERROR(X51/$R51,"-")</f>
        <v>0.3</v>
      </c>
      <c r="W51" s="1442" t="n">
        <v>45764</v>
      </c>
      <c r="X51" s="1341" t="n">
        <f aca="false">300000000*K50/1000*30%*1.1</f>
        <v>12078000</v>
      </c>
      <c r="Y51" s="1343"/>
      <c r="Z51" s="1345" t="n">
        <f aca="false">+IFERROR(AA51/$R51,"-")</f>
        <v>0</v>
      </c>
      <c r="AA51" s="1397"/>
      <c r="AB51" s="1346" t="n">
        <v>45808</v>
      </c>
      <c r="AC51" s="1345" t="n">
        <f aca="false">+IFERROR(AD51/$R51,"-")</f>
        <v>0</v>
      </c>
      <c r="AD51" s="1345"/>
      <c r="AE51" s="1346" t="n">
        <f aca="false">+EDATE(AB51,1)</f>
        <v>45838</v>
      </c>
      <c r="AF51" s="1345" t="n">
        <f aca="false">+IFERROR(AG51/$R51,"-")</f>
        <v>0</v>
      </c>
      <c r="AG51" s="1345"/>
      <c r="AH51" s="1346" t="n">
        <f aca="false">+EDATE(AB50,6)</f>
        <v>46052</v>
      </c>
      <c r="AI51" s="1345" t="str">
        <f aca="false">+IFERROR(AJ51/#REF!,"-")</f>
        <v>-</v>
      </c>
      <c r="AJ51" s="1345"/>
      <c r="AK51" s="1345"/>
      <c r="AL51" s="1345" t="str">
        <f aca="false">+IFERROR(AM51/#REF!,"-")</f>
        <v>-</v>
      </c>
      <c r="AM51" s="1345"/>
      <c r="AN51" s="1345"/>
      <c r="AO51" s="1347" t="n">
        <f aca="false">+R51</f>
        <v>40260000</v>
      </c>
      <c r="AP51" s="1347" t="n">
        <f aca="false">+AS51</f>
        <v>12078000</v>
      </c>
      <c r="AQ51" s="1456"/>
      <c r="AR51" s="1440"/>
      <c r="AS51" s="1349" t="n">
        <f aca="false">+$AO51*'ref.지급기준 (2)'!G135</f>
        <v>12078000</v>
      </c>
      <c r="AT51" s="1347" t="n">
        <f aca="false">+X51</f>
        <v>12078000</v>
      </c>
      <c r="AU51" s="1347" t="n">
        <f aca="false">+$AO51*'ref.지급기준 (2)'!I135</f>
        <v>4026000</v>
      </c>
      <c r="AV51" s="1347" t="n">
        <f aca="false">+AA51</f>
        <v>0</v>
      </c>
      <c r="AW51" s="1347" t="n">
        <f aca="false">+$AO51*'ref.지급기준 (2)'!K135</f>
        <v>20130000</v>
      </c>
      <c r="AX51" s="1347"/>
      <c r="AY51" s="1347" t="n">
        <f aca="false">+$AO51*'ref.지급기준 (2)'!M135</f>
        <v>4026000</v>
      </c>
      <c r="AZ51" s="1347"/>
      <c r="BA51" s="1347" t="n">
        <f aca="false">+$AO51*'ref.지급기준 (2)'!O135</f>
        <v>0</v>
      </c>
      <c r="BB51" s="1350"/>
      <c r="BC51" s="1441"/>
      <c r="BD51" s="1278"/>
      <c r="BE51" s="1332" t="b">
        <f aca="false">+(BA51+AY51+AW51+AU51+AS51)=R51</f>
        <v>1</v>
      </c>
      <c r="BF51" s="1278"/>
      <c r="BG51" s="1278"/>
      <c r="BH51" s="1278"/>
      <c r="BI51" s="1278"/>
      <c r="BJ51" s="1278"/>
      <c r="BK51" s="1278"/>
      <c r="BL51" s="1278"/>
      <c r="BM51" s="1278"/>
      <c r="BN51" s="1278"/>
      <c r="BO51" s="1333"/>
      <c r="BP51" s="1333"/>
    </row>
    <row r="52" customFormat="false" ht="16.5" hidden="false" customHeight="false" outlineLevel="0" collapsed="false">
      <c r="A52" s="1307"/>
      <c r="B52" s="1425"/>
      <c r="C52" s="1426"/>
      <c r="D52" s="1379"/>
      <c r="E52" s="1427"/>
      <c r="F52" s="1428"/>
      <c r="G52" s="1429"/>
      <c r="H52" s="1430"/>
      <c r="I52" s="1451"/>
      <c r="J52" s="1452"/>
      <c r="K52" s="1453"/>
      <c r="L52" s="1376"/>
      <c r="M52" s="1364"/>
      <c r="N52" s="1364"/>
      <c r="O52" s="1334" t="s">
        <v>404</v>
      </c>
      <c r="P52" s="1335"/>
      <c r="Q52" s="1335"/>
      <c r="R52" s="1384" t="n">
        <f aca="false">SUM(P52:Q52)</f>
        <v>0</v>
      </c>
      <c r="S52" s="1404" t="b">
        <f aca="false">+R52=AO52</f>
        <v>1</v>
      </c>
      <c r="T52" s="1337" t="str">
        <f aca="false">+IFERROR(U52/R52,"-")</f>
        <v>-</v>
      </c>
      <c r="U52" s="1338" t="n">
        <f aca="false">+IFERROR(X52+AA52+AD52+AG52+AJ52+AM52,"-")</f>
        <v>0</v>
      </c>
      <c r="V52" s="1345" t="str">
        <f aca="false">+IFERROR(X52/$R52,"-")</f>
        <v>-</v>
      </c>
      <c r="W52" s="1444"/>
      <c r="X52" s="1395"/>
      <c r="Y52" s="1345"/>
      <c r="Z52" s="1345" t="str">
        <f aca="false">+IFERROR(AA52/$R52,"-")</f>
        <v>-</v>
      </c>
      <c r="AA52" s="1345"/>
      <c r="AB52" s="1346"/>
      <c r="AC52" s="1345" t="str">
        <f aca="false">+IFERROR(AD52/$R52,"-")</f>
        <v>-</v>
      </c>
      <c r="AD52" s="1345"/>
      <c r="AE52" s="1346"/>
      <c r="AF52" s="1345" t="str">
        <f aca="false">+IFERROR(AG52/$R52,"-")</f>
        <v>-</v>
      </c>
      <c r="AG52" s="1345"/>
      <c r="AH52" s="1346"/>
      <c r="AI52" s="1345" t="str">
        <f aca="false">+IFERROR(AJ52/#REF!,"-")</f>
        <v>-</v>
      </c>
      <c r="AJ52" s="1345"/>
      <c r="AK52" s="1345"/>
      <c r="AL52" s="1345" t="str">
        <f aca="false">+IFERROR(AM52/#REF!,"-")</f>
        <v>-</v>
      </c>
      <c r="AM52" s="1345"/>
      <c r="AN52" s="1345"/>
      <c r="AO52" s="1347" t="n">
        <f aca="false">+R52</f>
        <v>0</v>
      </c>
      <c r="AP52" s="1347" t="n">
        <f aca="false">+AS52</f>
        <v>0</v>
      </c>
      <c r="AQ52" s="1456"/>
      <c r="AR52" s="1440"/>
      <c r="AS52" s="1349" t="n">
        <f aca="false">+$AO52*'ref.지급기준 (2)'!G136</f>
        <v>0</v>
      </c>
      <c r="AT52" s="1347" t="n">
        <f aca="false">+X52</f>
        <v>0</v>
      </c>
      <c r="AU52" s="1347" t="n">
        <f aca="false">+$AO52*'ref.지급기준 (2)'!I136</f>
        <v>0</v>
      </c>
      <c r="AV52" s="1347" t="n">
        <f aca="false">+AA52</f>
        <v>0</v>
      </c>
      <c r="AW52" s="1347" t="n">
        <f aca="false">+$AO52*'ref.지급기준 (2)'!K136</f>
        <v>0</v>
      </c>
      <c r="AX52" s="1347"/>
      <c r="AY52" s="1347" t="n">
        <f aca="false">+$AO52*'ref.지급기준 (2)'!M136</f>
        <v>0</v>
      </c>
      <c r="AZ52" s="1347"/>
      <c r="BA52" s="1347" t="n">
        <f aca="false">+$AO52*'ref.지급기준 (2)'!O136</f>
        <v>0</v>
      </c>
      <c r="BB52" s="1350"/>
      <c r="BC52" s="1441"/>
      <c r="BD52" s="1278"/>
      <c r="BE52" s="1332" t="b">
        <f aca="false">+(BA52+AY52+AW52+AU52+AS52)=R52</f>
        <v>1</v>
      </c>
      <c r="BF52" s="1278"/>
      <c r="BG52" s="1278"/>
      <c r="BH52" s="1278"/>
      <c r="BI52" s="1278"/>
      <c r="BJ52" s="1278"/>
      <c r="BK52" s="1278"/>
      <c r="BL52" s="1278"/>
      <c r="BM52" s="1278"/>
      <c r="BN52" s="1278"/>
      <c r="BO52" s="1333"/>
      <c r="BP52" s="1333"/>
    </row>
    <row r="53" customFormat="false" ht="16.5" hidden="false" customHeight="false" outlineLevel="0" collapsed="false">
      <c r="A53" s="1307"/>
      <c r="B53" s="1425"/>
      <c r="C53" s="1426"/>
      <c r="D53" s="1379"/>
      <c r="E53" s="1427"/>
      <c r="F53" s="1428"/>
      <c r="G53" s="1429"/>
      <c r="H53" s="1430"/>
      <c r="I53" s="1451"/>
      <c r="J53" s="1452"/>
      <c r="K53" s="1453"/>
      <c r="L53" s="1376"/>
      <c r="M53" s="1364"/>
      <c r="N53" s="1364"/>
      <c r="O53" s="1334" t="s">
        <v>507</v>
      </c>
      <c r="P53" s="1335" t="n">
        <f aca="false">+'DG-PV Organic'!AJ38</f>
        <v>18300000</v>
      </c>
      <c r="Q53" s="1335" t="n">
        <f aca="false">+P53*10%</f>
        <v>1830000</v>
      </c>
      <c r="R53" s="1384" t="n">
        <f aca="false">SUM(P53:Q53)</f>
        <v>20130000</v>
      </c>
      <c r="S53" s="1404" t="b">
        <f aca="false">+R53=AO53</f>
        <v>1</v>
      </c>
      <c r="T53" s="1337" t="n">
        <f aca="false">+IFERROR(U53/R53,"-")</f>
        <v>0.3</v>
      </c>
      <c r="U53" s="1338" t="n">
        <f aca="false">+IFERROR(X53+AA53+AD53+AG53+AJ53+AM53,"-")</f>
        <v>6039000</v>
      </c>
      <c r="V53" s="1343" t="n">
        <f aca="false">+IFERROR(X53/$R53,"-")</f>
        <v>0.3</v>
      </c>
      <c r="W53" s="1342" t="n">
        <v>45764</v>
      </c>
      <c r="X53" s="1341" t="n">
        <f aca="false">150000000*K50/1000*30%*1.1</f>
        <v>6039000</v>
      </c>
      <c r="Y53" s="1343"/>
      <c r="Z53" s="1345" t="n">
        <f aca="false">+IFERROR(AA53/$R53,"-")</f>
        <v>0</v>
      </c>
      <c r="AA53" s="1345"/>
      <c r="AB53" s="1346" t="n">
        <f aca="false">AB51</f>
        <v>45808</v>
      </c>
      <c r="AC53" s="1345" t="n">
        <f aca="false">+IFERROR(AD53/$R53,"-")</f>
        <v>0</v>
      </c>
      <c r="AD53" s="1345"/>
      <c r="AE53" s="1346" t="n">
        <f aca="false">AE51</f>
        <v>45838</v>
      </c>
      <c r="AF53" s="1345" t="n">
        <f aca="false">+IFERROR(AG53/$R53,"-")</f>
        <v>0</v>
      </c>
      <c r="AG53" s="1345"/>
      <c r="AH53" s="1346" t="n">
        <f aca="false">AH51</f>
        <v>46052</v>
      </c>
      <c r="AI53" s="1345" t="str">
        <f aca="false">+IFERROR(AJ53/#REF!,"-")</f>
        <v>-</v>
      </c>
      <c r="AJ53" s="1345"/>
      <c r="AK53" s="1345"/>
      <c r="AL53" s="1345" t="str">
        <f aca="false">+IFERROR(AM53/#REF!,"-")</f>
        <v>-</v>
      </c>
      <c r="AM53" s="1345"/>
      <c r="AN53" s="1345"/>
      <c r="AO53" s="1347" t="n">
        <f aca="false">+R53</f>
        <v>20130000</v>
      </c>
      <c r="AP53" s="1347" t="n">
        <f aca="false">+AS53</f>
        <v>6039000</v>
      </c>
      <c r="AQ53" s="1456"/>
      <c r="AR53" s="1440"/>
      <c r="AS53" s="1349" t="n">
        <f aca="false">+$AO53*'ref.지급기준 (2)'!G137</f>
        <v>6039000</v>
      </c>
      <c r="AT53" s="1347" t="n">
        <f aca="false">+X53</f>
        <v>6039000</v>
      </c>
      <c r="AU53" s="1347" t="n">
        <f aca="false">+$AO53*'ref.지급기준 (2)'!I137</f>
        <v>2013000</v>
      </c>
      <c r="AV53" s="1347" t="n">
        <f aca="false">+AA53</f>
        <v>0</v>
      </c>
      <c r="AW53" s="1347" t="n">
        <f aca="false">+$AO53*'ref.지급기준 (2)'!K137</f>
        <v>10065000</v>
      </c>
      <c r="AX53" s="1347"/>
      <c r="AY53" s="1347" t="n">
        <f aca="false">+$AO53*'ref.지급기준 (2)'!M137</f>
        <v>2013000</v>
      </c>
      <c r="AZ53" s="1347"/>
      <c r="BA53" s="1347" t="n">
        <f aca="false">+$AO53*'ref.지급기준 (2)'!O137</f>
        <v>0</v>
      </c>
      <c r="BB53" s="1350"/>
      <c r="BC53" s="1441"/>
      <c r="BD53" s="1278"/>
      <c r="BE53" s="1332" t="b">
        <f aca="false">+(BA53+AY53+AW53+AU53+AS53)=R53</f>
        <v>1</v>
      </c>
      <c r="BF53" s="1278"/>
      <c r="BG53" s="1278"/>
      <c r="BH53" s="1278"/>
      <c r="BI53" s="1278"/>
      <c r="BJ53" s="1278"/>
      <c r="BK53" s="1278"/>
      <c r="BL53" s="1278"/>
      <c r="BM53" s="1278"/>
      <c r="BN53" s="1278"/>
      <c r="BO53" s="1333"/>
      <c r="BP53" s="1333"/>
    </row>
    <row r="54" customFormat="false" ht="16.5" hidden="false" customHeight="false" outlineLevel="0" collapsed="false">
      <c r="A54" s="1307"/>
      <c r="B54" s="1425"/>
      <c r="C54" s="1426"/>
      <c r="D54" s="1379"/>
      <c r="E54" s="1427"/>
      <c r="F54" s="1428"/>
      <c r="G54" s="1429"/>
      <c r="H54" s="1430"/>
      <c r="I54" s="1451"/>
      <c r="J54" s="1452"/>
      <c r="K54" s="1453"/>
      <c r="L54" s="1376"/>
      <c r="M54" s="1364"/>
      <c r="N54" s="1364"/>
      <c r="O54" s="1351" t="s">
        <v>508</v>
      </c>
      <c r="P54" s="1352" t="n">
        <f aca="false">+'DG-PV Organic'!AI38</f>
        <v>21350000</v>
      </c>
      <c r="Q54" s="1352" t="n">
        <f aca="false">+P54*0.1</f>
        <v>2135000</v>
      </c>
      <c r="R54" s="1457" t="n">
        <f aca="false">SUM(P54:Q54)</f>
        <v>23485000</v>
      </c>
      <c r="S54" s="1458" t="b">
        <f aca="false">+R54=AO54</f>
        <v>1</v>
      </c>
      <c r="T54" s="1355"/>
      <c r="U54" s="668"/>
      <c r="V54" s="1355" t="n">
        <f aca="false">+IFERROR(X54/$R54,"-")</f>
        <v>0</v>
      </c>
      <c r="W54" s="1357"/>
      <c r="X54" s="1357"/>
      <c r="Y54" s="1357"/>
      <c r="Z54" s="1357" t="n">
        <f aca="false">+IFERROR(AA54/$R54,"-")</f>
        <v>0</v>
      </c>
      <c r="AA54" s="1357"/>
      <c r="AB54" s="1358"/>
      <c r="AC54" s="1357" t="n">
        <f aca="false">+IFERROR(AD54/$R54,"-")</f>
        <v>0</v>
      </c>
      <c r="AD54" s="1357"/>
      <c r="AE54" s="1358"/>
      <c r="AF54" s="1357" t="n">
        <f aca="false">+IFERROR(AG54/$R54,"-")</f>
        <v>0</v>
      </c>
      <c r="AG54" s="1357"/>
      <c r="AH54" s="1358"/>
      <c r="AI54" s="1357" t="str">
        <f aca="false">+IFERROR(AJ54/#REF!,"-")</f>
        <v>-</v>
      </c>
      <c r="AJ54" s="1357"/>
      <c r="AK54" s="1357"/>
      <c r="AL54" s="1357"/>
      <c r="AM54" s="1357"/>
      <c r="AN54" s="1357"/>
      <c r="AO54" s="1359" t="n">
        <f aca="false">+R54</f>
        <v>23485000</v>
      </c>
      <c r="AP54" s="1359" t="n">
        <f aca="false">+AS54+AU54</f>
        <v>23485000</v>
      </c>
      <c r="AQ54" s="1459"/>
      <c r="AR54" s="1440"/>
      <c r="AS54" s="1361" t="n">
        <f aca="false">+$AO54*'ref.지급기준 (2)'!G138</f>
        <v>23485000</v>
      </c>
      <c r="AT54" s="1359" t="n">
        <f aca="false">+X54</f>
        <v>0</v>
      </c>
      <c r="AU54" s="1359" t="n">
        <f aca="false">+$AO54*'ref.지급기준 (2)'!I138</f>
        <v>0</v>
      </c>
      <c r="AV54" s="1359" t="n">
        <f aca="false">+AA54</f>
        <v>0</v>
      </c>
      <c r="AW54" s="1359" t="n">
        <f aca="false">+$AO54*'ref.지급기준 (2)'!K138</f>
        <v>0</v>
      </c>
      <c r="AX54" s="1359"/>
      <c r="AY54" s="1359" t="n">
        <f aca="false">+$AO54*'ref.지급기준 (2)'!M138</f>
        <v>0</v>
      </c>
      <c r="AZ54" s="1359"/>
      <c r="BA54" s="1359" t="n">
        <f aca="false">+$AO54*'ref.지급기준 (2)'!O138</f>
        <v>0</v>
      </c>
      <c r="BB54" s="1362"/>
      <c r="BC54" s="1441"/>
      <c r="BD54" s="1278"/>
      <c r="BE54" s="1332" t="b">
        <f aca="false">+(BA54+AY54+AW54+AU54+AS54)=R54</f>
        <v>1</v>
      </c>
      <c r="BF54" s="1278"/>
      <c r="BG54" s="1278"/>
      <c r="BH54" s="1278"/>
      <c r="BI54" s="1278"/>
      <c r="BJ54" s="1278"/>
      <c r="BK54" s="1278"/>
      <c r="BL54" s="1278"/>
      <c r="BM54" s="1278"/>
      <c r="BN54" s="1278"/>
      <c r="BO54" s="1333"/>
      <c r="BP54" s="1333"/>
    </row>
    <row r="55" customFormat="false" ht="16.5" hidden="false" customHeight="true" outlineLevel="0" collapsed="false">
      <c r="A55" s="1307"/>
      <c r="B55" s="1425"/>
      <c r="C55" s="1426"/>
      <c r="D55" s="1379"/>
      <c r="E55" s="1427"/>
      <c r="F55" s="1428"/>
      <c r="G55" s="1429"/>
      <c r="H55" s="1430"/>
      <c r="I55" s="1451" t="s">
        <v>1486</v>
      </c>
      <c r="J55" s="1452" t="str">
        <f aca="false">+'ref.지급기준 (2)'!C149</f>
        <v>Epyeonan nursing home</v>
      </c>
      <c r="K55" s="1453" t="n">
        <f aca="false">+'ref.지급기준 (2)'!D149</f>
        <v>172</v>
      </c>
      <c r="L55" s="1376" t="n">
        <f aca="false">+'DG-PV Organic'!H39</f>
        <v>0.0945</v>
      </c>
      <c r="M55" s="1364" t="n">
        <f aca="false">+'DG-PV Organic'!J39</f>
        <v>0.096</v>
      </c>
      <c r="N55" s="1364" t="s">
        <v>1454</v>
      </c>
      <c r="O55" s="1365" t="s">
        <v>112</v>
      </c>
      <c r="P55" s="1366" t="n">
        <f aca="false">+'DG-PV Organic'!AL39</f>
        <v>180600000</v>
      </c>
      <c r="Q55" s="1366" t="n">
        <f aca="false">+P55*10%</f>
        <v>18060000</v>
      </c>
      <c r="R55" s="1436" t="n">
        <f aca="false">SUM(P55:Q55)</f>
        <v>198660000</v>
      </c>
      <c r="S55" s="1454" t="b">
        <f aca="false">+R55=AO55</f>
        <v>1</v>
      </c>
      <c r="T55" s="1323" t="n">
        <f aca="false">+IFERROR(U55/R55,"-")</f>
        <v>0</v>
      </c>
      <c r="U55" s="1368" t="n">
        <f aca="false">+IFERROR(X55+AA55+AD55+AG55+AJ55+AM55,"-")</f>
        <v>0</v>
      </c>
      <c r="V55" s="1345" t="n">
        <f aca="false">+IFERROR(X55/$R55,"-")</f>
        <v>0</v>
      </c>
      <c r="W55" s="1346" t="n">
        <f aca="false">AE58</f>
        <v>45838</v>
      </c>
      <c r="X55" s="1395"/>
      <c r="Y55" s="1345"/>
      <c r="Z55" s="1345" t="n">
        <f aca="false">+IFERROR(AA55/$R55,"-")</f>
        <v>0</v>
      </c>
      <c r="AA55" s="1345"/>
      <c r="AB55" s="1346" t="n">
        <f aca="false">+EDATE(W55,1)</f>
        <v>45868</v>
      </c>
      <c r="AC55" s="1345" t="n">
        <f aca="false">+IFERROR(AD55/$R55,"-")</f>
        <v>0</v>
      </c>
      <c r="AD55" s="1345"/>
      <c r="AE55" s="1346" t="n">
        <f aca="false">+EDATE(AB55,3)</f>
        <v>45960</v>
      </c>
      <c r="AF55" s="1345" t="n">
        <f aca="false">+IFERROR(AG55/$R55,"-")</f>
        <v>0</v>
      </c>
      <c r="AG55" s="1345"/>
      <c r="AH55" s="1346" t="n">
        <f aca="false">+EDATE(AB55,4)</f>
        <v>45991</v>
      </c>
      <c r="AI55" s="1345" t="str">
        <f aca="false">+IFERROR(AJ55/#REF!,"-")</f>
        <v>-</v>
      </c>
      <c r="AJ55" s="1345"/>
      <c r="AK55" s="1346" t="n">
        <f aca="false">+EDATE(AB55,6)+1</f>
        <v>46053</v>
      </c>
      <c r="AL55" s="1324" t="str">
        <f aca="false">+IFERROR(AM55/#REF!,"-")</f>
        <v>-</v>
      </c>
      <c r="AM55" s="1324"/>
      <c r="AN55" s="1324"/>
      <c r="AO55" s="1326" t="n">
        <f aca="false">+R55</f>
        <v>198660000</v>
      </c>
      <c r="AP55" s="1326" t="n">
        <f aca="false">+AS55</f>
        <v>19866000</v>
      </c>
      <c r="AQ55" s="1455" t="s">
        <v>373</v>
      </c>
      <c r="AR55" s="1440"/>
      <c r="AS55" s="1349" t="n">
        <f aca="false">+$AO55*'ref.지급기준 (2)'!G139</f>
        <v>19866000</v>
      </c>
      <c r="AT55" s="1347" t="n">
        <f aca="false">+X55</f>
        <v>0</v>
      </c>
      <c r="AU55" s="1347" t="n">
        <f aca="false">+$AO55*'ref.지급기준 (2)'!I139</f>
        <v>39732000</v>
      </c>
      <c r="AV55" s="1347" t="n">
        <f aca="false">+AA55</f>
        <v>0</v>
      </c>
      <c r="AW55" s="1347" t="n">
        <f aca="false">+$AO55*'ref.지급기준 (2)'!K139</f>
        <v>79464000</v>
      </c>
      <c r="AX55" s="1347"/>
      <c r="AY55" s="1347" t="n">
        <f aca="false">+$AO55*'ref.지급기준 (2)'!M139</f>
        <v>49665000</v>
      </c>
      <c r="AZ55" s="1347"/>
      <c r="BA55" s="1347" t="n">
        <f aca="false">+$AO55*'ref.지급기준 (2)'!O139</f>
        <v>9933000</v>
      </c>
      <c r="BB55" s="1350"/>
      <c r="BC55" s="1441" t="s">
        <v>1475</v>
      </c>
      <c r="BD55" s="1278"/>
      <c r="BE55" s="1332" t="b">
        <f aca="false">+(BA55+AY55+AW55+AU55+AS55)=R55</f>
        <v>1</v>
      </c>
      <c r="BF55" s="1278"/>
      <c r="BG55" s="1278"/>
      <c r="BH55" s="1278"/>
      <c r="BI55" s="1278"/>
      <c r="BJ55" s="1278"/>
      <c r="BK55" s="1278"/>
      <c r="BL55" s="1278"/>
      <c r="BM55" s="1278"/>
      <c r="BN55" s="1278"/>
      <c r="BO55" s="1333"/>
      <c r="BP55" s="1333"/>
    </row>
    <row r="56" customFormat="false" ht="16.5" hidden="false" customHeight="false" outlineLevel="0" collapsed="false">
      <c r="A56" s="1307"/>
      <c r="B56" s="1425"/>
      <c r="C56" s="1426"/>
      <c r="D56" s="1379"/>
      <c r="E56" s="1427"/>
      <c r="F56" s="1428"/>
      <c r="G56" s="1429"/>
      <c r="H56" s="1430"/>
      <c r="I56" s="1451"/>
      <c r="J56" s="1452"/>
      <c r="K56" s="1453"/>
      <c r="L56" s="1376"/>
      <c r="M56" s="1364"/>
      <c r="N56" s="1364"/>
      <c r="O56" s="1334" t="s">
        <v>114</v>
      </c>
      <c r="P56" s="1335" t="n">
        <f aca="false">+'DG-PV Organic'!AK39</f>
        <v>51600000</v>
      </c>
      <c r="Q56" s="1335" t="n">
        <f aca="false">+P56*10%</f>
        <v>5160000</v>
      </c>
      <c r="R56" s="1384" t="n">
        <f aca="false">SUM(P56:Q56)</f>
        <v>56760000</v>
      </c>
      <c r="S56" s="1404" t="b">
        <f aca="false">+R56=AO56</f>
        <v>1</v>
      </c>
      <c r="T56" s="1337" t="n">
        <f aca="false">+IFERROR(U56/R56,"-")</f>
        <v>0.3</v>
      </c>
      <c r="U56" s="1338" t="n">
        <f aca="false">+IFERROR(X56+AA56+AD56+AG56+AJ56+AM56,"-")</f>
        <v>17028000</v>
      </c>
      <c r="V56" s="1343" t="n">
        <f aca="false">+IFERROR(X56/$R56,"-")</f>
        <v>0.3</v>
      </c>
      <c r="W56" s="1442" t="n">
        <v>45764</v>
      </c>
      <c r="X56" s="1341" t="n">
        <f aca="false">300000000*K55/1000*30%*1.1</f>
        <v>17028000</v>
      </c>
      <c r="Y56" s="1343"/>
      <c r="Z56" s="1345" t="n">
        <f aca="false">+IFERROR(AA56/$R56,"-")</f>
        <v>0</v>
      </c>
      <c r="AA56" s="1397"/>
      <c r="AB56" s="1346" t="n">
        <v>45808</v>
      </c>
      <c r="AC56" s="1345" t="n">
        <f aca="false">+IFERROR(AD56/$R56,"-")</f>
        <v>0</v>
      </c>
      <c r="AD56" s="1345"/>
      <c r="AE56" s="1346" t="n">
        <f aca="false">+EDATE(AB56,1)</f>
        <v>45838</v>
      </c>
      <c r="AF56" s="1345" t="n">
        <f aca="false">+IFERROR(AG56/$R56,"-")</f>
        <v>0</v>
      </c>
      <c r="AG56" s="1345"/>
      <c r="AH56" s="1346" t="n">
        <f aca="false">+EDATE(AB55,12)</f>
        <v>46233</v>
      </c>
      <c r="AI56" s="1345" t="str">
        <f aca="false">+IFERROR(AJ56/#REF!,"-")</f>
        <v>-</v>
      </c>
      <c r="AJ56" s="1345"/>
      <c r="AK56" s="1345"/>
      <c r="AL56" s="1345" t="str">
        <f aca="false">+IFERROR(AM56/#REF!,"-")</f>
        <v>-</v>
      </c>
      <c r="AM56" s="1345"/>
      <c r="AN56" s="1345"/>
      <c r="AO56" s="1347" t="n">
        <f aca="false">+R56</f>
        <v>56760000</v>
      </c>
      <c r="AP56" s="1347" t="n">
        <f aca="false">+AS56</f>
        <v>17028000</v>
      </c>
      <c r="AQ56" s="1456"/>
      <c r="AR56" s="1440"/>
      <c r="AS56" s="1349" t="n">
        <f aca="false">+$AO56*'ref.지급기준 (2)'!G140</f>
        <v>17028000</v>
      </c>
      <c r="AT56" s="1347" t="n">
        <f aca="false">+X56</f>
        <v>17028000</v>
      </c>
      <c r="AU56" s="1347" t="n">
        <f aca="false">+$AO56*'ref.지급기준 (2)'!I140</f>
        <v>5676000</v>
      </c>
      <c r="AV56" s="1347" t="n">
        <f aca="false">+AA56</f>
        <v>0</v>
      </c>
      <c r="AW56" s="1347" t="n">
        <f aca="false">+$AO56*'ref.지급기준 (2)'!K140</f>
        <v>28380000</v>
      </c>
      <c r="AX56" s="1347"/>
      <c r="AY56" s="1347" t="n">
        <f aca="false">+$AO56*'ref.지급기준 (2)'!M140</f>
        <v>5676000</v>
      </c>
      <c r="AZ56" s="1347"/>
      <c r="BA56" s="1347" t="n">
        <f aca="false">+$AO56*'ref.지급기준 (2)'!O140</f>
        <v>0</v>
      </c>
      <c r="BB56" s="1350"/>
      <c r="BC56" s="1441"/>
      <c r="BD56" s="1278"/>
      <c r="BE56" s="1332" t="b">
        <f aca="false">+(BA56+AY56+AW56+AU56+AS56)=R56</f>
        <v>1</v>
      </c>
      <c r="BF56" s="1278"/>
      <c r="BG56" s="1278"/>
      <c r="BH56" s="1278"/>
      <c r="BI56" s="1278"/>
      <c r="BJ56" s="1278"/>
      <c r="BK56" s="1278"/>
      <c r="BL56" s="1278"/>
      <c r="BM56" s="1278"/>
      <c r="BN56" s="1278"/>
      <c r="BO56" s="1333"/>
      <c r="BP56" s="1333"/>
    </row>
    <row r="57" customFormat="false" ht="16.5" hidden="false" customHeight="false" outlineLevel="0" collapsed="false">
      <c r="A57" s="1307"/>
      <c r="B57" s="1425"/>
      <c r="C57" s="1426"/>
      <c r="D57" s="1379"/>
      <c r="E57" s="1427"/>
      <c r="F57" s="1428"/>
      <c r="G57" s="1429"/>
      <c r="H57" s="1430"/>
      <c r="I57" s="1451"/>
      <c r="J57" s="1452"/>
      <c r="K57" s="1453"/>
      <c r="L57" s="1376"/>
      <c r="M57" s="1364"/>
      <c r="N57" s="1364"/>
      <c r="O57" s="1334" t="s">
        <v>404</v>
      </c>
      <c r="P57" s="1335"/>
      <c r="Q57" s="1335"/>
      <c r="R57" s="1384" t="n">
        <f aca="false">SUM(P57:Q57)</f>
        <v>0</v>
      </c>
      <c r="S57" s="1404" t="b">
        <f aca="false">+R57=AO57</f>
        <v>1</v>
      </c>
      <c r="T57" s="1337" t="str">
        <f aca="false">+IFERROR(U57/R57,"-")</f>
        <v>-</v>
      </c>
      <c r="U57" s="1338" t="n">
        <f aca="false">+IFERROR(X57+AA57+AD57+AG57+AJ57+AM57,"-")</f>
        <v>0</v>
      </c>
      <c r="V57" s="1345" t="str">
        <f aca="false">+IFERROR(X57/$R57,"-")</f>
        <v>-</v>
      </c>
      <c r="W57" s="1444"/>
      <c r="X57" s="1395"/>
      <c r="Y57" s="1345"/>
      <c r="Z57" s="1345" t="str">
        <f aca="false">+IFERROR(AA57/$R57,"-")</f>
        <v>-</v>
      </c>
      <c r="AA57" s="1345"/>
      <c r="AB57" s="1346"/>
      <c r="AC57" s="1345" t="str">
        <f aca="false">+IFERROR(AD57/$R57,"-")</f>
        <v>-</v>
      </c>
      <c r="AD57" s="1345"/>
      <c r="AE57" s="1346"/>
      <c r="AF57" s="1345" t="str">
        <f aca="false">+IFERROR(AG57/$R57,"-")</f>
        <v>-</v>
      </c>
      <c r="AG57" s="1345"/>
      <c r="AH57" s="1346"/>
      <c r="AI57" s="1345" t="str">
        <f aca="false">+IFERROR(AJ57/#REF!,"-")</f>
        <v>-</v>
      </c>
      <c r="AJ57" s="1345"/>
      <c r="AK57" s="1345"/>
      <c r="AL57" s="1345" t="str">
        <f aca="false">+IFERROR(AM57/#REF!,"-")</f>
        <v>-</v>
      </c>
      <c r="AM57" s="1345"/>
      <c r="AN57" s="1345"/>
      <c r="AO57" s="1347" t="n">
        <f aca="false">+R57</f>
        <v>0</v>
      </c>
      <c r="AP57" s="1347" t="n">
        <f aca="false">+AS57</f>
        <v>0</v>
      </c>
      <c r="AQ57" s="1456"/>
      <c r="AR57" s="1440"/>
      <c r="AS57" s="1349" t="n">
        <f aca="false">+$AO57*'ref.지급기준 (2)'!G141</f>
        <v>0</v>
      </c>
      <c r="AT57" s="1347" t="n">
        <f aca="false">+X57</f>
        <v>0</v>
      </c>
      <c r="AU57" s="1347" t="n">
        <f aca="false">+$AO57*'ref.지급기준 (2)'!I141</f>
        <v>0</v>
      </c>
      <c r="AV57" s="1347" t="n">
        <f aca="false">+AA57</f>
        <v>0</v>
      </c>
      <c r="AW57" s="1347" t="n">
        <f aca="false">+$AO57*'ref.지급기준 (2)'!K141</f>
        <v>0</v>
      </c>
      <c r="AX57" s="1347"/>
      <c r="AY57" s="1347" t="n">
        <f aca="false">+$AO57*'ref.지급기준 (2)'!M141</f>
        <v>0</v>
      </c>
      <c r="AZ57" s="1347"/>
      <c r="BA57" s="1347" t="n">
        <f aca="false">+$AO57*'ref.지급기준 (2)'!O141</f>
        <v>0</v>
      </c>
      <c r="BB57" s="1350"/>
      <c r="BC57" s="1441"/>
      <c r="BD57" s="1278"/>
      <c r="BE57" s="1332" t="b">
        <f aca="false">+(BA57+AY57+AW57+AU57+AS57)=R57</f>
        <v>1</v>
      </c>
      <c r="BF57" s="1278"/>
      <c r="BG57" s="1278"/>
      <c r="BH57" s="1278"/>
      <c r="BI57" s="1278"/>
      <c r="BJ57" s="1278"/>
      <c r="BK57" s="1278"/>
      <c r="BL57" s="1278"/>
      <c r="BM57" s="1278"/>
      <c r="BN57" s="1278"/>
      <c r="BO57" s="1333"/>
      <c r="BP57" s="1333"/>
    </row>
    <row r="58" customFormat="false" ht="16.5" hidden="false" customHeight="false" outlineLevel="0" collapsed="false">
      <c r="A58" s="1307"/>
      <c r="B58" s="1425"/>
      <c r="C58" s="1426"/>
      <c r="D58" s="1379"/>
      <c r="E58" s="1427"/>
      <c r="F58" s="1428"/>
      <c r="G58" s="1429"/>
      <c r="H58" s="1430"/>
      <c r="I58" s="1451"/>
      <c r="J58" s="1452"/>
      <c r="K58" s="1453"/>
      <c r="L58" s="1376"/>
      <c r="M58" s="1364"/>
      <c r="N58" s="1364"/>
      <c r="O58" s="1334" t="s">
        <v>507</v>
      </c>
      <c r="P58" s="1335" t="n">
        <f aca="false">+'DG-PV Organic'!AJ39</f>
        <v>25800000</v>
      </c>
      <c r="Q58" s="1335" t="n">
        <f aca="false">+P58*10%</f>
        <v>2580000</v>
      </c>
      <c r="R58" s="1384" t="n">
        <f aca="false">SUM(P58:Q58)</f>
        <v>28380000</v>
      </c>
      <c r="S58" s="1404" t="b">
        <f aca="false">+R58=AO58</f>
        <v>1</v>
      </c>
      <c r="T58" s="1337" t="n">
        <f aca="false">+IFERROR(U58/R58,"-")</f>
        <v>0.3</v>
      </c>
      <c r="U58" s="1338" t="n">
        <f aca="false">+IFERROR(X58+AA58+AD58+AG58+AJ58+AM58,"-")</f>
        <v>8514000</v>
      </c>
      <c r="V58" s="1343" t="n">
        <f aca="false">+IFERROR(X58/$R58,"-")</f>
        <v>0.3</v>
      </c>
      <c r="W58" s="1342" t="n">
        <v>45764</v>
      </c>
      <c r="X58" s="1341" t="n">
        <f aca="false">150000000*K55/1000*30%*1.1</f>
        <v>8514000</v>
      </c>
      <c r="Y58" s="1343"/>
      <c r="Z58" s="1345" t="n">
        <f aca="false">+IFERROR(AA58/$R58,"-")</f>
        <v>0</v>
      </c>
      <c r="AA58" s="1345"/>
      <c r="AB58" s="1346" t="n">
        <f aca="false">AB56</f>
        <v>45808</v>
      </c>
      <c r="AC58" s="1345" t="n">
        <f aca="false">+IFERROR(AD58/$R58,"-")</f>
        <v>0</v>
      </c>
      <c r="AD58" s="1345"/>
      <c r="AE58" s="1346" t="n">
        <f aca="false">AE56</f>
        <v>45838</v>
      </c>
      <c r="AF58" s="1345" t="n">
        <f aca="false">+IFERROR(AG58/$R58,"-")</f>
        <v>0</v>
      </c>
      <c r="AG58" s="1345"/>
      <c r="AH58" s="1346" t="n">
        <f aca="false">AH56</f>
        <v>46233</v>
      </c>
      <c r="AI58" s="1345" t="str">
        <f aca="false">+IFERROR(AJ58/#REF!,"-")</f>
        <v>-</v>
      </c>
      <c r="AJ58" s="1345"/>
      <c r="AK58" s="1345"/>
      <c r="AL58" s="1345" t="str">
        <f aca="false">+IFERROR(AM58/#REF!,"-")</f>
        <v>-</v>
      </c>
      <c r="AM58" s="1345"/>
      <c r="AN58" s="1345"/>
      <c r="AO58" s="1347" t="n">
        <f aca="false">+R58</f>
        <v>28380000</v>
      </c>
      <c r="AP58" s="1347" t="n">
        <f aca="false">+AS58</f>
        <v>8514000</v>
      </c>
      <c r="AQ58" s="1456"/>
      <c r="AR58" s="1440"/>
      <c r="AS58" s="1349" t="n">
        <f aca="false">+$AO58*'ref.지급기준 (2)'!G142</f>
        <v>8514000</v>
      </c>
      <c r="AT58" s="1347" t="n">
        <f aca="false">+X58</f>
        <v>8514000</v>
      </c>
      <c r="AU58" s="1347" t="n">
        <f aca="false">+$AO58*'ref.지급기준 (2)'!I142</f>
        <v>2838000</v>
      </c>
      <c r="AV58" s="1347" t="n">
        <f aca="false">+AA58</f>
        <v>0</v>
      </c>
      <c r="AW58" s="1347" t="n">
        <f aca="false">+$AO58*'ref.지급기준 (2)'!K142</f>
        <v>14190000</v>
      </c>
      <c r="AX58" s="1347"/>
      <c r="AY58" s="1347" t="n">
        <f aca="false">+$AO58*'ref.지급기준 (2)'!M142</f>
        <v>2838000</v>
      </c>
      <c r="AZ58" s="1347"/>
      <c r="BA58" s="1347" t="n">
        <f aca="false">+$AO58*'ref.지급기준 (2)'!O142</f>
        <v>0</v>
      </c>
      <c r="BB58" s="1350"/>
      <c r="BC58" s="1441"/>
      <c r="BD58" s="1278"/>
      <c r="BE58" s="1332" t="b">
        <f aca="false">+(BA58+AY58+AW58+AU58+AS58)=R58</f>
        <v>1</v>
      </c>
      <c r="BF58" s="1278"/>
      <c r="BG58" s="1278"/>
      <c r="BH58" s="1278"/>
      <c r="BI58" s="1278"/>
      <c r="BJ58" s="1278"/>
      <c r="BK58" s="1278"/>
      <c r="BL58" s="1278"/>
      <c r="BM58" s="1278"/>
      <c r="BN58" s="1278"/>
      <c r="BO58" s="1333"/>
      <c r="BP58" s="1333"/>
    </row>
    <row r="59" customFormat="false" ht="16.5" hidden="false" customHeight="false" outlineLevel="0" collapsed="false">
      <c r="A59" s="1307"/>
      <c r="B59" s="1425"/>
      <c r="C59" s="1426"/>
      <c r="D59" s="1379"/>
      <c r="E59" s="1427"/>
      <c r="F59" s="1428"/>
      <c r="G59" s="1429"/>
      <c r="H59" s="1430"/>
      <c r="I59" s="1451"/>
      <c r="J59" s="1452"/>
      <c r="K59" s="1453"/>
      <c r="L59" s="1376"/>
      <c r="M59" s="1364"/>
      <c r="N59" s="1364"/>
      <c r="O59" s="1351" t="s">
        <v>508</v>
      </c>
      <c r="P59" s="1352" t="n">
        <f aca="false">+'DG-PV Organic'!AI39</f>
        <v>30100000</v>
      </c>
      <c r="Q59" s="1352" t="n">
        <f aca="false">+P59*0.1</f>
        <v>3010000</v>
      </c>
      <c r="R59" s="1457" t="n">
        <f aca="false">SUM(P59:Q59)</f>
        <v>33110000</v>
      </c>
      <c r="S59" s="1458" t="b">
        <f aca="false">+R59=AO59</f>
        <v>1</v>
      </c>
      <c r="T59" s="1355"/>
      <c r="U59" s="668"/>
      <c r="V59" s="1355" t="n">
        <f aca="false">+IFERROR(X59/$R59,"-")</f>
        <v>0</v>
      </c>
      <c r="W59" s="1357"/>
      <c r="X59" s="1357"/>
      <c r="Y59" s="1357"/>
      <c r="Z59" s="1357" t="n">
        <f aca="false">+IFERROR(AA59/$R59,"-")</f>
        <v>0</v>
      </c>
      <c r="AA59" s="1357"/>
      <c r="AB59" s="1358"/>
      <c r="AC59" s="1357" t="n">
        <f aca="false">+IFERROR(AD59/$R59,"-")</f>
        <v>0</v>
      </c>
      <c r="AD59" s="1357"/>
      <c r="AE59" s="1358"/>
      <c r="AF59" s="1357" t="n">
        <f aca="false">+IFERROR(AG59/$R59,"-")</f>
        <v>0</v>
      </c>
      <c r="AG59" s="1357"/>
      <c r="AH59" s="1358"/>
      <c r="AI59" s="1357" t="str">
        <f aca="false">+IFERROR(AJ59/#REF!,"-")</f>
        <v>-</v>
      </c>
      <c r="AJ59" s="1357"/>
      <c r="AK59" s="1357"/>
      <c r="AL59" s="1357"/>
      <c r="AM59" s="1357"/>
      <c r="AN59" s="1357"/>
      <c r="AO59" s="1359" t="n">
        <f aca="false">+R59</f>
        <v>33110000</v>
      </c>
      <c r="AP59" s="1359" t="n">
        <f aca="false">+AS59+AU59</f>
        <v>33110000</v>
      </c>
      <c r="AQ59" s="1459"/>
      <c r="AR59" s="1440"/>
      <c r="AS59" s="1361" t="n">
        <f aca="false">+$AO59*'ref.지급기준 (2)'!G143</f>
        <v>33110000</v>
      </c>
      <c r="AT59" s="1359" t="n">
        <f aca="false">+X59</f>
        <v>0</v>
      </c>
      <c r="AU59" s="1359" t="n">
        <f aca="false">+$AO59*'ref.지급기준 (2)'!I143</f>
        <v>0</v>
      </c>
      <c r="AV59" s="1359" t="n">
        <f aca="false">+AA59</f>
        <v>0</v>
      </c>
      <c r="AW59" s="1359" t="n">
        <f aca="false">+$AO59*'ref.지급기준 (2)'!K143</f>
        <v>0</v>
      </c>
      <c r="AX59" s="1359"/>
      <c r="AY59" s="1359" t="n">
        <f aca="false">+$AO59*'ref.지급기준 (2)'!M143</f>
        <v>0</v>
      </c>
      <c r="AZ59" s="1359"/>
      <c r="BA59" s="1359" t="n">
        <f aca="false">+$AO59*'ref.지급기준 (2)'!O143</f>
        <v>0</v>
      </c>
      <c r="BB59" s="1362"/>
      <c r="BC59" s="1441"/>
      <c r="BD59" s="1278"/>
      <c r="BE59" s="1332" t="b">
        <f aca="false">+(BA59+AY59+AW59+AU59+AS59)=R59</f>
        <v>1</v>
      </c>
      <c r="BF59" s="1278"/>
      <c r="BG59" s="1278"/>
      <c r="BH59" s="1278"/>
      <c r="BI59" s="1278"/>
      <c r="BJ59" s="1278"/>
      <c r="BK59" s="1278"/>
      <c r="BL59" s="1278"/>
      <c r="BM59" s="1278"/>
      <c r="BN59" s="1278"/>
      <c r="BO59" s="1333"/>
      <c r="BP59" s="1333"/>
    </row>
    <row r="60" customFormat="false" ht="16.5" hidden="false" customHeight="true" outlineLevel="1" collapsed="false">
      <c r="A60" s="1307"/>
      <c r="B60" s="1425"/>
      <c r="C60" s="1426"/>
      <c r="D60" s="1379"/>
      <c r="E60" s="1427"/>
      <c r="F60" s="1428"/>
      <c r="G60" s="1429"/>
      <c r="H60" s="1429"/>
      <c r="I60" s="1462"/>
      <c r="J60" s="1463"/>
      <c r="K60" s="1464"/>
      <c r="L60" s="1380"/>
      <c r="M60" s="1382"/>
      <c r="N60" s="1382" t="s">
        <v>1454</v>
      </c>
      <c r="O60" s="1314" t="s">
        <v>112</v>
      </c>
      <c r="P60" s="1315" t="n">
        <f aca="false">+P5+P10+P15+P20+P25+P30+P35+P40+P45+P50+P55</f>
        <v>4357542000</v>
      </c>
      <c r="Q60" s="1315" t="n">
        <f aca="false">+P60*10%</f>
        <v>435754200</v>
      </c>
      <c r="R60" s="1383" t="n">
        <f aca="false">SUM(P60:Q60)</f>
        <v>4793296200</v>
      </c>
      <c r="S60" s="1404" t="b">
        <f aca="false">+R60=AO60</f>
        <v>1</v>
      </c>
      <c r="T60" s="1465" t="n">
        <f aca="false">+IFERROR(U60/R60,"-")</f>
        <v>0</v>
      </c>
      <c r="U60" s="633" t="n">
        <f aca="false">+U5+U10+U15+U20+U25+U30+U35+U40+U45+U50+U55</f>
        <v>0</v>
      </c>
      <c r="V60" s="1320" t="n">
        <f aca="false">+IFERROR(X60/$R60,"-")</f>
        <v>0</v>
      </c>
      <c r="W60" s="1466" t="n">
        <v>45716</v>
      </c>
      <c r="X60" s="633" t="n">
        <f aca="false">+X5+X10+X15+X20+X25+X30+X35+X40+X45+X50+X55</f>
        <v>0</v>
      </c>
      <c r="Y60" s="1371"/>
      <c r="Z60" s="1371" t="n">
        <f aca="false">+IFERROR(AA60/$R60,"-")</f>
        <v>0</v>
      </c>
      <c r="AA60" s="633" t="n">
        <f aca="false">+AA5+AA10+AA15+AA20+AA25+AA30+AA35+AA40+AA45+AA50+AA55</f>
        <v>0</v>
      </c>
      <c r="AB60" s="1372" t="n">
        <f aca="false">+EDATE(W60,1)</f>
        <v>45744</v>
      </c>
      <c r="AC60" s="1371" t="n">
        <f aca="false">+IFERROR(AD60/$R60,"-")</f>
        <v>0</v>
      </c>
      <c r="AD60" s="633" t="n">
        <f aca="false">+AD5+AD10+AD15+AD20+AD25+AD30+AD35+AD40+AD45+AD50+AD55</f>
        <v>0</v>
      </c>
      <c r="AE60" s="1372" t="n">
        <f aca="false">+EDATE(AB60,3)</f>
        <v>45836</v>
      </c>
      <c r="AF60" s="1371" t="n">
        <f aca="false">+IFERROR(AG60/$R60,"-")</f>
        <v>0</v>
      </c>
      <c r="AG60" s="633" t="n">
        <f aca="false">+AG5+AG10+AG15+AG20+AG25+AG30+AG35+AG40+AG45+AG50+AG55</f>
        <v>0</v>
      </c>
      <c r="AH60" s="1372" t="n">
        <f aca="false">+EDATE(AB60,4)</f>
        <v>45866</v>
      </c>
      <c r="AI60" s="1371" t="str">
        <f aca="false">+IFERROR(AJ60/#REF!,"-")</f>
        <v>-</v>
      </c>
      <c r="AJ60" s="633" t="n">
        <f aca="false">+AJ5+AJ10+AJ15+AJ20+AJ25+AJ30+AJ35+AJ40+AJ45+AJ50+AJ55</f>
        <v>0</v>
      </c>
      <c r="AK60" s="1372" t="n">
        <f aca="false">+EDATE(AB60,6)</f>
        <v>45928</v>
      </c>
      <c r="AL60" s="1371" t="str">
        <f aca="false">+IFERROR(AM60/#REF!,"-")</f>
        <v>-</v>
      </c>
      <c r="AM60" s="1371"/>
      <c r="AN60" s="1371"/>
      <c r="AO60" s="1373" t="n">
        <f aca="false">+R60</f>
        <v>4793296200</v>
      </c>
      <c r="AP60" s="1373" t="n">
        <f aca="false">+AS60</f>
        <v>479329620</v>
      </c>
      <c r="AQ60" s="1439" t="s">
        <v>373</v>
      </c>
      <c r="AR60" s="1440"/>
      <c r="AS60" s="1349" t="n">
        <f aca="false">+$AO60*'ref.지급기준 (2)'!G99</f>
        <v>479329620</v>
      </c>
      <c r="AT60" s="1347" t="n">
        <f aca="false">+X60</f>
        <v>0</v>
      </c>
      <c r="AU60" s="1347" t="n">
        <f aca="false">+$AO60*'ref.지급기준 (2)'!I99</f>
        <v>958659240</v>
      </c>
      <c r="AV60" s="1347" t="n">
        <f aca="false">+AA60</f>
        <v>0</v>
      </c>
      <c r="AW60" s="1347" t="n">
        <f aca="false">+$AO60*'ref.지급기준 (2)'!K99</f>
        <v>1917318480</v>
      </c>
      <c r="AX60" s="1347"/>
      <c r="AY60" s="1347" t="n">
        <f aca="false">+$AO60*'ref.지급기준 (2)'!M99</f>
        <v>1198324050</v>
      </c>
      <c r="AZ60" s="1347"/>
      <c r="BA60" s="1347" t="n">
        <f aca="false">+$AO60*'ref.지급기준 (2)'!O99</f>
        <v>239664810</v>
      </c>
      <c r="BB60" s="1350"/>
      <c r="BC60" s="1441" t="s">
        <v>1475</v>
      </c>
      <c r="BD60" s="1278"/>
      <c r="BE60" s="1332" t="b">
        <f aca="false">+(BA60+AY60+AW60+AU60+AS60)=R60</f>
        <v>1</v>
      </c>
      <c r="BF60" s="1278"/>
      <c r="BG60" s="1278"/>
      <c r="BH60" s="1278"/>
      <c r="BI60" s="1278"/>
      <c r="BJ60" s="1278"/>
      <c r="BK60" s="1278"/>
      <c r="BL60" s="1278"/>
      <c r="BM60" s="1278"/>
      <c r="BN60" s="1278"/>
      <c r="BO60" s="1333"/>
      <c r="BP60" s="1333"/>
    </row>
    <row r="61" customFormat="false" ht="16.5" hidden="false" customHeight="false" outlineLevel="1" collapsed="false">
      <c r="A61" s="1307"/>
      <c r="B61" s="1425"/>
      <c r="C61" s="1426"/>
      <c r="D61" s="1379"/>
      <c r="E61" s="1427"/>
      <c r="F61" s="1428"/>
      <c r="G61" s="1429"/>
      <c r="H61" s="1429"/>
      <c r="I61" s="1462"/>
      <c r="J61" s="1463"/>
      <c r="K61" s="1464"/>
      <c r="L61" s="1380"/>
      <c r="M61" s="1382"/>
      <c r="N61" s="1382"/>
      <c r="O61" s="1334" t="s">
        <v>114</v>
      </c>
      <c r="P61" s="1335" t="n">
        <f aca="false">+P6+P11+P16+P21+P26+P31+P36+P41+P46+P51+P56</f>
        <v>1245012000</v>
      </c>
      <c r="Q61" s="1335" t="n">
        <f aca="false">+P61*10%</f>
        <v>124501200</v>
      </c>
      <c r="R61" s="1384" t="n">
        <f aca="false">SUM(P61:Q61)</f>
        <v>1369513200</v>
      </c>
      <c r="S61" s="1404" t="b">
        <f aca="false">+R61=AO61</f>
        <v>1</v>
      </c>
      <c r="T61" s="1467" t="n">
        <f aca="false">+IFERROR(U61/R61,"-")</f>
        <v>0.14103478520689</v>
      </c>
      <c r="U61" s="657" t="n">
        <f aca="false">+U6+U11+U16+U21+U26+U31+U36+U41+U46+U51+U56</f>
        <v>193149000</v>
      </c>
      <c r="V61" s="1337" t="n">
        <f aca="false">+IFERROR(X61/$R61,"-")</f>
        <v>0.14103478520689</v>
      </c>
      <c r="W61" s="1396" t="n">
        <v>45703</v>
      </c>
      <c r="X61" s="657" t="n">
        <f aca="false">+X6+X11+X16+X21+X26+X31+X36+X41+X46+X51+X56</f>
        <v>193149000</v>
      </c>
      <c r="Y61" s="1345"/>
      <c r="Z61" s="1345" t="n">
        <f aca="false">+IFERROR(AA61/$R61,"-")</f>
        <v>0</v>
      </c>
      <c r="AA61" s="657" t="n">
        <f aca="false">+AA6+AA11+AA16+AA21+AA26+AA31+AA36+AA41+AA46+AA51+AA56</f>
        <v>0</v>
      </c>
      <c r="AB61" s="1346" t="n">
        <v>45808</v>
      </c>
      <c r="AC61" s="1345" t="n">
        <f aca="false">+IFERROR(AD61/$R61,"-")</f>
        <v>0</v>
      </c>
      <c r="AD61" s="657" t="n">
        <f aca="false">+AD6+AD11+AD16+AD21+AD26+AD31+AD36+AD41+AD46+AD51+AD56</f>
        <v>0</v>
      </c>
      <c r="AE61" s="1346" t="n">
        <f aca="false">+EDATE(AB61,1)</f>
        <v>45838</v>
      </c>
      <c r="AF61" s="1345" t="n">
        <f aca="false">+IFERROR(AG61/$R61,"-")</f>
        <v>0</v>
      </c>
      <c r="AG61" s="657" t="n">
        <f aca="false">+AG6+AG11+AG16+AG21+AG26+AG31+AG36+AG41+AG46+AG51+AG56</f>
        <v>0</v>
      </c>
      <c r="AH61" s="1346" t="n">
        <f aca="false">+EDATE(AB60,6)</f>
        <v>45928</v>
      </c>
      <c r="AI61" s="1345" t="str">
        <f aca="false">+IFERROR(AJ61/#REF!,"-")</f>
        <v>-</v>
      </c>
      <c r="AJ61" s="657" t="n">
        <f aca="false">+AJ6+AJ11+AJ16+AJ21+AJ26+AJ31+AJ36+AJ41+AJ46+AJ51+AJ56</f>
        <v>0</v>
      </c>
      <c r="AK61" s="1345"/>
      <c r="AL61" s="1345" t="str">
        <f aca="false">+IFERROR(AM61/#REF!,"-")</f>
        <v>-</v>
      </c>
      <c r="AM61" s="1345"/>
      <c r="AN61" s="1345"/>
      <c r="AO61" s="1347" t="n">
        <f aca="false">+R61</f>
        <v>1369513200</v>
      </c>
      <c r="AP61" s="1347" t="n">
        <f aca="false">+AS61</f>
        <v>410853960</v>
      </c>
      <c r="AQ61" s="1443"/>
      <c r="AR61" s="1440"/>
      <c r="AS61" s="1349" t="n">
        <f aca="false">+$AO61*'ref.지급기준 (2)'!G100</f>
        <v>410853960</v>
      </c>
      <c r="AT61" s="1347" t="n">
        <f aca="false">+X61</f>
        <v>193149000</v>
      </c>
      <c r="AU61" s="1347" t="n">
        <f aca="false">+$AO61*'ref.지급기준 (2)'!I100</f>
        <v>136951320</v>
      </c>
      <c r="AV61" s="1347" t="n">
        <f aca="false">+AA61</f>
        <v>0</v>
      </c>
      <c r="AW61" s="1347" t="n">
        <f aca="false">+$AO61*'ref.지급기준 (2)'!K100</f>
        <v>684756600</v>
      </c>
      <c r="AX61" s="1347"/>
      <c r="AY61" s="1347" t="n">
        <f aca="false">+$AO61*'ref.지급기준 (2)'!M100</f>
        <v>136951320</v>
      </c>
      <c r="AZ61" s="1347"/>
      <c r="BA61" s="1347" t="n">
        <f aca="false">+$AO61*'ref.지급기준 (2)'!O100</f>
        <v>0</v>
      </c>
      <c r="BB61" s="1350"/>
      <c r="BC61" s="1441"/>
      <c r="BD61" s="1278"/>
      <c r="BE61" s="1332" t="b">
        <f aca="false">+(BA61+AY61+AW61+AU61+AS61)=R61</f>
        <v>1</v>
      </c>
      <c r="BF61" s="1278"/>
      <c r="BG61" s="1278"/>
      <c r="BH61" s="1278"/>
      <c r="BI61" s="1278"/>
      <c r="BJ61" s="1278"/>
      <c r="BK61" s="1278"/>
      <c r="BL61" s="1278"/>
      <c r="BM61" s="1278"/>
      <c r="BN61" s="1278"/>
      <c r="BO61" s="1333"/>
      <c r="BP61" s="1333"/>
    </row>
    <row r="62" customFormat="false" ht="16.5" hidden="false" customHeight="false" outlineLevel="1" collapsed="false">
      <c r="A62" s="1307"/>
      <c r="B62" s="1425"/>
      <c r="C62" s="1426"/>
      <c r="D62" s="1379"/>
      <c r="E62" s="1427"/>
      <c r="F62" s="1428"/>
      <c r="G62" s="1429"/>
      <c r="H62" s="1429"/>
      <c r="I62" s="1462"/>
      <c r="J62" s="1463"/>
      <c r="K62" s="1464"/>
      <c r="L62" s="1380"/>
      <c r="M62" s="1382"/>
      <c r="N62" s="1382"/>
      <c r="O62" s="1334" t="s">
        <v>404</v>
      </c>
      <c r="P62" s="1335" t="e">
        <f aca="false">+P7+P12+P17+P22+P27+P32+P37+P42+P47+P52+P57</f>
        <v>#VALUE!</v>
      </c>
      <c r="Q62" s="1335"/>
      <c r="R62" s="1384" t="e">
        <f aca="false">SUM(P62:Q62)</f>
        <v>#VALUE!</v>
      </c>
      <c r="S62" s="1468" t="e">
        <f aca="false">+R62=AO62</f>
        <v>#VALUE!</v>
      </c>
      <c r="T62" s="1467" t="str">
        <f aca="false">+IFERROR(U62/R62,"-")</f>
        <v>-</v>
      </c>
      <c r="U62" s="657" t="n">
        <f aca="false">+U7+U12+U17+U22+U27+U32+U37+U42+U47+U52+U57</f>
        <v>0</v>
      </c>
      <c r="V62" s="1337" t="str">
        <f aca="false">+IFERROR(X62/$R62,"-")</f>
        <v>-</v>
      </c>
      <c r="W62" s="1396" t="n">
        <f aca="false">W61</f>
        <v>45703</v>
      </c>
      <c r="X62" s="657" t="n">
        <f aca="false">+X7+X12+X17+X22+X27+X32+X37+X42+X47+X52+X57</f>
        <v>0</v>
      </c>
      <c r="Y62" s="1345"/>
      <c r="Z62" s="1345" t="str">
        <f aca="false">+IFERROR(AA62/$R62,"-")</f>
        <v>-</v>
      </c>
      <c r="AA62" s="657" t="n">
        <f aca="false">+AA7+AA12+AA17+AA22+AA27+AA32+AA37+AA42+AA47+AA52+AA57</f>
        <v>0</v>
      </c>
      <c r="AB62" s="1346"/>
      <c r="AC62" s="1345" t="str">
        <f aca="false">+IFERROR(AD62/$R62,"-")</f>
        <v>-</v>
      </c>
      <c r="AD62" s="657" t="n">
        <f aca="false">+AD7+AD12+AD17+AD22+AD27+AD32+AD37+AD42+AD47+AD52+AD57</f>
        <v>0</v>
      </c>
      <c r="AE62" s="1346"/>
      <c r="AF62" s="1345" t="str">
        <f aca="false">+IFERROR(AG62/$R62,"-")</f>
        <v>-</v>
      </c>
      <c r="AG62" s="657" t="n">
        <f aca="false">+AG7+AG12+AG17+AG22+AG27+AG32+AG37+AG42+AG47+AG52+AG57</f>
        <v>0</v>
      </c>
      <c r="AH62" s="1346"/>
      <c r="AI62" s="1345" t="str">
        <f aca="false">+IFERROR(AJ62/#REF!,"-")</f>
        <v>-</v>
      </c>
      <c r="AJ62" s="657" t="n">
        <f aca="false">+AJ7+AJ12+AJ17+AJ22+AJ27+AJ32+AJ37+AJ42+AJ47+AJ52+AJ57</f>
        <v>0</v>
      </c>
      <c r="AK62" s="1345"/>
      <c r="AL62" s="1345" t="str">
        <f aca="false">+IFERROR(AM62/#REF!,"-")</f>
        <v>-</v>
      </c>
      <c r="AM62" s="1345"/>
      <c r="AN62" s="1345"/>
      <c r="AO62" s="1347" t="e">
        <f aca="false">+R62</f>
        <v>#VALUE!</v>
      </c>
      <c r="AP62" s="1347" t="e">
        <f aca="false">+AS62</f>
        <v>#VALUE!</v>
      </c>
      <c r="AQ62" s="1443"/>
      <c r="AR62" s="1440"/>
      <c r="AS62" s="1349" t="e">
        <f aca="false">+$AO62*'ref.지급기준 (2)'!G101</f>
        <v>#VALUE!</v>
      </c>
      <c r="AT62" s="1347" t="n">
        <f aca="false">+X62</f>
        <v>0</v>
      </c>
      <c r="AU62" s="1347" t="e">
        <f aca="false">+$AO62*'ref.지급기준 (2)'!I101</f>
        <v>#VALUE!</v>
      </c>
      <c r="AV62" s="1347" t="n">
        <f aca="false">+AA62</f>
        <v>0</v>
      </c>
      <c r="AW62" s="1347" t="e">
        <f aca="false">+$AO62*'ref.지급기준 (2)'!K101</f>
        <v>#VALUE!</v>
      </c>
      <c r="AX62" s="1347"/>
      <c r="AY62" s="1347" t="e">
        <f aca="false">+$AO62*'ref.지급기준 (2)'!M101</f>
        <v>#VALUE!</v>
      </c>
      <c r="AZ62" s="1347"/>
      <c r="BA62" s="1347" t="e">
        <f aca="false">+$AO62*'ref.지급기준 (2)'!O101</f>
        <v>#VALUE!</v>
      </c>
      <c r="BB62" s="1350"/>
      <c r="BC62" s="1441"/>
      <c r="BD62" s="1278"/>
      <c r="BE62" s="1278" t="e">
        <f aca="false">+(BA62+AY62+AW62+AU62+AS62)=R62</f>
        <v>#VALUE!</v>
      </c>
      <c r="BF62" s="1278"/>
      <c r="BG62" s="1278"/>
      <c r="BH62" s="1278"/>
      <c r="BI62" s="1278"/>
      <c r="BJ62" s="1278"/>
      <c r="BK62" s="1278"/>
      <c r="BL62" s="1278"/>
      <c r="BM62" s="1278"/>
      <c r="BN62" s="1278"/>
      <c r="BO62" s="1333"/>
      <c r="BP62" s="1333"/>
    </row>
    <row r="63" customFormat="false" ht="16.5" hidden="false" customHeight="true" outlineLevel="1" collapsed="false">
      <c r="A63" s="1307"/>
      <c r="B63" s="1425"/>
      <c r="C63" s="1426"/>
      <c r="D63" s="1379"/>
      <c r="E63" s="1427"/>
      <c r="F63" s="1428"/>
      <c r="G63" s="1429"/>
      <c r="H63" s="1429"/>
      <c r="I63" s="1462"/>
      <c r="J63" s="1463"/>
      <c r="K63" s="1464"/>
      <c r="L63" s="1380"/>
      <c r="M63" s="1382"/>
      <c r="N63" s="1382"/>
      <c r="O63" s="1334" t="s">
        <v>507</v>
      </c>
      <c r="P63" s="1335" t="n">
        <f aca="false">+P8+P13+P18+P23+P28+P33+P38+P43+P48+P53+P58</f>
        <v>477806000</v>
      </c>
      <c r="Q63" s="1335" t="n">
        <f aca="false">+P63*10%</f>
        <v>47780600</v>
      </c>
      <c r="R63" s="1384" t="n">
        <f aca="false">SUM(P63:Q63)</f>
        <v>525586600</v>
      </c>
      <c r="S63" s="1404" t="b">
        <f aca="false">+R63=AO63</f>
        <v>1</v>
      </c>
      <c r="T63" s="1467" t="n">
        <f aca="false">+IFERROR(U63/R63,"-")</f>
        <v>0.0928933500207197</v>
      </c>
      <c r="U63" s="657" t="n">
        <f aca="false">+U8+U13+U18+U23+U28+U33+U38+U43+U48+U53+U58</f>
        <v>48823500</v>
      </c>
      <c r="V63" s="1337" t="n">
        <f aca="false">+IFERROR(X63/$R63,"-")</f>
        <v>0.0928933500207197</v>
      </c>
      <c r="W63" s="1396" t="n">
        <f aca="false">W61</f>
        <v>45703</v>
      </c>
      <c r="X63" s="657" t="n">
        <f aca="false">+X8+X13+X18+X23+X28+X33+X38+X43+X48+X53+X58</f>
        <v>48823500</v>
      </c>
      <c r="Y63" s="1345"/>
      <c r="Z63" s="1345" t="n">
        <f aca="false">+IFERROR(AA63/$R63,"-")</f>
        <v>0</v>
      </c>
      <c r="AA63" s="657" t="n">
        <f aca="false">+AA8+AA13+AA18+AA23+AA28+AA33+AA38+AA43+AA48+AA53+AA58</f>
        <v>0</v>
      </c>
      <c r="AB63" s="1346" t="n">
        <f aca="false">AB61</f>
        <v>45808</v>
      </c>
      <c r="AC63" s="1345" t="n">
        <f aca="false">+IFERROR(AD63/$R63,"-")</f>
        <v>0</v>
      </c>
      <c r="AD63" s="657" t="n">
        <f aca="false">+AD8+AD13+AD18+AD23+AD28+AD33+AD38+AD43+AD48+AD53+AD58</f>
        <v>0</v>
      </c>
      <c r="AE63" s="1346" t="n">
        <f aca="false">AE61</f>
        <v>45838</v>
      </c>
      <c r="AF63" s="1345" t="n">
        <f aca="false">+IFERROR(AG63/$R63,"-")</f>
        <v>0</v>
      </c>
      <c r="AG63" s="657" t="n">
        <f aca="false">+AG8+AG13+AG18+AG23+AG28+AG33+AG38+AG43+AG48+AG53+AG58</f>
        <v>0</v>
      </c>
      <c r="AH63" s="1346" t="n">
        <f aca="false">AH61</f>
        <v>45928</v>
      </c>
      <c r="AI63" s="1345" t="str">
        <f aca="false">+IFERROR(AJ63/#REF!,"-")</f>
        <v>-</v>
      </c>
      <c r="AJ63" s="657" t="n">
        <f aca="false">+AJ8+AJ13+AJ18+AJ23+AJ28+AJ33+AJ38+AJ43+AJ48+AJ53+AJ58</f>
        <v>0</v>
      </c>
      <c r="AK63" s="1345"/>
      <c r="AL63" s="1345" t="str">
        <f aca="false">+IFERROR(AM63/#REF!,"-")</f>
        <v>-</v>
      </c>
      <c r="AM63" s="1345"/>
      <c r="AN63" s="1345"/>
      <c r="AO63" s="1347" t="n">
        <f aca="false">+R63</f>
        <v>525586600</v>
      </c>
      <c r="AP63" s="1347" t="n">
        <f aca="false">+AS63</f>
        <v>157675980</v>
      </c>
      <c r="AQ63" s="1443"/>
      <c r="AR63" s="1440"/>
      <c r="AS63" s="1349" t="n">
        <f aca="false">+$AO63*'ref.지급기준 (2)'!G102</f>
        <v>157675980</v>
      </c>
      <c r="AT63" s="1347" t="n">
        <f aca="false">+X63</f>
        <v>48823500</v>
      </c>
      <c r="AU63" s="1347" t="n">
        <f aca="false">+$AO63*'ref.지급기준 (2)'!I102</f>
        <v>52558660</v>
      </c>
      <c r="AV63" s="1347" t="n">
        <f aca="false">+AA63</f>
        <v>0</v>
      </c>
      <c r="AW63" s="1347" t="n">
        <f aca="false">+$AO63*'ref.지급기준 (2)'!K102</f>
        <v>262793300</v>
      </c>
      <c r="AX63" s="1347"/>
      <c r="AY63" s="1347" t="n">
        <f aca="false">+$AO63*'ref.지급기준 (2)'!M102</f>
        <v>52558660</v>
      </c>
      <c r="AZ63" s="1347"/>
      <c r="BA63" s="1347" t="n">
        <f aca="false">+$AO63*'ref.지급기준 (2)'!O102</f>
        <v>0</v>
      </c>
      <c r="BB63" s="1350"/>
      <c r="BC63" s="1441"/>
      <c r="BD63" s="1278"/>
      <c r="BE63" s="1332" t="b">
        <f aca="false">+(BA63+AY63+AW63+AU63+AS63)=R63</f>
        <v>1</v>
      </c>
      <c r="BF63" s="1278"/>
      <c r="BG63" s="1278"/>
      <c r="BH63" s="1278"/>
      <c r="BI63" s="1278"/>
      <c r="BJ63" s="1278"/>
      <c r="BK63" s="1278"/>
      <c r="BL63" s="1278"/>
      <c r="BM63" s="1278"/>
      <c r="BN63" s="1278"/>
      <c r="BO63" s="1333"/>
      <c r="BP63" s="1333"/>
    </row>
    <row r="64" customFormat="false" ht="16.5" hidden="false" customHeight="true" outlineLevel="1" collapsed="false">
      <c r="A64" s="1307"/>
      <c r="B64" s="1425"/>
      <c r="C64" s="1426"/>
      <c r="D64" s="1379"/>
      <c r="E64" s="1427"/>
      <c r="F64" s="1428"/>
      <c r="G64" s="1429"/>
      <c r="H64" s="1429"/>
      <c r="I64" s="1462"/>
      <c r="J64" s="1463"/>
      <c r="K64" s="1464"/>
      <c r="L64" s="1380"/>
      <c r="M64" s="1382"/>
      <c r="N64" s="1382"/>
      <c r="O64" s="1385" t="s">
        <v>508</v>
      </c>
      <c r="P64" s="1386" t="n">
        <f aca="false">+P9+P14+P19+P24+P29+P34+P39+P44+P49+P54+P59</f>
        <v>731507000</v>
      </c>
      <c r="Q64" s="1386" t="n">
        <f aca="false">+P64*0.1</f>
        <v>73150700</v>
      </c>
      <c r="R64" s="1387" t="n">
        <f aca="false">SUM(P64:Q64)</f>
        <v>804657700</v>
      </c>
      <c r="S64" s="1404" t="b">
        <f aca="false">+R64=AO64</f>
        <v>1</v>
      </c>
      <c r="T64" s="1469"/>
      <c r="U64" s="680" t="n">
        <f aca="false">+U9+U14+U19+U24+U29+U34+U39+U44+U49+U54+U59</f>
        <v>0</v>
      </c>
      <c r="V64" s="1406" t="n">
        <f aca="false">+IFERROR(X64/$R64,"-")</f>
        <v>0</v>
      </c>
      <c r="W64" s="1409"/>
      <c r="X64" s="680" t="n">
        <f aca="false">+X9+X14+X19+X24+X29+X34+X39+X44+X49+X54+X59</f>
        <v>0</v>
      </c>
      <c r="Y64" s="1409"/>
      <c r="Z64" s="1409" t="n">
        <f aca="false">+IFERROR(AA64/$R64,"-")</f>
        <v>0</v>
      </c>
      <c r="AA64" s="680" t="n">
        <f aca="false">+AA9+AA14+AA19+AA24+AA29+AA34+AA39+AA44+AA49+AA54+AA59</f>
        <v>0</v>
      </c>
      <c r="AB64" s="1410"/>
      <c r="AC64" s="1409" t="n">
        <f aca="false">+IFERROR(AD64/$R64,"-")</f>
        <v>0</v>
      </c>
      <c r="AD64" s="680" t="n">
        <f aca="false">+AD9+AD14+AD19+AD24+AD29+AD34+AD39+AD44+AD49+AD54+AD59</f>
        <v>0</v>
      </c>
      <c r="AE64" s="1410"/>
      <c r="AF64" s="1409" t="n">
        <f aca="false">+IFERROR(AG64/$R64,"-")</f>
        <v>0</v>
      </c>
      <c r="AG64" s="680" t="n">
        <f aca="false">+AG9+AG14+AG19+AG24+AG29+AG34+AG39+AG44+AG49+AG54+AG59</f>
        <v>0</v>
      </c>
      <c r="AH64" s="1410"/>
      <c r="AI64" s="1409" t="str">
        <f aca="false">+IFERROR(AJ64/#REF!,"-")</f>
        <v>-</v>
      </c>
      <c r="AJ64" s="680" t="n">
        <f aca="false">+AJ9+AJ14+AJ19+AJ24+AJ29+AJ34+AJ39+AJ44+AJ49+AJ54+AJ59</f>
        <v>0</v>
      </c>
      <c r="AK64" s="1409"/>
      <c r="AL64" s="1409"/>
      <c r="AM64" s="1409"/>
      <c r="AN64" s="1409"/>
      <c r="AO64" s="1411" t="n">
        <f aca="false">+R64</f>
        <v>804657700</v>
      </c>
      <c r="AP64" s="1411" t="n">
        <f aca="false">+AS64+AU64</f>
        <v>804657700</v>
      </c>
      <c r="AQ64" s="1412"/>
      <c r="AR64" s="1440"/>
      <c r="AS64" s="1361" t="n">
        <f aca="false">+$AO64*'ref.지급기준 (2)'!G103</f>
        <v>804657700</v>
      </c>
      <c r="AT64" s="1359" t="n">
        <f aca="false">+X64</f>
        <v>0</v>
      </c>
      <c r="AU64" s="1359" t="n">
        <f aca="false">+$AO64*'ref.지급기준 (2)'!I103</f>
        <v>0</v>
      </c>
      <c r="AV64" s="1359" t="n">
        <f aca="false">+AA64</f>
        <v>0</v>
      </c>
      <c r="AW64" s="1359" t="n">
        <f aca="false">+$AO64*'ref.지급기준 (2)'!K103</f>
        <v>0</v>
      </c>
      <c r="AX64" s="1359"/>
      <c r="AY64" s="1359" t="n">
        <f aca="false">+$AO64*'ref.지급기준 (2)'!M103</f>
        <v>0</v>
      </c>
      <c r="AZ64" s="1359"/>
      <c r="BA64" s="1359" t="n">
        <f aca="false">+$AO64*'ref.지급기준 (2)'!O103</f>
        <v>0</v>
      </c>
      <c r="BB64" s="1362"/>
      <c r="BC64" s="1441"/>
      <c r="BD64" s="1278"/>
      <c r="BE64" s="1332" t="b">
        <f aca="false">+(BA64+AY64+AW64+AU64+AS64)=R64</f>
        <v>1</v>
      </c>
      <c r="BF64" s="1278"/>
      <c r="BG64" s="1278"/>
      <c r="BH64" s="1278"/>
      <c r="BI64" s="1278"/>
      <c r="BJ64" s="1278"/>
      <c r="BK64" s="1278"/>
      <c r="BL64" s="1278"/>
      <c r="BM64" s="1278"/>
      <c r="BN64" s="1278"/>
      <c r="BO64" s="1333"/>
      <c r="BP64" s="1333"/>
    </row>
    <row r="65" customFormat="false" ht="16.5" hidden="false" customHeight="true" outlineLevel="0" collapsed="false">
      <c r="A65" s="1307"/>
      <c r="B65" s="1470" t="n">
        <v>3</v>
      </c>
      <c r="C65" s="1471" t="s">
        <v>1487</v>
      </c>
      <c r="D65" s="1472" t="s">
        <v>1488</v>
      </c>
      <c r="E65" s="1473" t="s">
        <v>1489</v>
      </c>
      <c r="F65" s="1474" t="s">
        <v>1490</v>
      </c>
      <c r="G65" s="1475" t="n">
        <f aca="false">SUBTOTAL(103,I65:I109)</f>
        <v>8</v>
      </c>
      <c r="H65" s="1475" t="s">
        <v>1472</v>
      </c>
      <c r="I65" s="1310" t="s">
        <v>1491</v>
      </c>
      <c r="J65" s="1476" t="s">
        <v>1492</v>
      </c>
      <c r="K65" s="1477" t="n">
        <f aca="false">+'ref.지급기준 (2)'!D159</f>
        <v>3065.3</v>
      </c>
      <c r="L65" s="1376" t="n">
        <f aca="false">+'DG-PV Organic'!H13</f>
        <v>0.0907</v>
      </c>
      <c r="M65" s="1364" t="n">
        <f aca="false">+'DG-PV Organic'!J13</f>
        <v>0.093</v>
      </c>
      <c r="N65" s="1364" t="s">
        <v>1479</v>
      </c>
      <c r="O65" s="1365" t="s">
        <v>112</v>
      </c>
      <c r="P65" s="1366" t="n">
        <f aca="false">+'ref.지급기준 (2)'!F159*'ref.지급기준 (2)'!D159/'ref.지급기준 (2)'!$Q$2</f>
        <v>3218565000</v>
      </c>
      <c r="Q65" s="1366" t="n">
        <f aca="false">+P65*10%</f>
        <v>321856500</v>
      </c>
      <c r="R65" s="1436" t="n">
        <f aca="false">SUM(P65:Q65)</f>
        <v>3540421500</v>
      </c>
      <c r="S65" s="1437" t="b">
        <f aca="false">+R65=AO65</f>
        <v>1</v>
      </c>
      <c r="T65" s="1320" t="n">
        <f aca="false">+IFERROR(U65/R65,"-")</f>
        <v>0</v>
      </c>
      <c r="U65" s="645" t="n">
        <f aca="false">+IFERROR(X65+AA65+AD65+AG65+AJ65+AM65,"-")</f>
        <v>0</v>
      </c>
      <c r="V65" s="1320" t="n">
        <f aca="false">+IFERROR(X65/$R65,"-")</f>
        <v>0</v>
      </c>
      <c r="W65" s="1346" t="n">
        <f aca="false">AE68</f>
        <v>45869</v>
      </c>
      <c r="X65" s="1438"/>
      <c r="Y65" s="1371"/>
      <c r="Z65" s="1345" t="n">
        <f aca="false">+IFERROR(AA65/$R65,"-")</f>
        <v>0</v>
      </c>
      <c r="AA65" s="1345"/>
      <c r="AB65" s="1346" t="n">
        <f aca="false">+EDATE(W65,1)</f>
        <v>45900</v>
      </c>
      <c r="AC65" s="1345" t="n">
        <f aca="false">+IFERROR(AD65/$R65,"-")</f>
        <v>0</v>
      </c>
      <c r="AD65" s="1345"/>
      <c r="AE65" s="1346" t="n">
        <f aca="false">+EDATE(AB65,3)</f>
        <v>45991</v>
      </c>
      <c r="AF65" s="1345" t="n">
        <f aca="false">+IFERROR(AG65/$R65,"-")</f>
        <v>0</v>
      </c>
      <c r="AG65" s="1345"/>
      <c r="AH65" s="1346" t="n">
        <f aca="false">+EDATE(AB65,4)</f>
        <v>46022</v>
      </c>
      <c r="AI65" s="1345" t="str">
        <f aca="false">+IFERROR(AJ65/#REF!,"-")</f>
        <v>-</v>
      </c>
      <c r="AJ65" s="1345"/>
      <c r="AK65" s="1346" t="n">
        <f aca="false">+EDATE(AB65,6)+1</f>
        <v>46082</v>
      </c>
      <c r="AL65" s="1371" t="str">
        <f aca="false">+IFERROR(AM65/#REF!,"-")</f>
        <v>-</v>
      </c>
      <c r="AM65" s="1371"/>
      <c r="AN65" s="1371"/>
      <c r="AO65" s="1373" t="n">
        <f aca="false">+R65</f>
        <v>3540421500</v>
      </c>
      <c r="AP65" s="1373" t="n">
        <f aca="false">+AO65*'ref.지급기준 (2)'!G159</f>
        <v>354042150</v>
      </c>
      <c r="AQ65" s="1374" t="n">
        <f aca="false">+W65</f>
        <v>45869</v>
      </c>
      <c r="AR65" s="1328"/>
      <c r="AS65" s="1349" t="n">
        <f aca="false">+$AO65*'ref.지급기준 (2)'!G159</f>
        <v>354042150</v>
      </c>
      <c r="AT65" s="1347" t="n">
        <f aca="false">+X65</f>
        <v>0</v>
      </c>
      <c r="AU65" s="1347" t="n">
        <f aca="false">+$AO65*'ref.지급기준 (2)'!I159</f>
        <v>708084300</v>
      </c>
      <c r="AV65" s="1347" t="n">
        <f aca="false">+AA65</f>
        <v>0</v>
      </c>
      <c r="AW65" s="1347" t="n">
        <f aca="false">+$AO65*'ref.지급기준 (2)'!K159</f>
        <v>1416168600</v>
      </c>
      <c r="AX65" s="1347"/>
      <c r="AY65" s="1347" t="n">
        <f aca="false">+$AO65*'ref.지급기준 (2)'!M159</f>
        <v>885105375</v>
      </c>
      <c r="AZ65" s="1347"/>
      <c r="BA65" s="1347" t="n">
        <f aca="false">+$AO65*'ref.지급기준 (2)'!O159</f>
        <v>177021075</v>
      </c>
      <c r="BB65" s="1350"/>
      <c r="BC65" s="1441" t="s">
        <v>1493</v>
      </c>
      <c r="BD65" s="1278"/>
      <c r="BE65" s="1332" t="b">
        <f aca="false">+(BA65+AY65+AW65+AU65+AS65)=R65</f>
        <v>1</v>
      </c>
      <c r="BF65" s="1278"/>
      <c r="BG65" s="1278"/>
      <c r="BH65" s="1278"/>
      <c r="BI65" s="1278"/>
      <c r="BJ65" s="1278"/>
      <c r="BK65" s="1278"/>
      <c r="BL65" s="1278"/>
      <c r="BM65" s="1278"/>
      <c r="BN65" s="1278"/>
      <c r="BO65" s="1333"/>
      <c r="BP65" s="1333"/>
    </row>
    <row r="66" customFormat="false" ht="16.5" hidden="false" customHeight="true" outlineLevel="0" collapsed="false">
      <c r="A66" s="1307"/>
      <c r="B66" s="1470"/>
      <c r="C66" s="1471"/>
      <c r="D66" s="1472"/>
      <c r="E66" s="1473"/>
      <c r="F66" s="1474"/>
      <c r="G66" s="1475"/>
      <c r="H66" s="1475"/>
      <c r="I66" s="1310"/>
      <c r="J66" s="1476"/>
      <c r="K66" s="1477"/>
      <c r="L66" s="1376"/>
      <c r="M66" s="1364"/>
      <c r="N66" s="1364"/>
      <c r="O66" s="1334" t="s">
        <v>114</v>
      </c>
      <c r="P66" s="1335" t="n">
        <f aca="false">+'ref.지급기준 (2)'!F160*'ref.지급기준 (2)'!D160/'ref.지급기준 (2)'!$Q$2</f>
        <v>919590000</v>
      </c>
      <c r="Q66" s="1335" t="n">
        <f aca="false">+P66*10%</f>
        <v>91959000</v>
      </c>
      <c r="R66" s="1384" t="n">
        <f aca="false">SUM(P66:Q66)</f>
        <v>1011549000</v>
      </c>
      <c r="S66" s="1437" t="b">
        <f aca="false">+R66=AO66</f>
        <v>1</v>
      </c>
      <c r="T66" s="1337" t="n">
        <f aca="false">+IFERROR(U66/R66,"-")</f>
        <v>0</v>
      </c>
      <c r="U66" s="1338" t="n">
        <f aca="false">+IFERROR(X66+AA66+AD66+AG66+AJ66+AM66,"-")</f>
        <v>0</v>
      </c>
      <c r="V66" s="1337" t="n">
        <f aca="false">+IFERROR(X66/$R66,"-")</f>
        <v>0</v>
      </c>
      <c r="W66" s="1396" t="n">
        <v>45777</v>
      </c>
      <c r="X66" s="1395"/>
      <c r="Y66" s="1345"/>
      <c r="Z66" s="1345" t="n">
        <f aca="false">+IFERROR(AA66/$R66,"-")</f>
        <v>0</v>
      </c>
      <c r="AA66" s="1397"/>
      <c r="AB66" s="1346" t="n">
        <v>45808</v>
      </c>
      <c r="AC66" s="1345" t="n">
        <f aca="false">+IFERROR(AD66/$R66,"-")</f>
        <v>0</v>
      </c>
      <c r="AD66" s="1345"/>
      <c r="AE66" s="1346" t="n">
        <f aca="false">EDATE(AB66,2)</f>
        <v>45869</v>
      </c>
      <c r="AF66" s="1345" t="n">
        <f aca="false">+IFERROR(AG66/$R66,"-")</f>
        <v>0</v>
      </c>
      <c r="AG66" s="1345"/>
      <c r="AH66" s="1346" t="n">
        <f aca="false">+EDATE(AB65,9)</f>
        <v>46173</v>
      </c>
      <c r="AI66" s="1345" t="str">
        <f aca="false">+IFERROR(AJ66/#REF!,"-")</f>
        <v>-</v>
      </c>
      <c r="AJ66" s="1345"/>
      <c r="AK66" s="1345"/>
      <c r="AL66" s="1345" t="str">
        <f aca="false">+IFERROR(AM66/#REF!,"-")</f>
        <v>-</v>
      </c>
      <c r="AM66" s="1345"/>
      <c r="AN66" s="1345"/>
      <c r="AO66" s="1347" t="n">
        <f aca="false">+R66</f>
        <v>1011549000</v>
      </c>
      <c r="AP66" s="1347" t="n">
        <f aca="false">+AO66*'ref.지급기준 (2)'!G160</f>
        <v>202309800</v>
      </c>
      <c r="AQ66" s="1348" t="n">
        <f aca="false">+W66</f>
        <v>45777</v>
      </c>
      <c r="AR66" s="1328"/>
      <c r="AS66" s="1349" t="n">
        <f aca="false">+$AO66*'ref.지급기준 (2)'!G160</f>
        <v>202309800</v>
      </c>
      <c r="AT66" s="1347" t="n">
        <f aca="false">+X66</f>
        <v>0</v>
      </c>
      <c r="AU66" s="1347" t="n">
        <f aca="false">+$AO66*'ref.지급기준 (2)'!I160</f>
        <v>202309800</v>
      </c>
      <c r="AV66" s="1347" t="n">
        <f aca="false">+AA66</f>
        <v>0</v>
      </c>
      <c r="AW66" s="1347" t="n">
        <f aca="false">+$AO66*'ref.지급기준 (2)'!K160</f>
        <v>505774500</v>
      </c>
      <c r="AX66" s="1347"/>
      <c r="AY66" s="1347" t="n">
        <f aca="false">+$AO66*'ref.지급기준 (2)'!M160</f>
        <v>101154900</v>
      </c>
      <c r="AZ66" s="1347"/>
      <c r="BA66" s="1347" t="n">
        <f aca="false">+$AO66*'ref.지급기준 (2)'!O160</f>
        <v>0</v>
      </c>
      <c r="BB66" s="1350"/>
      <c r="BC66" s="1441"/>
      <c r="BD66" s="1278"/>
      <c r="BE66" s="1332" t="b">
        <f aca="false">+(BA66+AY66+AW66+AU66+AS66)=R66</f>
        <v>1</v>
      </c>
      <c r="BF66" s="1278"/>
      <c r="BG66" s="1278"/>
      <c r="BH66" s="1278"/>
      <c r="BI66" s="1278"/>
      <c r="BJ66" s="1278"/>
      <c r="BK66" s="1278"/>
      <c r="BL66" s="1278"/>
      <c r="BM66" s="1278"/>
      <c r="BN66" s="1278"/>
      <c r="BO66" s="1333"/>
      <c r="BP66" s="1333"/>
    </row>
    <row r="67" customFormat="false" ht="16.5" hidden="false" customHeight="true" outlineLevel="0" collapsed="false">
      <c r="A67" s="1307"/>
      <c r="B67" s="1470"/>
      <c r="C67" s="1471"/>
      <c r="D67" s="1472"/>
      <c r="E67" s="1473"/>
      <c r="F67" s="1474"/>
      <c r="G67" s="1475"/>
      <c r="H67" s="1475"/>
      <c r="I67" s="1310"/>
      <c r="J67" s="1476"/>
      <c r="K67" s="1477"/>
      <c r="L67" s="1376"/>
      <c r="M67" s="1364"/>
      <c r="N67" s="1364"/>
      <c r="O67" s="1334" t="s">
        <v>404</v>
      </c>
      <c r="P67" s="1335" t="n">
        <f aca="false">+'ref.지급기준 (2)'!F161*'ref.지급기준 (2)'!D161/'ref.지급기준 (2)'!$Q$2</f>
        <v>0</v>
      </c>
      <c r="Q67" s="1335" t="s">
        <v>373</v>
      </c>
      <c r="R67" s="1384" t="n">
        <f aca="false">SUM(P67:Q67)</f>
        <v>0</v>
      </c>
      <c r="S67" s="1437" t="b">
        <f aca="false">+R67=AO67</f>
        <v>1</v>
      </c>
      <c r="T67" s="1337" t="str">
        <f aca="false">+IFERROR(U67/R67,"-")</f>
        <v>-</v>
      </c>
      <c r="U67" s="1338" t="n">
        <f aca="false">+IFERROR(X67+AA67+AD67+AG67+AJ67+AM67,"-")</f>
        <v>0</v>
      </c>
      <c r="V67" s="1337" t="str">
        <f aca="false">+IFERROR(X67/$R67,"-")</f>
        <v>-</v>
      </c>
      <c r="W67" s="1396"/>
      <c r="X67" s="1395"/>
      <c r="Y67" s="1345"/>
      <c r="Z67" s="1345" t="str">
        <f aca="false">+IFERROR(AA67/$R67,"-")</f>
        <v>-</v>
      </c>
      <c r="AA67" s="1345"/>
      <c r="AB67" s="1346"/>
      <c r="AC67" s="1345" t="str">
        <f aca="false">+IFERROR(AD67/$R67,"-")</f>
        <v>-</v>
      </c>
      <c r="AD67" s="1345"/>
      <c r="AE67" s="1346"/>
      <c r="AF67" s="1345" t="str">
        <f aca="false">+IFERROR(AG67/$R67,"-")</f>
        <v>-</v>
      </c>
      <c r="AG67" s="1345"/>
      <c r="AH67" s="1346"/>
      <c r="AI67" s="1345" t="str">
        <f aca="false">+IFERROR(AJ67/#REF!,"-")</f>
        <v>-</v>
      </c>
      <c r="AJ67" s="1345"/>
      <c r="AK67" s="1345"/>
      <c r="AL67" s="1345" t="str">
        <f aca="false">+IFERROR(AM67/#REF!,"-")</f>
        <v>-</v>
      </c>
      <c r="AM67" s="1345"/>
      <c r="AN67" s="1345"/>
      <c r="AO67" s="1347" t="n">
        <f aca="false">+R67</f>
        <v>0</v>
      </c>
      <c r="AP67" s="1347" t="n">
        <f aca="false">+AO67*'ref.지급기준 (2)'!G161</f>
        <v>0</v>
      </c>
      <c r="AQ67" s="1348"/>
      <c r="AR67" s="1328"/>
      <c r="AS67" s="1349" t="n">
        <f aca="false">+$AO67*'ref.지급기준 (2)'!G161</f>
        <v>0</v>
      </c>
      <c r="AT67" s="1347" t="n">
        <f aca="false">+X67</f>
        <v>0</v>
      </c>
      <c r="AU67" s="1347" t="n">
        <f aca="false">+$AO67*'ref.지급기준 (2)'!I161</f>
        <v>0</v>
      </c>
      <c r="AV67" s="1347" t="n">
        <f aca="false">+AA67</f>
        <v>0</v>
      </c>
      <c r="AW67" s="1347" t="n">
        <f aca="false">+$AO67*'ref.지급기준 (2)'!K161</f>
        <v>0</v>
      </c>
      <c r="AX67" s="1347"/>
      <c r="AY67" s="1347" t="n">
        <f aca="false">+$AO67*'ref.지급기준 (2)'!M161</f>
        <v>0</v>
      </c>
      <c r="AZ67" s="1347"/>
      <c r="BA67" s="1347" t="n">
        <f aca="false">+$AO67*'ref.지급기준 (2)'!O161</f>
        <v>0</v>
      </c>
      <c r="BB67" s="1350"/>
      <c r="BC67" s="1441"/>
      <c r="BD67" s="1278"/>
      <c r="BE67" s="1332" t="b">
        <f aca="false">+(BA67+AY67+AW67+AU67+AS67)=R67</f>
        <v>1</v>
      </c>
      <c r="BF67" s="1278"/>
      <c r="BG67" s="1278"/>
      <c r="BH67" s="1278"/>
      <c r="BI67" s="1278"/>
      <c r="BJ67" s="1278"/>
      <c r="BK67" s="1278"/>
      <c r="BL67" s="1278"/>
      <c r="BM67" s="1278"/>
      <c r="BN67" s="1278"/>
      <c r="BO67" s="1333"/>
      <c r="BP67" s="1333"/>
    </row>
    <row r="68" customFormat="false" ht="16.5" hidden="false" customHeight="true" outlineLevel="0" collapsed="false">
      <c r="A68" s="1307"/>
      <c r="B68" s="1470"/>
      <c r="C68" s="1471"/>
      <c r="D68" s="1472"/>
      <c r="E68" s="1473"/>
      <c r="F68" s="1474"/>
      <c r="G68" s="1475"/>
      <c r="H68" s="1475"/>
      <c r="I68" s="1310"/>
      <c r="J68" s="1476"/>
      <c r="K68" s="1477"/>
      <c r="L68" s="1376"/>
      <c r="M68" s="1364"/>
      <c r="N68" s="1364"/>
      <c r="O68" s="1334" t="s">
        <v>507</v>
      </c>
      <c r="P68" s="1335" t="n">
        <f aca="false">+'ref.지급기준 (2)'!F162*'ref.지급기준 (2)'!D162/'ref.지급기준 (2)'!$Q$2</f>
        <v>613060000</v>
      </c>
      <c r="Q68" s="1335" t="n">
        <f aca="false">+P68*10%</f>
        <v>61306000</v>
      </c>
      <c r="R68" s="1384" t="n">
        <f aca="false">SUM(P68:Q68)</f>
        <v>674366000</v>
      </c>
      <c r="S68" s="1404" t="b">
        <f aca="false">+R68=AO68</f>
        <v>1</v>
      </c>
      <c r="T68" s="1337" t="n">
        <f aca="false">+IFERROR(U68/R68,"-")</f>
        <v>0</v>
      </c>
      <c r="U68" s="1338" t="n">
        <f aca="false">+IFERROR(X68+AA68+AD68+AG68+AJ68+AM68,"-")</f>
        <v>0</v>
      </c>
      <c r="V68" s="1337" t="n">
        <f aca="false">+IFERROR(X68/$R68,"-")</f>
        <v>0</v>
      </c>
      <c r="W68" s="1396" t="n">
        <f aca="false">W66</f>
        <v>45777</v>
      </c>
      <c r="X68" s="1395"/>
      <c r="Y68" s="1345"/>
      <c r="Z68" s="1345" t="n">
        <v>0</v>
      </c>
      <c r="AA68" s="1345"/>
      <c r="AB68" s="1346" t="n">
        <f aca="false">AB66</f>
        <v>45808</v>
      </c>
      <c r="AC68" s="1345" t="n">
        <v>0</v>
      </c>
      <c r="AD68" s="1345"/>
      <c r="AE68" s="1346" t="n">
        <f aca="false">AE66</f>
        <v>45869</v>
      </c>
      <c r="AF68" s="1345" t="n">
        <v>0</v>
      </c>
      <c r="AG68" s="1345"/>
      <c r="AH68" s="1346" t="n">
        <f aca="false">AH66</f>
        <v>46173</v>
      </c>
      <c r="AI68" s="1345" t="str">
        <f aca="false">+IFERROR(AJ68/#REF!,"-")</f>
        <v>-</v>
      </c>
      <c r="AJ68" s="1345"/>
      <c r="AK68" s="1345"/>
      <c r="AL68" s="1345" t="str">
        <f aca="false">+IFERROR(AM68/#REF!,"-")</f>
        <v>-</v>
      </c>
      <c r="AM68" s="1345"/>
      <c r="AN68" s="1345"/>
      <c r="AO68" s="1347" t="n">
        <f aca="false">+R68</f>
        <v>674366000</v>
      </c>
      <c r="AP68" s="1347" t="n">
        <f aca="false">+AO68*'ref.지급기준 (2)'!G162</f>
        <v>134873200</v>
      </c>
      <c r="AQ68" s="1348" t="n">
        <f aca="false">+W68</f>
        <v>45777</v>
      </c>
      <c r="AR68" s="1328"/>
      <c r="AS68" s="1349" t="n">
        <f aca="false">+$AO68*'ref.지급기준 (2)'!G162</f>
        <v>134873200</v>
      </c>
      <c r="AT68" s="1347" t="n">
        <f aca="false">+X68</f>
        <v>0</v>
      </c>
      <c r="AU68" s="1347" t="n">
        <f aca="false">+$AO68*'ref.지급기준 (2)'!I162</f>
        <v>134873200</v>
      </c>
      <c r="AV68" s="1347" t="n">
        <f aca="false">+AA68</f>
        <v>0</v>
      </c>
      <c r="AW68" s="1347" t="n">
        <f aca="false">+$AO68*'ref.지급기준 (2)'!K162</f>
        <v>337183000</v>
      </c>
      <c r="AX68" s="1347"/>
      <c r="AY68" s="1347" t="n">
        <f aca="false">+$AO68*'ref.지급기준 (2)'!M162</f>
        <v>67436600</v>
      </c>
      <c r="AZ68" s="1347"/>
      <c r="BA68" s="1347" t="n">
        <f aca="false">+$AO68*'ref.지급기준 (2)'!O162</f>
        <v>0</v>
      </c>
      <c r="BB68" s="1350"/>
      <c r="BC68" s="1441"/>
      <c r="BD68" s="1278"/>
      <c r="BE68" s="1332" t="b">
        <f aca="false">+(BA68+AY68+AW68+AU68+AS68)=R68</f>
        <v>1</v>
      </c>
      <c r="BF68" s="1278"/>
      <c r="BG68" s="1278"/>
      <c r="BH68" s="1278"/>
      <c r="BI68" s="1278"/>
      <c r="BJ68" s="1278"/>
      <c r="BK68" s="1278"/>
      <c r="BL68" s="1278"/>
      <c r="BM68" s="1278"/>
      <c r="BN68" s="1278"/>
      <c r="BO68" s="1333"/>
      <c r="BP68" s="1333"/>
    </row>
    <row r="69" customFormat="false" ht="16.5" hidden="false" customHeight="true" outlineLevel="0" collapsed="false">
      <c r="A69" s="1307"/>
      <c r="B69" s="1470"/>
      <c r="C69" s="1471"/>
      <c r="D69" s="1472"/>
      <c r="E69" s="1473"/>
      <c r="F69" s="1474"/>
      <c r="G69" s="1475"/>
      <c r="H69" s="1475"/>
      <c r="I69" s="1310"/>
      <c r="J69" s="1476"/>
      <c r="K69" s="1477"/>
      <c r="L69" s="1376"/>
      <c r="M69" s="1364"/>
      <c r="N69" s="1364"/>
      <c r="O69" s="1351" t="s">
        <v>508</v>
      </c>
      <c r="P69" s="1352" t="n">
        <f aca="false">+'DG-PV Organic'!AI13</f>
        <v>613060000</v>
      </c>
      <c r="Q69" s="1457" t="n">
        <f aca="false">+P69*0.1</f>
        <v>61306000</v>
      </c>
      <c r="R69" s="1457" t="n">
        <f aca="false">SUM(P69:Q69)</f>
        <v>674366000</v>
      </c>
      <c r="S69" s="1404" t="b">
        <f aca="false">+R69=AO69</f>
        <v>1</v>
      </c>
      <c r="T69" s="1406"/>
      <c r="U69" s="1407"/>
      <c r="V69" s="1406" t="n">
        <f aca="false">+IFERROR(X69/$R69,"-")</f>
        <v>0</v>
      </c>
      <c r="W69" s="1409"/>
      <c r="X69" s="1409"/>
      <c r="Y69" s="1409"/>
      <c r="Z69" s="1409" t="n">
        <f aca="false">+IFERROR(AA69/$R69,"-")</f>
        <v>0</v>
      </c>
      <c r="AA69" s="1409"/>
      <c r="AB69" s="1410"/>
      <c r="AC69" s="1409" t="n">
        <f aca="false">+IFERROR(AD69/$R69,"-")</f>
        <v>0</v>
      </c>
      <c r="AD69" s="1409"/>
      <c r="AE69" s="1410"/>
      <c r="AF69" s="1409" t="n">
        <f aca="false">+IFERROR(AG69/$R69,"-")</f>
        <v>0</v>
      </c>
      <c r="AG69" s="1409"/>
      <c r="AH69" s="1410"/>
      <c r="AI69" s="1409" t="str">
        <f aca="false">+IFERROR(AJ69/#REF!,"-")</f>
        <v>-</v>
      </c>
      <c r="AJ69" s="1409"/>
      <c r="AK69" s="1409"/>
      <c r="AL69" s="1409"/>
      <c r="AM69" s="1409"/>
      <c r="AN69" s="1409"/>
      <c r="AO69" s="1411" t="n">
        <f aca="false">+R69</f>
        <v>674366000</v>
      </c>
      <c r="AP69" s="1411" t="n">
        <f aca="false">+AS69+AU69</f>
        <v>674366000</v>
      </c>
      <c r="AQ69" s="1412"/>
      <c r="AR69" s="1328"/>
      <c r="AS69" s="1361" t="n">
        <f aca="false">+$AO69*'ref.지급기준 (2)'!G108</f>
        <v>674366000</v>
      </c>
      <c r="AT69" s="1359" t="n">
        <f aca="false">+X69</f>
        <v>0</v>
      </c>
      <c r="AU69" s="1359" t="n">
        <f aca="false">+$AO69*'ref.지급기준 (2)'!I108</f>
        <v>0</v>
      </c>
      <c r="AV69" s="1359" t="n">
        <f aca="false">+AA69</f>
        <v>0</v>
      </c>
      <c r="AW69" s="1359" t="n">
        <f aca="false">+$AO69*'ref.지급기준 (2)'!K108</f>
        <v>0</v>
      </c>
      <c r="AX69" s="1359"/>
      <c r="AY69" s="1359" t="n">
        <f aca="false">+$AO69*'ref.지급기준 (2)'!M108</f>
        <v>0</v>
      </c>
      <c r="AZ69" s="1359"/>
      <c r="BA69" s="1359" t="n">
        <f aca="false">+$AO69*'ref.지급기준 (2)'!O108</f>
        <v>0</v>
      </c>
      <c r="BB69" s="1362"/>
      <c r="BC69" s="1441"/>
      <c r="BD69" s="1278"/>
      <c r="BE69" s="1278"/>
      <c r="BF69" s="1278"/>
      <c r="BG69" s="1278"/>
      <c r="BH69" s="1278"/>
      <c r="BI69" s="1278"/>
      <c r="BJ69" s="1278"/>
      <c r="BK69" s="1278"/>
      <c r="BL69" s="1278"/>
      <c r="BM69" s="1278"/>
      <c r="BN69" s="1278"/>
      <c r="BO69" s="1333"/>
      <c r="BP69" s="1333"/>
    </row>
    <row r="70" customFormat="false" ht="16.5" hidden="false" customHeight="true" outlineLevel="0" collapsed="false">
      <c r="A70" s="1307"/>
      <c r="B70" s="1470"/>
      <c r="C70" s="1471"/>
      <c r="D70" s="1472"/>
      <c r="E70" s="1473"/>
      <c r="F70" s="1474"/>
      <c r="G70" s="1475"/>
      <c r="H70" s="1475"/>
      <c r="I70" s="1310" t="s">
        <v>1494</v>
      </c>
      <c r="J70" s="1476" t="s">
        <v>886</v>
      </c>
      <c r="K70" s="1477" t="n">
        <f aca="false">+'DG-PV Organic'!O18</f>
        <v>351.155</v>
      </c>
      <c r="L70" s="1376" t="n">
        <f aca="false">+'DG-PV Organic'!H18</f>
        <v>0.0879</v>
      </c>
      <c r="M70" s="1364" t="n">
        <f aca="false">+'DG-PV Organic'!J18</f>
        <v>0.093</v>
      </c>
      <c r="N70" s="1364" t="s">
        <v>1479</v>
      </c>
      <c r="O70" s="1365" t="s">
        <v>112</v>
      </c>
      <c r="P70" s="1366" t="n">
        <f aca="false">+'DG-PV Organic'!AL18</f>
        <v>368712750</v>
      </c>
      <c r="Q70" s="1366" t="n">
        <f aca="false">+P70*10%</f>
        <v>36871275</v>
      </c>
      <c r="R70" s="1436" t="n">
        <f aca="false">SUM(P70:Q70)</f>
        <v>405584025</v>
      </c>
      <c r="S70" s="1437" t="b">
        <f aca="false">+R70=AO70</f>
        <v>1</v>
      </c>
      <c r="T70" s="1320" t="n">
        <f aca="false">+IFERROR(U70/R70,"-")</f>
        <v>0</v>
      </c>
      <c r="U70" s="645" t="n">
        <f aca="false">+IFERROR(X70+AA70+AD70+AG70+AJ70+AM70,"-")</f>
        <v>0</v>
      </c>
      <c r="V70" s="1320" t="n">
        <f aca="false">+IFERROR(X70/$R70,"-")</f>
        <v>0</v>
      </c>
      <c r="W70" s="1346" t="n">
        <f aca="false">AE73</f>
        <v>45899</v>
      </c>
      <c r="X70" s="1438"/>
      <c r="Y70" s="1371"/>
      <c r="Z70" s="1345" t="n">
        <f aca="false">+IFERROR(AA70/$R70,"-")</f>
        <v>0</v>
      </c>
      <c r="AA70" s="1345"/>
      <c r="AB70" s="1346" t="n">
        <f aca="false">+EDATE(W70,1)</f>
        <v>45930</v>
      </c>
      <c r="AC70" s="1345" t="n">
        <f aca="false">+IFERROR(AD70/$R70,"-")</f>
        <v>0</v>
      </c>
      <c r="AD70" s="1345"/>
      <c r="AE70" s="1346" t="n">
        <f aca="false">+EDATE(AB70,3)</f>
        <v>46021</v>
      </c>
      <c r="AF70" s="1345" t="n">
        <f aca="false">+IFERROR(AG70/$R70,"-")</f>
        <v>0</v>
      </c>
      <c r="AG70" s="1345"/>
      <c r="AH70" s="1346" t="n">
        <f aca="false">+EDATE(AB70,4)</f>
        <v>46052</v>
      </c>
      <c r="AI70" s="1345" t="str">
        <f aca="false">+IFERROR(AJ70/#REF!,"-")</f>
        <v>-</v>
      </c>
      <c r="AJ70" s="1345"/>
      <c r="AK70" s="1346" t="n">
        <f aca="false">+EDATE(AB70,6)+1</f>
        <v>46112</v>
      </c>
      <c r="AL70" s="1371" t="str">
        <f aca="false">+IFERROR(AM70/#REF!,"-")</f>
        <v>-</v>
      </c>
      <c r="AM70" s="1371"/>
      <c r="AN70" s="1371"/>
      <c r="AO70" s="1373" t="n">
        <f aca="false">+R70</f>
        <v>405584025</v>
      </c>
      <c r="AP70" s="1373" t="n">
        <f aca="false">+AO70*'ref.지급기준 (2)'!G164</f>
        <v>40558402.5</v>
      </c>
      <c r="AQ70" s="1374" t="n">
        <f aca="false">+W70</f>
        <v>45899</v>
      </c>
      <c r="AR70" s="1328"/>
      <c r="AS70" s="1349" t="n">
        <f aca="false">+$AO70*'ref.지급기준 (2)'!G164</f>
        <v>40558402.5</v>
      </c>
      <c r="AT70" s="1347" t="n">
        <f aca="false">+X70</f>
        <v>0</v>
      </c>
      <c r="AU70" s="1347" t="n">
        <f aca="false">+$AO70*'ref.지급기준 (2)'!I164</f>
        <v>81116805</v>
      </c>
      <c r="AV70" s="1347" t="n">
        <f aca="false">+AA70</f>
        <v>0</v>
      </c>
      <c r="AW70" s="1347" t="n">
        <f aca="false">+$AO70*'ref.지급기준 (2)'!K164</f>
        <v>162233610</v>
      </c>
      <c r="AX70" s="1347"/>
      <c r="AY70" s="1347" t="n">
        <f aca="false">+$AO70*'ref.지급기준 (2)'!M164</f>
        <v>101396006.25</v>
      </c>
      <c r="AZ70" s="1347"/>
      <c r="BA70" s="1347" t="n">
        <f aca="false">+$AO70*'ref.지급기준 (2)'!O164</f>
        <v>20279201.25</v>
      </c>
      <c r="BB70" s="1350"/>
      <c r="BC70" s="1441" t="s">
        <v>1493</v>
      </c>
      <c r="BD70" s="1278"/>
      <c r="BE70" s="1332" t="b">
        <f aca="false">+(BA70+AY70+AW70+AU70+AS70)=R70</f>
        <v>1</v>
      </c>
      <c r="BF70" s="1278"/>
      <c r="BG70" s="1278"/>
      <c r="BH70" s="1278"/>
      <c r="BI70" s="1278"/>
      <c r="BJ70" s="1278"/>
      <c r="BK70" s="1278"/>
      <c r="BL70" s="1278"/>
      <c r="BM70" s="1278"/>
      <c r="BN70" s="1278"/>
      <c r="BO70" s="1333"/>
      <c r="BP70" s="1333"/>
    </row>
    <row r="71" customFormat="false" ht="16.5" hidden="false" customHeight="true" outlineLevel="0" collapsed="false">
      <c r="A71" s="1307"/>
      <c r="B71" s="1470"/>
      <c r="C71" s="1471"/>
      <c r="D71" s="1472"/>
      <c r="E71" s="1473"/>
      <c r="F71" s="1474"/>
      <c r="G71" s="1475"/>
      <c r="H71" s="1475"/>
      <c r="I71" s="1310"/>
      <c r="J71" s="1476"/>
      <c r="K71" s="1477"/>
      <c r="L71" s="1376"/>
      <c r="M71" s="1364"/>
      <c r="N71" s="1364"/>
      <c r="O71" s="1334" t="s">
        <v>114</v>
      </c>
      <c r="P71" s="1335" t="n">
        <f aca="false">+'DG-PV Organic'!AK18</f>
        <v>105346500</v>
      </c>
      <c r="Q71" s="1335" t="n">
        <f aca="false">+P71*10%</f>
        <v>10534650</v>
      </c>
      <c r="R71" s="1384" t="n">
        <f aca="false">SUM(P71:Q71)</f>
        <v>115881150</v>
      </c>
      <c r="S71" s="1437" t="b">
        <f aca="false">+R71=AO71</f>
        <v>1</v>
      </c>
      <c r="T71" s="1337" t="n">
        <f aca="false">+IFERROR(U71/R71,"-")</f>
        <v>0</v>
      </c>
      <c r="U71" s="1338" t="n">
        <f aca="false">+IFERROR(X71+AA71+AD71+AG71+AJ71+AM71,"-")</f>
        <v>0</v>
      </c>
      <c r="V71" s="1337" t="n">
        <f aca="false">+IFERROR(X71/$R71,"-")</f>
        <v>0</v>
      </c>
      <c r="W71" s="1396" t="n">
        <v>45777</v>
      </c>
      <c r="X71" s="1395"/>
      <c r="Y71" s="1345"/>
      <c r="Z71" s="1345" t="n">
        <f aca="false">+IFERROR(AA71/$R71,"-")</f>
        <v>0</v>
      </c>
      <c r="AA71" s="1397"/>
      <c r="AB71" s="1346" t="n">
        <v>45838</v>
      </c>
      <c r="AC71" s="1345" t="n">
        <f aca="false">+IFERROR(AD71/$R71,"-")</f>
        <v>0</v>
      </c>
      <c r="AD71" s="1345"/>
      <c r="AE71" s="1346" t="n">
        <f aca="false">EDATE(AB71,2)</f>
        <v>45899</v>
      </c>
      <c r="AF71" s="1345" t="n">
        <f aca="false">+IFERROR(AG71/$R71,"-")</f>
        <v>0</v>
      </c>
      <c r="AG71" s="1345"/>
      <c r="AH71" s="1346" t="n">
        <f aca="false">+EDATE(AB70,11)</f>
        <v>46264</v>
      </c>
      <c r="AI71" s="1345" t="str">
        <f aca="false">+IFERROR(AJ71/#REF!,"-")</f>
        <v>-</v>
      </c>
      <c r="AJ71" s="1345"/>
      <c r="AK71" s="1345"/>
      <c r="AL71" s="1345" t="str">
        <f aca="false">+IFERROR(AM71/#REF!,"-")</f>
        <v>-</v>
      </c>
      <c r="AM71" s="1345"/>
      <c r="AN71" s="1345"/>
      <c r="AO71" s="1347" t="n">
        <f aca="false">+R71</f>
        <v>115881150</v>
      </c>
      <c r="AP71" s="1347" t="n">
        <f aca="false">+AO71*'ref.지급기준 (2)'!G165</f>
        <v>23176230</v>
      </c>
      <c r="AQ71" s="1348" t="n">
        <f aca="false">+W71</f>
        <v>45777</v>
      </c>
      <c r="AR71" s="1328"/>
      <c r="AS71" s="1349" t="n">
        <f aca="false">+$AO71*'ref.지급기준 (2)'!G165</f>
        <v>23176230</v>
      </c>
      <c r="AT71" s="1347" t="n">
        <f aca="false">+X71</f>
        <v>0</v>
      </c>
      <c r="AU71" s="1347" t="n">
        <f aca="false">+$AO71*'ref.지급기준 (2)'!I165</f>
        <v>23176230</v>
      </c>
      <c r="AV71" s="1347" t="n">
        <f aca="false">+AA71</f>
        <v>0</v>
      </c>
      <c r="AW71" s="1347" t="n">
        <f aca="false">+$AO71*'ref.지급기준 (2)'!K165</f>
        <v>57940575</v>
      </c>
      <c r="AX71" s="1347"/>
      <c r="AY71" s="1347" t="n">
        <f aca="false">+$AO71*'ref.지급기준 (2)'!M165</f>
        <v>11588115</v>
      </c>
      <c r="AZ71" s="1347"/>
      <c r="BA71" s="1347" t="n">
        <f aca="false">+$AO71*'ref.지급기준 (2)'!O165</f>
        <v>0</v>
      </c>
      <c r="BB71" s="1350"/>
      <c r="BC71" s="1441"/>
      <c r="BD71" s="1278"/>
      <c r="BE71" s="1332" t="b">
        <f aca="false">+(BA71+AY71+AW71+AU71+AS71)=R71</f>
        <v>1</v>
      </c>
      <c r="BF71" s="1278"/>
      <c r="BG71" s="1278"/>
      <c r="BH71" s="1278"/>
      <c r="BI71" s="1278"/>
      <c r="BJ71" s="1278"/>
      <c r="BK71" s="1278"/>
      <c r="BL71" s="1278"/>
      <c r="BM71" s="1278"/>
      <c r="BN71" s="1278"/>
      <c r="BO71" s="1333"/>
      <c r="BP71" s="1333"/>
    </row>
    <row r="72" customFormat="false" ht="16.5" hidden="false" customHeight="true" outlineLevel="0" collapsed="false">
      <c r="A72" s="1307"/>
      <c r="B72" s="1470"/>
      <c r="C72" s="1471"/>
      <c r="D72" s="1472"/>
      <c r="E72" s="1473"/>
      <c r="F72" s="1474"/>
      <c r="G72" s="1475"/>
      <c r="H72" s="1475"/>
      <c r="I72" s="1310"/>
      <c r="J72" s="1476"/>
      <c r="K72" s="1477"/>
      <c r="L72" s="1376"/>
      <c r="M72" s="1364"/>
      <c r="N72" s="1364"/>
      <c r="O72" s="1334" t="s">
        <v>404</v>
      </c>
      <c r="P72" s="1335" t="n">
        <f aca="false">+'ref.지급기준 (2)'!F166*'ref.지급기준 (2)'!D166/'ref.지급기준 (2)'!$Q$2</f>
        <v>0</v>
      </c>
      <c r="Q72" s="1335" t="s">
        <v>373</v>
      </c>
      <c r="R72" s="1384" t="n">
        <f aca="false">SUM(P72:Q72)</f>
        <v>0</v>
      </c>
      <c r="S72" s="1437" t="b">
        <f aca="false">+R72=AO72</f>
        <v>1</v>
      </c>
      <c r="T72" s="1337" t="str">
        <f aca="false">+IFERROR(U72/R72,"-")</f>
        <v>-</v>
      </c>
      <c r="U72" s="1338" t="n">
        <f aca="false">+IFERROR(X72+AA72+AD72+AG72+AJ72+AM72,"-")</f>
        <v>0</v>
      </c>
      <c r="V72" s="1337" t="str">
        <f aca="false">+IFERROR(X72/$R72,"-")</f>
        <v>-</v>
      </c>
      <c r="W72" s="1396"/>
      <c r="X72" s="1395"/>
      <c r="Y72" s="1345"/>
      <c r="Z72" s="1345" t="str">
        <f aca="false">+IFERROR(AA72/$R72,"-")</f>
        <v>-</v>
      </c>
      <c r="AA72" s="1345"/>
      <c r="AB72" s="1346"/>
      <c r="AC72" s="1345" t="str">
        <f aca="false">+IFERROR(AD72/$R72,"-")</f>
        <v>-</v>
      </c>
      <c r="AD72" s="1345"/>
      <c r="AE72" s="1346"/>
      <c r="AF72" s="1345" t="str">
        <f aca="false">+IFERROR(AG72/$R72,"-")</f>
        <v>-</v>
      </c>
      <c r="AG72" s="1345"/>
      <c r="AH72" s="1346"/>
      <c r="AI72" s="1345" t="str">
        <f aca="false">+IFERROR(AJ72/#REF!,"-")</f>
        <v>-</v>
      </c>
      <c r="AJ72" s="1345"/>
      <c r="AK72" s="1345"/>
      <c r="AL72" s="1345" t="str">
        <f aca="false">+IFERROR(AM72/#REF!,"-")</f>
        <v>-</v>
      </c>
      <c r="AM72" s="1345"/>
      <c r="AN72" s="1345"/>
      <c r="AO72" s="1347" t="n">
        <f aca="false">+R72</f>
        <v>0</v>
      </c>
      <c r="AP72" s="1347" t="n">
        <f aca="false">+AO72*'ref.지급기준 (2)'!G166</f>
        <v>0</v>
      </c>
      <c r="AQ72" s="1348"/>
      <c r="AR72" s="1328"/>
      <c r="AS72" s="1349" t="n">
        <f aca="false">+$AO72*'ref.지급기준 (2)'!G166</f>
        <v>0</v>
      </c>
      <c r="AT72" s="1347" t="n">
        <f aca="false">+X72</f>
        <v>0</v>
      </c>
      <c r="AU72" s="1347" t="n">
        <f aca="false">+$AO72*'ref.지급기준 (2)'!I166</f>
        <v>0</v>
      </c>
      <c r="AV72" s="1347" t="n">
        <f aca="false">+AA72</f>
        <v>0</v>
      </c>
      <c r="AW72" s="1347" t="n">
        <f aca="false">+$AO72*'ref.지급기준 (2)'!K166</f>
        <v>0</v>
      </c>
      <c r="AX72" s="1347"/>
      <c r="AY72" s="1347" t="n">
        <f aca="false">+$AO72*'ref.지급기준 (2)'!M166</f>
        <v>0</v>
      </c>
      <c r="AZ72" s="1347"/>
      <c r="BA72" s="1347" t="n">
        <f aca="false">+$AO72*'ref.지급기준 (2)'!O166</f>
        <v>0</v>
      </c>
      <c r="BB72" s="1350"/>
      <c r="BC72" s="1441"/>
      <c r="BD72" s="1278"/>
      <c r="BE72" s="1332" t="b">
        <f aca="false">+(BA72+AY72+AW72+AU72+AS72)=R72</f>
        <v>1</v>
      </c>
      <c r="BF72" s="1278"/>
      <c r="BG72" s="1278"/>
      <c r="BH72" s="1278"/>
      <c r="BI72" s="1278"/>
      <c r="BJ72" s="1278"/>
      <c r="BK72" s="1278"/>
      <c r="BL72" s="1278"/>
      <c r="BM72" s="1278"/>
      <c r="BN72" s="1278"/>
      <c r="BO72" s="1333"/>
      <c r="BP72" s="1333"/>
    </row>
    <row r="73" customFormat="false" ht="16.5" hidden="false" customHeight="true" outlineLevel="0" collapsed="false">
      <c r="A73" s="1307"/>
      <c r="B73" s="1470"/>
      <c r="C73" s="1471"/>
      <c r="D73" s="1472"/>
      <c r="E73" s="1473"/>
      <c r="F73" s="1474"/>
      <c r="G73" s="1475"/>
      <c r="H73" s="1475"/>
      <c r="I73" s="1310"/>
      <c r="J73" s="1476"/>
      <c r="K73" s="1477"/>
      <c r="L73" s="1376"/>
      <c r="M73" s="1364"/>
      <c r="N73" s="1364"/>
      <c r="O73" s="1334" t="s">
        <v>507</v>
      </c>
      <c r="P73" s="1335" t="n">
        <f aca="false">+'DG-PV Organic'!AJ18</f>
        <v>70231000</v>
      </c>
      <c r="Q73" s="1335" t="n">
        <f aca="false">+P73*10%</f>
        <v>7023100</v>
      </c>
      <c r="R73" s="1384" t="n">
        <f aca="false">SUM(P73:Q73)</f>
        <v>77254100</v>
      </c>
      <c r="S73" s="1404" t="b">
        <f aca="false">+R73=AO73</f>
        <v>1</v>
      </c>
      <c r="T73" s="1337" t="n">
        <f aca="false">+IFERROR(U73/R73,"-")</f>
        <v>0</v>
      </c>
      <c r="U73" s="1338" t="n">
        <f aca="false">+IFERROR(X73+AA73+AD73+AG73+AJ73+AM73,"-")</f>
        <v>0</v>
      </c>
      <c r="V73" s="1337" t="n">
        <f aca="false">+IFERROR(X73/$R73,"-")</f>
        <v>0</v>
      </c>
      <c r="W73" s="1396" t="n">
        <f aca="false">W71</f>
        <v>45777</v>
      </c>
      <c r="X73" s="1395"/>
      <c r="Y73" s="1345"/>
      <c r="Z73" s="1345" t="n">
        <v>0</v>
      </c>
      <c r="AA73" s="1345"/>
      <c r="AB73" s="1346" t="n">
        <f aca="false">AB71</f>
        <v>45838</v>
      </c>
      <c r="AC73" s="1345" t="n">
        <v>0</v>
      </c>
      <c r="AD73" s="1345"/>
      <c r="AE73" s="1346" t="n">
        <f aca="false">AE71</f>
        <v>45899</v>
      </c>
      <c r="AF73" s="1345" t="n">
        <v>0</v>
      </c>
      <c r="AG73" s="1345"/>
      <c r="AH73" s="1346" t="n">
        <f aca="false">AH71</f>
        <v>46264</v>
      </c>
      <c r="AI73" s="1345" t="str">
        <f aca="false">+IFERROR(AJ73/#REF!,"-")</f>
        <v>-</v>
      </c>
      <c r="AJ73" s="1345"/>
      <c r="AK73" s="1345"/>
      <c r="AL73" s="1345" t="str">
        <f aca="false">+IFERROR(AM73/#REF!,"-")</f>
        <v>-</v>
      </c>
      <c r="AM73" s="1345"/>
      <c r="AN73" s="1345"/>
      <c r="AO73" s="1347" t="n">
        <f aca="false">+R73</f>
        <v>77254100</v>
      </c>
      <c r="AP73" s="1347" t="n">
        <f aca="false">+AO73*'ref.지급기준 (2)'!G167</f>
        <v>15450820</v>
      </c>
      <c r="AQ73" s="1348" t="n">
        <f aca="false">+W73</f>
        <v>45777</v>
      </c>
      <c r="AR73" s="1328"/>
      <c r="AS73" s="1349" t="n">
        <f aca="false">+$AO73*'ref.지급기준 (2)'!G167</f>
        <v>15450820</v>
      </c>
      <c r="AT73" s="1347" t="n">
        <f aca="false">+X73</f>
        <v>0</v>
      </c>
      <c r="AU73" s="1347" t="n">
        <f aca="false">+$AO73*'ref.지급기준 (2)'!I167</f>
        <v>15450820</v>
      </c>
      <c r="AV73" s="1347" t="n">
        <f aca="false">+AA73</f>
        <v>0</v>
      </c>
      <c r="AW73" s="1347" t="n">
        <f aca="false">+$AO73*'ref.지급기준 (2)'!K167</f>
        <v>38627050</v>
      </c>
      <c r="AX73" s="1347"/>
      <c r="AY73" s="1347" t="n">
        <f aca="false">+$AO73*'ref.지급기준 (2)'!M167</f>
        <v>7725410</v>
      </c>
      <c r="AZ73" s="1347"/>
      <c r="BA73" s="1347" t="n">
        <f aca="false">+$AO73*'ref.지급기준 (2)'!O167</f>
        <v>0</v>
      </c>
      <c r="BB73" s="1350"/>
      <c r="BC73" s="1441"/>
      <c r="BD73" s="1278"/>
      <c r="BE73" s="1332" t="b">
        <f aca="false">+(BA73+AY73+AW73+AU73+AS73)=R73</f>
        <v>1</v>
      </c>
      <c r="BF73" s="1278"/>
      <c r="BG73" s="1278"/>
      <c r="BH73" s="1278"/>
      <c r="BI73" s="1278"/>
      <c r="BJ73" s="1278"/>
      <c r="BK73" s="1278"/>
      <c r="BL73" s="1278"/>
      <c r="BM73" s="1278"/>
      <c r="BN73" s="1278"/>
      <c r="BO73" s="1333"/>
      <c r="BP73" s="1333"/>
    </row>
    <row r="74" customFormat="false" ht="16.5" hidden="false" customHeight="true" outlineLevel="0" collapsed="false">
      <c r="A74" s="1307"/>
      <c r="B74" s="1470"/>
      <c r="C74" s="1471"/>
      <c r="D74" s="1472"/>
      <c r="E74" s="1473"/>
      <c r="F74" s="1474"/>
      <c r="G74" s="1475"/>
      <c r="H74" s="1475"/>
      <c r="I74" s="1310"/>
      <c r="J74" s="1476"/>
      <c r="K74" s="1477"/>
      <c r="L74" s="1376"/>
      <c r="M74" s="1364"/>
      <c r="N74" s="1364"/>
      <c r="O74" s="1351" t="s">
        <v>508</v>
      </c>
      <c r="P74" s="1352" t="n">
        <f aca="false">+'DG-PV Organic'!AI18</f>
        <v>70231000</v>
      </c>
      <c r="Q74" s="1457" t="n">
        <f aca="false">+P74*0.1</f>
        <v>7023100</v>
      </c>
      <c r="R74" s="1457" t="n">
        <f aca="false">SUM(P74:Q74)</f>
        <v>77254100</v>
      </c>
      <c r="S74" s="1404" t="b">
        <f aca="false">+R74=AO74</f>
        <v>1</v>
      </c>
      <c r="T74" s="1406"/>
      <c r="U74" s="1407"/>
      <c r="V74" s="1406" t="n">
        <f aca="false">+IFERROR(X74/$R74,"-")</f>
        <v>0</v>
      </c>
      <c r="W74" s="1409"/>
      <c r="X74" s="1409"/>
      <c r="Y74" s="1409"/>
      <c r="Z74" s="1409" t="n">
        <f aca="false">+IFERROR(AA74/$R74,"-")</f>
        <v>0</v>
      </c>
      <c r="AA74" s="1409"/>
      <c r="AB74" s="1410"/>
      <c r="AC74" s="1409" t="n">
        <f aca="false">+IFERROR(AD74/$R74,"-")</f>
        <v>0</v>
      </c>
      <c r="AD74" s="1409"/>
      <c r="AE74" s="1410"/>
      <c r="AF74" s="1409" t="n">
        <f aca="false">+IFERROR(AG74/$R74,"-")</f>
        <v>0</v>
      </c>
      <c r="AG74" s="1409"/>
      <c r="AH74" s="1410"/>
      <c r="AI74" s="1409" t="str">
        <f aca="false">+IFERROR(AJ74/#REF!,"-")</f>
        <v>-</v>
      </c>
      <c r="AJ74" s="1409"/>
      <c r="AK74" s="1409"/>
      <c r="AL74" s="1409"/>
      <c r="AM74" s="1409"/>
      <c r="AN74" s="1409"/>
      <c r="AO74" s="1411" t="n">
        <f aca="false">+R74</f>
        <v>77254100</v>
      </c>
      <c r="AP74" s="1411" t="n">
        <f aca="false">+AS74+AU74</f>
        <v>77254100</v>
      </c>
      <c r="AQ74" s="1412"/>
      <c r="AR74" s="1328"/>
      <c r="AS74" s="1361" t="n">
        <f aca="false">+$AO74*'ref.지급기준 (2)'!G113</f>
        <v>77254100</v>
      </c>
      <c r="AT74" s="1359" t="n">
        <f aca="false">+X74</f>
        <v>0</v>
      </c>
      <c r="AU74" s="1359" t="n">
        <f aca="false">+$AO74*'ref.지급기준 (2)'!I113</f>
        <v>0</v>
      </c>
      <c r="AV74" s="1359" t="n">
        <f aca="false">+AA74</f>
        <v>0</v>
      </c>
      <c r="AW74" s="1359" t="n">
        <f aca="false">+$AO74*'ref.지급기준 (2)'!K113</f>
        <v>0</v>
      </c>
      <c r="AX74" s="1359"/>
      <c r="AY74" s="1359" t="n">
        <f aca="false">+$AO74*'ref.지급기준 (2)'!M113</f>
        <v>0</v>
      </c>
      <c r="AZ74" s="1359"/>
      <c r="BA74" s="1359" t="n">
        <f aca="false">+$AO74*'ref.지급기준 (2)'!O113</f>
        <v>0</v>
      </c>
      <c r="BB74" s="1362"/>
      <c r="BC74" s="1441"/>
      <c r="BD74" s="1278"/>
      <c r="BE74" s="1278"/>
      <c r="BF74" s="1278"/>
      <c r="BG74" s="1278"/>
      <c r="BH74" s="1278"/>
      <c r="BI74" s="1278"/>
      <c r="BJ74" s="1278"/>
      <c r="BK74" s="1278"/>
      <c r="BL74" s="1278"/>
      <c r="BM74" s="1278"/>
      <c r="BN74" s="1278"/>
      <c r="BO74" s="1333"/>
      <c r="BP74" s="1333"/>
    </row>
    <row r="75" customFormat="false" ht="16.5" hidden="false" customHeight="true" outlineLevel="0" collapsed="false">
      <c r="A75" s="1307"/>
      <c r="B75" s="1470"/>
      <c r="C75" s="1471"/>
      <c r="D75" s="1472"/>
      <c r="E75" s="1473"/>
      <c r="F75" s="1474"/>
      <c r="G75" s="1475"/>
      <c r="H75" s="1475"/>
      <c r="I75" s="1310" t="s">
        <v>1495</v>
      </c>
      <c r="J75" s="1476" t="s">
        <v>440</v>
      </c>
      <c r="K75" s="1477" t="n">
        <f aca="false">+'DG-PV Organic'!O19</f>
        <v>709.295</v>
      </c>
      <c r="L75" s="1376" t="n">
        <f aca="false">+'DG-PV Organic'!H23</f>
        <v>0.0872</v>
      </c>
      <c r="M75" s="1364" t="n">
        <f aca="false">+'DG-PV Organic'!J23</f>
        <v>0.093</v>
      </c>
      <c r="N75" s="1364" t="s">
        <v>1479</v>
      </c>
      <c r="O75" s="1365" t="s">
        <v>112</v>
      </c>
      <c r="P75" s="1366" t="n">
        <f aca="false">+'DG-PV Organic'!AL19</f>
        <v>744759750</v>
      </c>
      <c r="Q75" s="1366" t="n">
        <f aca="false">+P75*10%</f>
        <v>74475975</v>
      </c>
      <c r="R75" s="1436" t="n">
        <f aca="false">SUM(P75:Q75)</f>
        <v>819235725</v>
      </c>
      <c r="S75" s="1437" t="b">
        <f aca="false">+R75=AO75</f>
        <v>1</v>
      </c>
      <c r="T75" s="1320" t="n">
        <f aca="false">+IFERROR(U75/R75,"-")</f>
        <v>0</v>
      </c>
      <c r="U75" s="645" t="n">
        <f aca="false">+IFERROR(X75+AA75+AD75+AG75+AJ75+AM75,"-")</f>
        <v>0</v>
      </c>
      <c r="V75" s="1320" t="n">
        <f aca="false">+IFERROR(X75/$R75,"-")</f>
        <v>0</v>
      </c>
      <c r="W75" s="1346" t="n">
        <f aca="false">AE78</f>
        <v>45899</v>
      </c>
      <c r="X75" s="1438"/>
      <c r="Y75" s="1371"/>
      <c r="Z75" s="1345" t="n">
        <f aca="false">+IFERROR(AA75/$R75,"-")</f>
        <v>0</v>
      </c>
      <c r="AA75" s="1345"/>
      <c r="AB75" s="1346" t="n">
        <f aca="false">+EDATE(W75,1)</f>
        <v>45930</v>
      </c>
      <c r="AC75" s="1345" t="n">
        <f aca="false">+IFERROR(AD75/$R75,"-")</f>
        <v>0</v>
      </c>
      <c r="AD75" s="1345"/>
      <c r="AE75" s="1346" t="n">
        <f aca="false">+EDATE(AB75,3)</f>
        <v>46021</v>
      </c>
      <c r="AF75" s="1345" t="n">
        <f aca="false">+IFERROR(AG75/$R75,"-")</f>
        <v>0</v>
      </c>
      <c r="AG75" s="1345"/>
      <c r="AH75" s="1346" t="n">
        <f aca="false">+EDATE(AB75,4)</f>
        <v>46052</v>
      </c>
      <c r="AI75" s="1345" t="str">
        <f aca="false">+IFERROR(AJ75/#REF!,"-")</f>
        <v>-</v>
      </c>
      <c r="AJ75" s="1345"/>
      <c r="AK75" s="1346" t="n">
        <f aca="false">+EDATE(AB75,6)+1</f>
        <v>46112</v>
      </c>
      <c r="AL75" s="1371" t="str">
        <f aca="false">+IFERROR(AM75/#REF!,"-")</f>
        <v>-</v>
      </c>
      <c r="AM75" s="1371"/>
      <c r="AN75" s="1371"/>
      <c r="AO75" s="1373" t="n">
        <f aca="false">+R75</f>
        <v>819235725</v>
      </c>
      <c r="AP75" s="1373" t="n">
        <f aca="false">+AO75*'ref.지급기준 (2)'!G169</f>
        <v>81923572.5</v>
      </c>
      <c r="AQ75" s="1374" t="n">
        <f aca="false">+W75</f>
        <v>45899</v>
      </c>
      <c r="AR75" s="1328"/>
      <c r="AS75" s="1349" t="n">
        <f aca="false">+$AO75*'ref.지급기준 (2)'!G169</f>
        <v>81923572.5</v>
      </c>
      <c r="AT75" s="1347" t="n">
        <f aca="false">+X75</f>
        <v>0</v>
      </c>
      <c r="AU75" s="1347" t="n">
        <f aca="false">+$AO75*'ref.지급기준 (2)'!I169</f>
        <v>163847145</v>
      </c>
      <c r="AV75" s="1347" t="n">
        <f aca="false">+AA75</f>
        <v>0</v>
      </c>
      <c r="AW75" s="1347" t="n">
        <f aca="false">+$AO75*'ref.지급기준 (2)'!K169</f>
        <v>327694290</v>
      </c>
      <c r="AX75" s="1347"/>
      <c r="AY75" s="1347" t="n">
        <f aca="false">+$AO75*'ref.지급기준 (2)'!M169</f>
        <v>204808931.25</v>
      </c>
      <c r="AZ75" s="1347"/>
      <c r="BA75" s="1347" t="n">
        <f aca="false">+$AO75*'ref.지급기준 (2)'!O169</f>
        <v>40961786.25</v>
      </c>
      <c r="BB75" s="1350"/>
      <c r="BC75" s="1441" t="s">
        <v>1493</v>
      </c>
      <c r="BD75" s="1278"/>
      <c r="BE75" s="1332" t="b">
        <f aca="false">+(BA75+AY75+AW75+AU75+AS75)=R75</f>
        <v>1</v>
      </c>
      <c r="BF75" s="1278"/>
      <c r="BG75" s="1278"/>
      <c r="BH75" s="1278"/>
      <c r="BI75" s="1278"/>
      <c r="BJ75" s="1278"/>
      <c r="BK75" s="1278"/>
      <c r="BL75" s="1278"/>
      <c r="BM75" s="1278"/>
      <c r="BN75" s="1278"/>
      <c r="BO75" s="1333"/>
      <c r="BP75" s="1333"/>
    </row>
    <row r="76" customFormat="false" ht="16.5" hidden="false" customHeight="true" outlineLevel="0" collapsed="false">
      <c r="A76" s="1307"/>
      <c r="B76" s="1470"/>
      <c r="C76" s="1471"/>
      <c r="D76" s="1472"/>
      <c r="E76" s="1473"/>
      <c r="F76" s="1474"/>
      <c r="G76" s="1475"/>
      <c r="H76" s="1475"/>
      <c r="I76" s="1310"/>
      <c r="J76" s="1476"/>
      <c r="K76" s="1477"/>
      <c r="L76" s="1376"/>
      <c r="M76" s="1364"/>
      <c r="N76" s="1364"/>
      <c r="O76" s="1334" t="s">
        <v>114</v>
      </c>
      <c r="P76" s="1335" t="n">
        <f aca="false">+'DG-PV Organic'!AK19</f>
        <v>212788500</v>
      </c>
      <c r="Q76" s="1335" t="n">
        <f aca="false">+P76*10%</f>
        <v>21278850</v>
      </c>
      <c r="R76" s="1384" t="n">
        <f aca="false">SUM(P76:Q76)</f>
        <v>234067350</v>
      </c>
      <c r="S76" s="1437" t="b">
        <f aca="false">+R76=AO76</f>
        <v>1</v>
      </c>
      <c r="T76" s="1337" t="n">
        <f aca="false">+IFERROR(U76/R76,"-")</f>
        <v>0</v>
      </c>
      <c r="U76" s="1338" t="n">
        <f aca="false">+IFERROR(X76+AA76+AD76+AG76+AJ76+AM76,"-")</f>
        <v>0</v>
      </c>
      <c r="V76" s="1337" t="n">
        <f aca="false">+IFERROR(X76/$R76,"-")</f>
        <v>0</v>
      </c>
      <c r="W76" s="1396" t="n">
        <v>45777</v>
      </c>
      <c r="X76" s="1395"/>
      <c r="Y76" s="1345"/>
      <c r="Z76" s="1345" t="n">
        <f aca="false">+IFERROR(AA76/$R76,"-")</f>
        <v>0</v>
      </c>
      <c r="AA76" s="1397"/>
      <c r="AB76" s="1346" t="n">
        <v>45838</v>
      </c>
      <c r="AC76" s="1345" t="n">
        <f aca="false">+IFERROR(AD76/$R76,"-")</f>
        <v>0</v>
      </c>
      <c r="AD76" s="1345"/>
      <c r="AE76" s="1346" t="n">
        <f aca="false">EDATE(AB76,2)</f>
        <v>45899</v>
      </c>
      <c r="AF76" s="1345" t="n">
        <f aca="false">+IFERROR(AG76/$R76,"-")</f>
        <v>0</v>
      </c>
      <c r="AG76" s="1345"/>
      <c r="AH76" s="1346" t="n">
        <f aca="false">+EDATE(AB75,11)</f>
        <v>46264</v>
      </c>
      <c r="AI76" s="1345" t="str">
        <f aca="false">+IFERROR(AJ76/#REF!,"-")</f>
        <v>-</v>
      </c>
      <c r="AJ76" s="1345"/>
      <c r="AK76" s="1345"/>
      <c r="AL76" s="1345" t="str">
        <f aca="false">+IFERROR(AM76/#REF!,"-")</f>
        <v>-</v>
      </c>
      <c r="AM76" s="1345"/>
      <c r="AN76" s="1345"/>
      <c r="AO76" s="1347" t="n">
        <f aca="false">+R76</f>
        <v>234067350</v>
      </c>
      <c r="AP76" s="1347" t="n">
        <f aca="false">+AO76*'ref.지급기준 (2)'!G170</f>
        <v>46813470</v>
      </c>
      <c r="AQ76" s="1348" t="n">
        <f aca="false">+W76</f>
        <v>45777</v>
      </c>
      <c r="AR76" s="1328"/>
      <c r="AS76" s="1349" t="n">
        <f aca="false">+$AO76*'ref.지급기준 (2)'!G170</f>
        <v>46813470</v>
      </c>
      <c r="AT76" s="1347" t="n">
        <f aca="false">+X76</f>
        <v>0</v>
      </c>
      <c r="AU76" s="1347" t="n">
        <f aca="false">+$AO76*'ref.지급기준 (2)'!I170</f>
        <v>46813470</v>
      </c>
      <c r="AV76" s="1347" t="n">
        <f aca="false">+AA76</f>
        <v>0</v>
      </c>
      <c r="AW76" s="1347" t="n">
        <f aca="false">+$AO76*'ref.지급기준 (2)'!K170</f>
        <v>117033675</v>
      </c>
      <c r="AX76" s="1347"/>
      <c r="AY76" s="1347" t="n">
        <f aca="false">+$AO76*'ref.지급기준 (2)'!M170</f>
        <v>23406735</v>
      </c>
      <c r="AZ76" s="1347"/>
      <c r="BA76" s="1347" t="n">
        <f aca="false">+$AO76*'ref.지급기준 (2)'!O170</f>
        <v>0</v>
      </c>
      <c r="BB76" s="1350"/>
      <c r="BC76" s="1441"/>
      <c r="BD76" s="1278"/>
      <c r="BE76" s="1332" t="b">
        <f aca="false">+(BA76+AY76+AW76+AU76+AS76)=R76</f>
        <v>1</v>
      </c>
      <c r="BF76" s="1278"/>
      <c r="BG76" s="1278"/>
      <c r="BH76" s="1278"/>
      <c r="BI76" s="1278"/>
      <c r="BJ76" s="1278"/>
      <c r="BK76" s="1278"/>
      <c r="BL76" s="1278"/>
      <c r="BM76" s="1278"/>
      <c r="BN76" s="1278"/>
      <c r="BO76" s="1333"/>
      <c r="BP76" s="1333"/>
    </row>
    <row r="77" customFormat="false" ht="16.5" hidden="false" customHeight="true" outlineLevel="0" collapsed="false">
      <c r="A77" s="1307"/>
      <c r="B77" s="1470"/>
      <c r="C77" s="1471"/>
      <c r="D77" s="1472"/>
      <c r="E77" s="1473"/>
      <c r="F77" s="1474"/>
      <c r="G77" s="1475"/>
      <c r="H77" s="1475"/>
      <c r="I77" s="1310"/>
      <c r="J77" s="1476"/>
      <c r="K77" s="1477"/>
      <c r="L77" s="1376"/>
      <c r="M77" s="1364"/>
      <c r="N77" s="1364"/>
      <c r="O77" s="1334" t="s">
        <v>404</v>
      </c>
      <c r="P77" s="1335" t="n">
        <f aca="false">+'ref.지급기준 (2)'!F171*'ref.지급기준 (2)'!D171/'ref.지급기준 (2)'!$Q$2</f>
        <v>0</v>
      </c>
      <c r="Q77" s="1335" t="s">
        <v>373</v>
      </c>
      <c r="R77" s="1384" t="n">
        <f aca="false">SUM(P77:Q77)</f>
        <v>0</v>
      </c>
      <c r="S77" s="1437" t="b">
        <f aca="false">+R77=AO77</f>
        <v>1</v>
      </c>
      <c r="T77" s="1337" t="str">
        <f aca="false">+IFERROR(U77/R77,"-")</f>
        <v>-</v>
      </c>
      <c r="U77" s="1338" t="n">
        <f aca="false">+IFERROR(X77+AA77+AD77+AG77+AJ77+AM77,"-")</f>
        <v>0</v>
      </c>
      <c r="V77" s="1337" t="str">
        <f aca="false">+IFERROR(X77/$R77,"-")</f>
        <v>-</v>
      </c>
      <c r="W77" s="1396"/>
      <c r="X77" s="1395"/>
      <c r="Y77" s="1345"/>
      <c r="Z77" s="1345" t="str">
        <f aca="false">+IFERROR(AA77/$R77,"-")</f>
        <v>-</v>
      </c>
      <c r="AA77" s="1345"/>
      <c r="AB77" s="1346"/>
      <c r="AC77" s="1345" t="str">
        <f aca="false">+IFERROR(AD77/$R77,"-")</f>
        <v>-</v>
      </c>
      <c r="AD77" s="1345"/>
      <c r="AE77" s="1346"/>
      <c r="AF77" s="1345" t="str">
        <f aca="false">+IFERROR(AG77/$R77,"-")</f>
        <v>-</v>
      </c>
      <c r="AG77" s="1345"/>
      <c r="AH77" s="1346"/>
      <c r="AI77" s="1345" t="str">
        <f aca="false">+IFERROR(AJ77/#REF!,"-")</f>
        <v>-</v>
      </c>
      <c r="AJ77" s="1345"/>
      <c r="AK77" s="1345"/>
      <c r="AL77" s="1345" t="str">
        <f aca="false">+IFERROR(AM77/#REF!,"-")</f>
        <v>-</v>
      </c>
      <c r="AM77" s="1345"/>
      <c r="AN77" s="1345"/>
      <c r="AO77" s="1347" t="n">
        <f aca="false">+R77</f>
        <v>0</v>
      </c>
      <c r="AP77" s="1347" t="n">
        <f aca="false">+AO77*'ref.지급기준 (2)'!G171</f>
        <v>0</v>
      </c>
      <c r="AQ77" s="1348"/>
      <c r="AR77" s="1328"/>
      <c r="AS77" s="1349" t="n">
        <f aca="false">+$AO77*'ref.지급기준 (2)'!G171</f>
        <v>0</v>
      </c>
      <c r="AT77" s="1347" t="n">
        <f aca="false">+X77</f>
        <v>0</v>
      </c>
      <c r="AU77" s="1347" t="n">
        <f aca="false">+$AO77*'ref.지급기준 (2)'!I171</f>
        <v>0</v>
      </c>
      <c r="AV77" s="1347" t="n">
        <f aca="false">+AA77</f>
        <v>0</v>
      </c>
      <c r="AW77" s="1347" t="n">
        <f aca="false">+$AO77*'ref.지급기준 (2)'!K171</f>
        <v>0</v>
      </c>
      <c r="AX77" s="1347"/>
      <c r="AY77" s="1347" t="n">
        <f aca="false">+$AO77*'ref.지급기준 (2)'!M171</f>
        <v>0</v>
      </c>
      <c r="AZ77" s="1347"/>
      <c r="BA77" s="1347" t="n">
        <f aca="false">+$AO77*'ref.지급기준 (2)'!O171</f>
        <v>0</v>
      </c>
      <c r="BB77" s="1350"/>
      <c r="BC77" s="1441"/>
      <c r="BD77" s="1278"/>
      <c r="BE77" s="1332" t="b">
        <f aca="false">+(BA77+AY77+AW77+AU77+AS77)=R77</f>
        <v>1</v>
      </c>
      <c r="BF77" s="1278"/>
      <c r="BG77" s="1278"/>
      <c r="BH77" s="1278"/>
      <c r="BI77" s="1278"/>
      <c r="BJ77" s="1278"/>
      <c r="BK77" s="1278"/>
      <c r="BL77" s="1278"/>
      <c r="BM77" s="1278"/>
      <c r="BN77" s="1278"/>
      <c r="BO77" s="1333"/>
      <c r="BP77" s="1333"/>
    </row>
    <row r="78" customFormat="false" ht="16.5" hidden="false" customHeight="true" outlineLevel="0" collapsed="false">
      <c r="A78" s="1307"/>
      <c r="B78" s="1470"/>
      <c r="C78" s="1471"/>
      <c r="D78" s="1472"/>
      <c r="E78" s="1473"/>
      <c r="F78" s="1474"/>
      <c r="G78" s="1475"/>
      <c r="H78" s="1475"/>
      <c r="I78" s="1310"/>
      <c r="J78" s="1476"/>
      <c r="K78" s="1477"/>
      <c r="L78" s="1376"/>
      <c r="M78" s="1364"/>
      <c r="N78" s="1364"/>
      <c r="O78" s="1334" t="s">
        <v>507</v>
      </c>
      <c r="P78" s="1335" t="n">
        <f aca="false">+'DG-PV Organic'!AJ19</f>
        <v>141859000</v>
      </c>
      <c r="Q78" s="1335" t="n">
        <f aca="false">+P78*10%</f>
        <v>14185900</v>
      </c>
      <c r="R78" s="1384" t="n">
        <f aca="false">SUM(P78:Q78)</f>
        <v>156044900</v>
      </c>
      <c r="S78" s="1404" t="b">
        <f aca="false">+R78=AO78</f>
        <v>1</v>
      </c>
      <c r="T78" s="1337" t="n">
        <f aca="false">+IFERROR(U78/R78,"-")</f>
        <v>0</v>
      </c>
      <c r="U78" s="1338" t="n">
        <f aca="false">+IFERROR(X78+AA78+AD78+AG78+AJ78+AM78,"-")</f>
        <v>0</v>
      </c>
      <c r="V78" s="1337" t="n">
        <f aca="false">+IFERROR(X78/$R78,"-")</f>
        <v>0</v>
      </c>
      <c r="W78" s="1396" t="n">
        <f aca="false">W76</f>
        <v>45777</v>
      </c>
      <c r="X78" s="1395"/>
      <c r="Y78" s="1345"/>
      <c r="Z78" s="1345" t="n">
        <v>0</v>
      </c>
      <c r="AA78" s="1345"/>
      <c r="AB78" s="1346" t="n">
        <f aca="false">AB76</f>
        <v>45838</v>
      </c>
      <c r="AC78" s="1345" t="n">
        <v>0</v>
      </c>
      <c r="AD78" s="1345"/>
      <c r="AE78" s="1346" t="n">
        <f aca="false">AE76</f>
        <v>45899</v>
      </c>
      <c r="AF78" s="1345" t="n">
        <v>0</v>
      </c>
      <c r="AG78" s="1345"/>
      <c r="AH78" s="1346" t="n">
        <f aca="false">AH76</f>
        <v>46264</v>
      </c>
      <c r="AI78" s="1345" t="str">
        <f aca="false">+IFERROR(AJ78/#REF!,"-")</f>
        <v>-</v>
      </c>
      <c r="AJ78" s="1345"/>
      <c r="AK78" s="1345"/>
      <c r="AL78" s="1345" t="str">
        <f aca="false">+IFERROR(AM78/#REF!,"-")</f>
        <v>-</v>
      </c>
      <c r="AM78" s="1345"/>
      <c r="AN78" s="1345"/>
      <c r="AO78" s="1347" t="n">
        <f aca="false">+R78</f>
        <v>156044900</v>
      </c>
      <c r="AP78" s="1347" t="n">
        <f aca="false">+AO78*'ref.지급기준 (2)'!G172</f>
        <v>31208980</v>
      </c>
      <c r="AQ78" s="1348" t="n">
        <f aca="false">+W78</f>
        <v>45777</v>
      </c>
      <c r="AR78" s="1328"/>
      <c r="AS78" s="1349" t="n">
        <f aca="false">+$AO78*'ref.지급기준 (2)'!G172</f>
        <v>31208980</v>
      </c>
      <c r="AT78" s="1347" t="n">
        <f aca="false">+X78</f>
        <v>0</v>
      </c>
      <c r="AU78" s="1347" t="n">
        <f aca="false">+$AO78*'ref.지급기준 (2)'!I172</f>
        <v>31208980</v>
      </c>
      <c r="AV78" s="1347" t="n">
        <f aca="false">+AA78</f>
        <v>0</v>
      </c>
      <c r="AW78" s="1347" t="n">
        <f aca="false">+$AO78*'ref.지급기준 (2)'!K172</f>
        <v>78022450</v>
      </c>
      <c r="AX78" s="1347"/>
      <c r="AY78" s="1347" t="n">
        <f aca="false">+$AO78*'ref.지급기준 (2)'!M172</f>
        <v>15604490</v>
      </c>
      <c r="AZ78" s="1347"/>
      <c r="BA78" s="1347" t="n">
        <f aca="false">+$AO78*'ref.지급기준 (2)'!O172</f>
        <v>0</v>
      </c>
      <c r="BB78" s="1350"/>
      <c r="BC78" s="1441"/>
      <c r="BD78" s="1278"/>
      <c r="BE78" s="1332" t="b">
        <f aca="false">+(BA78+AY78+AW78+AU78+AS78)=R78</f>
        <v>1</v>
      </c>
      <c r="BF78" s="1278"/>
      <c r="BG78" s="1278"/>
      <c r="BH78" s="1278"/>
      <c r="BI78" s="1278"/>
      <c r="BJ78" s="1278"/>
      <c r="BK78" s="1278"/>
      <c r="BL78" s="1278"/>
      <c r="BM78" s="1278"/>
      <c r="BN78" s="1278"/>
      <c r="BO78" s="1333"/>
      <c r="BP78" s="1333"/>
    </row>
    <row r="79" customFormat="false" ht="16.5" hidden="false" customHeight="true" outlineLevel="0" collapsed="false">
      <c r="A79" s="1307"/>
      <c r="B79" s="1470"/>
      <c r="C79" s="1471"/>
      <c r="D79" s="1472"/>
      <c r="E79" s="1473"/>
      <c r="F79" s="1474"/>
      <c r="G79" s="1475"/>
      <c r="H79" s="1475"/>
      <c r="I79" s="1310"/>
      <c r="J79" s="1476"/>
      <c r="K79" s="1477"/>
      <c r="L79" s="1376"/>
      <c r="M79" s="1364"/>
      <c r="N79" s="1364"/>
      <c r="O79" s="1351" t="s">
        <v>508</v>
      </c>
      <c r="P79" s="1352" t="n">
        <f aca="false">+'DG-PV Organic'!AI19</f>
        <v>141859000</v>
      </c>
      <c r="Q79" s="1457" t="n">
        <f aca="false">+P79*0.1</f>
        <v>14185900</v>
      </c>
      <c r="R79" s="1457" t="n">
        <f aca="false">SUM(P79:Q79)</f>
        <v>156044900</v>
      </c>
      <c r="S79" s="1404" t="b">
        <f aca="false">+R79=AO79</f>
        <v>1</v>
      </c>
      <c r="T79" s="1406"/>
      <c r="U79" s="1407"/>
      <c r="V79" s="1406" t="n">
        <f aca="false">+IFERROR(X79/$R79,"-")</f>
        <v>0</v>
      </c>
      <c r="W79" s="1409"/>
      <c r="X79" s="1409"/>
      <c r="Y79" s="1409"/>
      <c r="Z79" s="1409" t="n">
        <f aca="false">+IFERROR(AA79/$R79,"-")</f>
        <v>0</v>
      </c>
      <c r="AA79" s="1409"/>
      <c r="AB79" s="1410"/>
      <c r="AC79" s="1409" t="n">
        <f aca="false">+IFERROR(AD79/$R79,"-")</f>
        <v>0</v>
      </c>
      <c r="AD79" s="1409"/>
      <c r="AE79" s="1410"/>
      <c r="AF79" s="1409" t="n">
        <f aca="false">+IFERROR(AG79/$R79,"-")</f>
        <v>0</v>
      </c>
      <c r="AG79" s="1409"/>
      <c r="AH79" s="1410"/>
      <c r="AI79" s="1409" t="str">
        <f aca="false">+IFERROR(AJ79/#REF!,"-")</f>
        <v>-</v>
      </c>
      <c r="AJ79" s="1409"/>
      <c r="AK79" s="1409"/>
      <c r="AL79" s="1409"/>
      <c r="AM79" s="1409"/>
      <c r="AN79" s="1409"/>
      <c r="AO79" s="1411" t="n">
        <f aca="false">+R79</f>
        <v>156044900</v>
      </c>
      <c r="AP79" s="1411" t="n">
        <f aca="false">+AS79+AU79</f>
        <v>156044900</v>
      </c>
      <c r="AQ79" s="1412"/>
      <c r="AR79" s="1328"/>
      <c r="AS79" s="1361" t="n">
        <f aca="false">+$AO79*'ref.지급기준 (2)'!G118</f>
        <v>156044900</v>
      </c>
      <c r="AT79" s="1359" t="n">
        <f aca="false">+X79</f>
        <v>0</v>
      </c>
      <c r="AU79" s="1359" t="n">
        <f aca="false">+$AO79*'ref.지급기준 (2)'!I118</f>
        <v>0</v>
      </c>
      <c r="AV79" s="1359" t="n">
        <f aca="false">+AA79</f>
        <v>0</v>
      </c>
      <c r="AW79" s="1359" t="n">
        <f aca="false">+$AO79*'ref.지급기준 (2)'!K118</f>
        <v>0</v>
      </c>
      <c r="AX79" s="1359"/>
      <c r="AY79" s="1359" t="n">
        <f aca="false">+$AO79*'ref.지급기준 (2)'!M118</f>
        <v>0</v>
      </c>
      <c r="AZ79" s="1359"/>
      <c r="BA79" s="1359" t="n">
        <f aca="false">+$AO79*'ref.지급기준 (2)'!O118</f>
        <v>0</v>
      </c>
      <c r="BB79" s="1362"/>
      <c r="BC79" s="1441"/>
      <c r="BD79" s="1278"/>
      <c r="BE79" s="1278"/>
      <c r="BF79" s="1278"/>
      <c r="BG79" s="1278"/>
      <c r="BH79" s="1278"/>
      <c r="BI79" s="1278"/>
      <c r="BJ79" s="1278"/>
      <c r="BK79" s="1278"/>
      <c r="BL79" s="1278"/>
      <c r="BM79" s="1278"/>
      <c r="BN79" s="1278"/>
      <c r="BO79" s="1333"/>
      <c r="BP79" s="1333"/>
    </row>
    <row r="80" customFormat="false" ht="16.5" hidden="false" customHeight="true" outlineLevel="0" collapsed="false">
      <c r="A80" s="1307"/>
      <c r="B80" s="1470"/>
      <c r="C80" s="1471"/>
      <c r="D80" s="1472"/>
      <c r="E80" s="1473"/>
      <c r="F80" s="1474"/>
      <c r="G80" s="1475"/>
      <c r="H80" s="1475"/>
      <c r="I80" s="1310" t="s">
        <v>1496</v>
      </c>
      <c r="J80" s="1476" t="s">
        <v>441</v>
      </c>
      <c r="K80" s="1477" t="n">
        <f aca="false">+'ref.지급기준 (2)'!D219</f>
        <v>522.605</v>
      </c>
      <c r="L80" s="1376" t="n">
        <f aca="false">+'DG-PV Organic'!H28</f>
        <v>0.0884</v>
      </c>
      <c r="M80" s="1364" t="n">
        <f aca="false">+'DG-PV Organic'!J28</f>
        <v>0.093</v>
      </c>
      <c r="N80" s="1364" t="s">
        <v>1479</v>
      </c>
      <c r="O80" s="1365" t="s">
        <v>112</v>
      </c>
      <c r="P80" s="1366" t="n">
        <f aca="false">+'DG-PV Organic'!AL22</f>
        <v>548735250</v>
      </c>
      <c r="Q80" s="1366" t="n">
        <f aca="false">+P80*10%</f>
        <v>54873525</v>
      </c>
      <c r="R80" s="1436" t="n">
        <f aca="false">SUM(P80:Q80)</f>
        <v>603608775</v>
      </c>
      <c r="S80" s="1437" t="b">
        <f aca="false">+R80=AO80</f>
        <v>1</v>
      </c>
      <c r="T80" s="1320" t="n">
        <f aca="false">+IFERROR(U80/R80,"-")</f>
        <v>0</v>
      </c>
      <c r="U80" s="645" t="n">
        <f aca="false">+IFERROR(X80+AA80+AD80+AG80+AJ80+AM80,"-")</f>
        <v>0</v>
      </c>
      <c r="V80" s="1345" t="n">
        <f aca="false">+IFERROR(X80/$R80,"-")</f>
        <v>0</v>
      </c>
      <c r="W80" s="1346" t="n">
        <f aca="false">AE83</f>
        <v>45899</v>
      </c>
      <c r="X80" s="1395"/>
      <c r="Y80" s="1345"/>
      <c r="Z80" s="1345" t="n">
        <f aca="false">+IFERROR(AA80/$R80,"-")</f>
        <v>0</v>
      </c>
      <c r="AA80" s="1345"/>
      <c r="AB80" s="1346" t="n">
        <f aca="false">+EDATE(W80,1)</f>
        <v>45930</v>
      </c>
      <c r="AC80" s="1345" t="n">
        <f aca="false">+IFERROR(AD80/$R80,"-")</f>
        <v>0</v>
      </c>
      <c r="AD80" s="1345"/>
      <c r="AE80" s="1346" t="n">
        <f aca="false">+EDATE(AB80,3)</f>
        <v>46021</v>
      </c>
      <c r="AF80" s="1345" t="n">
        <f aca="false">+IFERROR(AG80/$R80,"-")</f>
        <v>0</v>
      </c>
      <c r="AG80" s="1345"/>
      <c r="AH80" s="1346" t="n">
        <f aca="false">+EDATE(AB80,4)</f>
        <v>46052</v>
      </c>
      <c r="AI80" s="1345" t="str">
        <f aca="false">+IFERROR(AJ80/#REF!,"-")</f>
        <v>-</v>
      </c>
      <c r="AJ80" s="1345"/>
      <c r="AK80" s="1346" t="n">
        <f aca="false">+EDATE(AB80,6)+1</f>
        <v>46112</v>
      </c>
      <c r="AL80" s="1371" t="str">
        <f aca="false">+IFERROR(AM80/#REF!,"-")</f>
        <v>-</v>
      </c>
      <c r="AM80" s="1371"/>
      <c r="AN80" s="1371"/>
      <c r="AO80" s="1373" t="n">
        <f aca="false">+R80</f>
        <v>603608775</v>
      </c>
      <c r="AP80" s="1373" t="n">
        <f aca="false">+AO80*'ref.지급기준 (2)'!G174</f>
        <v>60360877.5</v>
      </c>
      <c r="AQ80" s="1374" t="n">
        <f aca="false">+W80</f>
        <v>45899</v>
      </c>
      <c r="AR80" s="1328"/>
      <c r="AS80" s="1349" t="n">
        <f aca="false">+$AO80*'ref.지급기준 (2)'!G174</f>
        <v>60360877.5</v>
      </c>
      <c r="AT80" s="1347" t="n">
        <f aca="false">+X80</f>
        <v>0</v>
      </c>
      <c r="AU80" s="1347" t="n">
        <f aca="false">+$AO80*'ref.지급기준 (2)'!I174</f>
        <v>120721755</v>
      </c>
      <c r="AV80" s="1347" t="n">
        <f aca="false">+AA80</f>
        <v>0</v>
      </c>
      <c r="AW80" s="1347" t="n">
        <f aca="false">+$AO80*'ref.지급기준 (2)'!K174</f>
        <v>241443510</v>
      </c>
      <c r="AX80" s="1347"/>
      <c r="AY80" s="1347" t="n">
        <f aca="false">+$AO80*'ref.지급기준 (2)'!M174</f>
        <v>150902193.75</v>
      </c>
      <c r="AZ80" s="1347"/>
      <c r="BA80" s="1347" t="n">
        <f aca="false">+$AO80*'ref.지급기준 (2)'!O174</f>
        <v>30180438.75</v>
      </c>
      <c r="BB80" s="1350"/>
      <c r="BC80" s="1441" t="s">
        <v>1493</v>
      </c>
      <c r="BD80" s="1278"/>
      <c r="BE80" s="1332" t="b">
        <f aca="false">+(BA80+AY80+AW80+AU80+AS80)=R80</f>
        <v>1</v>
      </c>
      <c r="BF80" s="1278"/>
      <c r="BG80" s="1278"/>
      <c r="BH80" s="1278"/>
      <c r="BI80" s="1278"/>
      <c r="BJ80" s="1278"/>
      <c r="BK80" s="1278"/>
      <c r="BL80" s="1278"/>
      <c r="BM80" s="1278"/>
      <c r="BN80" s="1278"/>
      <c r="BO80" s="1333"/>
      <c r="BP80" s="1333"/>
    </row>
    <row r="81" customFormat="false" ht="16.5" hidden="false" customHeight="true" outlineLevel="0" collapsed="false">
      <c r="A81" s="1307"/>
      <c r="B81" s="1470"/>
      <c r="C81" s="1471"/>
      <c r="D81" s="1472"/>
      <c r="E81" s="1473"/>
      <c r="F81" s="1474"/>
      <c r="G81" s="1475"/>
      <c r="H81" s="1475"/>
      <c r="I81" s="1310"/>
      <c r="J81" s="1476"/>
      <c r="K81" s="1477"/>
      <c r="L81" s="1376"/>
      <c r="M81" s="1364"/>
      <c r="N81" s="1364"/>
      <c r="O81" s="1334" t="s">
        <v>114</v>
      </c>
      <c r="P81" s="1335" t="n">
        <f aca="false">+'DG-PV Organic'!AK22</f>
        <v>156781500</v>
      </c>
      <c r="Q81" s="1335" t="n">
        <f aca="false">+P81*10%</f>
        <v>15678150</v>
      </c>
      <c r="R81" s="1384" t="n">
        <f aca="false">SUM(P81:Q81)</f>
        <v>172459650</v>
      </c>
      <c r="S81" s="1437" t="b">
        <f aca="false">+R81=AO81</f>
        <v>1</v>
      </c>
      <c r="T81" s="1337" t="n">
        <f aca="false">+IFERROR(U81/R81,"-")</f>
        <v>0.2</v>
      </c>
      <c r="U81" s="1338" t="n">
        <f aca="false">+IFERROR(X81+AA81+AD81+AG81+AJ81+AM81,"-")</f>
        <v>34491930</v>
      </c>
      <c r="V81" s="1343" t="n">
        <f aca="false">+IFERROR(X81/$R81,"-")</f>
        <v>0.2</v>
      </c>
      <c r="W81" s="1442" t="n">
        <v>45754</v>
      </c>
      <c r="X81" s="1341" t="n">
        <f aca="false">+'ref.지급기준 (2)'!F220*'ref.지급기준 (2)'!G220*'ref.지급기준 (2)'!D220/1000*1.1</f>
        <v>34491930</v>
      </c>
      <c r="Y81" s="1343"/>
      <c r="Z81" s="1345" t="n">
        <f aca="false">+IFERROR(AA81/$R81,"-")</f>
        <v>0</v>
      </c>
      <c r="AA81" s="1397"/>
      <c r="AB81" s="1346" t="n">
        <v>45838</v>
      </c>
      <c r="AC81" s="1345" t="n">
        <f aca="false">+IFERROR(AD81/$R81,"-")</f>
        <v>0</v>
      </c>
      <c r="AD81" s="1345"/>
      <c r="AE81" s="1346" t="n">
        <f aca="false">EDATE(AB81,2)</f>
        <v>45899</v>
      </c>
      <c r="AF81" s="1345" t="n">
        <f aca="false">+IFERROR(AG81/$R81,"-")</f>
        <v>0</v>
      </c>
      <c r="AG81" s="1345"/>
      <c r="AH81" s="1346" t="n">
        <f aca="false">+EDATE(AB80,11)</f>
        <v>46264</v>
      </c>
      <c r="AI81" s="1345" t="str">
        <f aca="false">+IFERROR(AJ81/#REF!,"-")</f>
        <v>-</v>
      </c>
      <c r="AJ81" s="1345"/>
      <c r="AK81" s="1345"/>
      <c r="AL81" s="1345" t="str">
        <f aca="false">+IFERROR(AM81/#REF!,"-")</f>
        <v>-</v>
      </c>
      <c r="AM81" s="1345"/>
      <c r="AN81" s="1345"/>
      <c r="AO81" s="1347" t="n">
        <f aca="false">+R81</f>
        <v>172459650</v>
      </c>
      <c r="AP81" s="1347" t="n">
        <f aca="false">+AO81*'ref.지급기준 (2)'!G175</f>
        <v>34491930</v>
      </c>
      <c r="AQ81" s="1348" t="n">
        <f aca="false">+W81</f>
        <v>45754</v>
      </c>
      <c r="AR81" s="1328"/>
      <c r="AS81" s="1349" t="n">
        <f aca="false">+$AO81*'ref.지급기준 (2)'!G175</f>
        <v>34491930</v>
      </c>
      <c r="AT81" s="1347" t="n">
        <f aca="false">+X81</f>
        <v>34491930</v>
      </c>
      <c r="AU81" s="1347" t="n">
        <f aca="false">+$AO81*'ref.지급기준 (2)'!I175</f>
        <v>34491930</v>
      </c>
      <c r="AV81" s="1347" t="n">
        <f aca="false">+AA81</f>
        <v>0</v>
      </c>
      <c r="AW81" s="1347" t="n">
        <f aca="false">+$AO81*'ref.지급기준 (2)'!K175</f>
        <v>86229825</v>
      </c>
      <c r="AX81" s="1347"/>
      <c r="AY81" s="1347" t="n">
        <f aca="false">+$AO81*'ref.지급기준 (2)'!M175</f>
        <v>17245965</v>
      </c>
      <c r="AZ81" s="1347"/>
      <c r="BA81" s="1347" t="n">
        <f aca="false">+$AO81*'ref.지급기준 (2)'!O175</f>
        <v>0</v>
      </c>
      <c r="BB81" s="1350"/>
      <c r="BC81" s="1441"/>
      <c r="BD81" s="1278"/>
      <c r="BE81" s="1332" t="b">
        <f aca="false">+(BA81+AY81+AW81+AU81+AS81)=R81</f>
        <v>1</v>
      </c>
      <c r="BF81" s="1278"/>
      <c r="BG81" s="1278"/>
      <c r="BH81" s="1278"/>
      <c r="BI81" s="1278"/>
      <c r="BJ81" s="1278"/>
      <c r="BK81" s="1278"/>
      <c r="BL81" s="1278"/>
      <c r="BM81" s="1278"/>
      <c r="BN81" s="1278"/>
      <c r="BO81" s="1333"/>
      <c r="BP81" s="1333"/>
    </row>
    <row r="82" customFormat="false" ht="16.5" hidden="false" customHeight="true" outlineLevel="0" collapsed="false">
      <c r="A82" s="1307"/>
      <c r="B82" s="1470"/>
      <c r="C82" s="1471"/>
      <c r="D82" s="1472"/>
      <c r="E82" s="1473"/>
      <c r="F82" s="1474"/>
      <c r="G82" s="1475"/>
      <c r="H82" s="1475"/>
      <c r="I82" s="1310"/>
      <c r="J82" s="1476"/>
      <c r="K82" s="1477"/>
      <c r="L82" s="1376"/>
      <c r="M82" s="1364"/>
      <c r="N82" s="1364"/>
      <c r="O82" s="1334" t="s">
        <v>404</v>
      </c>
      <c r="P82" s="1335" t="n">
        <f aca="false">+'ref.지급기준 (2)'!F176*'ref.지급기준 (2)'!D176/'ref.지급기준 (2)'!$Q$2</f>
        <v>0</v>
      </c>
      <c r="Q82" s="1335" t="s">
        <v>373</v>
      </c>
      <c r="R82" s="1384" t="n">
        <f aca="false">SUM(P82:Q82)</f>
        <v>0</v>
      </c>
      <c r="S82" s="1437" t="b">
        <f aca="false">+R82=AO82</f>
        <v>1</v>
      </c>
      <c r="T82" s="1337" t="str">
        <f aca="false">+IFERROR(U82/R82,"-")</f>
        <v>-</v>
      </c>
      <c r="U82" s="1338" t="n">
        <f aca="false">+IFERROR(X82+AA82+AD82+AG82+AJ82+AM82,"-")</f>
        <v>0</v>
      </c>
      <c r="V82" s="1345" t="str">
        <f aca="false">+IFERROR(X82/$R82,"-")</f>
        <v>-</v>
      </c>
      <c r="W82" s="1444"/>
      <c r="X82" s="1395"/>
      <c r="Y82" s="1345"/>
      <c r="Z82" s="1345" t="str">
        <f aca="false">+IFERROR(AA82/$R82,"-")</f>
        <v>-</v>
      </c>
      <c r="AA82" s="1345"/>
      <c r="AB82" s="1346"/>
      <c r="AC82" s="1345" t="str">
        <f aca="false">+IFERROR(AD82/$R82,"-")</f>
        <v>-</v>
      </c>
      <c r="AD82" s="1345"/>
      <c r="AE82" s="1346"/>
      <c r="AF82" s="1345" t="str">
        <f aca="false">+IFERROR(AG82/$R82,"-")</f>
        <v>-</v>
      </c>
      <c r="AG82" s="1345"/>
      <c r="AH82" s="1346"/>
      <c r="AI82" s="1345" t="str">
        <f aca="false">+IFERROR(AJ82/#REF!,"-")</f>
        <v>-</v>
      </c>
      <c r="AJ82" s="1345"/>
      <c r="AK82" s="1345"/>
      <c r="AL82" s="1345" t="str">
        <f aca="false">+IFERROR(AM82/#REF!,"-")</f>
        <v>-</v>
      </c>
      <c r="AM82" s="1345"/>
      <c r="AN82" s="1345"/>
      <c r="AO82" s="1347" t="n">
        <f aca="false">+R82</f>
        <v>0</v>
      </c>
      <c r="AP82" s="1347" t="n">
        <f aca="false">+AO82*'ref.지급기준 (2)'!G176</f>
        <v>0</v>
      </c>
      <c r="AQ82" s="1348"/>
      <c r="AR82" s="1328"/>
      <c r="AS82" s="1349" t="n">
        <f aca="false">+$AO82*'ref.지급기준 (2)'!G176</f>
        <v>0</v>
      </c>
      <c r="AT82" s="1347" t="n">
        <f aca="false">+X82</f>
        <v>0</v>
      </c>
      <c r="AU82" s="1347" t="n">
        <f aca="false">+$AO82*'ref.지급기준 (2)'!I176</f>
        <v>0</v>
      </c>
      <c r="AV82" s="1347" t="n">
        <f aca="false">+AA82</f>
        <v>0</v>
      </c>
      <c r="AW82" s="1347" t="n">
        <f aca="false">+$AO82*'ref.지급기준 (2)'!K176</f>
        <v>0</v>
      </c>
      <c r="AX82" s="1347"/>
      <c r="AY82" s="1347" t="n">
        <f aca="false">+$AO82*'ref.지급기준 (2)'!M176</f>
        <v>0</v>
      </c>
      <c r="AZ82" s="1347"/>
      <c r="BA82" s="1347" t="n">
        <f aca="false">+$AO82*'ref.지급기준 (2)'!O176</f>
        <v>0</v>
      </c>
      <c r="BB82" s="1350"/>
      <c r="BC82" s="1441"/>
      <c r="BD82" s="1278"/>
      <c r="BE82" s="1332" t="b">
        <f aca="false">+(BA82+AY82+AW82+AU82+AS82)=R82</f>
        <v>1</v>
      </c>
      <c r="BF82" s="1278"/>
      <c r="BG82" s="1278"/>
      <c r="BH82" s="1278"/>
      <c r="BI82" s="1278"/>
      <c r="BJ82" s="1278"/>
      <c r="BK82" s="1278"/>
      <c r="BL82" s="1278"/>
      <c r="BM82" s="1278"/>
      <c r="BN82" s="1278"/>
      <c r="BO82" s="1333"/>
      <c r="BP82" s="1333"/>
    </row>
    <row r="83" customFormat="false" ht="16.5" hidden="false" customHeight="true" outlineLevel="0" collapsed="false">
      <c r="A83" s="1307"/>
      <c r="B83" s="1470"/>
      <c r="C83" s="1471"/>
      <c r="D83" s="1472"/>
      <c r="E83" s="1473"/>
      <c r="F83" s="1474"/>
      <c r="G83" s="1475"/>
      <c r="H83" s="1475"/>
      <c r="I83" s="1310"/>
      <c r="J83" s="1476"/>
      <c r="K83" s="1477"/>
      <c r="L83" s="1376"/>
      <c r="M83" s="1364"/>
      <c r="N83" s="1364"/>
      <c r="O83" s="1334" t="s">
        <v>507</v>
      </c>
      <c r="P83" s="1335" t="n">
        <f aca="false">+'DG-PV Organic'!AJ22</f>
        <v>104521000</v>
      </c>
      <c r="Q83" s="1335" t="n">
        <f aca="false">+P83*10%</f>
        <v>10452100</v>
      </c>
      <c r="R83" s="1384" t="n">
        <f aca="false">SUM(P83:Q83)</f>
        <v>114973100</v>
      </c>
      <c r="S83" s="1404" t="b">
        <f aca="false">+R83=AO83</f>
        <v>1</v>
      </c>
      <c r="T83" s="1337" t="n">
        <f aca="false">+IFERROR(U83/R83,"-")</f>
        <v>0.2</v>
      </c>
      <c r="U83" s="1338" t="n">
        <f aca="false">+IFERROR(X83+AA83+AD83+AG83+AJ83+AM83,"-")</f>
        <v>22994620</v>
      </c>
      <c r="V83" s="1343" t="n">
        <f aca="false">+IFERROR(X83/$R83,"-")</f>
        <v>0.2</v>
      </c>
      <c r="W83" s="1342" t="n">
        <f aca="false">W81</f>
        <v>45754</v>
      </c>
      <c r="X83" s="1341" t="n">
        <f aca="false">+'ref.지급기준 (2)'!D222*'ref.지급기준 (2)'!F222/1000*'ref.지급기준 (2)'!G222*1.1</f>
        <v>22994620</v>
      </c>
      <c r="Y83" s="1343"/>
      <c r="Z83" s="1345" t="n">
        <v>0</v>
      </c>
      <c r="AA83" s="1345"/>
      <c r="AB83" s="1346" t="n">
        <f aca="false">AB81</f>
        <v>45838</v>
      </c>
      <c r="AC83" s="1345" t="n">
        <v>0</v>
      </c>
      <c r="AD83" s="1345"/>
      <c r="AE83" s="1346" t="n">
        <f aca="false">AE81</f>
        <v>45899</v>
      </c>
      <c r="AF83" s="1345" t="n">
        <v>0</v>
      </c>
      <c r="AG83" s="1345"/>
      <c r="AH83" s="1346" t="n">
        <f aca="false">AH81</f>
        <v>46264</v>
      </c>
      <c r="AI83" s="1345" t="str">
        <f aca="false">+IFERROR(AJ83/#REF!,"-")</f>
        <v>-</v>
      </c>
      <c r="AJ83" s="1345"/>
      <c r="AK83" s="1345"/>
      <c r="AL83" s="1345" t="str">
        <f aca="false">+IFERROR(AM83/#REF!,"-")</f>
        <v>-</v>
      </c>
      <c r="AM83" s="1345"/>
      <c r="AN83" s="1345"/>
      <c r="AO83" s="1347" t="n">
        <f aca="false">+R83</f>
        <v>114973100</v>
      </c>
      <c r="AP83" s="1347" t="n">
        <f aca="false">+AO83*'ref.지급기준 (2)'!G177</f>
        <v>22994620</v>
      </c>
      <c r="AQ83" s="1348" t="n">
        <f aca="false">+W83</f>
        <v>45754</v>
      </c>
      <c r="AR83" s="1328"/>
      <c r="AS83" s="1349" t="n">
        <f aca="false">+$AO83*'ref.지급기준 (2)'!G177</f>
        <v>22994620</v>
      </c>
      <c r="AT83" s="1347" t="n">
        <f aca="false">+X83</f>
        <v>22994620</v>
      </c>
      <c r="AU83" s="1347" t="n">
        <f aca="false">+$AO83*'ref.지급기준 (2)'!I177</f>
        <v>22994620</v>
      </c>
      <c r="AV83" s="1347" t="n">
        <f aca="false">+AA83</f>
        <v>0</v>
      </c>
      <c r="AW83" s="1347" t="n">
        <f aca="false">+$AO83*'ref.지급기준 (2)'!K177</f>
        <v>57486550</v>
      </c>
      <c r="AX83" s="1347"/>
      <c r="AY83" s="1347" t="n">
        <f aca="false">+$AO83*'ref.지급기준 (2)'!M177</f>
        <v>11497310</v>
      </c>
      <c r="AZ83" s="1347"/>
      <c r="BA83" s="1347" t="n">
        <f aca="false">+$AO83*'ref.지급기준 (2)'!O177</f>
        <v>0</v>
      </c>
      <c r="BB83" s="1350"/>
      <c r="BC83" s="1441"/>
      <c r="BD83" s="1278"/>
      <c r="BE83" s="1332" t="b">
        <f aca="false">+(BA83+AY83+AW83+AU83+AS83)=R83</f>
        <v>1</v>
      </c>
      <c r="BF83" s="1278"/>
      <c r="BG83" s="1278"/>
      <c r="BH83" s="1278"/>
      <c r="BI83" s="1278"/>
      <c r="BJ83" s="1278"/>
      <c r="BK83" s="1278"/>
      <c r="BL83" s="1278"/>
      <c r="BM83" s="1278"/>
      <c r="BN83" s="1278"/>
      <c r="BO83" s="1333"/>
      <c r="BP83" s="1333"/>
    </row>
    <row r="84" customFormat="false" ht="16.5" hidden="false" customHeight="true" outlineLevel="0" collapsed="false">
      <c r="A84" s="1307"/>
      <c r="B84" s="1470"/>
      <c r="C84" s="1471"/>
      <c r="D84" s="1472"/>
      <c r="E84" s="1473"/>
      <c r="F84" s="1474"/>
      <c r="G84" s="1475"/>
      <c r="H84" s="1475"/>
      <c r="I84" s="1310"/>
      <c r="J84" s="1476"/>
      <c r="K84" s="1477"/>
      <c r="L84" s="1376"/>
      <c r="M84" s="1364"/>
      <c r="N84" s="1364"/>
      <c r="O84" s="1351" t="s">
        <v>508</v>
      </c>
      <c r="P84" s="1352" t="n">
        <f aca="false">+'DG-PV Organic'!AI22</f>
        <v>104521000</v>
      </c>
      <c r="Q84" s="1457" t="n">
        <f aca="false">+P84*0.1</f>
        <v>10452100</v>
      </c>
      <c r="R84" s="1457" t="n">
        <f aca="false">SUM(P84:Q84)</f>
        <v>114973100</v>
      </c>
      <c r="S84" s="1404" t="b">
        <f aca="false">+R84=AO84</f>
        <v>1</v>
      </c>
      <c r="T84" s="1406"/>
      <c r="U84" s="1407"/>
      <c r="V84" s="1355" t="n">
        <f aca="false">+IFERROR(X84/$R84,"-")</f>
        <v>0</v>
      </c>
      <c r="W84" s="1357"/>
      <c r="X84" s="1357"/>
      <c r="Y84" s="1357"/>
      <c r="Z84" s="1409" t="n">
        <f aca="false">+IFERROR(AA84/$R84,"-")</f>
        <v>0</v>
      </c>
      <c r="AA84" s="1409"/>
      <c r="AB84" s="1410"/>
      <c r="AC84" s="1409" t="n">
        <f aca="false">+IFERROR(AD84/$R84,"-")</f>
        <v>0</v>
      </c>
      <c r="AD84" s="1409"/>
      <c r="AE84" s="1410"/>
      <c r="AF84" s="1409" t="n">
        <f aca="false">+IFERROR(AG84/$R84,"-")</f>
        <v>0</v>
      </c>
      <c r="AG84" s="1409"/>
      <c r="AH84" s="1410"/>
      <c r="AI84" s="1409" t="str">
        <f aca="false">+IFERROR(AJ84/#REF!,"-")</f>
        <v>-</v>
      </c>
      <c r="AJ84" s="1409"/>
      <c r="AK84" s="1409"/>
      <c r="AL84" s="1409"/>
      <c r="AM84" s="1409"/>
      <c r="AN84" s="1409"/>
      <c r="AO84" s="1411" t="n">
        <f aca="false">+R84</f>
        <v>114973100</v>
      </c>
      <c r="AP84" s="1411" t="n">
        <f aca="false">+AS84+AU84</f>
        <v>114973100</v>
      </c>
      <c r="AQ84" s="1412"/>
      <c r="AR84" s="1328"/>
      <c r="AS84" s="1361" t="n">
        <f aca="false">+$AO84*'ref.지급기준 (2)'!G123</f>
        <v>114973100</v>
      </c>
      <c r="AT84" s="1359" t="n">
        <f aca="false">+X84</f>
        <v>0</v>
      </c>
      <c r="AU84" s="1359" t="n">
        <f aca="false">+$AO84*'ref.지급기준 (2)'!I123</f>
        <v>0</v>
      </c>
      <c r="AV84" s="1359" t="n">
        <f aca="false">+AA84</f>
        <v>0</v>
      </c>
      <c r="AW84" s="1359" t="n">
        <f aca="false">+$AO84*'ref.지급기준 (2)'!K123</f>
        <v>0</v>
      </c>
      <c r="AX84" s="1359"/>
      <c r="AY84" s="1359" t="n">
        <f aca="false">+$AO84*'ref.지급기준 (2)'!M123</f>
        <v>0</v>
      </c>
      <c r="AZ84" s="1359"/>
      <c r="BA84" s="1359" t="n">
        <f aca="false">+$AO84*'ref.지급기준 (2)'!O123</f>
        <v>0</v>
      </c>
      <c r="BB84" s="1362"/>
      <c r="BC84" s="1441"/>
      <c r="BD84" s="1278"/>
      <c r="BE84" s="1278"/>
      <c r="BF84" s="1278"/>
      <c r="BG84" s="1278"/>
      <c r="BH84" s="1278"/>
      <c r="BI84" s="1278"/>
      <c r="BJ84" s="1278"/>
      <c r="BK84" s="1278"/>
      <c r="BL84" s="1278"/>
      <c r="BM84" s="1278"/>
      <c r="BN84" s="1278"/>
      <c r="BO84" s="1333"/>
      <c r="BP84" s="1333"/>
    </row>
    <row r="85" customFormat="false" ht="16.5" hidden="false" customHeight="true" outlineLevel="0" collapsed="false">
      <c r="A85" s="1307"/>
      <c r="B85" s="1470"/>
      <c r="C85" s="1471"/>
      <c r="D85" s="1472"/>
      <c r="E85" s="1473"/>
      <c r="F85" s="1474"/>
      <c r="G85" s="1475"/>
      <c r="H85" s="1475"/>
      <c r="I85" s="1310" t="s">
        <v>1497</v>
      </c>
      <c r="J85" s="1476" t="s">
        <v>1498</v>
      </c>
      <c r="K85" s="1477" t="n">
        <f aca="false">+'DG-PV Organic'!O24</f>
        <v>2743.2</v>
      </c>
      <c r="L85" s="1376" t="n">
        <f aca="false">+'DG-PV Organic'!H33</f>
        <v>0.0965</v>
      </c>
      <c r="M85" s="1364" t="n">
        <f aca="false">+'DG-PV Organic'!J33</f>
        <v>0.096</v>
      </c>
      <c r="N85" s="1364" t="s">
        <v>1479</v>
      </c>
      <c r="O85" s="1365" t="s">
        <v>112</v>
      </c>
      <c r="P85" s="1366" t="n">
        <f aca="false">+'DG-PV Organic'!AL24</f>
        <v>2880360000</v>
      </c>
      <c r="Q85" s="1366" t="n">
        <f aca="false">+P85*10%</f>
        <v>288036000</v>
      </c>
      <c r="R85" s="1436" t="n">
        <f aca="false">SUM(P85:Q85)</f>
        <v>3168396000</v>
      </c>
      <c r="S85" s="1437" t="b">
        <f aca="false">+R85=AO85</f>
        <v>1</v>
      </c>
      <c r="T85" s="1320" t="n">
        <f aca="false">+IFERROR(U85/R85,"-")</f>
        <v>0</v>
      </c>
      <c r="U85" s="645" t="n">
        <f aca="false">+IFERROR(X85+AA85+AD85+AG85+AJ85+AM85,"-")</f>
        <v>0</v>
      </c>
      <c r="V85" s="1320" t="n">
        <f aca="false">+IFERROR(X85/$R85,"-")</f>
        <v>0</v>
      </c>
      <c r="W85" s="1346" t="n">
        <f aca="false">AE88</f>
        <v>45930</v>
      </c>
      <c r="X85" s="1438"/>
      <c r="Y85" s="1371"/>
      <c r="Z85" s="1345" t="n">
        <f aca="false">+IFERROR(AA85/$R85,"-")</f>
        <v>0</v>
      </c>
      <c r="AA85" s="1345"/>
      <c r="AB85" s="1346" t="n">
        <f aca="false">+EDATE(W85,1)</f>
        <v>45960</v>
      </c>
      <c r="AC85" s="1345" t="n">
        <f aca="false">+IFERROR(AD85/$R85,"-")</f>
        <v>0</v>
      </c>
      <c r="AD85" s="1345"/>
      <c r="AE85" s="1346" t="n">
        <f aca="false">+EDATE(AB85,3)</f>
        <v>46052</v>
      </c>
      <c r="AF85" s="1345" t="n">
        <f aca="false">+IFERROR(AG85/$R85,"-")</f>
        <v>0</v>
      </c>
      <c r="AG85" s="1345"/>
      <c r="AH85" s="1346" t="n">
        <f aca="false">+EDATE(AB85,4)</f>
        <v>46081</v>
      </c>
      <c r="AI85" s="1345" t="str">
        <f aca="false">+IFERROR(AJ85/#REF!,"-")</f>
        <v>-</v>
      </c>
      <c r="AJ85" s="1345"/>
      <c r="AK85" s="1346" t="n">
        <f aca="false">+EDATE(AB85,6)+1</f>
        <v>46143</v>
      </c>
      <c r="AL85" s="1371" t="str">
        <f aca="false">+IFERROR(AM85/#REF!,"-")</f>
        <v>-</v>
      </c>
      <c r="AM85" s="1371"/>
      <c r="AN85" s="1371"/>
      <c r="AO85" s="1373" t="n">
        <f aca="false">+R85</f>
        <v>3168396000</v>
      </c>
      <c r="AP85" s="1373" t="n">
        <f aca="false">+AO85*'ref.지급기준 (2)'!G179</f>
        <v>316839600</v>
      </c>
      <c r="AQ85" s="1374" t="n">
        <f aca="false">+W85</f>
        <v>45930</v>
      </c>
      <c r="AR85" s="1328"/>
      <c r="AS85" s="1349" t="n">
        <f aca="false">+$AO85*'ref.지급기준 (2)'!G179</f>
        <v>316839600</v>
      </c>
      <c r="AT85" s="1347" t="n">
        <f aca="false">+X85</f>
        <v>0</v>
      </c>
      <c r="AU85" s="1347" t="n">
        <f aca="false">+$AO85*'ref.지급기준 (2)'!I179</f>
        <v>633679200</v>
      </c>
      <c r="AV85" s="1347" t="n">
        <f aca="false">+AA85</f>
        <v>0</v>
      </c>
      <c r="AW85" s="1347" t="n">
        <f aca="false">+$AO85*'ref.지급기준 (2)'!K179</f>
        <v>1267358400</v>
      </c>
      <c r="AX85" s="1347"/>
      <c r="AY85" s="1347" t="n">
        <f aca="false">+$AO85*'ref.지급기준 (2)'!M179</f>
        <v>792099000</v>
      </c>
      <c r="AZ85" s="1347"/>
      <c r="BA85" s="1347" t="n">
        <f aca="false">+$AO85*'ref.지급기준 (2)'!O179</f>
        <v>158419800</v>
      </c>
      <c r="BB85" s="1350"/>
      <c r="BC85" s="1441" t="s">
        <v>1493</v>
      </c>
      <c r="BD85" s="1278"/>
      <c r="BE85" s="1332" t="b">
        <f aca="false">+(BA85+AY85+AW85+AU85+AS85)=R85</f>
        <v>1</v>
      </c>
      <c r="BF85" s="1278"/>
      <c r="BG85" s="1278"/>
      <c r="BH85" s="1278"/>
      <c r="BI85" s="1278"/>
      <c r="BJ85" s="1278"/>
      <c r="BK85" s="1278"/>
      <c r="BL85" s="1278"/>
      <c r="BM85" s="1278"/>
      <c r="BN85" s="1278"/>
      <c r="BO85" s="1333"/>
      <c r="BP85" s="1333"/>
    </row>
    <row r="86" customFormat="false" ht="16.5" hidden="false" customHeight="true" outlineLevel="0" collapsed="false">
      <c r="A86" s="1307"/>
      <c r="B86" s="1470"/>
      <c r="C86" s="1471"/>
      <c r="D86" s="1472"/>
      <c r="E86" s="1473"/>
      <c r="F86" s="1474"/>
      <c r="G86" s="1475"/>
      <c r="H86" s="1475"/>
      <c r="I86" s="1310"/>
      <c r="J86" s="1476"/>
      <c r="K86" s="1477"/>
      <c r="L86" s="1376"/>
      <c r="M86" s="1364"/>
      <c r="N86" s="1364"/>
      <c r="O86" s="1334" t="s">
        <v>114</v>
      </c>
      <c r="P86" s="1335" t="n">
        <f aca="false">+'DG-PV Organic'!AK24</f>
        <v>822960000</v>
      </c>
      <c r="Q86" s="1335" t="n">
        <f aca="false">+P86*10%</f>
        <v>82296000</v>
      </c>
      <c r="R86" s="1384" t="n">
        <f aca="false">SUM(P86:Q86)</f>
        <v>905256000</v>
      </c>
      <c r="S86" s="1437" t="b">
        <f aca="false">+R86=AO86</f>
        <v>1</v>
      </c>
      <c r="T86" s="1337" t="n">
        <f aca="false">+IFERROR(U86/R86,"-")</f>
        <v>0</v>
      </c>
      <c r="U86" s="1338" t="n">
        <f aca="false">+IFERROR(X86+AA86+AD86+AG86+AJ86+AM86,"-")</f>
        <v>0</v>
      </c>
      <c r="V86" s="1337" t="n">
        <f aca="false">+IFERROR(X86/$R86,"-")</f>
        <v>0</v>
      </c>
      <c r="W86" s="1396" t="n">
        <v>45777</v>
      </c>
      <c r="X86" s="1395"/>
      <c r="Y86" s="1345"/>
      <c r="Z86" s="1345" t="n">
        <f aca="false">+IFERROR(AA86/$R86,"-")</f>
        <v>0</v>
      </c>
      <c r="AA86" s="1397"/>
      <c r="AB86" s="1346" t="n">
        <v>45869</v>
      </c>
      <c r="AC86" s="1345" t="n">
        <f aca="false">+IFERROR(AD86/$R86,"-")</f>
        <v>0</v>
      </c>
      <c r="AD86" s="1345"/>
      <c r="AE86" s="1346" t="n">
        <f aca="false">EDATE(AB86,2)</f>
        <v>45930</v>
      </c>
      <c r="AF86" s="1345" t="n">
        <f aca="false">+IFERROR(AG86/$R86,"-")</f>
        <v>0</v>
      </c>
      <c r="AG86" s="1345"/>
      <c r="AH86" s="1346" t="n">
        <f aca="false">+EDATE(AB85,12)</f>
        <v>46325</v>
      </c>
      <c r="AI86" s="1345" t="str">
        <f aca="false">+IFERROR(AJ86/#REF!,"-")</f>
        <v>-</v>
      </c>
      <c r="AJ86" s="1345"/>
      <c r="AK86" s="1345"/>
      <c r="AL86" s="1345" t="str">
        <f aca="false">+IFERROR(AM86/#REF!,"-")</f>
        <v>-</v>
      </c>
      <c r="AM86" s="1345"/>
      <c r="AN86" s="1345"/>
      <c r="AO86" s="1347" t="n">
        <f aca="false">+R86</f>
        <v>905256000</v>
      </c>
      <c r="AP86" s="1347" t="n">
        <f aca="false">+AO86*'ref.지급기준 (2)'!G180</f>
        <v>181051200</v>
      </c>
      <c r="AQ86" s="1348" t="n">
        <f aca="false">+W86</f>
        <v>45777</v>
      </c>
      <c r="AR86" s="1328"/>
      <c r="AS86" s="1349" t="n">
        <f aca="false">+$AO86*'ref.지급기준 (2)'!G180</f>
        <v>181051200</v>
      </c>
      <c r="AT86" s="1347" t="n">
        <f aca="false">+X86</f>
        <v>0</v>
      </c>
      <c r="AU86" s="1347" t="n">
        <f aca="false">+$AO86*'ref.지급기준 (2)'!I180</f>
        <v>181051200</v>
      </c>
      <c r="AV86" s="1347" t="n">
        <f aca="false">+AA86</f>
        <v>0</v>
      </c>
      <c r="AW86" s="1347" t="n">
        <f aca="false">+$AO86*'ref.지급기준 (2)'!K180</f>
        <v>452628000</v>
      </c>
      <c r="AX86" s="1347"/>
      <c r="AY86" s="1347" t="n">
        <f aca="false">+$AO86*'ref.지급기준 (2)'!M180</f>
        <v>90525600</v>
      </c>
      <c r="AZ86" s="1347"/>
      <c r="BA86" s="1347" t="n">
        <f aca="false">+$AO86*'ref.지급기준 (2)'!O180</f>
        <v>0</v>
      </c>
      <c r="BB86" s="1350"/>
      <c r="BC86" s="1441"/>
      <c r="BD86" s="1278"/>
      <c r="BE86" s="1332" t="b">
        <f aca="false">+(BA86+AY86+AW86+AU86+AS86)=R86</f>
        <v>1</v>
      </c>
      <c r="BF86" s="1278"/>
      <c r="BG86" s="1278"/>
      <c r="BH86" s="1278"/>
      <c r="BI86" s="1278"/>
      <c r="BJ86" s="1278"/>
      <c r="BK86" s="1278"/>
      <c r="BL86" s="1278"/>
      <c r="BM86" s="1278"/>
      <c r="BN86" s="1278"/>
      <c r="BO86" s="1333"/>
      <c r="BP86" s="1333"/>
    </row>
    <row r="87" customFormat="false" ht="16.5" hidden="false" customHeight="true" outlineLevel="0" collapsed="false">
      <c r="A87" s="1307"/>
      <c r="B87" s="1470"/>
      <c r="C87" s="1471"/>
      <c r="D87" s="1472"/>
      <c r="E87" s="1473"/>
      <c r="F87" s="1474"/>
      <c r="G87" s="1475"/>
      <c r="H87" s="1475"/>
      <c r="I87" s="1310"/>
      <c r="J87" s="1476"/>
      <c r="K87" s="1477"/>
      <c r="L87" s="1376"/>
      <c r="M87" s="1364"/>
      <c r="N87" s="1364"/>
      <c r="O87" s="1334" t="s">
        <v>404</v>
      </c>
      <c r="P87" s="1335" t="n">
        <f aca="false">+'ref.지급기준 (2)'!F181*'ref.지급기준 (2)'!D181/'ref.지급기준 (2)'!$Q$2</f>
        <v>0</v>
      </c>
      <c r="Q87" s="1335" t="s">
        <v>373</v>
      </c>
      <c r="R87" s="1384" t="n">
        <f aca="false">SUM(P87:Q87)</f>
        <v>0</v>
      </c>
      <c r="S87" s="1437" t="b">
        <f aca="false">+R87=AO87</f>
        <v>1</v>
      </c>
      <c r="T87" s="1337" t="str">
        <f aca="false">+IFERROR(U87/R87,"-")</f>
        <v>-</v>
      </c>
      <c r="U87" s="1338" t="n">
        <f aca="false">+IFERROR(X87+AA87+AD87+AG87+AJ87+AM87,"-")</f>
        <v>0</v>
      </c>
      <c r="V87" s="1337" t="str">
        <f aca="false">+IFERROR(X87/$R87,"-")</f>
        <v>-</v>
      </c>
      <c r="W87" s="1396"/>
      <c r="X87" s="1395"/>
      <c r="Y87" s="1345"/>
      <c r="Z87" s="1345" t="str">
        <f aca="false">+IFERROR(AA87/$R87,"-")</f>
        <v>-</v>
      </c>
      <c r="AA87" s="1345"/>
      <c r="AB87" s="1346"/>
      <c r="AC87" s="1345" t="str">
        <f aca="false">+IFERROR(AD87/$R87,"-")</f>
        <v>-</v>
      </c>
      <c r="AD87" s="1345"/>
      <c r="AE87" s="1346"/>
      <c r="AF87" s="1345" t="str">
        <f aca="false">+IFERROR(AG87/$R87,"-")</f>
        <v>-</v>
      </c>
      <c r="AG87" s="1345"/>
      <c r="AH87" s="1346"/>
      <c r="AI87" s="1345" t="str">
        <f aca="false">+IFERROR(AJ87/#REF!,"-")</f>
        <v>-</v>
      </c>
      <c r="AJ87" s="1345"/>
      <c r="AK87" s="1345"/>
      <c r="AL87" s="1345" t="str">
        <f aca="false">+IFERROR(AM87/#REF!,"-")</f>
        <v>-</v>
      </c>
      <c r="AM87" s="1345"/>
      <c r="AN87" s="1345"/>
      <c r="AO87" s="1347" t="n">
        <f aca="false">+R87</f>
        <v>0</v>
      </c>
      <c r="AP87" s="1347" t="n">
        <f aca="false">+AO87*'ref.지급기준 (2)'!G181</f>
        <v>0</v>
      </c>
      <c r="AQ87" s="1348"/>
      <c r="AR87" s="1328"/>
      <c r="AS87" s="1349" t="n">
        <f aca="false">+$AO87*'ref.지급기준 (2)'!G181</f>
        <v>0</v>
      </c>
      <c r="AT87" s="1347" t="n">
        <f aca="false">+X87</f>
        <v>0</v>
      </c>
      <c r="AU87" s="1347" t="n">
        <f aca="false">+$AO87*'ref.지급기준 (2)'!I181</f>
        <v>0</v>
      </c>
      <c r="AV87" s="1347" t="n">
        <f aca="false">+AA87</f>
        <v>0</v>
      </c>
      <c r="AW87" s="1347" t="n">
        <f aca="false">+$AO87*'ref.지급기준 (2)'!K181</f>
        <v>0</v>
      </c>
      <c r="AX87" s="1347"/>
      <c r="AY87" s="1347" t="n">
        <f aca="false">+$AO87*'ref.지급기준 (2)'!M181</f>
        <v>0</v>
      </c>
      <c r="AZ87" s="1347"/>
      <c r="BA87" s="1347" t="n">
        <f aca="false">+$AO87*'ref.지급기준 (2)'!O181</f>
        <v>0</v>
      </c>
      <c r="BB87" s="1350"/>
      <c r="BC87" s="1441"/>
      <c r="BD87" s="1278"/>
      <c r="BE87" s="1332" t="b">
        <f aca="false">+(BA87+AY87+AW87+AU87+AS87)=R87</f>
        <v>1</v>
      </c>
      <c r="BF87" s="1278"/>
      <c r="BG87" s="1278"/>
      <c r="BH87" s="1278"/>
      <c r="BI87" s="1278"/>
      <c r="BJ87" s="1278"/>
      <c r="BK87" s="1278"/>
      <c r="BL87" s="1278"/>
      <c r="BM87" s="1278"/>
      <c r="BN87" s="1278"/>
      <c r="BO87" s="1333"/>
      <c r="BP87" s="1333"/>
    </row>
    <row r="88" customFormat="false" ht="16.5" hidden="false" customHeight="true" outlineLevel="0" collapsed="false">
      <c r="A88" s="1307"/>
      <c r="B88" s="1470"/>
      <c r="C88" s="1471"/>
      <c r="D88" s="1472"/>
      <c r="E88" s="1473"/>
      <c r="F88" s="1474"/>
      <c r="G88" s="1475"/>
      <c r="H88" s="1475"/>
      <c r="I88" s="1310"/>
      <c r="J88" s="1476"/>
      <c r="K88" s="1477"/>
      <c r="L88" s="1376"/>
      <c r="M88" s="1364"/>
      <c r="N88" s="1364"/>
      <c r="O88" s="1334" t="s">
        <v>507</v>
      </c>
      <c r="P88" s="1335" t="n">
        <f aca="false">+'DG-PV Organic'!AJ24</f>
        <v>548640000</v>
      </c>
      <c r="Q88" s="1335" t="n">
        <f aca="false">+P88*10%</f>
        <v>54864000</v>
      </c>
      <c r="R88" s="1384" t="n">
        <f aca="false">SUM(P88:Q88)</f>
        <v>603504000</v>
      </c>
      <c r="S88" s="1404" t="b">
        <f aca="false">+R88=AO88</f>
        <v>1</v>
      </c>
      <c r="T88" s="1337" t="n">
        <f aca="false">+IFERROR(U88/R88,"-")</f>
        <v>0</v>
      </c>
      <c r="U88" s="1338" t="n">
        <f aca="false">+IFERROR(X88+AA88+AD88+AG88+AJ88+AM88,"-")</f>
        <v>0</v>
      </c>
      <c r="V88" s="1337" t="n">
        <f aca="false">+IFERROR(X88/$R88,"-")</f>
        <v>0</v>
      </c>
      <c r="W88" s="1396" t="n">
        <f aca="false">W86</f>
        <v>45777</v>
      </c>
      <c r="X88" s="1395"/>
      <c r="Y88" s="1345"/>
      <c r="Z88" s="1345" t="n">
        <v>0</v>
      </c>
      <c r="AA88" s="1345"/>
      <c r="AB88" s="1346" t="n">
        <f aca="false">AB86</f>
        <v>45869</v>
      </c>
      <c r="AC88" s="1345" t="n">
        <v>0</v>
      </c>
      <c r="AD88" s="1345"/>
      <c r="AE88" s="1346" t="n">
        <f aca="false">AE86</f>
        <v>45930</v>
      </c>
      <c r="AF88" s="1345" t="n">
        <v>0</v>
      </c>
      <c r="AG88" s="1345"/>
      <c r="AH88" s="1346" t="n">
        <f aca="false">AH86</f>
        <v>46325</v>
      </c>
      <c r="AI88" s="1345" t="str">
        <f aca="false">+IFERROR(AJ88/#REF!,"-")</f>
        <v>-</v>
      </c>
      <c r="AJ88" s="1345"/>
      <c r="AK88" s="1345"/>
      <c r="AL88" s="1345" t="str">
        <f aca="false">+IFERROR(AM88/#REF!,"-")</f>
        <v>-</v>
      </c>
      <c r="AM88" s="1345"/>
      <c r="AN88" s="1345"/>
      <c r="AO88" s="1347" t="n">
        <f aca="false">+R88</f>
        <v>603504000</v>
      </c>
      <c r="AP88" s="1347" t="n">
        <f aca="false">+AO88*'ref.지급기준 (2)'!G182</f>
        <v>120700800</v>
      </c>
      <c r="AQ88" s="1348" t="n">
        <f aca="false">+W88</f>
        <v>45777</v>
      </c>
      <c r="AR88" s="1328"/>
      <c r="AS88" s="1349" t="n">
        <f aca="false">+$AO88*'ref.지급기준 (2)'!G182</f>
        <v>120700800</v>
      </c>
      <c r="AT88" s="1347" t="n">
        <f aca="false">+X88</f>
        <v>0</v>
      </c>
      <c r="AU88" s="1347" t="n">
        <f aca="false">+$AO88*'ref.지급기준 (2)'!I182</f>
        <v>120700800</v>
      </c>
      <c r="AV88" s="1347" t="n">
        <f aca="false">+AA88</f>
        <v>0</v>
      </c>
      <c r="AW88" s="1347" t="n">
        <f aca="false">+$AO88*'ref.지급기준 (2)'!K182</f>
        <v>301752000</v>
      </c>
      <c r="AX88" s="1347"/>
      <c r="AY88" s="1347" t="n">
        <f aca="false">+$AO88*'ref.지급기준 (2)'!M182</f>
        <v>60350400</v>
      </c>
      <c r="AZ88" s="1347"/>
      <c r="BA88" s="1347" t="n">
        <f aca="false">+$AO88*'ref.지급기준 (2)'!O182</f>
        <v>0</v>
      </c>
      <c r="BB88" s="1350"/>
      <c r="BC88" s="1441"/>
      <c r="BD88" s="1278"/>
      <c r="BE88" s="1332" t="b">
        <f aca="false">+(BA88+AY88+AW88+AU88+AS88)=R88</f>
        <v>1</v>
      </c>
      <c r="BF88" s="1278"/>
      <c r="BG88" s="1278"/>
      <c r="BH88" s="1278"/>
      <c r="BI88" s="1278"/>
      <c r="BJ88" s="1278"/>
      <c r="BK88" s="1278"/>
      <c r="BL88" s="1278"/>
      <c r="BM88" s="1278"/>
      <c r="BN88" s="1278"/>
      <c r="BO88" s="1333"/>
      <c r="BP88" s="1333"/>
    </row>
    <row r="89" customFormat="false" ht="16.5" hidden="false" customHeight="true" outlineLevel="0" collapsed="false">
      <c r="A89" s="1307"/>
      <c r="B89" s="1470"/>
      <c r="C89" s="1471"/>
      <c r="D89" s="1472"/>
      <c r="E89" s="1473"/>
      <c r="F89" s="1474"/>
      <c r="G89" s="1475"/>
      <c r="H89" s="1475"/>
      <c r="I89" s="1310"/>
      <c r="J89" s="1476"/>
      <c r="K89" s="1477"/>
      <c r="L89" s="1376"/>
      <c r="M89" s="1364"/>
      <c r="N89" s="1364"/>
      <c r="O89" s="1351" t="s">
        <v>508</v>
      </c>
      <c r="P89" s="1352" t="n">
        <f aca="false">+'DG-PV Organic'!AI24</f>
        <v>548640000</v>
      </c>
      <c r="Q89" s="1457" t="n">
        <f aca="false">+P89*0.1</f>
        <v>54864000</v>
      </c>
      <c r="R89" s="1457" t="n">
        <f aca="false">SUM(P89:Q89)</f>
        <v>603504000</v>
      </c>
      <c r="S89" s="1404" t="b">
        <f aca="false">+R89=AO89</f>
        <v>1</v>
      </c>
      <c r="T89" s="1406"/>
      <c r="U89" s="1407"/>
      <c r="V89" s="1406" t="n">
        <f aca="false">+IFERROR(X89/$R89,"-")</f>
        <v>0</v>
      </c>
      <c r="W89" s="1409"/>
      <c r="X89" s="1409"/>
      <c r="Y89" s="1409"/>
      <c r="Z89" s="1409" t="n">
        <f aca="false">+IFERROR(AA89/$R89,"-")</f>
        <v>0</v>
      </c>
      <c r="AA89" s="1409"/>
      <c r="AB89" s="1410"/>
      <c r="AC89" s="1409" t="n">
        <f aca="false">+IFERROR(AD89/$R89,"-")</f>
        <v>0</v>
      </c>
      <c r="AD89" s="1409"/>
      <c r="AE89" s="1410"/>
      <c r="AF89" s="1409" t="n">
        <f aca="false">+IFERROR(AG89/$R89,"-")</f>
        <v>0</v>
      </c>
      <c r="AG89" s="1409"/>
      <c r="AH89" s="1410"/>
      <c r="AI89" s="1409" t="str">
        <f aca="false">+IFERROR(AJ89/#REF!,"-")</f>
        <v>-</v>
      </c>
      <c r="AJ89" s="1409"/>
      <c r="AK89" s="1409"/>
      <c r="AL89" s="1409"/>
      <c r="AM89" s="1409"/>
      <c r="AN89" s="1409"/>
      <c r="AO89" s="1411" t="n">
        <f aca="false">+R89</f>
        <v>603504000</v>
      </c>
      <c r="AP89" s="1411" t="n">
        <f aca="false">+AS89+AU89</f>
        <v>603504000</v>
      </c>
      <c r="AQ89" s="1412"/>
      <c r="AR89" s="1328"/>
      <c r="AS89" s="1361" t="n">
        <f aca="false">+$AO89*'ref.지급기준 (2)'!G128</f>
        <v>603504000</v>
      </c>
      <c r="AT89" s="1359" t="n">
        <f aca="false">+X89</f>
        <v>0</v>
      </c>
      <c r="AU89" s="1359" t="n">
        <f aca="false">+$AO89*'ref.지급기준 (2)'!I128</f>
        <v>0</v>
      </c>
      <c r="AV89" s="1359" t="n">
        <f aca="false">+AA89</f>
        <v>0</v>
      </c>
      <c r="AW89" s="1359" t="n">
        <f aca="false">+$AO89*'ref.지급기준 (2)'!K128</f>
        <v>0</v>
      </c>
      <c r="AX89" s="1359"/>
      <c r="AY89" s="1359" t="n">
        <f aca="false">+$AO89*'ref.지급기준 (2)'!M128</f>
        <v>0</v>
      </c>
      <c r="AZ89" s="1359"/>
      <c r="BA89" s="1359" t="n">
        <f aca="false">+$AO89*'ref.지급기준 (2)'!O128</f>
        <v>0</v>
      </c>
      <c r="BB89" s="1362"/>
      <c r="BC89" s="1441"/>
      <c r="BD89" s="1278"/>
      <c r="BE89" s="1278"/>
      <c r="BF89" s="1278"/>
      <c r="BG89" s="1278"/>
      <c r="BH89" s="1278"/>
      <c r="BI89" s="1278"/>
      <c r="BJ89" s="1278"/>
      <c r="BK89" s="1278"/>
      <c r="BL89" s="1278"/>
      <c r="BM89" s="1278"/>
      <c r="BN89" s="1278"/>
      <c r="BO89" s="1333"/>
      <c r="BP89" s="1333"/>
    </row>
    <row r="90" customFormat="false" ht="16.5" hidden="false" customHeight="true" outlineLevel="0" collapsed="false">
      <c r="A90" s="1307"/>
      <c r="B90" s="1470"/>
      <c r="C90" s="1471"/>
      <c r="D90" s="1472"/>
      <c r="E90" s="1473"/>
      <c r="F90" s="1474"/>
      <c r="G90" s="1475"/>
      <c r="H90" s="1475"/>
      <c r="I90" s="1310" t="s">
        <v>1499</v>
      </c>
      <c r="J90" s="1476" t="s">
        <v>928</v>
      </c>
      <c r="K90" s="1477" t="n">
        <f aca="false">+'DG-PV Organic'!O25</f>
        <v>695.325</v>
      </c>
      <c r="L90" s="1376" t="n">
        <f aca="false">+'DG-PV Organic'!H47</f>
        <v>0.0917</v>
      </c>
      <c r="M90" s="1364" t="n">
        <f aca="false">+'DG-PV Organic'!J47</f>
        <v>0.093</v>
      </c>
      <c r="N90" s="1364" t="s">
        <v>1479</v>
      </c>
      <c r="O90" s="1365" t="s">
        <v>112</v>
      </c>
      <c r="P90" s="1366" t="n">
        <f aca="false">+'DG-PV Organic'!AL25</f>
        <v>730091250</v>
      </c>
      <c r="Q90" s="1366" t="n">
        <f aca="false">+P90*10%</f>
        <v>73009125</v>
      </c>
      <c r="R90" s="1436" t="n">
        <f aca="false">SUM(P90:Q90)</f>
        <v>803100375</v>
      </c>
      <c r="S90" s="1437" t="b">
        <f aca="false">+R90=AO90</f>
        <v>1</v>
      </c>
      <c r="T90" s="1320" t="n">
        <f aca="false">+IFERROR(U90/R90,"-")</f>
        <v>0</v>
      </c>
      <c r="U90" s="645" t="n">
        <f aca="false">+IFERROR(X90+AA90+AD90+AG90+AJ90+AM90,"-")</f>
        <v>0</v>
      </c>
      <c r="V90" s="1320" t="n">
        <f aca="false">+IFERROR(X90/$R90,"-")</f>
        <v>0</v>
      </c>
      <c r="W90" s="1346" t="n">
        <f aca="false">AE93</f>
        <v>45930</v>
      </c>
      <c r="X90" s="1438"/>
      <c r="Y90" s="1371"/>
      <c r="Z90" s="1345" t="n">
        <f aca="false">+IFERROR(AA90/$R90,"-")</f>
        <v>0</v>
      </c>
      <c r="AA90" s="1345"/>
      <c r="AB90" s="1346" t="n">
        <f aca="false">+EDATE(W90,1)</f>
        <v>45960</v>
      </c>
      <c r="AC90" s="1345" t="n">
        <f aca="false">+IFERROR(AD90/$R90,"-")</f>
        <v>0</v>
      </c>
      <c r="AD90" s="1345"/>
      <c r="AE90" s="1346" t="n">
        <f aca="false">+EDATE(AB90,3)</f>
        <v>46052</v>
      </c>
      <c r="AF90" s="1345" t="n">
        <f aca="false">+IFERROR(AG90/$R90,"-")</f>
        <v>0</v>
      </c>
      <c r="AG90" s="1345"/>
      <c r="AH90" s="1346" t="n">
        <f aca="false">+EDATE(AB90,4)</f>
        <v>46081</v>
      </c>
      <c r="AI90" s="1345" t="str">
        <f aca="false">+IFERROR(AJ90/#REF!,"-")</f>
        <v>-</v>
      </c>
      <c r="AJ90" s="1345"/>
      <c r="AK90" s="1346" t="n">
        <f aca="false">+EDATE(AB90,6)+1</f>
        <v>46143</v>
      </c>
      <c r="AL90" s="1371" t="str">
        <f aca="false">+IFERROR(AM90/#REF!,"-")</f>
        <v>-</v>
      </c>
      <c r="AM90" s="1371"/>
      <c r="AN90" s="1371"/>
      <c r="AO90" s="1373" t="n">
        <f aca="false">+R90</f>
        <v>803100375</v>
      </c>
      <c r="AP90" s="1373" t="n">
        <f aca="false">+AO90*'ref.지급기준 (2)'!G184</f>
        <v>80310037.5</v>
      </c>
      <c r="AQ90" s="1374" t="n">
        <f aca="false">+W90</f>
        <v>45930</v>
      </c>
      <c r="AR90" s="1328"/>
      <c r="AS90" s="1349" t="n">
        <f aca="false">+$AO90*'ref.지급기준 (2)'!G184</f>
        <v>80310037.5</v>
      </c>
      <c r="AT90" s="1347" t="n">
        <f aca="false">+X90</f>
        <v>0</v>
      </c>
      <c r="AU90" s="1347" t="n">
        <f aca="false">+$AO90*'ref.지급기준 (2)'!I184</f>
        <v>160620075</v>
      </c>
      <c r="AV90" s="1347" t="n">
        <f aca="false">+AA90</f>
        <v>0</v>
      </c>
      <c r="AW90" s="1347" t="n">
        <f aca="false">+$AO90*'ref.지급기준 (2)'!K184</f>
        <v>321240150</v>
      </c>
      <c r="AX90" s="1347"/>
      <c r="AY90" s="1347" t="n">
        <f aca="false">+$AO90*'ref.지급기준 (2)'!M184</f>
        <v>200775093.75</v>
      </c>
      <c r="AZ90" s="1347"/>
      <c r="BA90" s="1347" t="n">
        <f aca="false">+$AO90*'ref.지급기준 (2)'!O184</f>
        <v>40155018.75</v>
      </c>
      <c r="BB90" s="1350"/>
      <c r="BC90" s="1441" t="s">
        <v>1493</v>
      </c>
      <c r="BD90" s="1278"/>
      <c r="BE90" s="1332" t="b">
        <f aca="false">+(BA90+AY90+AW90+AU90+AS90)=R90</f>
        <v>1</v>
      </c>
      <c r="BF90" s="1278"/>
      <c r="BG90" s="1278"/>
      <c r="BH90" s="1278"/>
      <c r="BI90" s="1278"/>
      <c r="BJ90" s="1278"/>
      <c r="BK90" s="1278"/>
      <c r="BL90" s="1278"/>
      <c r="BM90" s="1278"/>
      <c r="BN90" s="1278"/>
      <c r="BO90" s="1333"/>
      <c r="BP90" s="1333"/>
    </row>
    <row r="91" customFormat="false" ht="16.5" hidden="false" customHeight="true" outlineLevel="0" collapsed="false">
      <c r="A91" s="1307"/>
      <c r="B91" s="1470"/>
      <c r="C91" s="1471"/>
      <c r="D91" s="1472"/>
      <c r="E91" s="1473"/>
      <c r="F91" s="1474"/>
      <c r="G91" s="1475"/>
      <c r="H91" s="1475"/>
      <c r="I91" s="1310"/>
      <c r="J91" s="1476"/>
      <c r="K91" s="1477"/>
      <c r="L91" s="1376"/>
      <c r="M91" s="1364"/>
      <c r="N91" s="1364"/>
      <c r="O91" s="1334" t="s">
        <v>114</v>
      </c>
      <c r="P91" s="1335" t="n">
        <f aca="false">+'DG-PV Organic'!AK25</f>
        <v>208597500</v>
      </c>
      <c r="Q91" s="1335" t="n">
        <f aca="false">+P91*10%</f>
        <v>20859750</v>
      </c>
      <c r="R91" s="1384" t="n">
        <f aca="false">SUM(P91:Q91)</f>
        <v>229457250</v>
      </c>
      <c r="S91" s="1437" t="b">
        <f aca="false">+R91=AO91</f>
        <v>1</v>
      </c>
      <c r="T91" s="1337" t="n">
        <f aca="false">+IFERROR(U91/R91,"-")</f>
        <v>0</v>
      </c>
      <c r="U91" s="1338" t="n">
        <f aca="false">+IFERROR(X91+AA91+AD91+AG91+AJ91+AM91,"-")</f>
        <v>0</v>
      </c>
      <c r="V91" s="1337" t="n">
        <f aca="false">+IFERROR(X91/$R91,"-")</f>
        <v>0</v>
      </c>
      <c r="W91" s="1396" t="n">
        <v>45777</v>
      </c>
      <c r="X91" s="1395"/>
      <c r="Y91" s="1345"/>
      <c r="Z91" s="1345" t="n">
        <f aca="false">+IFERROR(AA91/$R91,"-")</f>
        <v>0</v>
      </c>
      <c r="AA91" s="1397"/>
      <c r="AB91" s="1346" t="n">
        <v>45869</v>
      </c>
      <c r="AC91" s="1345" t="n">
        <f aca="false">+IFERROR(AD91/$R91,"-")</f>
        <v>0</v>
      </c>
      <c r="AD91" s="1345"/>
      <c r="AE91" s="1346" t="n">
        <f aca="false">EDATE(AB91,2)</f>
        <v>45930</v>
      </c>
      <c r="AF91" s="1345" t="n">
        <f aca="false">+IFERROR(AG91/$R91,"-")</f>
        <v>0</v>
      </c>
      <c r="AG91" s="1345"/>
      <c r="AH91" s="1346" t="n">
        <f aca="false">+EDATE(AB90,12)</f>
        <v>46325</v>
      </c>
      <c r="AI91" s="1345" t="str">
        <f aca="false">+IFERROR(AJ91/#REF!,"-")</f>
        <v>-</v>
      </c>
      <c r="AJ91" s="1345"/>
      <c r="AK91" s="1345"/>
      <c r="AL91" s="1345" t="str">
        <f aca="false">+IFERROR(AM91/#REF!,"-")</f>
        <v>-</v>
      </c>
      <c r="AM91" s="1345"/>
      <c r="AN91" s="1345"/>
      <c r="AO91" s="1347" t="n">
        <f aca="false">+R91</f>
        <v>229457250</v>
      </c>
      <c r="AP91" s="1347" t="n">
        <f aca="false">+AO91*'ref.지급기준 (2)'!G185</f>
        <v>45891450</v>
      </c>
      <c r="AQ91" s="1348" t="n">
        <f aca="false">+W91</f>
        <v>45777</v>
      </c>
      <c r="AR91" s="1328"/>
      <c r="AS91" s="1349" t="n">
        <f aca="false">+$AO91*'ref.지급기준 (2)'!G185</f>
        <v>45891450</v>
      </c>
      <c r="AT91" s="1347" t="n">
        <f aca="false">+X91</f>
        <v>0</v>
      </c>
      <c r="AU91" s="1347" t="n">
        <f aca="false">+$AO91*'ref.지급기준 (2)'!I185</f>
        <v>45891450</v>
      </c>
      <c r="AV91" s="1347" t="n">
        <f aca="false">+AA91</f>
        <v>0</v>
      </c>
      <c r="AW91" s="1347" t="n">
        <f aca="false">+$AO91*'ref.지급기준 (2)'!K185</f>
        <v>114728625</v>
      </c>
      <c r="AX91" s="1347"/>
      <c r="AY91" s="1347" t="n">
        <f aca="false">+$AO91*'ref.지급기준 (2)'!M185</f>
        <v>22945725</v>
      </c>
      <c r="AZ91" s="1347"/>
      <c r="BA91" s="1347" t="n">
        <f aca="false">+$AO91*'ref.지급기준 (2)'!O185</f>
        <v>0</v>
      </c>
      <c r="BB91" s="1350"/>
      <c r="BC91" s="1441"/>
      <c r="BD91" s="1278"/>
      <c r="BE91" s="1332" t="b">
        <f aca="false">+(BA91+AY91+AW91+AU91+AS91)=R91</f>
        <v>1</v>
      </c>
      <c r="BF91" s="1278"/>
      <c r="BG91" s="1278"/>
      <c r="BH91" s="1278"/>
      <c r="BI91" s="1278"/>
      <c r="BJ91" s="1278"/>
      <c r="BK91" s="1278"/>
      <c r="BL91" s="1278"/>
      <c r="BM91" s="1278"/>
      <c r="BN91" s="1278"/>
      <c r="BO91" s="1333"/>
      <c r="BP91" s="1333"/>
    </row>
    <row r="92" customFormat="false" ht="16.5" hidden="false" customHeight="true" outlineLevel="0" collapsed="false">
      <c r="A92" s="1307"/>
      <c r="B92" s="1470"/>
      <c r="C92" s="1471"/>
      <c r="D92" s="1472"/>
      <c r="E92" s="1473"/>
      <c r="F92" s="1474"/>
      <c r="G92" s="1475"/>
      <c r="H92" s="1475"/>
      <c r="I92" s="1310"/>
      <c r="J92" s="1476"/>
      <c r="K92" s="1477"/>
      <c r="L92" s="1376"/>
      <c r="M92" s="1364"/>
      <c r="N92" s="1364"/>
      <c r="O92" s="1334" t="s">
        <v>404</v>
      </c>
      <c r="P92" s="1335" t="n">
        <f aca="false">+'ref.지급기준 (2)'!F186*'ref.지급기준 (2)'!D186/'ref.지급기준 (2)'!$Q$2</f>
        <v>0</v>
      </c>
      <c r="Q92" s="1335" t="s">
        <v>373</v>
      </c>
      <c r="R92" s="1384" t="n">
        <f aca="false">SUM(P92:Q92)</f>
        <v>0</v>
      </c>
      <c r="S92" s="1437" t="b">
        <f aca="false">+R92=AO92</f>
        <v>1</v>
      </c>
      <c r="T92" s="1337" t="str">
        <f aca="false">+IFERROR(U92/R92,"-")</f>
        <v>-</v>
      </c>
      <c r="U92" s="1338" t="n">
        <f aca="false">+IFERROR(X92+AA92+AD92+AG92+AJ92+AM92,"-")</f>
        <v>0</v>
      </c>
      <c r="V92" s="1337" t="str">
        <f aca="false">+IFERROR(X92/$R92,"-")</f>
        <v>-</v>
      </c>
      <c r="W92" s="1396"/>
      <c r="X92" s="1395"/>
      <c r="Y92" s="1345"/>
      <c r="Z92" s="1345" t="str">
        <f aca="false">+IFERROR(AA92/$R92,"-")</f>
        <v>-</v>
      </c>
      <c r="AA92" s="1345"/>
      <c r="AB92" s="1346"/>
      <c r="AC92" s="1345" t="str">
        <f aca="false">+IFERROR(AD92/$R92,"-")</f>
        <v>-</v>
      </c>
      <c r="AD92" s="1345"/>
      <c r="AE92" s="1346"/>
      <c r="AF92" s="1345" t="str">
        <f aca="false">+IFERROR(AG92/$R92,"-")</f>
        <v>-</v>
      </c>
      <c r="AG92" s="1345"/>
      <c r="AH92" s="1346"/>
      <c r="AI92" s="1345" t="str">
        <f aca="false">+IFERROR(AJ92/#REF!,"-")</f>
        <v>-</v>
      </c>
      <c r="AJ92" s="1345"/>
      <c r="AK92" s="1345"/>
      <c r="AL92" s="1345" t="str">
        <f aca="false">+IFERROR(AM92/#REF!,"-")</f>
        <v>-</v>
      </c>
      <c r="AM92" s="1345"/>
      <c r="AN92" s="1345"/>
      <c r="AO92" s="1347" t="n">
        <f aca="false">+R92</f>
        <v>0</v>
      </c>
      <c r="AP92" s="1347" t="n">
        <f aca="false">+AO92*'ref.지급기준 (2)'!G186</f>
        <v>0</v>
      </c>
      <c r="AQ92" s="1348"/>
      <c r="AR92" s="1328"/>
      <c r="AS92" s="1349" t="n">
        <f aca="false">+$AO92*'ref.지급기준 (2)'!G186</f>
        <v>0</v>
      </c>
      <c r="AT92" s="1347" t="n">
        <f aca="false">+X92</f>
        <v>0</v>
      </c>
      <c r="AU92" s="1347" t="n">
        <f aca="false">+$AO92*'ref.지급기준 (2)'!I186</f>
        <v>0</v>
      </c>
      <c r="AV92" s="1347" t="n">
        <f aca="false">+AA92</f>
        <v>0</v>
      </c>
      <c r="AW92" s="1347" t="n">
        <f aca="false">+$AO92*'ref.지급기준 (2)'!K186</f>
        <v>0</v>
      </c>
      <c r="AX92" s="1347"/>
      <c r="AY92" s="1347" t="n">
        <f aca="false">+$AO92*'ref.지급기준 (2)'!M186</f>
        <v>0</v>
      </c>
      <c r="AZ92" s="1347"/>
      <c r="BA92" s="1347" t="n">
        <f aca="false">+$AO92*'ref.지급기준 (2)'!O186</f>
        <v>0</v>
      </c>
      <c r="BB92" s="1350"/>
      <c r="BC92" s="1441"/>
      <c r="BD92" s="1278"/>
      <c r="BE92" s="1332" t="b">
        <f aca="false">+(BA92+AY92+AW92+AU92+AS92)=R92</f>
        <v>1</v>
      </c>
      <c r="BF92" s="1278"/>
      <c r="BG92" s="1278"/>
      <c r="BH92" s="1278"/>
      <c r="BI92" s="1278"/>
      <c r="BJ92" s="1278"/>
      <c r="BK92" s="1278"/>
      <c r="BL92" s="1278"/>
      <c r="BM92" s="1278"/>
      <c r="BN92" s="1278"/>
      <c r="BO92" s="1333"/>
      <c r="BP92" s="1333"/>
    </row>
    <row r="93" customFormat="false" ht="16.5" hidden="false" customHeight="true" outlineLevel="0" collapsed="false">
      <c r="A93" s="1307"/>
      <c r="B93" s="1470"/>
      <c r="C93" s="1471"/>
      <c r="D93" s="1472"/>
      <c r="E93" s="1473"/>
      <c r="F93" s="1474"/>
      <c r="G93" s="1475"/>
      <c r="H93" s="1475"/>
      <c r="I93" s="1310"/>
      <c r="J93" s="1476"/>
      <c r="K93" s="1477"/>
      <c r="L93" s="1376"/>
      <c r="M93" s="1364"/>
      <c r="N93" s="1364"/>
      <c r="O93" s="1334" t="s">
        <v>507</v>
      </c>
      <c r="P93" s="1335" t="n">
        <f aca="false">+'DG-PV Organic'!AJ25</f>
        <v>139065000</v>
      </c>
      <c r="Q93" s="1335" t="n">
        <f aca="false">+P93*10%</f>
        <v>13906500</v>
      </c>
      <c r="R93" s="1384" t="n">
        <f aca="false">SUM(P93:Q93)</f>
        <v>152971500</v>
      </c>
      <c r="S93" s="1404" t="b">
        <f aca="false">+R93=AO93</f>
        <v>1</v>
      </c>
      <c r="T93" s="1337" t="n">
        <f aca="false">+IFERROR(U93/R93,"-")</f>
        <v>0</v>
      </c>
      <c r="U93" s="1338" t="n">
        <f aca="false">+IFERROR(X93+AA93+AD93+AG93+AJ93+AM93,"-")</f>
        <v>0</v>
      </c>
      <c r="V93" s="1337" t="n">
        <f aca="false">+IFERROR(X93/$R93,"-")</f>
        <v>0</v>
      </c>
      <c r="W93" s="1396" t="n">
        <f aca="false">W91</f>
        <v>45777</v>
      </c>
      <c r="X93" s="1395"/>
      <c r="Y93" s="1345"/>
      <c r="Z93" s="1345" t="n">
        <v>0</v>
      </c>
      <c r="AA93" s="1345"/>
      <c r="AB93" s="1346" t="n">
        <f aca="false">AB91</f>
        <v>45869</v>
      </c>
      <c r="AC93" s="1345" t="n">
        <v>0</v>
      </c>
      <c r="AD93" s="1345"/>
      <c r="AE93" s="1346" t="n">
        <f aca="false">AE91</f>
        <v>45930</v>
      </c>
      <c r="AF93" s="1345" t="n">
        <v>0</v>
      </c>
      <c r="AG93" s="1345"/>
      <c r="AH93" s="1346" t="n">
        <f aca="false">AH91</f>
        <v>46325</v>
      </c>
      <c r="AI93" s="1345" t="str">
        <f aca="false">+IFERROR(AJ93/#REF!,"-")</f>
        <v>-</v>
      </c>
      <c r="AJ93" s="1345"/>
      <c r="AK93" s="1345"/>
      <c r="AL93" s="1345" t="str">
        <f aca="false">+IFERROR(AM93/#REF!,"-")</f>
        <v>-</v>
      </c>
      <c r="AM93" s="1345"/>
      <c r="AN93" s="1345"/>
      <c r="AO93" s="1347" t="n">
        <f aca="false">+R93</f>
        <v>152971500</v>
      </c>
      <c r="AP93" s="1347" t="n">
        <f aca="false">+AO93*'ref.지급기준 (2)'!G187</f>
        <v>30594300</v>
      </c>
      <c r="AQ93" s="1348" t="n">
        <f aca="false">+W93</f>
        <v>45777</v>
      </c>
      <c r="AR93" s="1328"/>
      <c r="AS93" s="1349" t="n">
        <f aca="false">+$AO93*'ref.지급기준 (2)'!G187</f>
        <v>30594300</v>
      </c>
      <c r="AT93" s="1347" t="n">
        <f aca="false">+X93</f>
        <v>0</v>
      </c>
      <c r="AU93" s="1347" t="n">
        <f aca="false">+$AO93*'ref.지급기준 (2)'!I187</f>
        <v>30594300</v>
      </c>
      <c r="AV93" s="1347" t="n">
        <f aca="false">+AA93</f>
        <v>0</v>
      </c>
      <c r="AW93" s="1347" t="n">
        <f aca="false">+$AO93*'ref.지급기준 (2)'!K187</f>
        <v>76485750</v>
      </c>
      <c r="AX93" s="1347"/>
      <c r="AY93" s="1347" t="n">
        <f aca="false">+$AO93*'ref.지급기준 (2)'!M187</f>
        <v>15297150</v>
      </c>
      <c r="AZ93" s="1347"/>
      <c r="BA93" s="1347" t="n">
        <f aca="false">+$AO93*'ref.지급기준 (2)'!O187</f>
        <v>0</v>
      </c>
      <c r="BB93" s="1350"/>
      <c r="BC93" s="1441"/>
      <c r="BD93" s="1278"/>
      <c r="BE93" s="1332" t="b">
        <f aca="false">+(BA93+AY93+AW93+AU93+AS93)=R93</f>
        <v>1</v>
      </c>
      <c r="BF93" s="1278"/>
      <c r="BG93" s="1278"/>
      <c r="BH93" s="1278"/>
      <c r="BI93" s="1278"/>
      <c r="BJ93" s="1278"/>
      <c r="BK93" s="1278"/>
      <c r="BL93" s="1278"/>
      <c r="BM93" s="1278"/>
      <c r="BN93" s="1278"/>
      <c r="BO93" s="1333"/>
      <c r="BP93" s="1333"/>
    </row>
    <row r="94" customFormat="false" ht="16.5" hidden="false" customHeight="true" outlineLevel="0" collapsed="false">
      <c r="A94" s="1307"/>
      <c r="B94" s="1470"/>
      <c r="C94" s="1471"/>
      <c r="D94" s="1472"/>
      <c r="E94" s="1473"/>
      <c r="F94" s="1474"/>
      <c r="G94" s="1475"/>
      <c r="H94" s="1475"/>
      <c r="I94" s="1310"/>
      <c r="J94" s="1476"/>
      <c r="K94" s="1477"/>
      <c r="L94" s="1376"/>
      <c r="M94" s="1364"/>
      <c r="N94" s="1364"/>
      <c r="O94" s="1351" t="s">
        <v>508</v>
      </c>
      <c r="P94" s="1352" t="n">
        <f aca="false">+'DG-PV Organic'!AI25</f>
        <v>139065000</v>
      </c>
      <c r="Q94" s="1457" t="n">
        <f aca="false">+P94*0.1</f>
        <v>13906500</v>
      </c>
      <c r="R94" s="1457" t="n">
        <f aca="false">SUM(P94:Q94)</f>
        <v>152971500</v>
      </c>
      <c r="S94" s="1404" t="b">
        <f aca="false">+R94=AO94</f>
        <v>1</v>
      </c>
      <c r="T94" s="1406"/>
      <c r="U94" s="1407"/>
      <c r="V94" s="1406" t="n">
        <f aca="false">+IFERROR(X94/$R94,"-")</f>
        <v>0</v>
      </c>
      <c r="W94" s="1409"/>
      <c r="X94" s="1409"/>
      <c r="Y94" s="1409"/>
      <c r="Z94" s="1409" t="n">
        <f aca="false">+IFERROR(AA94/$R94,"-")</f>
        <v>0</v>
      </c>
      <c r="AA94" s="1409"/>
      <c r="AB94" s="1410"/>
      <c r="AC94" s="1409" t="n">
        <f aca="false">+IFERROR(AD94/$R94,"-")</f>
        <v>0</v>
      </c>
      <c r="AD94" s="1409"/>
      <c r="AE94" s="1410"/>
      <c r="AF94" s="1409" t="n">
        <f aca="false">+IFERROR(AG94/$R94,"-")</f>
        <v>0</v>
      </c>
      <c r="AG94" s="1409"/>
      <c r="AH94" s="1410"/>
      <c r="AI94" s="1409" t="str">
        <f aca="false">+IFERROR(AJ94/#REF!,"-")</f>
        <v>-</v>
      </c>
      <c r="AJ94" s="1409"/>
      <c r="AK94" s="1409"/>
      <c r="AL94" s="1409"/>
      <c r="AM94" s="1409"/>
      <c r="AN94" s="1409"/>
      <c r="AO94" s="1411" t="n">
        <f aca="false">+R94</f>
        <v>152971500</v>
      </c>
      <c r="AP94" s="1411" t="n">
        <f aca="false">+AS94+AU94</f>
        <v>152971500</v>
      </c>
      <c r="AQ94" s="1412"/>
      <c r="AR94" s="1328"/>
      <c r="AS94" s="1361" t="n">
        <f aca="false">+$AO94*'ref.지급기준 (2)'!G133</f>
        <v>152971500</v>
      </c>
      <c r="AT94" s="1359" t="n">
        <f aca="false">+X94</f>
        <v>0</v>
      </c>
      <c r="AU94" s="1359" t="n">
        <f aca="false">+$AO94*'ref.지급기준 (2)'!I133</f>
        <v>0</v>
      </c>
      <c r="AV94" s="1359" t="n">
        <f aca="false">+AA94</f>
        <v>0</v>
      </c>
      <c r="AW94" s="1359" t="n">
        <f aca="false">+$AO94*'ref.지급기준 (2)'!K133</f>
        <v>0</v>
      </c>
      <c r="AX94" s="1359"/>
      <c r="AY94" s="1359" t="n">
        <f aca="false">+$AO94*'ref.지급기준 (2)'!M133</f>
        <v>0</v>
      </c>
      <c r="AZ94" s="1359"/>
      <c r="BA94" s="1359" t="n">
        <f aca="false">+$AO94*'ref.지급기준 (2)'!O133</f>
        <v>0</v>
      </c>
      <c r="BB94" s="1362"/>
      <c r="BC94" s="1441"/>
      <c r="BD94" s="1278"/>
      <c r="BE94" s="1278"/>
      <c r="BF94" s="1278"/>
      <c r="BG94" s="1278"/>
      <c r="BH94" s="1278"/>
      <c r="BI94" s="1278"/>
      <c r="BJ94" s="1278"/>
      <c r="BK94" s="1278"/>
      <c r="BL94" s="1278"/>
      <c r="BM94" s="1278"/>
      <c r="BN94" s="1278"/>
      <c r="BO94" s="1333"/>
      <c r="BP94" s="1333"/>
    </row>
    <row r="95" customFormat="false" ht="16.5" hidden="false" customHeight="true" outlineLevel="0" collapsed="false">
      <c r="A95" s="1307"/>
      <c r="B95" s="1470"/>
      <c r="C95" s="1471"/>
      <c r="D95" s="1472"/>
      <c r="E95" s="1473"/>
      <c r="F95" s="1474"/>
      <c r="G95" s="1475"/>
      <c r="H95" s="1475"/>
      <c r="I95" s="1310" t="s">
        <v>1500</v>
      </c>
      <c r="J95" s="1476" t="s">
        <v>1501</v>
      </c>
      <c r="K95" s="1477" t="n">
        <f aca="false">+'DG-PV Organic'!O27</f>
        <v>913.765</v>
      </c>
      <c r="L95" s="1376" t="n">
        <f aca="false">+'DG-PV Organic'!H52</f>
        <v>0.0877</v>
      </c>
      <c r="M95" s="1364" t="n">
        <f aca="false">+'DG-PV Organic'!J52</f>
        <v>0.093</v>
      </c>
      <c r="N95" s="1364" t="s">
        <v>1479</v>
      </c>
      <c r="O95" s="1365" t="s">
        <v>112</v>
      </c>
      <c r="P95" s="1366" t="n">
        <f aca="false">+'DG-PV Organic'!AL27</f>
        <v>959453250</v>
      </c>
      <c r="Q95" s="1366" t="n">
        <f aca="false">+P95*10%</f>
        <v>95945325</v>
      </c>
      <c r="R95" s="1436" t="n">
        <f aca="false">SUM(P95:Q95)</f>
        <v>1055398575</v>
      </c>
      <c r="S95" s="1437" t="b">
        <f aca="false">+R95=AO95</f>
        <v>1</v>
      </c>
      <c r="T95" s="1320" t="n">
        <f aca="false">+IFERROR(U95/R95,"-")</f>
        <v>0</v>
      </c>
      <c r="U95" s="645" t="n">
        <f aca="false">+IFERROR(X95+AA95+AD95+AG95+AJ95+AM95,"-")</f>
        <v>0</v>
      </c>
      <c r="V95" s="1320" t="n">
        <f aca="false">+IFERROR(X95/$R95,"-")</f>
        <v>0</v>
      </c>
      <c r="W95" s="1346" t="n">
        <f aca="false">AE98</f>
        <v>45930</v>
      </c>
      <c r="X95" s="1438"/>
      <c r="Y95" s="1371"/>
      <c r="Z95" s="1345" t="n">
        <f aca="false">+IFERROR(AA95/$R95,"-")</f>
        <v>0</v>
      </c>
      <c r="AA95" s="1345"/>
      <c r="AB95" s="1346" t="n">
        <f aca="false">+EDATE(W95,1)</f>
        <v>45960</v>
      </c>
      <c r="AC95" s="1345" t="n">
        <f aca="false">+IFERROR(AD95/$R95,"-")</f>
        <v>0</v>
      </c>
      <c r="AD95" s="1345"/>
      <c r="AE95" s="1346" t="n">
        <f aca="false">+EDATE(AB95,3)</f>
        <v>46052</v>
      </c>
      <c r="AF95" s="1345" t="n">
        <f aca="false">+IFERROR(AG95/$R95,"-")</f>
        <v>0</v>
      </c>
      <c r="AG95" s="1345"/>
      <c r="AH95" s="1346" t="n">
        <f aca="false">+EDATE(AB95,4)</f>
        <v>46081</v>
      </c>
      <c r="AI95" s="1345" t="str">
        <f aca="false">+IFERROR(AJ95/#REF!,"-")</f>
        <v>-</v>
      </c>
      <c r="AJ95" s="1345"/>
      <c r="AK95" s="1346" t="n">
        <f aca="false">+EDATE(AB95,6)+1</f>
        <v>46143</v>
      </c>
      <c r="AL95" s="1371" t="str">
        <f aca="false">+IFERROR(AM95/#REF!,"-")</f>
        <v>-</v>
      </c>
      <c r="AM95" s="1371"/>
      <c r="AN95" s="1371"/>
      <c r="AO95" s="1373" t="n">
        <f aca="false">+R95</f>
        <v>1055398575</v>
      </c>
      <c r="AP95" s="1373" t="n">
        <f aca="false">+AO95*'ref.지급기준 (2)'!G189</f>
        <v>105539857.5</v>
      </c>
      <c r="AQ95" s="1374" t="n">
        <f aca="false">+W95</f>
        <v>45930</v>
      </c>
      <c r="AR95" s="1328"/>
      <c r="AS95" s="1349" t="n">
        <f aca="false">+$AO95*'ref.지급기준 (2)'!G189</f>
        <v>105539857.5</v>
      </c>
      <c r="AT95" s="1347" t="n">
        <f aca="false">+X95</f>
        <v>0</v>
      </c>
      <c r="AU95" s="1347" t="n">
        <f aca="false">+$AO95*'ref.지급기준 (2)'!I189</f>
        <v>211079715</v>
      </c>
      <c r="AV95" s="1347" t="n">
        <f aca="false">+AA95</f>
        <v>0</v>
      </c>
      <c r="AW95" s="1347" t="n">
        <f aca="false">+$AO95*'ref.지급기준 (2)'!K189</f>
        <v>422159430</v>
      </c>
      <c r="AX95" s="1347"/>
      <c r="AY95" s="1347" t="n">
        <f aca="false">+$AO95*'ref.지급기준 (2)'!M189</f>
        <v>263849643.75</v>
      </c>
      <c r="AZ95" s="1347"/>
      <c r="BA95" s="1347" t="n">
        <f aca="false">+$AO95*'ref.지급기준 (2)'!O189</f>
        <v>52769928.75</v>
      </c>
      <c r="BB95" s="1350"/>
      <c r="BC95" s="1441" t="s">
        <v>1493</v>
      </c>
      <c r="BD95" s="1278"/>
      <c r="BE95" s="1332" t="b">
        <f aca="false">+(BA95+AY95+AW95+AU95+AS95)=R95</f>
        <v>1</v>
      </c>
      <c r="BF95" s="1278"/>
      <c r="BG95" s="1278"/>
      <c r="BH95" s="1278"/>
      <c r="BI95" s="1278"/>
      <c r="BJ95" s="1278"/>
      <c r="BK95" s="1278"/>
      <c r="BL95" s="1278"/>
      <c r="BM95" s="1278"/>
      <c r="BN95" s="1278"/>
      <c r="BO95" s="1333"/>
      <c r="BP95" s="1333"/>
    </row>
    <row r="96" customFormat="false" ht="16.5" hidden="false" customHeight="true" outlineLevel="0" collapsed="false">
      <c r="A96" s="1307"/>
      <c r="B96" s="1470"/>
      <c r="C96" s="1471"/>
      <c r="D96" s="1472"/>
      <c r="E96" s="1473"/>
      <c r="F96" s="1474"/>
      <c r="G96" s="1475"/>
      <c r="H96" s="1475"/>
      <c r="I96" s="1310"/>
      <c r="J96" s="1476"/>
      <c r="K96" s="1477"/>
      <c r="L96" s="1376"/>
      <c r="M96" s="1364"/>
      <c r="N96" s="1364"/>
      <c r="O96" s="1334" t="s">
        <v>114</v>
      </c>
      <c r="P96" s="1335" t="n">
        <f aca="false">+'DG-PV Organic'!AK27</f>
        <v>274129500</v>
      </c>
      <c r="Q96" s="1335" t="n">
        <f aca="false">+P96*10%</f>
        <v>27412950</v>
      </c>
      <c r="R96" s="1384" t="n">
        <f aca="false">SUM(P96:Q96)</f>
        <v>301542450</v>
      </c>
      <c r="S96" s="1437" t="b">
        <f aca="false">+R96=AO96</f>
        <v>1</v>
      </c>
      <c r="T96" s="1337" t="n">
        <f aca="false">+IFERROR(U96/R96,"-")</f>
        <v>0</v>
      </c>
      <c r="U96" s="1338" t="n">
        <f aca="false">+IFERROR(X96+AA96+AD96+AG96+AJ96+AM96,"-")</f>
        <v>0</v>
      </c>
      <c r="V96" s="1337" t="n">
        <f aca="false">+IFERROR(X96/$R96,"-")</f>
        <v>0</v>
      </c>
      <c r="W96" s="1396" t="n">
        <v>45777</v>
      </c>
      <c r="X96" s="1395"/>
      <c r="Y96" s="1345"/>
      <c r="Z96" s="1345" t="n">
        <f aca="false">+IFERROR(AA96/$R96,"-")</f>
        <v>0</v>
      </c>
      <c r="AA96" s="1397"/>
      <c r="AB96" s="1346" t="n">
        <v>45869</v>
      </c>
      <c r="AC96" s="1345" t="n">
        <f aca="false">+IFERROR(AD96/$R96,"-")</f>
        <v>0</v>
      </c>
      <c r="AD96" s="1345"/>
      <c r="AE96" s="1346" t="n">
        <f aca="false">EDATE(AB96,2)</f>
        <v>45930</v>
      </c>
      <c r="AF96" s="1345" t="n">
        <f aca="false">+IFERROR(AG96/$R96,"-")</f>
        <v>0</v>
      </c>
      <c r="AG96" s="1345"/>
      <c r="AH96" s="1346" t="n">
        <f aca="false">+EDATE(AB95,12)</f>
        <v>46325</v>
      </c>
      <c r="AI96" s="1345" t="str">
        <f aca="false">+IFERROR(AJ96/#REF!,"-")</f>
        <v>-</v>
      </c>
      <c r="AJ96" s="1345"/>
      <c r="AK96" s="1345"/>
      <c r="AL96" s="1345" t="str">
        <f aca="false">+IFERROR(AM96/#REF!,"-")</f>
        <v>-</v>
      </c>
      <c r="AM96" s="1345"/>
      <c r="AN96" s="1345"/>
      <c r="AO96" s="1347" t="n">
        <f aca="false">+R96</f>
        <v>301542450</v>
      </c>
      <c r="AP96" s="1347" t="n">
        <f aca="false">+AO96*'ref.지급기준 (2)'!G190</f>
        <v>60308490</v>
      </c>
      <c r="AQ96" s="1348" t="n">
        <f aca="false">+W96</f>
        <v>45777</v>
      </c>
      <c r="AR96" s="1328"/>
      <c r="AS96" s="1349" t="n">
        <f aca="false">+$AO96*'ref.지급기준 (2)'!G190</f>
        <v>60308490</v>
      </c>
      <c r="AT96" s="1347" t="n">
        <f aca="false">+X96</f>
        <v>0</v>
      </c>
      <c r="AU96" s="1347" t="n">
        <f aca="false">+$AO96*'ref.지급기준 (2)'!I190</f>
        <v>60308490</v>
      </c>
      <c r="AV96" s="1347" t="n">
        <f aca="false">+AA96</f>
        <v>0</v>
      </c>
      <c r="AW96" s="1347" t="n">
        <f aca="false">+$AO96*'ref.지급기준 (2)'!K190</f>
        <v>150771225</v>
      </c>
      <c r="AX96" s="1347"/>
      <c r="AY96" s="1347" t="n">
        <f aca="false">+$AO96*'ref.지급기준 (2)'!M190</f>
        <v>30154245</v>
      </c>
      <c r="AZ96" s="1347"/>
      <c r="BA96" s="1347" t="n">
        <f aca="false">+$AO96*'ref.지급기준 (2)'!O190</f>
        <v>0</v>
      </c>
      <c r="BB96" s="1350"/>
      <c r="BC96" s="1441"/>
      <c r="BD96" s="1278"/>
      <c r="BE96" s="1332" t="b">
        <f aca="false">+(BA96+AY96+AW96+AU96+AS96)=R96</f>
        <v>1</v>
      </c>
      <c r="BF96" s="1278"/>
      <c r="BG96" s="1278"/>
      <c r="BH96" s="1278"/>
      <c r="BI96" s="1278"/>
      <c r="BJ96" s="1278"/>
      <c r="BK96" s="1278"/>
      <c r="BL96" s="1278"/>
      <c r="BM96" s="1278"/>
      <c r="BN96" s="1278"/>
      <c r="BO96" s="1333"/>
      <c r="BP96" s="1333"/>
    </row>
    <row r="97" customFormat="false" ht="16.5" hidden="false" customHeight="true" outlineLevel="0" collapsed="false">
      <c r="A97" s="1307"/>
      <c r="B97" s="1470"/>
      <c r="C97" s="1471"/>
      <c r="D97" s="1472"/>
      <c r="E97" s="1473"/>
      <c r="F97" s="1474"/>
      <c r="G97" s="1475"/>
      <c r="H97" s="1475"/>
      <c r="I97" s="1310"/>
      <c r="J97" s="1476"/>
      <c r="K97" s="1477"/>
      <c r="L97" s="1376"/>
      <c r="M97" s="1364"/>
      <c r="N97" s="1364"/>
      <c r="O97" s="1334" t="s">
        <v>404</v>
      </c>
      <c r="P97" s="1335" t="n">
        <f aca="false">+'ref.지급기준 (2)'!F191*'ref.지급기준 (2)'!D191/'ref.지급기준 (2)'!$Q$2</f>
        <v>0</v>
      </c>
      <c r="Q97" s="1335" t="s">
        <v>373</v>
      </c>
      <c r="R97" s="1384" t="n">
        <f aca="false">SUM(P97:Q97)</f>
        <v>0</v>
      </c>
      <c r="S97" s="1437" t="b">
        <f aca="false">+R97=AO97</f>
        <v>1</v>
      </c>
      <c r="T97" s="1337" t="str">
        <f aca="false">+IFERROR(U97/R97,"-")</f>
        <v>-</v>
      </c>
      <c r="U97" s="1338" t="n">
        <f aca="false">+IFERROR(X97+AA97+AD97+AG97+AJ97+AM97,"-")</f>
        <v>0</v>
      </c>
      <c r="V97" s="1337" t="str">
        <f aca="false">+IFERROR(X97/$R97,"-")</f>
        <v>-</v>
      </c>
      <c r="W97" s="1396"/>
      <c r="X97" s="1395"/>
      <c r="Y97" s="1345"/>
      <c r="Z97" s="1345" t="str">
        <f aca="false">+IFERROR(AA97/$R97,"-")</f>
        <v>-</v>
      </c>
      <c r="AA97" s="1345"/>
      <c r="AB97" s="1346"/>
      <c r="AC97" s="1345" t="str">
        <f aca="false">+IFERROR(AD97/$R97,"-")</f>
        <v>-</v>
      </c>
      <c r="AD97" s="1345"/>
      <c r="AE97" s="1346"/>
      <c r="AF97" s="1345" t="str">
        <f aca="false">+IFERROR(AG97/$R97,"-")</f>
        <v>-</v>
      </c>
      <c r="AG97" s="1345"/>
      <c r="AH97" s="1346"/>
      <c r="AI97" s="1345" t="str">
        <f aca="false">+IFERROR(AJ97/#REF!,"-")</f>
        <v>-</v>
      </c>
      <c r="AJ97" s="1345"/>
      <c r="AK97" s="1345"/>
      <c r="AL97" s="1345" t="str">
        <f aca="false">+IFERROR(AM97/#REF!,"-")</f>
        <v>-</v>
      </c>
      <c r="AM97" s="1345"/>
      <c r="AN97" s="1345"/>
      <c r="AO97" s="1347" t="n">
        <f aca="false">+R97</f>
        <v>0</v>
      </c>
      <c r="AP97" s="1347" t="n">
        <f aca="false">+AO97*'ref.지급기준 (2)'!G191</f>
        <v>0</v>
      </c>
      <c r="AQ97" s="1348"/>
      <c r="AR97" s="1328"/>
      <c r="AS97" s="1349" t="n">
        <f aca="false">+$AO97*'ref.지급기준 (2)'!G191</f>
        <v>0</v>
      </c>
      <c r="AT97" s="1347" t="n">
        <f aca="false">+X97</f>
        <v>0</v>
      </c>
      <c r="AU97" s="1347" t="n">
        <f aca="false">+$AO97*'ref.지급기준 (2)'!I191</f>
        <v>0</v>
      </c>
      <c r="AV97" s="1347" t="n">
        <f aca="false">+AA97</f>
        <v>0</v>
      </c>
      <c r="AW97" s="1347" t="n">
        <f aca="false">+$AO97*'ref.지급기준 (2)'!K191</f>
        <v>0</v>
      </c>
      <c r="AX97" s="1347"/>
      <c r="AY97" s="1347" t="n">
        <f aca="false">+$AO97*'ref.지급기준 (2)'!M191</f>
        <v>0</v>
      </c>
      <c r="AZ97" s="1347"/>
      <c r="BA97" s="1347" t="n">
        <f aca="false">+$AO97*'ref.지급기준 (2)'!O191</f>
        <v>0</v>
      </c>
      <c r="BB97" s="1350"/>
      <c r="BC97" s="1441"/>
      <c r="BD97" s="1278"/>
      <c r="BE97" s="1332" t="b">
        <f aca="false">+(BA97+AY97+AW97+AU97+AS97)=R97</f>
        <v>1</v>
      </c>
      <c r="BF97" s="1278"/>
      <c r="BG97" s="1278"/>
      <c r="BH97" s="1278"/>
      <c r="BI97" s="1278"/>
      <c r="BJ97" s="1278"/>
      <c r="BK97" s="1278"/>
      <c r="BL97" s="1278"/>
      <c r="BM97" s="1278"/>
      <c r="BN97" s="1278"/>
      <c r="BO97" s="1333"/>
      <c r="BP97" s="1333"/>
    </row>
    <row r="98" customFormat="false" ht="16.5" hidden="false" customHeight="true" outlineLevel="0" collapsed="false">
      <c r="A98" s="1307"/>
      <c r="B98" s="1470"/>
      <c r="C98" s="1471"/>
      <c r="D98" s="1472"/>
      <c r="E98" s="1473"/>
      <c r="F98" s="1474"/>
      <c r="G98" s="1475"/>
      <c r="H98" s="1475"/>
      <c r="I98" s="1310"/>
      <c r="J98" s="1476"/>
      <c r="K98" s="1477"/>
      <c r="L98" s="1376"/>
      <c r="M98" s="1364"/>
      <c r="N98" s="1364"/>
      <c r="O98" s="1334" t="s">
        <v>507</v>
      </c>
      <c r="P98" s="1335" t="n">
        <f aca="false">+'DG-PV Organic'!AJ27</f>
        <v>182753000</v>
      </c>
      <c r="Q98" s="1335" t="n">
        <f aca="false">+P98*10%</f>
        <v>18275300</v>
      </c>
      <c r="R98" s="1384" t="n">
        <f aca="false">SUM(P98:Q98)</f>
        <v>201028300</v>
      </c>
      <c r="S98" s="1404" t="b">
        <f aca="false">+R98=AO98</f>
        <v>1</v>
      </c>
      <c r="T98" s="1337" t="n">
        <f aca="false">+IFERROR(U98/R98,"-")</f>
        <v>0</v>
      </c>
      <c r="U98" s="1338" t="n">
        <f aca="false">+IFERROR(X98+AA98+AD98+AG98+AJ98+AM98,"-")</f>
        <v>0</v>
      </c>
      <c r="V98" s="1337" t="n">
        <f aca="false">+IFERROR(X98/$R98,"-")</f>
        <v>0</v>
      </c>
      <c r="W98" s="1396" t="n">
        <f aca="false">W96</f>
        <v>45777</v>
      </c>
      <c r="X98" s="1395"/>
      <c r="Y98" s="1345"/>
      <c r="Z98" s="1345" t="n">
        <v>0</v>
      </c>
      <c r="AA98" s="1345"/>
      <c r="AB98" s="1346" t="n">
        <f aca="false">AB96</f>
        <v>45869</v>
      </c>
      <c r="AC98" s="1345" t="n">
        <v>0</v>
      </c>
      <c r="AD98" s="1345"/>
      <c r="AE98" s="1346" t="n">
        <f aca="false">AE96</f>
        <v>45930</v>
      </c>
      <c r="AF98" s="1345" t="n">
        <v>0</v>
      </c>
      <c r="AG98" s="1345"/>
      <c r="AH98" s="1346" t="n">
        <f aca="false">AH96</f>
        <v>46325</v>
      </c>
      <c r="AI98" s="1345" t="str">
        <f aca="false">+IFERROR(AJ98/#REF!,"-")</f>
        <v>-</v>
      </c>
      <c r="AJ98" s="1345"/>
      <c r="AK98" s="1345"/>
      <c r="AL98" s="1345" t="str">
        <f aca="false">+IFERROR(AM98/#REF!,"-")</f>
        <v>-</v>
      </c>
      <c r="AM98" s="1345"/>
      <c r="AN98" s="1345"/>
      <c r="AO98" s="1347" t="n">
        <f aca="false">+R98</f>
        <v>201028300</v>
      </c>
      <c r="AP98" s="1347" t="n">
        <f aca="false">+AO98*'ref.지급기준 (2)'!G192</f>
        <v>40205660</v>
      </c>
      <c r="AQ98" s="1348" t="n">
        <f aca="false">+W98</f>
        <v>45777</v>
      </c>
      <c r="AR98" s="1328"/>
      <c r="AS98" s="1349" t="n">
        <f aca="false">+$AO98*'ref.지급기준 (2)'!G192</f>
        <v>40205660</v>
      </c>
      <c r="AT98" s="1347" t="n">
        <f aca="false">+X98</f>
        <v>0</v>
      </c>
      <c r="AU98" s="1347" t="n">
        <f aca="false">+$AO98*'ref.지급기준 (2)'!I192</f>
        <v>40205660</v>
      </c>
      <c r="AV98" s="1347" t="n">
        <f aca="false">+AA98</f>
        <v>0</v>
      </c>
      <c r="AW98" s="1347" t="n">
        <f aca="false">+$AO98*'ref.지급기준 (2)'!K192</f>
        <v>100514150</v>
      </c>
      <c r="AX98" s="1347"/>
      <c r="AY98" s="1347" t="n">
        <f aca="false">+$AO98*'ref.지급기준 (2)'!M192</f>
        <v>20102830</v>
      </c>
      <c r="AZ98" s="1347"/>
      <c r="BA98" s="1347" t="n">
        <f aca="false">+$AO98*'ref.지급기준 (2)'!O192</f>
        <v>0</v>
      </c>
      <c r="BB98" s="1350"/>
      <c r="BC98" s="1441"/>
      <c r="BD98" s="1278"/>
      <c r="BE98" s="1332" t="b">
        <f aca="false">+(BA98+AY98+AW98+AU98+AS98)=R98</f>
        <v>1</v>
      </c>
      <c r="BF98" s="1278"/>
      <c r="BG98" s="1278"/>
      <c r="BH98" s="1278"/>
      <c r="BI98" s="1278"/>
      <c r="BJ98" s="1278"/>
      <c r="BK98" s="1278"/>
      <c r="BL98" s="1278"/>
      <c r="BM98" s="1278"/>
      <c r="BN98" s="1278"/>
      <c r="BO98" s="1333"/>
      <c r="BP98" s="1333"/>
    </row>
    <row r="99" customFormat="false" ht="16.5" hidden="false" customHeight="true" outlineLevel="0" collapsed="false">
      <c r="A99" s="1307"/>
      <c r="B99" s="1470"/>
      <c r="C99" s="1471"/>
      <c r="D99" s="1472"/>
      <c r="E99" s="1473"/>
      <c r="F99" s="1474"/>
      <c r="G99" s="1475"/>
      <c r="H99" s="1475"/>
      <c r="I99" s="1310"/>
      <c r="J99" s="1476"/>
      <c r="K99" s="1477"/>
      <c r="L99" s="1376"/>
      <c r="M99" s="1364"/>
      <c r="N99" s="1364"/>
      <c r="O99" s="1351" t="s">
        <v>508</v>
      </c>
      <c r="P99" s="1352" t="n">
        <f aca="false">+'DG-PV Organic'!AI27</f>
        <v>182753000</v>
      </c>
      <c r="Q99" s="1457" t="n">
        <f aca="false">+P99*0.1</f>
        <v>18275300</v>
      </c>
      <c r="R99" s="1457" t="n">
        <f aca="false">SUM(P99:Q99)</f>
        <v>201028300</v>
      </c>
      <c r="S99" s="1404" t="b">
        <f aca="false">+R99=AO99</f>
        <v>1</v>
      </c>
      <c r="T99" s="1406"/>
      <c r="U99" s="1407"/>
      <c r="V99" s="1406" t="n">
        <f aca="false">+IFERROR(X99/$R99,"-")</f>
        <v>0</v>
      </c>
      <c r="W99" s="1409"/>
      <c r="X99" s="1409"/>
      <c r="Y99" s="1409"/>
      <c r="Z99" s="1409" t="n">
        <f aca="false">+IFERROR(AA99/$R99,"-")</f>
        <v>0</v>
      </c>
      <c r="AA99" s="1409"/>
      <c r="AB99" s="1410"/>
      <c r="AC99" s="1409" t="n">
        <f aca="false">+IFERROR(AD99/$R99,"-")</f>
        <v>0</v>
      </c>
      <c r="AD99" s="1409"/>
      <c r="AE99" s="1410"/>
      <c r="AF99" s="1409" t="n">
        <f aca="false">+IFERROR(AG99/$R99,"-")</f>
        <v>0</v>
      </c>
      <c r="AG99" s="1409"/>
      <c r="AH99" s="1410"/>
      <c r="AI99" s="1409" t="str">
        <f aca="false">+IFERROR(AJ99/#REF!,"-")</f>
        <v>-</v>
      </c>
      <c r="AJ99" s="1409"/>
      <c r="AK99" s="1409"/>
      <c r="AL99" s="1409"/>
      <c r="AM99" s="1409"/>
      <c r="AN99" s="1409"/>
      <c r="AO99" s="1411" t="n">
        <f aca="false">+R99</f>
        <v>201028300</v>
      </c>
      <c r="AP99" s="1411" t="n">
        <f aca="false">+AS99+AU99</f>
        <v>201028300</v>
      </c>
      <c r="AQ99" s="1412"/>
      <c r="AR99" s="1328"/>
      <c r="AS99" s="1361" t="n">
        <f aca="false">+$AO99*'ref.지급기준 (2)'!G138</f>
        <v>201028300</v>
      </c>
      <c r="AT99" s="1359" t="n">
        <f aca="false">+X99</f>
        <v>0</v>
      </c>
      <c r="AU99" s="1359" t="n">
        <f aca="false">+$AO99*'ref.지급기준 (2)'!I138</f>
        <v>0</v>
      </c>
      <c r="AV99" s="1359" t="n">
        <f aca="false">+AA99</f>
        <v>0</v>
      </c>
      <c r="AW99" s="1359" t="n">
        <f aca="false">+$AO99*'ref.지급기준 (2)'!K138</f>
        <v>0</v>
      </c>
      <c r="AX99" s="1359"/>
      <c r="AY99" s="1359" t="n">
        <f aca="false">+$AO99*'ref.지급기준 (2)'!M138</f>
        <v>0</v>
      </c>
      <c r="AZ99" s="1359"/>
      <c r="BA99" s="1359" t="n">
        <f aca="false">+$AO99*'ref.지급기준 (2)'!O138</f>
        <v>0</v>
      </c>
      <c r="BB99" s="1362"/>
      <c r="BC99" s="1441"/>
      <c r="BD99" s="1278"/>
      <c r="BE99" s="1278"/>
      <c r="BF99" s="1278"/>
      <c r="BG99" s="1278"/>
      <c r="BH99" s="1278"/>
      <c r="BI99" s="1278"/>
      <c r="BJ99" s="1278"/>
      <c r="BK99" s="1278"/>
      <c r="BL99" s="1278"/>
      <c r="BM99" s="1278"/>
      <c r="BN99" s="1278"/>
      <c r="BO99" s="1333"/>
      <c r="BP99" s="1333"/>
    </row>
    <row r="100" customFormat="false" ht="16.5" hidden="false" customHeight="true" outlineLevel="0" collapsed="false">
      <c r="A100" s="1307"/>
      <c r="B100" s="1470"/>
      <c r="C100" s="1471"/>
      <c r="D100" s="1472"/>
      <c r="E100" s="1473"/>
      <c r="F100" s="1474"/>
      <c r="G100" s="1475"/>
      <c r="H100" s="1475"/>
      <c r="I100" s="1310" t="s">
        <v>1502</v>
      </c>
      <c r="J100" s="1476" t="s">
        <v>1503</v>
      </c>
      <c r="K100" s="1477" t="n">
        <f aca="false">+'DG-PV Organic'!O28</f>
        <v>544.83</v>
      </c>
      <c r="L100" s="1376" t="n">
        <f aca="false">+'DG-PV Organic'!H57</f>
        <v>0</v>
      </c>
      <c r="M100" s="1364" t="n">
        <f aca="false">+'DG-PV Organic'!H28</f>
        <v>0.0884</v>
      </c>
      <c r="N100" s="1364" t="s">
        <v>1479</v>
      </c>
      <c r="O100" s="1365" t="s">
        <v>112</v>
      </c>
      <c r="P100" s="1366" t="n">
        <f aca="false">+'DG-PV Organic'!AL28</f>
        <v>572071500</v>
      </c>
      <c r="Q100" s="1366" t="n">
        <f aca="false">+P100*10%</f>
        <v>57207150</v>
      </c>
      <c r="R100" s="1436" t="n">
        <f aca="false">SUM(P100:Q100)</f>
        <v>629278650</v>
      </c>
      <c r="S100" s="1437" t="b">
        <f aca="false">+R100=AO100</f>
        <v>1</v>
      </c>
      <c r="T100" s="1320" t="n">
        <f aca="false">+IFERROR(U100/R100,"-")</f>
        <v>0</v>
      </c>
      <c r="U100" s="645" t="n">
        <f aca="false">+IFERROR(X100+AA100+AD100+AG100+AJ100+AM100,"-")</f>
        <v>0</v>
      </c>
      <c r="V100" s="1320" t="n">
        <f aca="false">+IFERROR(X100/$R100,"-")</f>
        <v>0</v>
      </c>
      <c r="W100" s="1346" t="n">
        <f aca="false">AE103</f>
        <v>45930</v>
      </c>
      <c r="X100" s="1438"/>
      <c r="Y100" s="1371"/>
      <c r="Z100" s="1345" t="n">
        <f aca="false">+IFERROR(AA100/$R100,"-")</f>
        <v>0</v>
      </c>
      <c r="AA100" s="1345"/>
      <c r="AB100" s="1346" t="n">
        <f aca="false">+EDATE(W100,1)</f>
        <v>45960</v>
      </c>
      <c r="AC100" s="1345" t="n">
        <f aca="false">+IFERROR(AD100/$R100,"-")</f>
        <v>0</v>
      </c>
      <c r="AD100" s="1345"/>
      <c r="AE100" s="1346" t="n">
        <f aca="false">+EDATE(AB100,3)</f>
        <v>46052</v>
      </c>
      <c r="AF100" s="1345" t="n">
        <f aca="false">+IFERROR(AG100/$R100,"-")</f>
        <v>0</v>
      </c>
      <c r="AG100" s="1345"/>
      <c r="AH100" s="1346" t="n">
        <f aca="false">+EDATE(AB100,4)</f>
        <v>46081</v>
      </c>
      <c r="AI100" s="1345" t="str">
        <f aca="false">+IFERROR(AJ100/#REF!,"-")</f>
        <v>-</v>
      </c>
      <c r="AJ100" s="1345"/>
      <c r="AK100" s="1346" t="n">
        <f aca="false">+EDATE(AB100,6)+1</f>
        <v>46143</v>
      </c>
      <c r="AL100" s="1371" t="str">
        <f aca="false">+IFERROR(AM100/#REF!,"-")</f>
        <v>-</v>
      </c>
      <c r="AM100" s="1371"/>
      <c r="AN100" s="1371"/>
      <c r="AO100" s="1373" t="n">
        <f aca="false">+R100</f>
        <v>629278650</v>
      </c>
      <c r="AP100" s="1373" t="n">
        <f aca="false">+AO100*'ref.지급기준 (2)'!G194</f>
        <v>62927865</v>
      </c>
      <c r="AQ100" s="1374" t="n">
        <f aca="false">+W100</f>
        <v>45930</v>
      </c>
      <c r="AR100" s="1328"/>
      <c r="AS100" s="1349" t="n">
        <f aca="false">+$AO100*'ref.지급기준 (2)'!G194</f>
        <v>62927865</v>
      </c>
      <c r="AT100" s="1347" t="n">
        <f aca="false">+X100</f>
        <v>0</v>
      </c>
      <c r="AU100" s="1347" t="n">
        <f aca="false">+$AO100*'ref.지급기준 (2)'!I194</f>
        <v>125855730</v>
      </c>
      <c r="AV100" s="1347" t="n">
        <f aca="false">+AA100</f>
        <v>0</v>
      </c>
      <c r="AW100" s="1347" t="n">
        <f aca="false">+$AO100*'ref.지급기준 (2)'!K194</f>
        <v>251711460</v>
      </c>
      <c r="AX100" s="1347"/>
      <c r="AY100" s="1347" t="n">
        <f aca="false">+$AO100*'ref.지급기준 (2)'!M194</f>
        <v>157319662.5</v>
      </c>
      <c r="AZ100" s="1347"/>
      <c r="BA100" s="1347" t="n">
        <f aca="false">+$AO100*'ref.지급기준 (2)'!O194</f>
        <v>31463932.5</v>
      </c>
      <c r="BB100" s="1350"/>
      <c r="BC100" s="1441" t="s">
        <v>1493</v>
      </c>
      <c r="BD100" s="1278"/>
      <c r="BE100" s="1332" t="b">
        <f aca="false">+(BA100+AY100+AW100+AU100+AS100)=R100</f>
        <v>1</v>
      </c>
      <c r="BF100" s="1278"/>
      <c r="BG100" s="1278"/>
      <c r="BH100" s="1278"/>
      <c r="BI100" s="1278"/>
      <c r="BJ100" s="1278"/>
      <c r="BK100" s="1278"/>
      <c r="BL100" s="1278"/>
      <c r="BM100" s="1278"/>
      <c r="BN100" s="1278"/>
      <c r="BO100" s="1333"/>
      <c r="BP100" s="1333"/>
    </row>
    <row r="101" customFormat="false" ht="16.5" hidden="false" customHeight="true" outlineLevel="0" collapsed="false">
      <c r="A101" s="1307"/>
      <c r="B101" s="1470"/>
      <c r="C101" s="1471"/>
      <c r="D101" s="1472"/>
      <c r="E101" s="1473"/>
      <c r="F101" s="1474"/>
      <c r="G101" s="1475"/>
      <c r="H101" s="1475"/>
      <c r="I101" s="1310"/>
      <c r="J101" s="1476"/>
      <c r="K101" s="1477"/>
      <c r="L101" s="1376"/>
      <c r="M101" s="1364"/>
      <c r="N101" s="1364"/>
      <c r="O101" s="1334" t="s">
        <v>114</v>
      </c>
      <c r="P101" s="1335" t="n">
        <f aca="false">+'DG-PV Organic'!AK28</f>
        <v>163449000</v>
      </c>
      <c r="Q101" s="1335" t="n">
        <f aca="false">+P101*10%</f>
        <v>16344900</v>
      </c>
      <c r="R101" s="1384" t="n">
        <f aca="false">SUM(P101:Q101)</f>
        <v>179793900</v>
      </c>
      <c r="S101" s="1437" t="b">
        <f aca="false">+R101=AO101</f>
        <v>1</v>
      </c>
      <c r="T101" s="1337" t="n">
        <f aca="false">+IFERROR(U101/R101,"-")</f>
        <v>0</v>
      </c>
      <c r="U101" s="1338" t="n">
        <f aca="false">+IFERROR(X101+AA101+AD101+AG101+AJ101+AM101,"-")</f>
        <v>0</v>
      </c>
      <c r="V101" s="1337" t="n">
        <f aca="false">+IFERROR(X101/$R101,"-")</f>
        <v>0</v>
      </c>
      <c r="W101" s="1396" t="n">
        <v>45777</v>
      </c>
      <c r="X101" s="1395"/>
      <c r="Y101" s="1345"/>
      <c r="Z101" s="1345" t="n">
        <f aca="false">+IFERROR(AA101/$R101,"-")</f>
        <v>0</v>
      </c>
      <c r="AA101" s="1397"/>
      <c r="AB101" s="1346" t="n">
        <v>45869</v>
      </c>
      <c r="AC101" s="1345" t="n">
        <f aca="false">+IFERROR(AD101/$R101,"-")</f>
        <v>0</v>
      </c>
      <c r="AD101" s="1345"/>
      <c r="AE101" s="1346" t="n">
        <f aca="false">EDATE(AB101,2)</f>
        <v>45930</v>
      </c>
      <c r="AF101" s="1345" t="n">
        <f aca="false">+IFERROR(AG101/$R101,"-")</f>
        <v>0</v>
      </c>
      <c r="AG101" s="1345"/>
      <c r="AH101" s="1346" t="n">
        <f aca="false">+EDATE(AB100,12)</f>
        <v>46325</v>
      </c>
      <c r="AI101" s="1345" t="str">
        <f aca="false">+IFERROR(AJ101/#REF!,"-")</f>
        <v>-</v>
      </c>
      <c r="AJ101" s="1345"/>
      <c r="AK101" s="1345"/>
      <c r="AL101" s="1345" t="str">
        <f aca="false">+IFERROR(AM101/#REF!,"-")</f>
        <v>-</v>
      </c>
      <c r="AM101" s="1345"/>
      <c r="AN101" s="1345"/>
      <c r="AO101" s="1347" t="n">
        <f aca="false">+R101</f>
        <v>179793900</v>
      </c>
      <c r="AP101" s="1347" t="n">
        <f aca="false">+AO101*'ref.지급기준 (2)'!G195</f>
        <v>35958780</v>
      </c>
      <c r="AQ101" s="1348" t="n">
        <f aca="false">+W101</f>
        <v>45777</v>
      </c>
      <c r="AR101" s="1328"/>
      <c r="AS101" s="1349" t="n">
        <f aca="false">+$AO101*'ref.지급기준 (2)'!G195</f>
        <v>35958780</v>
      </c>
      <c r="AT101" s="1347" t="n">
        <f aca="false">+X101</f>
        <v>0</v>
      </c>
      <c r="AU101" s="1347" t="n">
        <f aca="false">+$AO101*'ref.지급기준 (2)'!I195</f>
        <v>35958780</v>
      </c>
      <c r="AV101" s="1347" t="n">
        <f aca="false">+AA101</f>
        <v>0</v>
      </c>
      <c r="AW101" s="1347" t="n">
        <f aca="false">+$AO101*'ref.지급기준 (2)'!K195</f>
        <v>89896950</v>
      </c>
      <c r="AX101" s="1347"/>
      <c r="AY101" s="1347" t="n">
        <f aca="false">+$AO101*'ref.지급기준 (2)'!M195</f>
        <v>17979390</v>
      </c>
      <c r="AZ101" s="1347"/>
      <c r="BA101" s="1347" t="n">
        <f aca="false">+$AO101*'ref.지급기준 (2)'!O195</f>
        <v>0</v>
      </c>
      <c r="BB101" s="1350"/>
      <c r="BC101" s="1441"/>
      <c r="BD101" s="1278"/>
      <c r="BE101" s="1332" t="b">
        <f aca="false">+(BA101+AY101+AW101+AU101+AS101)=R101</f>
        <v>1</v>
      </c>
      <c r="BF101" s="1278"/>
      <c r="BG101" s="1278"/>
      <c r="BH101" s="1278"/>
      <c r="BI101" s="1278"/>
      <c r="BJ101" s="1278"/>
      <c r="BK101" s="1278"/>
      <c r="BL101" s="1278"/>
      <c r="BM101" s="1278"/>
      <c r="BN101" s="1278"/>
      <c r="BO101" s="1333"/>
      <c r="BP101" s="1333"/>
    </row>
    <row r="102" customFormat="false" ht="16.5" hidden="false" customHeight="true" outlineLevel="0" collapsed="false">
      <c r="A102" s="1307"/>
      <c r="B102" s="1470"/>
      <c r="C102" s="1471"/>
      <c r="D102" s="1472"/>
      <c r="E102" s="1473"/>
      <c r="F102" s="1474"/>
      <c r="G102" s="1475"/>
      <c r="H102" s="1475"/>
      <c r="I102" s="1310"/>
      <c r="J102" s="1476"/>
      <c r="K102" s="1477"/>
      <c r="L102" s="1376"/>
      <c r="M102" s="1364"/>
      <c r="N102" s="1364"/>
      <c r="O102" s="1334" t="s">
        <v>404</v>
      </c>
      <c r="P102" s="1335" t="n">
        <f aca="false">+'ref.지급기준 (2)'!F196*'ref.지급기준 (2)'!D196/'ref.지급기준 (2)'!$Q$2</f>
        <v>0</v>
      </c>
      <c r="Q102" s="1335" t="s">
        <v>373</v>
      </c>
      <c r="R102" s="1384" t="n">
        <f aca="false">SUM(P102:Q102)</f>
        <v>0</v>
      </c>
      <c r="S102" s="1437" t="b">
        <f aca="false">+R102=AO102</f>
        <v>1</v>
      </c>
      <c r="T102" s="1337" t="str">
        <f aca="false">+IFERROR(U102/R102,"-")</f>
        <v>-</v>
      </c>
      <c r="U102" s="1338" t="n">
        <f aca="false">+IFERROR(X102+AA102+AD102+AG102+AJ102+AM102,"-")</f>
        <v>0</v>
      </c>
      <c r="V102" s="1337" t="str">
        <f aca="false">+IFERROR(X102/$R102,"-")</f>
        <v>-</v>
      </c>
      <c r="W102" s="1396"/>
      <c r="X102" s="1395"/>
      <c r="Y102" s="1345"/>
      <c r="Z102" s="1345" t="str">
        <f aca="false">+IFERROR(AA102/$R102,"-")</f>
        <v>-</v>
      </c>
      <c r="AA102" s="1345"/>
      <c r="AB102" s="1346"/>
      <c r="AC102" s="1345" t="str">
        <f aca="false">+IFERROR(AD102/$R102,"-")</f>
        <v>-</v>
      </c>
      <c r="AD102" s="1345"/>
      <c r="AE102" s="1346"/>
      <c r="AF102" s="1345" t="str">
        <f aca="false">+IFERROR(AG102/$R102,"-")</f>
        <v>-</v>
      </c>
      <c r="AG102" s="1345"/>
      <c r="AH102" s="1346"/>
      <c r="AI102" s="1345" t="str">
        <f aca="false">+IFERROR(AJ102/#REF!,"-")</f>
        <v>-</v>
      </c>
      <c r="AJ102" s="1345"/>
      <c r="AK102" s="1345"/>
      <c r="AL102" s="1345" t="str">
        <f aca="false">+IFERROR(AM102/#REF!,"-")</f>
        <v>-</v>
      </c>
      <c r="AM102" s="1345"/>
      <c r="AN102" s="1345"/>
      <c r="AO102" s="1347" t="n">
        <f aca="false">+R102</f>
        <v>0</v>
      </c>
      <c r="AP102" s="1347" t="n">
        <f aca="false">+AO102*'ref.지급기준 (2)'!G196</f>
        <v>0</v>
      </c>
      <c r="AQ102" s="1348"/>
      <c r="AR102" s="1328"/>
      <c r="AS102" s="1349" t="n">
        <f aca="false">+$AO102*'ref.지급기준 (2)'!G196</f>
        <v>0</v>
      </c>
      <c r="AT102" s="1347" t="n">
        <f aca="false">+X102</f>
        <v>0</v>
      </c>
      <c r="AU102" s="1347" t="n">
        <f aca="false">+$AO102*'ref.지급기준 (2)'!I196</f>
        <v>0</v>
      </c>
      <c r="AV102" s="1347" t="n">
        <f aca="false">+AA102</f>
        <v>0</v>
      </c>
      <c r="AW102" s="1347" t="n">
        <f aca="false">+$AO102*'ref.지급기준 (2)'!K196</f>
        <v>0</v>
      </c>
      <c r="AX102" s="1347"/>
      <c r="AY102" s="1347" t="n">
        <f aca="false">+$AO102*'ref.지급기준 (2)'!M196</f>
        <v>0</v>
      </c>
      <c r="AZ102" s="1347"/>
      <c r="BA102" s="1347" t="n">
        <f aca="false">+$AO102*'ref.지급기준 (2)'!O196</f>
        <v>0</v>
      </c>
      <c r="BB102" s="1350"/>
      <c r="BC102" s="1441"/>
      <c r="BD102" s="1278"/>
      <c r="BE102" s="1332" t="b">
        <f aca="false">+(BA102+AY102+AW102+AU102+AS102)=R102</f>
        <v>1</v>
      </c>
      <c r="BF102" s="1278"/>
      <c r="BG102" s="1278"/>
      <c r="BH102" s="1278"/>
      <c r="BI102" s="1278"/>
      <c r="BJ102" s="1278"/>
      <c r="BK102" s="1278"/>
      <c r="BL102" s="1278"/>
      <c r="BM102" s="1278"/>
      <c r="BN102" s="1278"/>
      <c r="BO102" s="1333"/>
      <c r="BP102" s="1333"/>
    </row>
    <row r="103" customFormat="false" ht="16.5" hidden="false" customHeight="true" outlineLevel="0" collapsed="false">
      <c r="A103" s="1307"/>
      <c r="B103" s="1470"/>
      <c r="C103" s="1471"/>
      <c r="D103" s="1472"/>
      <c r="E103" s="1473"/>
      <c r="F103" s="1474"/>
      <c r="G103" s="1475"/>
      <c r="H103" s="1475"/>
      <c r="I103" s="1310"/>
      <c r="J103" s="1476"/>
      <c r="K103" s="1477"/>
      <c r="L103" s="1376"/>
      <c r="M103" s="1364"/>
      <c r="N103" s="1364"/>
      <c r="O103" s="1334" t="s">
        <v>507</v>
      </c>
      <c r="P103" s="1335" t="n">
        <f aca="false">+'DG-PV Organic'!AJ28</f>
        <v>108966000</v>
      </c>
      <c r="Q103" s="1335" t="n">
        <f aca="false">+P103*10%</f>
        <v>10896600</v>
      </c>
      <c r="R103" s="1384" t="n">
        <f aca="false">SUM(P103:Q103)</f>
        <v>119862600</v>
      </c>
      <c r="S103" s="1404" t="b">
        <f aca="false">+R103=AO103</f>
        <v>1</v>
      </c>
      <c r="T103" s="1337" t="n">
        <f aca="false">+IFERROR(U103/R103,"-")</f>
        <v>0</v>
      </c>
      <c r="U103" s="1338" t="n">
        <f aca="false">+IFERROR(X103+AA103+AD103+AG103+AJ103+AM103,"-")</f>
        <v>0</v>
      </c>
      <c r="V103" s="1337" t="n">
        <f aca="false">+IFERROR(X103/$R103,"-")</f>
        <v>0</v>
      </c>
      <c r="W103" s="1396" t="n">
        <f aca="false">W101</f>
        <v>45777</v>
      </c>
      <c r="X103" s="1395"/>
      <c r="Y103" s="1345"/>
      <c r="Z103" s="1345" t="n">
        <v>0</v>
      </c>
      <c r="AA103" s="1345"/>
      <c r="AB103" s="1346" t="n">
        <f aca="false">AB101</f>
        <v>45869</v>
      </c>
      <c r="AC103" s="1345" t="n">
        <v>0</v>
      </c>
      <c r="AD103" s="1345"/>
      <c r="AE103" s="1346" t="n">
        <f aca="false">AE101</f>
        <v>45930</v>
      </c>
      <c r="AF103" s="1345" t="n">
        <v>0</v>
      </c>
      <c r="AG103" s="1345"/>
      <c r="AH103" s="1346" t="n">
        <f aca="false">AH101</f>
        <v>46325</v>
      </c>
      <c r="AI103" s="1345" t="str">
        <f aca="false">+IFERROR(AJ103/#REF!,"-")</f>
        <v>-</v>
      </c>
      <c r="AJ103" s="1345"/>
      <c r="AK103" s="1345"/>
      <c r="AL103" s="1345" t="str">
        <f aca="false">+IFERROR(AM103/#REF!,"-")</f>
        <v>-</v>
      </c>
      <c r="AM103" s="1345"/>
      <c r="AN103" s="1345"/>
      <c r="AO103" s="1347" t="n">
        <f aca="false">+R103</f>
        <v>119862600</v>
      </c>
      <c r="AP103" s="1347" t="n">
        <f aca="false">+AO103*'ref.지급기준 (2)'!G197</f>
        <v>23972520</v>
      </c>
      <c r="AQ103" s="1348" t="n">
        <f aca="false">+W103</f>
        <v>45777</v>
      </c>
      <c r="AR103" s="1328"/>
      <c r="AS103" s="1349" t="n">
        <f aca="false">+$AO103*'ref.지급기준 (2)'!G197</f>
        <v>23972520</v>
      </c>
      <c r="AT103" s="1347" t="n">
        <f aca="false">+X103</f>
        <v>0</v>
      </c>
      <c r="AU103" s="1347" t="n">
        <f aca="false">+$AO103*'ref.지급기준 (2)'!I197</f>
        <v>23972520</v>
      </c>
      <c r="AV103" s="1347" t="n">
        <f aca="false">+AA103</f>
        <v>0</v>
      </c>
      <c r="AW103" s="1347" t="n">
        <f aca="false">+$AO103*'ref.지급기준 (2)'!K197</f>
        <v>59931300</v>
      </c>
      <c r="AX103" s="1347"/>
      <c r="AY103" s="1347" t="n">
        <f aca="false">+$AO103*'ref.지급기준 (2)'!M197</f>
        <v>11986260</v>
      </c>
      <c r="AZ103" s="1347"/>
      <c r="BA103" s="1347" t="n">
        <f aca="false">+$AO103*'ref.지급기준 (2)'!O197</f>
        <v>0</v>
      </c>
      <c r="BB103" s="1350"/>
      <c r="BC103" s="1441"/>
      <c r="BD103" s="1278"/>
      <c r="BE103" s="1332" t="b">
        <f aca="false">+(BA103+AY103+AW103+AU103+AS103)=R103</f>
        <v>1</v>
      </c>
      <c r="BF103" s="1278"/>
      <c r="BG103" s="1278"/>
      <c r="BH103" s="1278"/>
      <c r="BI103" s="1278"/>
      <c r="BJ103" s="1278"/>
      <c r="BK103" s="1278"/>
      <c r="BL103" s="1278"/>
      <c r="BM103" s="1278"/>
      <c r="BN103" s="1278"/>
      <c r="BO103" s="1333"/>
      <c r="BP103" s="1333"/>
    </row>
    <row r="104" customFormat="false" ht="16.5" hidden="false" customHeight="true" outlineLevel="0" collapsed="false">
      <c r="A104" s="1307"/>
      <c r="B104" s="1470"/>
      <c r="C104" s="1471"/>
      <c r="D104" s="1472"/>
      <c r="E104" s="1473"/>
      <c r="F104" s="1474"/>
      <c r="G104" s="1475"/>
      <c r="H104" s="1475"/>
      <c r="I104" s="1310"/>
      <c r="J104" s="1476"/>
      <c r="K104" s="1477"/>
      <c r="L104" s="1376"/>
      <c r="M104" s="1364"/>
      <c r="N104" s="1364"/>
      <c r="O104" s="1351" t="s">
        <v>508</v>
      </c>
      <c r="P104" s="1352" t="n">
        <f aca="false">+'DG-PV Organic'!AI28</f>
        <v>108966000</v>
      </c>
      <c r="Q104" s="1457" t="n">
        <f aca="false">+P104*0.1</f>
        <v>10896600</v>
      </c>
      <c r="R104" s="1457" t="n">
        <f aca="false">SUM(P104:Q104)</f>
        <v>119862600</v>
      </c>
      <c r="S104" s="1404" t="b">
        <f aca="false">+R104=AO104</f>
        <v>1</v>
      </c>
      <c r="T104" s="1406"/>
      <c r="U104" s="1407"/>
      <c r="V104" s="1406" t="n">
        <f aca="false">+IFERROR(X104/$R104,"-")</f>
        <v>0</v>
      </c>
      <c r="W104" s="1409"/>
      <c r="X104" s="1409"/>
      <c r="Y104" s="1409"/>
      <c r="Z104" s="1409" t="n">
        <f aca="false">+IFERROR(AA104/$R104,"-")</f>
        <v>0</v>
      </c>
      <c r="AA104" s="1409"/>
      <c r="AB104" s="1410"/>
      <c r="AC104" s="1409" t="n">
        <f aca="false">+IFERROR(AD104/$R104,"-")</f>
        <v>0</v>
      </c>
      <c r="AD104" s="1409"/>
      <c r="AE104" s="1410"/>
      <c r="AF104" s="1409" t="n">
        <f aca="false">+IFERROR(AG104/$R104,"-")</f>
        <v>0</v>
      </c>
      <c r="AG104" s="1409"/>
      <c r="AH104" s="1410"/>
      <c r="AI104" s="1409" t="str">
        <f aca="false">+IFERROR(AJ104/#REF!,"-")</f>
        <v>-</v>
      </c>
      <c r="AJ104" s="1409"/>
      <c r="AK104" s="1409"/>
      <c r="AL104" s="1409"/>
      <c r="AM104" s="1409"/>
      <c r="AN104" s="1409"/>
      <c r="AO104" s="1411" t="n">
        <f aca="false">+R104</f>
        <v>119862600</v>
      </c>
      <c r="AP104" s="1411" t="n">
        <f aca="false">+AS104+AU104</f>
        <v>119862600</v>
      </c>
      <c r="AQ104" s="1412"/>
      <c r="AR104" s="1328"/>
      <c r="AS104" s="1361" t="n">
        <f aca="false">+$AO104*'ref.지급기준 (2)'!G143</f>
        <v>119862600</v>
      </c>
      <c r="AT104" s="1359" t="n">
        <f aca="false">+X104</f>
        <v>0</v>
      </c>
      <c r="AU104" s="1359" t="n">
        <f aca="false">+$AO104*'ref.지급기준 (2)'!I143</f>
        <v>0</v>
      </c>
      <c r="AV104" s="1359" t="n">
        <f aca="false">+AA104</f>
        <v>0</v>
      </c>
      <c r="AW104" s="1359" t="n">
        <f aca="false">+$AO104*'ref.지급기준 (2)'!K143</f>
        <v>0</v>
      </c>
      <c r="AX104" s="1359"/>
      <c r="AY104" s="1359" t="n">
        <f aca="false">+$AO104*'ref.지급기준 (2)'!M143</f>
        <v>0</v>
      </c>
      <c r="AZ104" s="1359"/>
      <c r="BA104" s="1359" t="n">
        <f aca="false">+$AO104*'ref.지급기준 (2)'!O143</f>
        <v>0</v>
      </c>
      <c r="BB104" s="1362"/>
      <c r="BC104" s="1441"/>
      <c r="BD104" s="1278"/>
      <c r="BE104" s="1278"/>
      <c r="BF104" s="1278"/>
      <c r="BG104" s="1278"/>
      <c r="BH104" s="1278"/>
      <c r="BI104" s="1278"/>
      <c r="BJ104" s="1278"/>
      <c r="BK104" s="1278"/>
      <c r="BL104" s="1278"/>
      <c r="BM104" s="1278"/>
      <c r="BN104" s="1278"/>
      <c r="BO104" s="1333"/>
      <c r="BP104" s="1333"/>
    </row>
    <row r="105" customFormat="false" ht="16.5" hidden="false" customHeight="true" outlineLevel="1" collapsed="false">
      <c r="A105" s="1307"/>
      <c r="B105" s="1470"/>
      <c r="C105" s="1471"/>
      <c r="D105" s="1472"/>
      <c r="E105" s="1473"/>
      <c r="F105" s="1474"/>
      <c r="G105" s="1475"/>
      <c r="H105" s="1475"/>
      <c r="I105" s="1478"/>
      <c r="J105" s="1479"/>
      <c r="K105" s="1477"/>
      <c r="L105" s="1376" t="n">
        <f aca="false">+'DG-PV Organic'!H62</f>
        <v>0</v>
      </c>
      <c r="M105" s="1364" t="n">
        <f aca="false">+'DG-PV Organic'!J62</f>
        <v>0</v>
      </c>
      <c r="N105" s="1364" t="s">
        <v>1479</v>
      </c>
      <c r="O105" s="1365" t="s">
        <v>112</v>
      </c>
      <c r="P105" s="1366" t="n">
        <f aca="false">+'ref.지급기준 (2)'!F199*'ref.지급기준 (2)'!D199/'ref.지급기준 (2)'!$Q$2</f>
        <v>40320000</v>
      </c>
      <c r="Q105" s="1366" t="n">
        <f aca="false">+P105*10%</f>
        <v>4032000</v>
      </c>
      <c r="R105" s="1436" t="n">
        <f aca="false">SUM(P105:Q105)</f>
        <v>44352000</v>
      </c>
      <c r="S105" s="1437" t="b">
        <f aca="false">+R105=AO105</f>
        <v>1</v>
      </c>
      <c r="T105" s="1320" t="n">
        <f aca="false">+IFERROR(U105/R105,"-")</f>
        <v>0</v>
      </c>
      <c r="U105" s="645" t="n">
        <f aca="false">+IFERROR(X105+AA105+AD105+AG105+AJ105+AM105,"-")</f>
        <v>0</v>
      </c>
      <c r="V105" s="1320" t="n">
        <f aca="false">+IFERROR(X105/$R105,"-")</f>
        <v>0</v>
      </c>
      <c r="W105" s="1466" t="n">
        <v>45716</v>
      </c>
      <c r="X105" s="1438"/>
      <c r="Y105" s="1371"/>
      <c r="Z105" s="1371" t="n">
        <f aca="false">+IFERROR(AA105/$R105,"-")</f>
        <v>0</v>
      </c>
      <c r="AA105" s="1371"/>
      <c r="AB105" s="1372" t="n">
        <f aca="false">+EDATE(W105,1)</f>
        <v>45744</v>
      </c>
      <c r="AC105" s="1371" t="n">
        <f aca="false">+IFERROR(AD105/$R105,"-")</f>
        <v>0</v>
      </c>
      <c r="AD105" s="1371"/>
      <c r="AE105" s="1372" t="n">
        <f aca="false">+EDATE(AB105,3)</f>
        <v>45836</v>
      </c>
      <c r="AF105" s="1371" t="n">
        <f aca="false">+IFERROR(AG105/$R105,"-")</f>
        <v>0</v>
      </c>
      <c r="AG105" s="1371"/>
      <c r="AH105" s="1372" t="n">
        <f aca="false">+EDATE(AB105,4)</f>
        <v>45866</v>
      </c>
      <c r="AI105" s="1371" t="str">
        <f aca="false">+IFERROR(AJ105/#REF!,"-")</f>
        <v>-</v>
      </c>
      <c r="AJ105" s="1371"/>
      <c r="AK105" s="1372" t="n">
        <f aca="false">+EDATE(AB105,6)</f>
        <v>45928</v>
      </c>
      <c r="AL105" s="1371" t="str">
        <f aca="false">+IFERROR(AM105/#REF!,"-")</f>
        <v>-</v>
      </c>
      <c r="AM105" s="1371"/>
      <c r="AN105" s="1371"/>
      <c r="AO105" s="1373" t="n">
        <f aca="false">+R105</f>
        <v>44352000</v>
      </c>
      <c r="AP105" s="1373" t="n">
        <f aca="false">+AO105*'ref.지급기준 (2)'!G199</f>
        <v>4435200</v>
      </c>
      <c r="AQ105" s="1374" t="n">
        <f aca="false">+W105</f>
        <v>45716</v>
      </c>
      <c r="AR105" s="1328"/>
      <c r="AS105" s="1349" t="n">
        <f aca="false">+$AO105*'ref.지급기준 (2)'!G199</f>
        <v>4435200</v>
      </c>
      <c r="AT105" s="1347" t="n">
        <f aca="false">+X105</f>
        <v>0</v>
      </c>
      <c r="AU105" s="1347" t="n">
        <f aca="false">+$AO105*'ref.지급기준 (2)'!I199</f>
        <v>8870400</v>
      </c>
      <c r="AV105" s="1347" t="n">
        <f aca="false">+AA105</f>
        <v>0</v>
      </c>
      <c r="AW105" s="1347" t="n">
        <f aca="false">+$AO105*'ref.지급기준 (2)'!K199</f>
        <v>17740800</v>
      </c>
      <c r="AX105" s="1347"/>
      <c r="AY105" s="1347" t="n">
        <f aca="false">+$AO105*'ref.지급기준 (2)'!M199</f>
        <v>11088000</v>
      </c>
      <c r="AZ105" s="1347"/>
      <c r="BA105" s="1347" t="n">
        <f aca="false">+$AO105*'ref.지급기준 (2)'!O199</f>
        <v>2217600</v>
      </c>
      <c r="BB105" s="1350"/>
      <c r="BC105" s="1441" t="s">
        <v>1493</v>
      </c>
      <c r="BD105" s="1278"/>
      <c r="BE105" s="1332" t="b">
        <f aca="false">+(BA105+AY105+AW105+AU105+AS105)=R105</f>
        <v>1</v>
      </c>
      <c r="BF105" s="1278"/>
      <c r="BG105" s="1278"/>
      <c r="BH105" s="1278"/>
      <c r="BI105" s="1278"/>
      <c r="BJ105" s="1278"/>
      <c r="BK105" s="1278"/>
      <c r="BL105" s="1278"/>
      <c r="BM105" s="1278"/>
      <c r="BN105" s="1278"/>
      <c r="BO105" s="1333"/>
      <c r="BP105" s="1333"/>
    </row>
    <row r="106" customFormat="false" ht="16.5" hidden="false" customHeight="true" outlineLevel="1" collapsed="false">
      <c r="A106" s="1307"/>
      <c r="B106" s="1470"/>
      <c r="C106" s="1471"/>
      <c r="D106" s="1472"/>
      <c r="E106" s="1473"/>
      <c r="F106" s="1474"/>
      <c r="G106" s="1475"/>
      <c r="H106" s="1475"/>
      <c r="I106" s="1478"/>
      <c r="J106" s="1479"/>
      <c r="K106" s="1477"/>
      <c r="L106" s="1376"/>
      <c r="M106" s="1364"/>
      <c r="N106" s="1364"/>
      <c r="O106" s="1334" t="s">
        <v>114</v>
      </c>
      <c r="P106" s="1335" t="n">
        <f aca="false">+'ref.지급기준 (2)'!F200*'ref.지급기준 (2)'!D200/'ref.지급기준 (2)'!$Q$2</f>
        <v>11520000</v>
      </c>
      <c r="Q106" s="1335" t="n">
        <f aca="false">+P106*10%</f>
        <v>1152000</v>
      </c>
      <c r="R106" s="1384" t="n">
        <f aca="false">SUM(P106:Q106)</f>
        <v>12672000</v>
      </c>
      <c r="S106" s="1437" t="b">
        <f aca="false">+R106=AO106</f>
        <v>1</v>
      </c>
      <c r="T106" s="1337" t="n">
        <f aca="false">+IFERROR(U106/R106,"-")</f>
        <v>0</v>
      </c>
      <c r="U106" s="1338" t="n">
        <f aca="false">+IFERROR(X106+AA106+AD106+AG106+AJ106+AM106,"-")</f>
        <v>0</v>
      </c>
      <c r="V106" s="1337" t="n">
        <f aca="false">+IFERROR(X106/$R106,"-")</f>
        <v>0</v>
      </c>
      <c r="W106" s="1396" t="n">
        <v>45703</v>
      </c>
      <c r="X106" s="1395"/>
      <c r="Y106" s="1345"/>
      <c r="Z106" s="1345" t="n">
        <f aca="false">+IFERROR(AA106/$R106,"-")</f>
        <v>0</v>
      </c>
      <c r="AA106" s="1397"/>
      <c r="AB106" s="1346" t="n">
        <v>45838</v>
      </c>
      <c r="AC106" s="1345" t="n">
        <f aca="false">+IFERROR(AD106/$R106,"-")</f>
        <v>0</v>
      </c>
      <c r="AD106" s="1345"/>
      <c r="AE106" s="1346" t="n">
        <f aca="false">EDATE(AB106,2)</f>
        <v>45899</v>
      </c>
      <c r="AF106" s="1345" t="n">
        <f aca="false">+IFERROR(AG106/$R106,"-")</f>
        <v>0</v>
      </c>
      <c r="AG106" s="1345"/>
      <c r="AH106" s="1346" t="n">
        <f aca="false">+EDATE(AB105,6)</f>
        <v>45928</v>
      </c>
      <c r="AI106" s="1345" t="str">
        <f aca="false">+IFERROR(AJ106/#REF!,"-")</f>
        <v>-</v>
      </c>
      <c r="AJ106" s="1345"/>
      <c r="AK106" s="1345"/>
      <c r="AL106" s="1345" t="str">
        <f aca="false">+IFERROR(AM106/#REF!,"-")</f>
        <v>-</v>
      </c>
      <c r="AM106" s="1345"/>
      <c r="AN106" s="1345"/>
      <c r="AO106" s="1347" t="n">
        <f aca="false">+R106</f>
        <v>12672000</v>
      </c>
      <c r="AP106" s="1347" t="n">
        <f aca="false">+AO106*'ref.지급기준 (2)'!G200</f>
        <v>2534400</v>
      </c>
      <c r="AQ106" s="1348" t="n">
        <f aca="false">+W106</f>
        <v>45703</v>
      </c>
      <c r="AR106" s="1328"/>
      <c r="AS106" s="1349" t="n">
        <f aca="false">+$AO106*'ref.지급기준 (2)'!G200</f>
        <v>2534400</v>
      </c>
      <c r="AT106" s="1347" t="n">
        <f aca="false">+X106</f>
        <v>0</v>
      </c>
      <c r="AU106" s="1347" t="n">
        <f aca="false">+$AO106*'ref.지급기준 (2)'!I200</f>
        <v>2534400</v>
      </c>
      <c r="AV106" s="1347" t="n">
        <f aca="false">+AA106</f>
        <v>0</v>
      </c>
      <c r="AW106" s="1347" t="n">
        <f aca="false">+$AO106*'ref.지급기준 (2)'!K200</f>
        <v>6336000</v>
      </c>
      <c r="AX106" s="1347"/>
      <c r="AY106" s="1347" t="n">
        <f aca="false">+$AO106*'ref.지급기준 (2)'!M200</f>
        <v>1267200</v>
      </c>
      <c r="AZ106" s="1347"/>
      <c r="BA106" s="1347" t="n">
        <f aca="false">+$AO106*'ref.지급기준 (2)'!O200</f>
        <v>0</v>
      </c>
      <c r="BB106" s="1350"/>
      <c r="BC106" s="1441"/>
      <c r="BD106" s="1278"/>
      <c r="BE106" s="1332" t="b">
        <f aca="false">+(BA106+AY106+AW106+AU106+AS106)=R106</f>
        <v>1</v>
      </c>
      <c r="BF106" s="1278"/>
      <c r="BG106" s="1278"/>
      <c r="BH106" s="1278"/>
      <c r="BI106" s="1278"/>
      <c r="BJ106" s="1278"/>
      <c r="BK106" s="1278"/>
      <c r="BL106" s="1278"/>
      <c r="BM106" s="1278"/>
      <c r="BN106" s="1278"/>
      <c r="BO106" s="1333"/>
      <c r="BP106" s="1333"/>
    </row>
    <row r="107" customFormat="false" ht="16.5" hidden="false" customHeight="true" outlineLevel="1" collapsed="false">
      <c r="A107" s="1307"/>
      <c r="B107" s="1470"/>
      <c r="C107" s="1471"/>
      <c r="D107" s="1472"/>
      <c r="E107" s="1473"/>
      <c r="F107" s="1474"/>
      <c r="G107" s="1475"/>
      <c r="H107" s="1475"/>
      <c r="I107" s="1478"/>
      <c r="J107" s="1479"/>
      <c r="K107" s="1477"/>
      <c r="L107" s="1376"/>
      <c r="M107" s="1364"/>
      <c r="N107" s="1364"/>
      <c r="O107" s="1334" t="s">
        <v>404</v>
      </c>
      <c r="P107" s="1335" t="n">
        <f aca="false">+'ref.지급기준 (2)'!F201*'ref.지급기준 (2)'!D201/'ref.지급기준 (2)'!$Q$2</f>
        <v>0</v>
      </c>
      <c r="Q107" s="1335" t="s">
        <v>373</v>
      </c>
      <c r="R107" s="1384" t="n">
        <f aca="false">SUM(P107:Q107)</f>
        <v>0</v>
      </c>
      <c r="S107" s="1437" t="b">
        <f aca="false">+R107=AO107</f>
        <v>1</v>
      </c>
      <c r="T107" s="1337" t="str">
        <f aca="false">+IFERROR(U107/R107,"-")</f>
        <v>-</v>
      </c>
      <c r="U107" s="1338" t="n">
        <f aca="false">+IFERROR(X107+AA107+AD107+AG107+AJ107+AM107,"-")</f>
        <v>0</v>
      </c>
      <c r="V107" s="1337" t="str">
        <f aca="false">+IFERROR(X107/$R107,"-")</f>
        <v>-</v>
      </c>
      <c r="W107" s="1396" t="n">
        <f aca="false">W106</f>
        <v>45703</v>
      </c>
      <c r="X107" s="1395"/>
      <c r="Y107" s="1345"/>
      <c r="Z107" s="1345" t="str">
        <f aca="false">+IFERROR(AA107/$R107,"-")</f>
        <v>-</v>
      </c>
      <c r="AA107" s="1345"/>
      <c r="AB107" s="1346"/>
      <c r="AC107" s="1345" t="str">
        <f aca="false">+IFERROR(AD107/$R107,"-")</f>
        <v>-</v>
      </c>
      <c r="AD107" s="1345"/>
      <c r="AE107" s="1346"/>
      <c r="AF107" s="1345" t="str">
        <f aca="false">+IFERROR(AG107/$R107,"-")</f>
        <v>-</v>
      </c>
      <c r="AG107" s="1345"/>
      <c r="AH107" s="1346"/>
      <c r="AI107" s="1345" t="str">
        <f aca="false">+IFERROR(AJ107/#REF!,"-")</f>
        <v>-</v>
      </c>
      <c r="AJ107" s="1345"/>
      <c r="AK107" s="1345"/>
      <c r="AL107" s="1345" t="str">
        <f aca="false">+IFERROR(AM107/#REF!,"-")</f>
        <v>-</v>
      </c>
      <c r="AM107" s="1345"/>
      <c r="AN107" s="1345"/>
      <c r="AO107" s="1347" t="n">
        <f aca="false">+R107</f>
        <v>0</v>
      </c>
      <c r="AP107" s="1347" t="n">
        <f aca="false">+AO107*'ref.지급기준 (2)'!G201</f>
        <v>0</v>
      </c>
      <c r="AQ107" s="1348"/>
      <c r="AR107" s="1328"/>
      <c r="AS107" s="1349" t="n">
        <f aca="false">+$AO107*'ref.지급기준 (2)'!G201</f>
        <v>0</v>
      </c>
      <c r="AT107" s="1347" t="n">
        <f aca="false">+X107</f>
        <v>0</v>
      </c>
      <c r="AU107" s="1347" t="n">
        <f aca="false">+$AO107*'ref.지급기준 (2)'!I201</f>
        <v>0</v>
      </c>
      <c r="AV107" s="1347" t="n">
        <f aca="false">+AA107</f>
        <v>0</v>
      </c>
      <c r="AW107" s="1347" t="n">
        <f aca="false">+$AO107*'ref.지급기준 (2)'!K201</f>
        <v>0</v>
      </c>
      <c r="AX107" s="1347"/>
      <c r="AY107" s="1347" t="n">
        <f aca="false">+$AO107*'ref.지급기준 (2)'!M201</f>
        <v>0</v>
      </c>
      <c r="AZ107" s="1347"/>
      <c r="BA107" s="1347" t="n">
        <f aca="false">+$AO107*'ref.지급기준 (2)'!O201</f>
        <v>0</v>
      </c>
      <c r="BB107" s="1350"/>
      <c r="BC107" s="1441"/>
      <c r="BD107" s="1278"/>
      <c r="BE107" s="1332" t="b">
        <f aca="false">+(BA107+AY107+AW107+AU107+AS107)=R107</f>
        <v>1</v>
      </c>
      <c r="BF107" s="1278"/>
      <c r="BG107" s="1278"/>
      <c r="BH107" s="1278"/>
      <c r="BI107" s="1278"/>
      <c r="BJ107" s="1278"/>
      <c r="BK107" s="1278"/>
      <c r="BL107" s="1278"/>
      <c r="BM107" s="1278"/>
      <c r="BN107" s="1278"/>
      <c r="BO107" s="1333"/>
      <c r="BP107" s="1333"/>
    </row>
    <row r="108" customFormat="false" ht="16.5" hidden="false" customHeight="true" outlineLevel="1" collapsed="false">
      <c r="A108" s="1307"/>
      <c r="B108" s="1470"/>
      <c r="C108" s="1471"/>
      <c r="D108" s="1472"/>
      <c r="E108" s="1473"/>
      <c r="F108" s="1474"/>
      <c r="G108" s="1475"/>
      <c r="H108" s="1475"/>
      <c r="I108" s="1478"/>
      <c r="J108" s="1479"/>
      <c r="K108" s="1477"/>
      <c r="L108" s="1376"/>
      <c r="M108" s="1364"/>
      <c r="N108" s="1364"/>
      <c r="O108" s="1334" t="s">
        <v>507</v>
      </c>
      <c r="P108" s="1335" t="n">
        <f aca="false">+'ref.지급기준 (2)'!F202*'ref.지급기준 (2)'!D202/'ref.지급기준 (2)'!$Q$2</f>
        <v>7680000</v>
      </c>
      <c r="Q108" s="1335" t="n">
        <f aca="false">+P108*10%</f>
        <v>768000</v>
      </c>
      <c r="R108" s="1384" t="n">
        <f aca="false">SUM(P108:Q108)</f>
        <v>8448000</v>
      </c>
      <c r="S108" s="1404" t="b">
        <f aca="false">+R108=AO108</f>
        <v>1</v>
      </c>
      <c r="T108" s="1337" t="n">
        <f aca="false">+IFERROR(U108/R108,"-")</f>
        <v>0</v>
      </c>
      <c r="U108" s="1338" t="n">
        <f aca="false">+IFERROR(X108+AA108+AD108+AG108+AJ108+AM108,"-")</f>
        <v>0</v>
      </c>
      <c r="V108" s="1337" t="n">
        <f aca="false">+IFERROR(X108/$R108,"-")</f>
        <v>0</v>
      </c>
      <c r="W108" s="1396" t="n">
        <f aca="false">W106</f>
        <v>45703</v>
      </c>
      <c r="X108" s="1395"/>
      <c r="Y108" s="1345"/>
      <c r="Z108" s="1345" t="n">
        <v>0</v>
      </c>
      <c r="AA108" s="1345"/>
      <c r="AB108" s="1346" t="n">
        <f aca="false">AB106</f>
        <v>45838</v>
      </c>
      <c r="AC108" s="1345" t="n">
        <v>0</v>
      </c>
      <c r="AD108" s="1345"/>
      <c r="AE108" s="1346" t="n">
        <f aca="false">AE106</f>
        <v>45899</v>
      </c>
      <c r="AF108" s="1345" t="n">
        <v>0</v>
      </c>
      <c r="AG108" s="1345"/>
      <c r="AH108" s="1346" t="n">
        <f aca="false">AH106</f>
        <v>45928</v>
      </c>
      <c r="AI108" s="1345" t="str">
        <f aca="false">+IFERROR(AJ108/#REF!,"-")</f>
        <v>-</v>
      </c>
      <c r="AJ108" s="1345"/>
      <c r="AK108" s="1345"/>
      <c r="AL108" s="1345" t="str">
        <f aca="false">+IFERROR(AM108/#REF!,"-")</f>
        <v>-</v>
      </c>
      <c r="AM108" s="1345"/>
      <c r="AN108" s="1345"/>
      <c r="AO108" s="1347" t="n">
        <f aca="false">+R108</f>
        <v>8448000</v>
      </c>
      <c r="AP108" s="1347" t="n">
        <f aca="false">+AO108*'ref.지급기준 (2)'!G202</f>
        <v>1689600</v>
      </c>
      <c r="AQ108" s="1348" t="n">
        <f aca="false">+W108</f>
        <v>45703</v>
      </c>
      <c r="AR108" s="1328"/>
      <c r="AS108" s="1349" t="n">
        <f aca="false">+$AO108*'ref.지급기준 (2)'!G202</f>
        <v>1689600</v>
      </c>
      <c r="AT108" s="1347" t="n">
        <f aca="false">+X108</f>
        <v>0</v>
      </c>
      <c r="AU108" s="1347" t="n">
        <f aca="false">+$AO108*'ref.지급기준 (2)'!I202</f>
        <v>1689600</v>
      </c>
      <c r="AV108" s="1347" t="n">
        <f aca="false">+AA108</f>
        <v>0</v>
      </c>
      <c r="AW108" s="1347" t="n">
        <f aca="false">+$AO108*'ref.지급기준 (2)'!K202</f>
        <v>4224000</v>
      </c>
      <c r="AX108" s="1347"/>
      <c r="AY108" s="1347" t="n">
        <f aca="false">+$AO108*'ref.지급기준 (2)'!M202</f>
        <v>844800</v>
      </c>
      <c r="AZ108" s="1347"/>
      <c r="BA108" s="1347" t="n">
        <f aca="false">+$AO108*'ref.지급기준 (2)'!O202</f>
        <v>0</v>
      </c>
      <c r="BB108" s="1350"/>
      <c r="BC108" s="1441"/>
      <c r="BD108" s="1278"/>
      <c r="BE108" s="1332" t="b">
        <f aca="false">+(BA108+AY108+AW108+AU108+AS108)=R108</f>
        <v>1</v>
      </c>
      <c r="BF108" s="1278"/>
      <c r="BG108" s="1278"/>
      <c r="BH108" s="1278"/>
      <c r="BI108" s="1278"/>
      <c r="BJ108" s="1278"/>
      <c r="BK108" s="1278"/>
      <c r="BL108" s="1278"/>
      <c r="BM108" s="1278"/>
      <c r="BN108" s="1278"/>
      <c r="BO108" s="1333"/>
      <c r="BP108" s="1333"/>
    </row>
    <row r="109" customFormat="false" ht="16.5" hidden="false" customHeight="true" outlineLevel="1" collapsed="false">
      <c r="A109" s="1307"/>
      <c r="B109" s="1470"/>
      <c r="C109" s="1471"/>
      <c r="D109" s="1472"/>
      <c r="E109" s="1473"/>
      <c r="F109" s="1474"/>
      <c r="G109" s="1475"/>
      <c r="H109" s="1475"/>
      <c r="I109" s="1478"/>
      <c r="J109" s="1479"/>
      <c r="K109" s="1477"/>
      <c r="L109" s="1376"/>
      <c r="M109" s="1364"/>
      <c r="N109" s="1364"/>
      <c r="O109" s="1351" t="s">
        <v>508</v>
      </c>
      <c r="P109" s="1352" t="n">
        <f aca="false">+'DG-PV Organic'!AI62</f>
        <v>33528000</v>
      </c>
      <c r="Q109" s="1457" t="n">
        <f aca="false">+P109*0.1</f>
        <v>3352800</v>
      </c>
      <c r="R109" s="1457" t="n">
        <f aca="false">SUM(P109:Q109)</f>
        <v>36880800</v>
      </c>
      <c r="S109" s="1404" t="b">
        <f aca="false">+R109=AO109</f>
        <v>1</v>
      </c>
      <c r="T109" s="1406"/>
      <c r="U109" s="1407"/>
      <c r="V109" s="1406" t="n">
        <f aca="false">+IFERROR(X109/$R109,"-")</f>
        <v>0</v>
      </c>
      <c r="W109" s="1409"/>
      <c r="X109" s="1409"/>
      <c r="Y109" s="1409"/>
      <c r="Z109" s="1409" t="n">
        <f aca="false">+IFERROR(AA109/$R109,"-")</f>
        <v>0</v>
      </c>
      <c r="AA109" s="1409"/>
      <c r="AB109" s="1410"/>
      <c r="AC109" s="1409" t="n">
        <f aca="false">+IFERROR(AD109/$R109,"-")</f>
        <v>0</v>
      </c>
      <c r="AD109" s="1409"/>
      <c r="AE109" s="1410"/>
      <c r="AF109" s="1409" t="n">
        <f aca="false">+IFERROR(AG109/$R109,"-")</f>
        <v>0</v>
      </c>
      <c r="AG109" s="1409"/>
      <c r="AH109" s="1410"/>
      <c r="AI109" s="1409" t="str">
        <f aca="false">+IFERROR(AJ109/#REF!,"-")</f>
        <v>-</v>
      </c>
      <c r="AJ109" s="1409"/>
      <c r="AK109" s="1409"/>
      <c r="AL109" s="1409"/>
      <c r="AM109" s="1409"/>
      <c r="AN109" s="1409"/>
      <c r="AO109" s="1411" t="n">
        <f aca="false">+R109</f>
        <v>36880800</v>
      </c>
      <c r="AP109" s="1411" t="n">
        <f aca="false">+AS109+AU109</f>
        <v>36880800</v>
      </c>
      <c r="AQ109" s="1412"/>
      <c r="AR109" s="1328"/>
      <c r="AS109" s="1361" t="n">
        <f aca="false">+$AO109*'ref.지급기준 (2)'!G158</f>
        <v>36880800</v>
      </c>
      <c r="AT109" s="1359" t="n">
        <f aca="false">+X109</f>
        <v>0</v>
      </c>
      <c r="AU109" s="1359" t="n">
        <f aca="false">+$AO109*'ref.지급기준 (2)'!I158</f>
        <v>0</v>
      </c>
      <c r="AV109" s="1359" t="n">
        <f aca="false">+AA109</f>
        <v>0</v>
      </c>
      <c r="AW109" s="1359" t="n">
        <f aca="false">+$AO109*'ref.지급기준 (2)'!K158</f>
        <v>0</v>
      </c>
      <c r="AX109" s="1359"/>
      <c r="AY109" s="1359" t="n">
        <f aca="false">+$AO109*'ref.지급기준 (2)'!M158</f>
        <v>0</v>
      </c>
      <c r="AZ109" s="1359"/>
      <c r="BA109" s="1359" t="n">
        <f aca="false">+$AO109*'ref.지급기준 (2)'!O158</f>
        <v>0</v>
      </c>
      <c r="BB109" s="1362"/>
      <c r="BC109" s="1441"/>
      <c r="BD109" s="1278"/>
      <c r="BE109" s="1278"/>
      <c r="BF109" s="1278"/>
      <c r="BG109" s="1278"/>
      <c r="BH109" s="1278"/>
      <c r="BI109" s="1278"/>
      <c r="BJ109" s="1278"/>
      <c r="BK109" s="1278"/>
      <c r="BL109" s="1278"/>
      <c r="BM109" s="1278"/>
      <c r="BN109" s="1278"/>
      <c r="BO109" s="1333"/>
      <c r="BP109" s="1333"/>
    </row>
    <row r="110" customFormat="false" ht="16.5" hidden="false" customHeight="true" outlineLevel="0" collapsed="false">
      <c r="A110" s="1307"/>
      <c r="B110" s="1480" t="n">
        <v>4</v>
      </c>
      <c r="C110" s="1481" t="s">
        <v>1504</v>
      </c>
      <c r="D110" s="1472" t="s">
        <v>1505</v>
      </c>
      <c r="E110" s="1482" t="s">
        <v>1506</v>
      </c>
      <c r="F110" s="1483" t="s">
        <v>1507</v>
      </c>
      <c r="G110" s="1472" t="n">
        <f aca="false">SUBTOTAL(103,I110:I123)</f>
        <v>3</v>
      </c>
      <c r="H110" s="1472" t="s">
        <v>1472</v>
      </c>
      <c r="I110" s="1310" t="s">
        <v>1508</v>
      </c>
      <c r="J110" s="1476" t="s">
        <v>460</v>
      </c>
      <c r="K110" s="1484" t="n">
        <f aca="false">+'DG-PV Organic'!O17</f>
        <v>150</v>
      </c>
      <c r="L110" s="1380" t="n">
        <f aca="false">+'DG-PV Organic'!H17</f>
        <v>0.0892</v>
      </c>
      <c r="M110" s="1380" t="n">
        <f aca="false">+'DG-PV Organic'!J17</f>
        <v>0.093</v>
      </c>
      <c r="N110" s="1382" t="s">
        <v>1454</v>
      </c>
      <c r="O110" s="1314" t="s">
        <v>112</v>
      </c>
      <c r="P110" s="1315" t="n">
        <f aca="false">+'DG-PV Organic'!AL17</f>
        <v>157500000</v>
      </c>
      <c r="Q110" s="1315" t="n">
        <f aca="false">+P110*10%</f>
        <v>15750000</v>
      </c>
      <c r="R110" s="1383" t="n">
        <f aca="false">SUM(P110:Q110)</f>
        <v>173250000</v>
      </c>
      <c r="S110" s="1437" t="b">
        <f aca="false">+R110=AO110</f>
        <v>1</v>
      </c>
      <c r="T110" s="1320" t="n">
        <f aca="false">+IFERROR(U110/R110,"-")</f>
        <v>0</v>
      </c>
      <c r="U110" s="645" t="n">
        <f aca="false">+IFERROR(X110+AA110+AD110+AG110+AJ110+AM110,"-")</f>
        <v>0</v>
      </c>
      <c r="V110" s="1371" t="n">
        <f aca="false">+IFERROR(X110/$R110,"-")</f>
        <v>0</v>
      </c>
      <c r="W110" s="1346" t="n">
        <f aca="false">AE113</f>
        <v>45838</v>
      </c>
      <c r="X110" s="1438"/>
      <c r="Y110" s="1371"/>
      <c r="Z110" s="1345" t="n">
        <f aca="false">+IFERROR(AA110/$R110,"-")</f>
        <v>0</v>
      </c>
      <c r="AA110" s="1345"/>
      <c r="AB110" s="1346" t="n">
        <f aca="false">+EDATE(W110,1)</f>
        <v>45868</v>
      </c>
      <c r="AC110" s="1345" t="n">
        <f aca="false">+IFERROR(AD110/$R110,"-")</f>
        <v>0</v>
      </c>
      <c r="AD110" s="1345"/>
      <c r="AE110" s="1346" t="n">
        <f aca="false">+EDATE(AB110,3)</f>
        <v>45960</v>
      </c>
      <c r="AF110" s="1345" t="n">
        <f aca="false">+IFERROR(AG110/$R110,"-")</f>
        <v>0</v>
      </c>
      <c r="AG110" s="1345"/>
      <c r="AH110" s="1346" t="n">
        <f aca="false">+EDATE(AB110,4)</f>
        <v>45991</v>
      </c>
      <c r="AI110" s="1345" t="str">
        <f aca="false">+IFERROR(AJ110/#REF!,"-")</f>
        <v>-</v>
      </c>
      <c r="AJ110" s="1345"/>
      <c r="AK110" s="1346" t="n">
        <f aca="false">+EDATE(AB110,6)+1</f>
        <v>46053</v>
      </c>
      <c r="AL110" s="1371" t="str">
        <f aca="false">+IFERROR(AM110/#REF!,"-")</f>
        <v>-</v>
      </c>
      <c r="AM110" s="1371"/>
      <c r="AN110" s="1371"/>
      <c r="AO110" s="1373" t="n">
        <f aca="false">+R110</f>
        <v>173250000</v>
      </c>
      <c r="AP110" s="1373" t="n">
        <f aca="false">+AO110*'ref.지급기준 (2)'!G164</f>
        <v>17325000</v>
      </c>
      <c r="AQ110" s="1374" t="n">
        <f aca="false">+W110</f>
        <v>45838</v>
      </c>
      <c r="AR110" s="1328"/>
      <c r="AS110" s="1349" t="n">
        <f aca="false">+$AO110*'ref.지급기준 (2)'!G164</f>
        <v>17325000</v>
      </c>
      <c r="AT110" s="1347" t="n">
        <f aca="false">+X110</f>
        <v>0</v>
      </c>
      <c r="AU110" s="1347" t="n">
        <f aca="false">+$AO110*'ref.지급기준 (2)'!I164</f>
        <v>34650000</v>
      </c>
      <c r="AV110" s="1347" t="n">
        <f aca="false">+AA110</f>
        <v>0</v>
      </c>
      <c r="AW110" s="1347" t="n">
        <f aca="false">+$AO110*'ref.지급기준 (2)'!K164</f>
        <v>69300000</v>
      </c>
      <c r="AX110" s="1347"/>
      <c r="AY110" s="1347" t="n">
        <f aca="false">+$AO110*'ref.지급기준 (2)'!M164</f>
        <v>43312500</v>
      </c>
      <c r="AZ110" s="1347"/>
      <c r="BA110" s="1347" t="n">
        <f aca="false">+$AO110*'ref.지급기준 (2)'!O164</f>
        <v>8662500</v>
      </c>
      <c r="BB110" s="1350"/>
      <c r="BC110" s="1441" t="s">
        <v>1509</v>
      </c>
      <c r="BD110" s="1278"/>
      <c r="BE110" s="1332" t="b">
        <f aca="false">+(BA110+AY110+AW110+AU110+AS110)=R110</f>
        <v>1</v>
      </c>
      <c r="BF110" s="1278"/>
      <c r="BG110" s="1278"/>
      <c r="BH110" s="1278"/>
      <c r="BI110" s="1278"/>
      <c r="BJ110" s="1278"/>
      <c r="BK110" s="1278"/>
      <c r="BL110" s="1278"/>
      <c r="BM110" s="1278"/>
      <c r="BN110" s="1278"/>
      <c r="BO110" s="1333"/>
      <c r="BP110" s="1333"/>
    </row>
    <row r="111" customFormat="false" ht="16.5" hidden="false" customHeight="true" outlineLevel="0" collapsed="false">
      <c r="A111" s="1307"/>
      <c r="B111" s="1480"/>
      <c r="C111" s="1481"/>
      <c r="D111" s="1472"/>
      <c r="E111" s="1482"/>
      <c r="F111" s="1483"/>
      <c r="G111" s="1472"/>
      <c r="H111" s="1472"/>
      <c r="I111" s="1310"/>
      <c r="J111" s="1476"/>
      <c r="K111" s="1484"/>
      <c r="L111" s="1380"/>
      <c r="M111" s="1380"/>
      <c r="N111" s="1382"/>
      <c r="O111" s="1334" t="s">
        <v>114</v>
      </c>
      <c r="P111" s="1335" t="n">
        <f aca="false">+'DG-PV Organic'!AK17</f>
        <v>45000000</v>
      </c>
      <c r="Q111" s="1335" t="n">
        <f aca="false">+P111*10%</f>
        <v>4500000</v>
      </c>
      <c r="R111" s="1384" t="n">
        <f aca="false">SUM(P111:Q111)</f>
        <v>49500000</v>
      </c>
      <c r="S111" s="1437" t="b">
        <f aca="false">+R111=AO111</f>
        <v>1</v>
      </c>
      <c r="T111" s="1337" t="n">
        <f aca="false">+IFERROR(U111/R111,"-")</f>
        <v>0.2</v>
      </c>
      <c r="U111" s="1338" t="n">
        <f aca="false">+IFERROR(X111+AA111+AD111+AG111+AJ111+AM111,"-")</f>
        <v>9900000</v>
      </c>
      <c r="V111" s="1343" t="n">
        <f aca="false">+IFERROR(X111/$R111,"-")</f>
        <v>0.2</v>
      </c>
      <c r="W111" s="1442" t="n">
        <v>45631</v>
      </c>
      <c r="X111" s="1341" t="n">
        <v>9900000</v>
      </c>
      <c r="Y111" s="1343"/>
      <c r="Z111" s="1345" t="n">
        <f aca="false">+IFERROR(AA111/$R111,"-")</f>
        <v>0</v>
      </c>
      <c r="AA111" s="1397"/>
      <c r="AB111" s="1346" t="n">
        <v>45777</v>
      </c>
      <c r="AC111" s="1345" t="n">
        <f aca="false">+IFERROR(AD111/$R111,"-")</f>
        <v>0</v>
      </c>
      <c r="AD111" s="1345"/>
      <c r="AE111" s="1346" t="n">
        <f aca="false">EDATE(AB111,2)</f>
        <v>45838</v>
      </c>
      <c r="AF111" s="1345" t="n">
        <f aca="false">+IFERROR(AG111/$R111,"-")</f>
        <v>0</v>
      </c>
      <c r="AG111" s="1345"/>
      <c r="AH111" s="1346" t="n">
        <f aca="false">+EDATE(AB110,5)+1</f>
        <v>46022</v>
      </c>
      <c r="AI111" s="1345" t="str">
        <f aca="false">+IFERROR(AJ111/#REF!,"-")</f>
        <v>-</v>
      </c>
      <c r="AJ111" s="1345"/>
      <c r="AK111" s="1345"/>
      <c r="AL111" s="1345" t="str">
        <f aca="false">+IFERROR(AM111/#REF!,"-")</f>
        <v>-</v>
      </c>
      <c r="AM111" s="1345"/>
      <c r="AN111" s="1345"/>
      <c r="AO111" s="1347" t="n">
        <f aca="false">+R111</f>
        <v>49500000</v>
      </c>
      <c r="AP111" s="1347" t="n">
        <f aca="false">+AO111*'ref.지급기준 (2)'!G165</f>
        <v>9900000</v>
      </c>
      <c r="AQ111" s="1348" t="n">
        <f aca="false">+AB111</f>
        <v>45777</v>
      </c>
      <c r="AR111" s="1328"/>
      <c r="AS111" s="1349" t="n">
        <f aca="false">+$AO111*'ref.지급기준 (2)'!G165</f>
        <v>9900000</v>
      </c>
      <c r="AT111" s="1347" t="n">
        <f aca="false">+X111</f>
        <v>9900000</v>
      </c>
      <c r="AU111" s="1347" t="n">
        <f aca="false">+$AO111*'ref.지급기준 (2)'!I165</f>
        <v>9900000</v>
      </c>
      <c r="AV111" s="1347" t="n">
        <f aca="false">+AA111</f>
        <v>0</v>
      </c>
      <c r="AW111" s="1347" t="n">
        <f aca="false">+$AO111*'ref.지급기준 (2)'!K165</f>
        <v>24750000</v>
      </c>
      <c r="AX111" s="1347"/>
      <c r="AY111" s="1347" t="n">
        <f aca="false">+$AO111*'ref.지급기준 (2)'!M165</f>
        <v>4950000</v>
      </c>
      <c r="AZ111" s="1347"/>
      <c r="BA111" s="1347" t="n">
        <f aca="false">+$AO111*'ref.지급기준 (2)'!O165</f>
        <v>0</v>
      </c>
      <c r="BB111" s="1350"/>
      <c r="BC111" s="1441"/>
      <c r="BD111" s="1278"/>
      <c r="BE111" s="1332" t="b">
        <f aca="false">+(BA111+AY111+AW111+AU111+AS111)=R111</f>
        <v>1</v>
      </c>
      <c r="BF111" s="1278"/>
      <c r="BG111" s="1278"/>
      <c r="BH111" s="1278"/>
      <c r="BI111" s="1278"/>
      <c r="BJ111" s="1278"/>
      <c r="BK111" s="1278"/>
      <c r="BL111" s="1278"/>
      <c r="BM111" s="1278"/>
      <c r="BN111" s="1278"/>
      <c r="BO111" s="1333"/>
      <c r="BP111" s="1333"/>
    </row>
    <row r="112" customFormat="false" ht="16.5" hidden="false" customHeight="true" outlineLevel="0" collapsed="false">
      <c r="A112" s="1307"/>
      <c r="B112" s="1480"/>
      <c r="C112" s="1481"/>
      <c r="D112" s="1472"/>
      <c r="E112" s="1482"/>
      <c r="F112" s="1483"/>
      <c r="G112" s="1472"/>
      <c r="H112" s="1472"/>
      <c r="I112" s="1310"/>
      <c r="J112" s="1476"/>
      <c r="K112" s="1484"/>
      <c r="L112" s="1380"/>
      <c r="M112" s="1380"/>
      <c r="N112" s="1382"/>
      <c r="O112" s="1334" t="s">
        <v>404</v>
      </c>
      <c r="P112" s="1335" t="n">
        <f aca="false">+'ref.지급기준 (2)'!F166*'ref.지급기준 (2)'!D166/'ref.지급기준 (2)'!$Q$2</f>
        <v>0</v>
      </c>
      <c r="Q112" s="1335"/>
      <c r="R112" s="1384" t="n">
        <f aca="false">SUM(P112:Q112)</f>
        <v>0</v>
      </c>
      <c r="S112" s="1437" t="b">
        <f aca="false">+R112=AO112</f>
        <v>1</v>
      </c>
      <c r="T112" s="1337" t="str">
        <f aca="false">+IFERROR(U112/R112,"-")</f>
        <v>-</v>
      </c>
      <c r="U112" s="1338" t="n">
        <f aca="false">+IFERROR(X112+AA112+AD112+AG112+AJ112+AM112,"-")</f>
        <v>0</v>
      </c>
      <c r="V112" s="1345" t="str">
        <f aca="false">+IFERROR(X112/$R112,"-")</f>
        <v>-</v>
      </c>
      <c r="W112" s="1444"/>
      <c r="X112" s="1395"/>
      <c r="Y112" s="1345"/>
      <c r="Z112" s="1345" t="str">
        <f aca="false">+IFERROR(AA112/$R112,"-")</f>
        <v>-</v>
      </c>
      <c r="AA112" s="1345"/>
      <c r="AB112" s="1346"/>
      <c r="AC112" s="1345" t="str">
        <f aca="false">+IFERROR(AD112/$R112,"-")</f>
        <v>-</v>
      </c>
      <c r="AD112" s="1345"/>
      <c r="AE112" s="1346"/>
      <c r="AF112" s="1345" t="str">
        <f aca="false">+IFERROR(AG112/$R112,"-")</f>
        <v>-</v>
      </c>
      <c r="AG112" s="1345"/>
      <c r="AH112" s="1346"/>
      <c r="AI112" s="1345" t="str">
        <f aca="false">+IFERROR(AJ112/#REF!,"-")</f>
        <v>-</v>
      </c>
      <c r="AJ112" s="1345"/>
      <c r="AK112" s="1345"/>
      <c r="AL112" s="1345" t="str">
        <f aca="false">+IFERROR(AM112/#REF!,"-")</f>
        <v>-</v>
      </c>
      <c r="AM112" s="1345"/>
      <c r="AN112" s="1345"/>
      <c r="AO112" s="1347" t="n">
        <f aca="false">+R112</f>
        <v>0</v>
      </c>
      <c r="AP112" s="1347" t="n">
        <f aca="false">+AO112*'ref.지급기준 (2)'!G166</f>
        <v>0</v>
      </c>
      <c r="AQ112" s="1348"/>
      <c r="AR112" s="1328"/>
      <c r="AS112" s="1349" t="n">
        <f aca="false">+$AO112*'ref.지급기준 (2)'!G166</f>
        <v>0</v>
      </c>
      <c r="AT112" s="1347" t="n">
        <f aca="false">+X112</f>
        <v>0</v>
      </c>
      <c r="AU112" s="1347" t="n">
        <f aca="false">+$AO112*'ref.지급기준 (2)'!I166</f>
        <v>0</v>
      </c>
      <c r="AV112" s="1347" t="n">
        <f aca="false">+AA112</f>
        <v>0</v>
      </c>
      <c r="AW112" s="1347" t="n">
        <f aca="false">+$AO112*'ref.지급기준 (2)'!K166</f>
        <v>0</v>
      </c>
      <c r="AX112" s="1347"/>
      <c r="AY112" s="1347" t="n">
        <f aca="false">+$AO112*'ref.지급기준 (2)'!M166</f>
        <v>0</v>
      </c>
      <c r="AZ112" s="1347"/>
      <c r="BA112" s="1347" t="n">
        <f aca="false">+$AO112*'ref.지급기준 (2)'!O166</f>
        <v>0</v>
      </c>
      <c r="BB112" s="1350"/>
      <c r="BC112" s="1441"/>
      <c r="BD112" s="1278"/>
      <c r="BE112" s="1332" t="b">
        <f aca="false">+(BA112+AY112+AW112+AU112+AS112)=R112</f>
        <v>1</v>
      </c>
      <c r="BF112" s="1278"/>
      <c r="BG112" s="1278"/>
      <c r="BH112" s="1278"/>
      <c r="BI112" s="1278"/>
      <c r="BJ112" s="1278"/>
      <c r="BK112" s="1278"/>
      <c r="BL112" s="1278"/>
      <c r="BM112" s="1278"/>
      <c r="BN112" s="1278"/>
      <c r="BO112" s="1333"/>
      <c r="BP112" s="1333"/>
    </row>
    <row r="113" customFormat="false" ht="16.5" hidden="false" customHeight="true" outlineLevel="0" collapsed="false">
      <c r="A113" s="1307"/>
      <c r="B113" s="1480"/>
      <c r="C113" s="1481"/>
      <c r="D113" s="1472"/>
      <c r="E113" s="1482"/>
      <c r="F113" s="1483"/>
      <c r="G113" s="1472"/>
      <c r="H113" s="1472"/>
      <c r="I113" s="1310"/>
      <c r="J113" s="1476"/>
      <c r="K113" s="1484"/>
      <c r="L113" s="1380"/>
      <c r="M113" s="1380"/>
      <c r="N113" s="1382"/>
      <c r="O113" s="1334" t="s">
        <v>507</v>
      </c>
      <c r="P113" s="1335" t="n">
        <f aca="false">+'DG-PV Organic'!AJ17</f>
        <v>30000000</v>
      </c>
      <c r="Q113" s="1335" t="n">
        <f aca="false">+P113*10%</f>
        <v>3000000</v>
      </c>
      <c r="R113" s="1384" t="n">
        <f aca="false">SUM(P113:Q113)</f>
        <v>33000000</v>
      </c>
      <c r="S113" s="1437" t="b">
        <f aca="false">+R113=AO113</f>
        <v>1</v>
      </c>
      <c r="T113" s="1337" t="n">
        <f aca="false">+IFERROR(U113/R113,"-")</f>
        <v>0.2</v>
      </c>
      <c r="U113" s="1338" t="n">
        <f aca="false">+IFERROR(X113+AA113+AD113+AG113+AJ113+AM113,"-")</f>
        <v>6600000</v>
      </c>
      <c r="V113" s="1343" t="n">
        <f aca="false">+IFERROR(X113/$R113,"-")</f>
        <v>0.2</v>
      </c>
      <c r="W113" s="1342" t="n">
        <v>45631</v>
      </c>
      <c r="X113" s="1341" t="n">
        <v>6600000</v>
      </c>
      <c r="Y113" s="1343"/>
      <c r="Z113" s="1345" t="n">
        <v>0</v>
      </c>
      <c r="AA113" s="1345"/>
      <c r="AB113" s="1346" t="n">
        <f aca="false">AB111</f>
        <v>45777</v>
      </c>
      <c r="AC113" s="1345" t="n">
        <f aca="false">+IFERROR(AD113/$R113,"-")</f>
        <v>0</v>
      </c>
      <c r="AD113" s="1345"/>
      <c r="AE113" s="1346" t="n">
        <f aca="false">AE111</f>
        <v>45838</v>
      </c>
      <c r="AF113" s="1345" t="n">
        <f aca="false">+IFERROR(AG113/$R113,"-")</f>
        <v>0</v>
      </c>
      <c r="AG113" s="1345"/>
      <c r="AH113" s="1346" t="n">
        <f aca="false">AH111</f>
        <v>46022</v>
      </c>
      <c r="AI113" s="1345" t="str">
        <f aca="false">+IFERROR(AJ113/#REF!,"-")</f>
        <v>-</v>
      </c>
      <c r="AJ113" s="1345"/>
      <c r="AK113" s="1345"/>
      <c r="AL113" s="1345" t="str">
        <f aca="false">+IFERROR(AM113/#REF!,"-")</f>
        <v>-</v>
      </c>
      <c r="AM113" s="1345"/>
      <c r="AN113" s="1345"/>
      <c r="AO113" s="1347" t="n">
        <f aca="false">+R113</f>
        <v>33000000</v>
      </c>
      <c r="AP113" s="1347" t="n">
        <f aca="false">+AO113*'ref.지급기준 (2)'!G167</f>
        <v>6600000</v>
      </c>
      <c r="AQ113" s="1348" t="n">
        <f aca="false">+AB113</f>
        <v>45777</v>
      </c>
      <c r="AR113" s="1328"/>
      <c r="AS113" s="1349" t="n">
        <f aca="false">+$AO113*'ref.지급기준 (2)'!G167</f>
        <v>6600000</v>
      </c>
      <c r="AT113" s="1347" t="n">
        <f aca="false">+X113</f>
        <v>6600000</v>
      </c>
      <c r="AU113" s="1347" t="n">
        <f aca="false">+$AO113*'ref.지급기준 (2)'!I167</f>
        <v>6600000</v>
      </c>
      <c r="AV113" s="1347" t="n">
        <f aca="false">+AA113</f>
        <v>0</v>
      </c>
      <c r="AW113" s="1347" t="n">
        <f aca="false">+$AO113*'ref.지급기준 (2)'!K167</f>
        <v>16500000</v>
      </c>
      <c r="AX113" s="1347"/>
      <c r="AY113" s="1347" t="n">
        <f aca="false">+$AO113*'ref.지급기준 (2)'!M167</f>
        <v>3300000</v>
      </c>
      <c r="AZ113" s="1347"/>
      <c r="BA113" s="1347" t="n">
        <f aca="false">+$AO113*'ref.지급기준 (2)'!O167</f>
        <v>0</v>
      </c>
      <c r="BB113" s="1350"/>
      <c r="BC113" s="1441"/>
      <c r="BD113" s="1278"/>
      <c r="BE113" s="1332" t="b">
        <f aca="false">+(BA113+AY113+AW113+AU113+AS113)=R113</f>
        <v>1</v>
      </c>
      <c r="BF113" s="1278"/>
      <c r="BG113" s="1278"/>
      <c r="BH113" s="1278"/>
      <c r="BI113" s="1278"/>
      <c r="BJ113" s="1278"/>
      <c r="BK113" s="1278"/>
      <c r="BL113" s="1278"/>
      <c r="BM113" s="1278"/>
      <c r="BN113" s="1278"/>
      <c r="BO113" s="1333"/>
      <c r="BP113" s="1333"/>
    </row>
    <row r="114" customFormat="false" ht="16.5" hidden="false" customHeight="true" outlineLevel="0" collapsed="false">
      <c r="A114" s="1307"/>
      <c r="B114" s="1480"/>
      <c r="C114" s="1481"/>
      <c r="D114" s="1472"/>
      <c r="E114" s="1482"/>
      <c r="F114" s="1483"/>
      <c r="G114" s="1472"/>
      <c r="H114" s="1472"/>
      <c r="I114" s="1310"/>
      <c r="J114" s="1476"/>
      <c r="K114" s="1484"/>
      <c r="L114" s="1380"/>
      <c r="M114" s="1380"/>
      <c r="N114" s="1382"/>
      <c r="O114" s="1385" t="s">
        <v>508</v>
      </c>
      <c r="P114" s="1386" t="n">
        <f aca="false">+'DG-PV Organic'!AI17</f>
        <v>30000000</v>
      </c>
      <c r="Q114" s="1387" t="n">
        <f aca="false">+P114*0.1</f>
        <v>3000000</v>
      </c>
      <c r="R114" s="1387" t="n">
        <f aca="false">SUM(P114:Q114)</f>
        <v>33000000</v>
      </c>
      <c r="S114" s="1437" t="b">
        <f aca="false">+R114=AO114</f>
        <v>1</v>
      </c>
      <c r="T114" s="1355"/>
      <c r="U114" s="668"/>
      <c r="V114" s="1355" t="n">
        <f aca="false">+IFERROR(X114/$R114,"-")</f>
        <v>0</v>
      </c>
      <c r="W114" s="1357"/>
      <c r="X114" s="1357"/>
      <c r="Y114" s="1357"/>
      <c r="Z114" s="1357" t="n">
        <f aca="false">+IFERROR(AA114/$R114,"-")</f>
        <v>0</v>
      </c>
      <c r="AA114" s="1357"/>
      <c r="AB114" s="1358"/>
      <c r="AC114" s="1357" t="n">
        <f aca="false">+IFERROR(AD114/$R114,"-")</f>
        <v>0</v>
      </c>
      <c r="AD114" s="1357"/>
      <c r="AE114" s="1358"/>
      <c r="AF114" s="1357" t="n">
        <f aca="false">+IFERROR(AG114/$R114,"-")</f>
        <v>0</v>
      </c>
      <c r="AG114" s="1357"/>
      <c r="AH114" s="1358"/>
      <c r="AI114" s="1357" t="str">
        <f aca="false">+IFERROR(AJ114/#REF!,"-")</f>
        <v>-</v>
      </c>
      <c r="AJ114" s="1357"/>
      <c r="AK114" s="1357"/>
      <c r="AL114" s="1357"/>
      <c r="AM114" s="1357"/>
      <c r="AN114" s="1357"/>
      <c r="AO114" s="1359" t="n">
        <f aca="false">+R114</f>
        <v>33000000</v>
      </c>
      <c r="AP114" s="1359" t="n">
        <f aca="false">+AS114+AU114</f>
        <v>33000000</v>
      </c>
      <c r="AQ114" s="1360"/>
      <c r="AR114" s="1328"/>
      <c r="AS114" s="1361" t="n">
        <f aca="false">+$AO114*'ref.지급기준 (2)'!G163</f>
        <v>33000000</v>
      </c>
      <c r="AT114" s="1359" t="n">
        <f aca="false">+X114</f>
        <v>0</v>
      </c>
      <c r="AU114" s="1359" t="n">
        <f aca="false">+$AO114*'ref.지급기준 (2)'!I163</f>
        <v>0</v>
      </c>
      <c r="AV114" s="1359" t="n">
        <f aca="false">+AA114</f>
        <v>0</v>
      </c>
      <c r="AW114" s="1359" t="n">
        <f aca="false">+$AO114*'ref.지급기준 (2)'!K163</f>
        <v>0</v>
      </c>
      <c r="AX114" s="1359"/>
      <c r="AY114" s="1359" t="n">
        <f aca="false">+$AO114*'ref.지급기준 (2)'!M163</f>
        <v>0</v>
      </c>
      <c r="AZ114" s="1359"/>
      <c r="BA114" s="1359" t="n">
        <f aca="false">+$AO114*'ref.지급기준 (2)'!O163</f>
        <v>0</v>
      </c>
      <c r="BB114" s="1362"/>
      <c r="BC114" s="1441"/>
      <c r="BD114" s="1278"/>
      <c r="BE114" s="1278"/>
      <c r="BF114" s="1278"/>
      <c r="BG114" s="1278"/>
      <c r="BH114" s="1278"/>
      <c r="BI114" s="1278"/>
      <c r="BJ114" s="1278"/>
      <c r="BK114" s="1278"/>
      <c r="BL114" s="1278"/>
      <c r="BM114" s="1278"/>
      <c r="BN114" s="1278"/>
      <c r="BO114" s="1333"/>
      <c r="BP114" s="1333"/>
    </row>
    <row r="115" customFormat="false" ht="16.5" hidden="false" customHeight="true" outlineLevel="0" collapsed="false">
      <c r="A115" s="1307"/>
      <c r="B115" s="1480"/>
      <c r="C115" s="1481"/>
      <c r="D115" s="1472"/>
      <c r="E115" s="1482"/>
      <c r="F115" s="1483"/>
      <c r="G115" s="1472"/>
      <c r="H115" s="1472"/>
      <c r="I115" s="1310" t="s">
        <v>1510</v>
      </c>
      <c r="J115" s="1476" t="s">
        <v>821</v>
      </c>
      <c r="K115" s="1453" t="n">
        <f aca="false">+'ref.지급기준 (2)'!D169</f>
        <v>144.15</v>
      </c>
      <c r="L115" s="1376" t="n">
        <f aca="false">+'DG-PV Organic'!H7</f>
        <v>0.0914</v>
      </c>
      <c r="M115" s="1364" t="n">
        <f aca="false">+'DG-PV Organic'!J7</f>
        <v>0.093</v>
      </c>
      <c r="N115" s="1364" t="s">
        <v>1454</v>
      </c>
      <c r="O115" s="1365" t="s">
        <v>112</v>
      </c>
      <c r="P115" s="1366" t="n">
        <f aca="false">+'ref.지급기준 (2)'!F169*'ref.지급기준 (2)'!D169/'ref.지급기준 (2)'!$Q$2</f>
        <v>151357500</v>
      </c>
      <c r="Q115" s="1366" t="n">
        <f aca="false">+P115*10%</f>
        <v>15135750</v>
      </c>
      <c r="R115" s="1367" t="n">
        <f aca="false">SUM(P115:Q115)</f>
        <v>166493250</v>
      </c>
      <c r="S115" s="1437" t="b">
        <f aca="false">+R115=AO115</f>
        <v>1</v>
      </c>
      <c r="T115" s="1323" t="n">
        <f aca="false">+IFERROR(U115/R115,"-")</f>
        <v>0</v>
      </c>
      <c r="U115" s="1368" t="n">
        <f aca="false">+IFERROR(X115+AA115+AD115+AG115+AJ115+AM115,"-")</f>
        <v>0</v>
      </c>
      <c r="V115" s="1345" t="n">
        <f aca="false">+IFERROR(X115/$R115,"-")</f>
        <v>0</v>
      </c>
      <c r="W115" s="1346" t="n">
        <f aca="false">AE118</f>
        <v>45838</v>
      </c>
      <c r="X115" s="1395"/>
      <c r="Y115" s="1345"/>
      <c r="Z115" s="1345" t="n">
        <f aca="false">+IFERROR(AA115/$R115,"-")</f>
        <v>0</v>
      </c>
      <c r="AA115" s="1345"/>
      <c r="AB115" s="1346" t="n">
        <f aca="false">+EDATE(W115,1)</f>
        <v>45868</v>
      </c>
      <c r="AC115" s="1345" t="n">
        <f aca="false">+IFERROR(AD115/$R115,"-")</f>
        <v>0</v>
      </c>
      <c r="AD115" s="1345"/>
      <c r="AE115" s="1346" t="n">
        <f aca="false">+EDATE(AB115,3)</f>
        <v>45960</v>
      </c>
      <c r="AF115" s="1345" t="n">
        <f aca="false">+IFERROR(AG115/$R115,"-")</f>
        <v>0</v>
      </c>
      <c r="AG115" s="1345"/>
      <c r="AH115" s="1346" t="n">
        <f aca="false">+EDATE(AB115,4)</f>
        <v>45991</v>
      </c>
      <c r="AI115" s="1345" t="str">
        <f aca="false">+IFERROR(AJ115/#REF!,"-")</f>
        <v>-</v>
      </c>
      <c r="AJ115" s="1345"/>
      <c r="AK115" s="1346" t="n">
        <f aca="false">+EDATE(AB115,6)+1</f>
        <v>46053</v>
      </c>
      <c r="AL115" s="1345" t="str">
        <f aca="false">+IFERROR(AM115/#REF!,"-")</f>
        <v>-</v>
      </c>
      <c r="AM115" s="1345"/>
      <c r="AN115" s="1345"/>
      <c r="AO115" s="1347" t="n">
        <f aca="false">+R115</f>
        <v>166493250</v>
      </c>
      <c r="AP115" s="1347" t="n">
        <f aca="false">+AO115*'ref.지급기준 (2)'!G169</f>
        <v>16649325</v>
      </c>
      <c r="AQ115" s="1348" t="n">
        <f aca="false">+W115</f>
        <v>45838</v>
      </c>
      <c r="AR115" s="1328"/>
      <c r="AS115" s="1349" t="n">
        <f aca="false">+$AO115*'ref.지급기준 (2)'!G169</f>
        <v>16649325</v>
      </c>
      <c r="AT115" s="1347" t="n">
        <f aca="false">+X115</f>
        <v>0</v>
      </c>
      <c r="AU115" s="1347" t="n">
        <f aca="false">+$AO115*'ref.지급기준 (2)'!I169</f>
        <v>33298650</v>
      </c>
      <c r="AV115" s="1347" t="n">
        <f aca="false">+AA115</f>
        <v>0</v>
      </c>
      <c r="AW115" s="1347" t="n">
        <f aca="false">+$AO115*'ref.지급기준 (2)'!K169</f>
        <v>66597300</v>
      </c>
      <c r="AX115" s="1347"/>
      <c r="AY115" s="1347" t="n">
        <f aca="false">+$AO115*'ref.지급기준 (2)'!M169</f>
        <v>41623312.5</v>
      </c>
      <c r="AZ115" s="1347"/>
      <c r="BA115" s="1347" t="n">
        <f aca="false">+$AO115*'ref.지급기준 (2)'!O169</f>
        <v>8324662.5</v>
      </c>
      <c r="BB115" s="1350"/>
      <c r="BC115" s="1441" t="s">
        <v>1509</v>
      </c>
      <c r="BD115" s="1278"/>
      <c r="BE115" s="1332" t="b">
        <f aca="false">+(BA115+AY115+AW115+AU115+AS115)=R115</f>
        <v>1</v>
      </c>
      <c r="BF115" s="1278"/>
      <c r="BG115" s="1278"/>
      <c r="BH115" s="1278"/>
      <c r="BI115" s="1278"/>
      <c r="BJ115" s="1278"/>
      <c r="BK115" s="1278"/>
      <c r="BL115" s="1278"/>
      <c r="BM115" s="1278"/>
      <c r="BN115" s="1278"/>
      <c r="BO115" s="1333"/>
      <c r="BP115" s="1333"/>
    </row>
    <row r="116" customFormat="false" ht="16.5" hidden="false" customHeight="true" outlineLevel="0" collapsed="false">
      <c r="A116" s="1307"/>
      <c r="B116" s="1480"/>
      <c r="C116" s="1481"/>
      <c r="D116" s="1472"/>
      <c r="E116" s="1482"/>
      <c r="F116" s="1483"/>
      <c r="G116" s="1472"/>
      <c r="H116" s="1472"/>
      <c r="I116" s="1310"/>
      <c r="J116" s="1476"/>
      <c r="K116" s="1453"/>
      <c r="L116" s="1376"/>
      <c r="M116" s="1364"/>
      <c r="N116" s="1364"/>
      <c r="O116" s="1334" t="s">
        <v>114</v>
      </c>
      <c r="P116" s="1335" t="n">
        <f aca="false">+'ref.지급기준 (2)'!F170*'ref.지급기준 (2)'!D170/'ref.지급기준 (2)'!$Q$2</f>
        <v>43245000</v>
      </c>
      <c r="Q116" s="1335" t="n">
        <f aca="false">+P116*10%</f>
        <v>4324500</v>
      </c>
      <c r="R116" s="1336" t="n">
        <f aca="false">SUM(P116:Q116)</f>
        <v>47569500</v>
      </c>
      <c r="S116" s="1437" t="b">
        <f aca="false">+R116=AO116</f>
        <v>1</v>
      </c>
      <c r="T116" s="1337" t="n">
        <f aca="false">+IFERROR(U116/R116,"-")</f>
        <v>0.2</v>
      </c>
      <c r="U116" s="1338" t="n">
        <f aca="false">+IFERROR(X116+AA116+AD116+AG116+AJ116+AM116,"-")</f>
        <v>9513900</v>
      </c>
      <c r="V116" s="1343" t="n">
        <f aca="false">+IFERROR(X116/$R116,"-")</f>
        <v>0.2</v>
      </c>
      <c r="W116" s="1442" t="n">
        <v>45631</v>
      </c>
      <c r="X116" s="1341" t="n">
        <f aca="false">+'ref.지급기준 (2)'!G170*$R116</f>
        <v>9513900</v>
      </c>
      <c r="Y116" s="1343"/>
      <c r="Z116" s="1345" t="n">
        <f aca="false">+IFERROR(AA116/$R116,"-")</f>
        <v>0</v>
      </c>
      <c r="AA116" s="1397"/>
      <c r="AB116" s="1346" t="n">
        <v>45777</v>
      </c>
      <c r="AC116" s="1345" t="n">
        <f aca="false">+IFERROR(AD116/$R116,"-")</f>
        <v>0</v>
      </c>
      <c r="AD116" s="1345"/>
      <c r="AE116" s="1346" t="n">
        <f aca="false">EDATE(AB116,2)</f>
        <v>45838</v>
      </c>
      <c r="AF116" s="1345" t="n">
        <f aca="false">+IFERROR(AG116/$R116,"-")</f>
        <v>0</v>
      </c>
      <c r="AG116" s="1345"/>
      <c r="AH116" s="1346" t="n">
        <f aca="false">+EDATE(AB115,5)+1</f>
        <v>46022</v>
      </c>
      <c r="AI116" s="1345" t="str">
        <f aca="false">+IFERROR(AJ116/#REF!,"-")</f>
        <v>-</v>
      </c>
      <c r="AJ116" s="1345"/>
      <c r="AK116" s="1345"/>
      <c r="AL116" s="1345" t="str">
        <f aca="false">+IFERROR(AM116/#REF!,"-")</f>
        <v>-</v>
      </c>
      <c r="AM116" s="1345"/>
      <c r="AN116" s="1345"/>
      <c r="AO116" s="1347" t="n">
        <f aca="false">+R116</f>
        <v>47569500</v>
      </c>
      <c r="AP116" s="1347" t="n">
        <f aca="false">+AO116*'ref.지급기준 (2)'!G170</f>
        <v>9513900</v>
      </c>
      <c r="AQ116" s="1348" t="n">
        <f aca="false">+AB116</f>
        <v>45777</v>
      </c>
      <c r="AR116" s="1328"/>
      <c r="AS116" s="1349" t="n">
        <f aca="false">+$AO116*'ref.지급기준 (2)'!G170</f>
        <v>9513900</v>
      </c>
      <c r="AT116" s="1347" t="n">
        <f aca="false">+X116</f>
        <v>9513900</v>
      </c>
      <c r="AU116" s="1347" t="n">
        <f aca="false">+$AO116*'ref.지급기준 (2)'!I170</f>
        <v>9513900</v>
      </c>
      <c r="AV116" s="1347" t="n">
        <f aca="false">+AA116</f>
        <v>0</v>
      </c>
      <c r="AW116" s="1347" t="n">
        <f aca="false">+$AO116*'ref.지급기준 (2)'!K170</f>
        <v>23784750</v>
      </c>
      <c r="AX116" s="1347"/>
      <c r="AY116" s="1347" t="n">
        <f aca="false">+$AO116*'ref.지급기준 (2)'!M170</f>
        <v>4756950</v>
      </c>
      <c r="AZ116" s="1347"/>
      <c r="BA116" s="1347" t="n">
        <f aca="false">+$AO116*'ref.지급기준 (2)'!O170</f>
        <v>0</v>
      </c>
      <c r="BB116" s="1350"/>
      <c r="BC116" s="1441"/>
      <c r="BD116" s="1278"/>
      <c r="BE116" s="1332" t="b">
        <f aca="false">+(BA116+AY116+AW116+AU116+AS116)=R116</f>
        <v>1</v>
      </c>
      <c r="BF116" s="1278"/>
      <c r="BG116" s="1278"/>
      <c r="BH116" s="1278"/>
      <c r="BI116" s="1278"/>
      <c r="BJ116" s="1278"/>
      <c r="BK116" s="1278"/>
      <c r="BL116" s="1278"/>
      <c r="BM116" s="1278"/>
      <c r="BN116" s="1278"/>
      <c r="BO116" s="1333"/>
      <c r="BP116" s="1333"/>
    </row>
    <row r="117" customFormat="false" ht="16.5" hidden="false" customHeight="true" outlineLevel="0" collapsed="false">
      <c r="A117" s="1307"/>
      <c r="B117" s="1480"/>
      <c r="C117" s="1481"/>
      <c r="D117" s="1472"/>
      <c r="E117" s="1482"/>
      <c r="F117" s="1483"/>
      <c r="G117" s="1472"/>
      <c r="H117" s="1472"/>
      <c r="I117" s="1310"/>
      <c r="J117" s="1476"/>
      <c r="K117" s="1453"/>
      <c r="L117" s="1376"/>
      <c r="M117" s="1364"/>
      <c r="N117" s="1364"/>
      <c r="O117" s="1334" t="s">
        <v>404</v>
      </c>
      <c r="P117" s="1335" t="n">
        <f aca="false">+'ref.지급기준 (2)'!F171*'ref.지급기준 (2)'!D171/'ref.지급기준 (2)'!$Q$2</f>
        <v>0</v>
      </c>
      <c r="Q117" s="1335"/>
      <c r="R117" s="1336" t="n">
        <f aca="false">SUM(P117:Q117)</f>
        <v>0</v>
      </c>
      <c r="S117" s="1437" t="b">
        <f aca="false">+R117=AO117</f>
        <v>1</v>
      </c>
      <c r="T117" s="1337" t="str">
        <f aca="false">+IFERROR(U117/R117,"-")</f>
        <v>-</v>
      </c>
      <c r="U117" s="1338" t="n">
        <f aca="false">+IFERROR(X117+AA117+AD117+AG117+AJ117+AM117,"-")</f>
        <v>0</v>
      </c>
      <c r="V117" s="1345" t="str">
        <f aca="false">+IFERROR(X117/$R117,"-")</f>
        <v>-</v>
      </c>
      <c r="W117" s="1444"/>
      <c r="X117" s="1395"/>
      <c r="Y117" s="1345"/>
      <c r="Z117" s="1345" t="str">
        <f aca="false">+IFERROR(AA117/$R117,"-")</f>
        <v>-</v>
      </c>
      <c r="AA117" s="1345"/>
      <c r="AB117" s="1346"/>
      <c r="AC117" s="1345" t="str">
        <f aca="false">+IFERROR(AD117/$R117,"-")</f>
        <v>-</v>
      </c>
      <c r="AD117" s="1345"/>
      <c r="AE117" s="1346"/>
      <c r="AF117" s="1345" t="str">
        <f aca="false">+IFERROR(AG117/$R117,"-")</f>
        <v>-</v>
      </c>
      <c r="AG117" s="1345"/>
      <c r="AH117" s="1346"/>
      <c r="AI117" s="1345" t="str">
        <f aca="false">+IFERROR(AJ117/#REF!,"-")</f>
        <v>-</v>
      </c>
      <c r="AJ117" s="1345"/>
      <c r="AK117" s="1345"/>
      <c r="AL117" s="1345" t="str">
        <f aca="false">+IFERROR(AM117/#REF!,"-")</f>
        <v>-</v>
      </c>
      <c r="AM117" s="1345"/>
      <c r="AN117" s="1345"/>
      <c r="AO117" s="1347" t="n">
        <f aca="false">+R117</f>
        <v>0</v>
      </c>
      <c r="AP117" s="1347" t="n">
        <f aca="false">+AO117*'ref.지급기준 (2)'!G171</f>
        <v>0</v>
      </c>
      <c r="AQ117" s="1348"/>
      <c r="AR117" s="1328"/>
      <c r="AS117" s="1349" t="n">
        <f aca="false">+$AO117*'ref.지급기준 (2)'!G171</f>
        <v>0</v>
      </c>
      <c r="AT117" s="1347" t="n">
        <f aca="false">+X117</f>
        <v>0</v>
      </c>
      <c r="AU117" s="1347" t="n">
        <f aca="false">+$AO117*'ref.지급기준 (2)'!I171</f>
        <v>0</v>
      </c>
      <c r="AV117" s="1347" t="n">
        <f aca="false">+AA117</f>
        <v>0</v>
      </c>
      <c r="AW117" s="1347" t="n">
        <f aca="false">+$AO117*'ref.지급기준 (2)'!K171</f>
        <v>0</v>
      </c>
      <c r="AX117" s="1347"/>
      <c r="AY117" s="1347" t="n">
        <f aca="false">+$AO117*'ref.지급기준 (2)'!M171</f>
        <v>0</v>
      </c>
      <c r="AZ117" s="1347"/>
      <c r="BA117" s="1347" t="n">
        <f aca="false">+$AO117*'ref.지급기준 (2)'!O171</f>
        <v>0</v>
      </c>
      <c r="BB117" s="1350"/>
      <c r="BC117" s="1441"/>
      <c r="BD117" s="1278"/>
      <c r="BE117" s="1332" t="b">
        <f aca="false">+(BA117+AY117+AW117+AU117+AS117)=R117</f>
        <v>1</v>
      </c>
      <c r="BF117" s="1278"/>
      <c r="BG117" s="1278"/>
      <c r="BH117" s="1278"/>
      <c r="BI117" s="1278"/>
      <c r="BJ117" s="1278"/>
      <c r="BK117" s="1278"/>
      <c r="BL117" s="1278"/>
      <c r="BM117" s="1278"/>
      <c r="BN117" s="1278"/>
      <c r="BO117" s="1333"/>
      <c r="BP117" s="1333"/>
    </row>
    <row r="118" customFormat="false" ht="16.5" hidden="false" customHeight="true" outlineLevel="0" collapsed="false">
      <c r="A118" s="1307"/>
      <c r="B118" s="1480"/>
      <c r="C118" s="1481"/>
      <c r="D118" s="1472"/>
      <c r="E118" s="1482"/>
      <c r="F118" s="1483"/>
      <c r="G118" s="1472"/>
      <c r="H118" s="1472"/>
      <c r="I118" s="1310"/>
      <c r="J118" s="1476"/>
      <c r="K118" s="1453"/>
      <c r="L118" s="1376"/>
      <c r="M118" s="1364"/>
      <c r="N118" s="1364"/>
      <c r="O118" s="1334" t="s">
        <v>507</v>
      </c>
      <c r="P118" s="1335" t="n">
        <f aca="false">+'ref.지급기준 (2)'!F172*'ref.지급기준 (2)'!D172/'ref.지급기준 (2)'!$Q$2</f>
        <v>28830000</v>
      </c>
      <c r="Q118" s="1335" t="n">
        <f aca="false">+P118*10%</f>
        <v>2883000</v>
      </c>
      <c r="R118" s="1336" t="n">
        <f aca="false">SUM(P118:Q118)</f>
        <v>31713000</v>
      </c>
      <c r="S118" s="1437" t="b">
        <f aca="false">+R118=AO118</f>
        <v>1</v>
      </c>
      <c r="T118" s="1337" t="n">
        <f aca="false">+IFERROR(U118/R118,"-")</f>
        <v>0.2</v>
      </c>
      <c r="U118" s="1338" t="n">
        <f aca="false">+IFERROR(X118+AA118+AD118+AG118+AJ118+AM118,"-")</f>
        <v>6342600</v>
      </c>
      <c r="V118" s="1343" t="n">
        <f aca="false">+IFERROR(X118/$R118,"-")</f>
        <v>0.2</v>
      </c>
      <c r="W118" s="1342" t="n">
        <v>45631</v>
      </c>
      <c r="X118" s="1341" t="n">
        <f aca="false">+'ref.지급기준 (2)'!G172*$R118</f>
        <v>6342600</v>
      </c>
      <c r="Y118" s="1343"/>
      <c r="Z118" s="1345" t="n">
        <v>0</v>
      </c>
      <c r="AA118" s="1345"/>
      <c r="AB118" s="1346" t="n">
        <f aca="false">AB116</f>
        <v>45777</v>
      </c>
      <c r="AC118" s="1345" t="n">
        <f aca="false">+IFERROR(AD118/$R118,"-")</f>
        <v>0</v>
      </c>
      <c r="AD118" s="1345"/>
      <c r="AE118" s="1346" t="n">
        <f aca="false">AE116</f>
        <v>45838</v>
      </c>
      <c r="AF118" s="1345" t="n">
        <f aca="false">+IFERROR(AG118/$R118,"-")</f>
        <v>0</v>
      </c>
      <c r="AG118" s="1345"/>
      <c r="AH118" s="1346" t="n">
        <f aca="false">AH116</f>
        <v>46022</v>
      </c>
      <c r="AI118" s="1345" t="str">
        <f aca="false">+IFERROR(AJ118/#REF!,"-")</f>
        <v>-</v>
      </c>
      <c r="AJ118" s="1345"/>
      <c r="AK118" s="1345"/>
      <c r="AL118" s="1345" t="str">
        <f aca="false">+IFERROR(AM118/#REF!,"-")</f>
        <v>-</v>
      </c>
      <c r="AM118" s="1345"/>
      <c r="AN118" s="1345"/>
      <c r="AO118" s="1347" t="n">
        <f aca="false">+R118</f>
        <v>31713000</v>
      </c>
      <c r="AP118" s="1347" t="n">
        <f aca="false">+AO118*'ref.지급기준 (2)'!G172</f>
        <v>6342600</v>
      </c>
      <c r="AQ118" s="1348" t="n">
        <f aca="false">+AB118</f>
        <v>45777</v>
      </c>
      <c r="AR118" s="1328"/>
      <c r="AS118" s="1349" t="n">
        <f aca="false">+$AO118*'ref.지급기준 (2)'!G172</f>
        <v>6342600</v>
      </c>
      <c r="AT118" s="1347" t="n">
        <f aca="false">+X118</f>
        <v>6342600</v>
      </c>
      <c r="AU118" s="1347" t="n">
        <f aca="false">+$AO118*'ref.지급기준 (2)'!I172</f>
        <v>6342600</v>
      </c>
      <c r="AV118" s="1347" t="n">
        <f aca="false">+AA118</f>
        <v>0</v>
      </c>
      <c r="AW118" s="1347" t="n">
        <f aca="false">+$AO118*'ref.지급기준 (2)'!K172</f>
        <v>15856500</v>
      </c>
      <c r="AX118" s="1347"/>
      <c r="AY118" s="1347" t="n">
        <f aca="false">+$AO118*'ref.지급기준 (2)'!M172</f>
        <v>3171300</v>
      </c>
      <c r="AZ118" s="1347"/>
      <c r="BA118" s="1347" t="n">
        <f aca="false">+$AO118*'ref.지급기준 (2)'!O172</f>
        <v>0</v>
      </c>
      <c r="BB118" s="1350"/>
      <c r="BC118" s="1441"/>
      <c r="BD118" s="1278"/>
      <c r="BE118" s="1332" t="b">
        <f aca="false">+(BA118+AY118+AW118+AU118+AS118)=R118</f>
        <v>1</v>
      </c>
      <c r="BF118" s="1278"/>
      <c r="BG118" s="1278"/>
      <c r="BH118" s="1278"/>
      <c r="BI118" s="1278"/>
      <c r="BJ118" s="1278"/>
      <c r="BK118" s="1278"/>
      <c r="BL118" s="1278"/>
      <c r="BM118" s="1278"/>
      <c r="BN118" s="1278"/>
      <c r="BO118" s="1333"/>
      <c r="BP118" s="1333"/>
    </row>
    <row r="119" customFormat="false" ht="16.5" hidden="false" customHeight="true" outlineLevel="0" collapsed="false">
      <c r="A119" s="1307"/>
      <c r="B119" s="1480"/>
      <c r="C119" s="1481"/>
      <c r="D119" s="1472"/>
      <c r="E119" s="1482"/>
      <c r="F119" s="1483"/>
      <c r="G119" s="1472"/>
      <c r="H119" s="1472"/>
      <c r="I119" s="1310"/>
      <c r="J119" s="1476"/>
      <c r="K119" s="1453"/>
      <c r="L119" s="1376"/>
      <c r="M119" s="1364"/>
      <c r="N119" s="1364"/>
      <c r="O119" s="1351" t="s">
        <v>508</v>
      </c>
      <c r="P119" s="1352" t="n">
        <f aca="false">+'DG-PV Organic'!AI7</f>
        <v>28830000</v>
      </c>
      <c r="Q119" s="1457" t="n">
        <f aca="false">+P119*0.1</f>
        <v>2883000</v>
      </c>
      <c r="R119" s="1353" t="n">
        <f aca="false">SUM(P119:Q119)</f>
        <v>31713000</v>
      </c>
      <c r="S119" s="1437" t="b">
        <f aca="false">+R119=AO119</f>
        <v>1</v>
      </c>
      <c r="T119" s="1355"/>
      <c r="U119" s="668"/>
      <c r="V119" s="1355" t="n">
        <f aca="false">+IFERROR(X119/$R119,"-")</f>
        <v>0</v>
      </c>
      <c r="W119" s="1357"/>
      <c r="X119" s="1357"/>
      <c r="Y119" s="1357"/>
      <c r="Z119" s="1357" t="n">
        <f aca="false">+IFERROR(AA119/$R119,"-")</f>
        <v>0</v>
      </c>
      <c r="AA119" s="1357"/>
      <c r="AB119" s="1358"/>
      <c r="AC119" s="1357" t="n">
        <f aca="false">+IFERROR(AD119/$R119,"-")</f>
        <v>0</v>
      </c>
      <c r="AD119" s="1357"/>
      <c r="AE119" s="1358"/>
      <c r="AF119" s="1357" t="n">
        <f aca="false">+IFERROR(AG119/$R119,"-")</f>
        <v>0</v>
      </c>
      <c r="AG119" s="1357"/>
      <c r="AH119" s="1358"/>
      <c r="AI119" s="1357" t="str">
        <f aca="false">+IFERROR(AJ119/#REF!,"-")</f>
        <v>-</v>
      </c>
      <c r="AJ119" s="1357"/>
      <c r="AK119" s="1357"/>
      <c r="AL119" s="1357"/>
      <c r="AM119" s="1357"/>
      <c r="AN119" s="1357"/>
      <c r="AO119" s="1359" t="n">
        <f aca="false">+R119</f>
        <v>31713000</v>
      </c>
      <c r="AP119" s="1359" t="n">
        <f aca="false">+AS119+AU119</f>
        <v>31713000</v>
      </c>
      <c r="AQ119" s="1360"/>
      <c r="AR119" s="1328"/>
      <c r="AS119" s="1361" t="n">
        <f aca="false">+$AO119*'ref.지급기준 (2)'!G168</f>
        <v>31713000</v>
      </c>
      <c r="AT119" s="1359" t="n">
        <f aca="false">+X119</f>
        <v>0</v>
      </c>
      <c r="AU119" s="1359" t="n">
        <f aca="false">+$AO119*'ref.지급기준 (2)'!I168</f>
        <v>0</v>
      </c>
      <c r="AV119" s="1359" t="n">
        <f aca="false">+AA119</f>
        <v>0</v>
      </c>
      <c r="AW119" s="1359" t="n">
        <f aca="false">+$AO119*'ref.지급기준 (2)'!K168</f>
        <v>0</v>
      </c>
      <c r="AX119" s="1359"/>
      <c r="AY119" s="1359" t="n">
        <f aca="false">+$AO119*'ref.지급기준 (2)'!M168</f>
        <v>0</v>
      </c>
      <c r="AZ119" s="1359"/>
      <c r="BA119" s="1359" t="n">
        <f aca="false">+$AO119*'ref.지급기준 (2)'!O168</f>
        <v>0</v>
      </c>
      <c r="BB119" s="1362"/>
      <c r="BC119" s="1441"/>
      <c r="BD119" s="1278"/>
      <c r="BE119" s="1278"/>
      <c r="BF119" s="1278"/>
      <c r="BG119" s="1278"/>
      <c r="BH119" s="1278"/>
      <c r="BI119" s="1278"/>
      <c r="BJ119" s="1278"/>
      <c r="BK119" s="1278"/>
      <c r="BL119" s="1278"/>
      <c r="BM119" s="1278"/>
      <c r="BN119" s="1278"/>
      <c r="BO119" s="1333"/>
      <c r="BP119" s="1333"/>
    </row>
    <row r="120" customFormat="false" ht="16.5" hidden="false" customHeight="true" outlineLevel="0" collapsed="false">
      <c r="A120" s="1307"/>
      <c r="B120" s="1480"/>
      <c r="C120" s="1481"/>
      <c r="D120" s="1472"/>
      <c r="E120" s="1482"/>
      <c r="F120" s="1483"/>
      <c r="G120" s="1472"/>
      <c r="H120" s="1472"/>
      <c r="I120" s="1310" t="s">
        <v>1511</v>
      </c>
      <c r="J120" s="1476" t="s">
        <v>829</v>
      </c>
      <c r="K120" s="1414" t="n">
        <f aca="false">+'ref.지급기준 (2)'!D174</f>
        <v>138.43</v>
      </c>
      <c r="L120" s="1402" t="n">
        <f aca="false">+'DG-PV Organic'!H8</f>
        <v>0.0917</v>
      </c>
      <c r="M120" s="1313" t="n">
        <f aca="false">+'DG-PV Organic'!J8</f>
        <v>0.093</v>
      </c>
      <c r="N120" s="1313" t="s">
        <v>1454</v>
      </c>
      <c r="O120" s="1314" t="s">
        <v>112</v>
      </c>
      <c r="P120" s="1315" t="n">
        <f aca="false">+'DG-PV Organic'!AL8</f>
        <v>145351500</v>
      </c>
      <c r="Q120" s="1315" t="n">
        <f aca="false">+P120*10%</f>
        <v>14535150</v>
      </c>
      <c r="R120" s="1383" t="n">
        <f aca="false">SUM(P120:Q120)</f>
        <v>159886650</v>
      </c>
      <c r="S120" s="1437" t="b">
        <f aca="false">+R120=AO120</f>
        <v>1</v>
      </c>
      <c r="T120" s="1323" t="n">
        <f aca="false">+IFERROR(U120/R120,"-")</f>
        <v>0</v>
      </c>
      <c r="U120" s="1368" t="n">
        <f aca="false">+IFERROR(X120+AA120+AD120+AG120+AJ120+AM120,"-")</f>
        <v>0</v>
      </c>
      <c r="V120" s="1345" t="n">
        <f aca="false">+IFERROR(X120/$R120,"-")</f>
        <v>0</v>
      </c>
      <c r="W120" s="1346" t="n">
        <f aca="false">AE121</f>
        <v>45838</v>
      </c>
      <c r="X120" s="1395"/>
      <c r="Y120" s="1345"/>
      <c r="Z120" s="1345" t="n">
        <f aca="false">+IFERROR(AA120/$R120,"-")</f>
        <v>0</v>
      </c>
      <c r="AA120" s="1345"/>
      <c r="AB120" s="1346" t="n">
        <f aca="false">+EDATE(W120,1)</f>
        <v>45868</v>
      </c>
      <c r="AC120" s="1345" t="n">
        <f aca="false">+IFERROR(AD120/$R120,"-")</f>
        <v>0</v>
      </c>
      <c r="AD120" s="1345"/>
      <c r="AE120" s="1346" t="n">
        <f aca="false">+EDATE(AB120,3)</f>
        <v>45960</v>
      </c>
      <c r="AF120" s="1345" t="n">
        <f aca="false">+IFERROR(AG120/$R120,"-")</f>
        <v>0</v>
      </c>
      <c r="AG120" s="1345"/>
      <c r="AH120" s="1346" t="n">
        <f aca="false">+EDATE(AB120,4)</f>
        <v>45991</v>
      </c>
      <c r="AI120" s="1345" t="str">
        <f aca="false">+IFERROR(AJ120/#REF!,"-")</f>
        <v>-</v>
      </c>
      <c r="AJ120" s="1345"/>
      <c r="AK120" s="1346" t="n">
        <f aca="false">+EDATE(AB120,6)+1</f>
        <v>46053</v>
      </c>
      <c r="AL120" s="1345" t="str">
        <f aca="false">+IFERROR(AM120/#REF!,"-")</f>
        <v>-</v>
      </c>
      <c r="AM120" s="1345"/>
      <c r="AN120" s="1345"/>
      <c r="AO120" s="1347" t="n">
        <f aca="false">+R120</f>
        <v>159886650</v>
      </c>
      <c r="AP120" s="1347" t="n">
        <f aca="false">+AO120*'ref.지급기준 (2)'!G174</f>
        <v>15988665</v>
      </c>
      <c r="AQ120" s="1348" t="n">
        <f aca="false">+W120</f>
        <v>45838</v>
      </c>
      <c r="AR120" s="1328"/>
      <c r="AS120" s="1349" t="n">
        <f aca="false">+$AO120*'ref.지급기준 (2)'!G174</f>
        <v>15988665</v>
      </c>
      <c r="AT120" s="1347" t="n">
        <f aca="false">+X120</f>
        <v>0</v>
      </c>
      <c r="AU120" s="1347" t="n">
        <f aca="false">+$AO120*'ref.지급기준 (2)'!I174</f>
        <v>31977330</v>
      </c>
      <c r="AV120" s="1347" t="n">
        <f aca="false">+AA120</f>
        <v>0</v>
      </c>
      <c r="AW120" s="1347" t="n">
        <f aca="false">+$AO120*'ref.지급기준 (2)'!K174</f>
        <v>63954660</v>
      </c>
      <c r="AX120" s="1347"/>
      <c r="AY120" s="1347" t="n">
        <f aca="false">+$AO120*'ref.지급기준 (2)'!M174</f>
        <v>39971662.5</v>
      </c>
      <c r="AZ120" s="1347"/>
      <c r="BA120" s="1347" t="n">
        <f aca="false">+$AO120*'ref.지급기준 (2)'!O174</f>
        <v>7994332.5</v>
      </c>
      <c r="BB120" s="1350"/>
      <c r="BC120" s="1441" t="s">
        <v>1509</v>
      </c>
      <c r="BD120" s="1278"/>
      <c r="BE120" s="1332" t="b">
        <f aca="false">+(BA120+AY120+AW120+AU120+AS120)=R120</f>
        <v>1</v>
      </c>
      <c r="BF120" s="1278"/>
      <c r="BG120" s="1278"/>
      <c r="BH120" s="1278"/>
      <c r="BI120" s="1278"/>
      <c r="BJ120" s="1278"/>
      <c r="BK120" s="1278"/>
      <c r="BL120" s="1278"/>
      <c r="BM120" s="1278"/>
      <c r="BN120" s="1278"/>
      <c r="BO120" s="1333"/>
      <c r="BP120" s="1333"/>
    </row>
    <row r="121" customFormat="false" ht="16.5" hidden="false" customHeight="true" outlineLevel="0" collapsed="false">
      <c r="A121" s="1307"/>
      <c r="B121" s="1480"/>
      <c r="C121" s="1481"/>
      <c r="D121" s="1472"/>
      <c r="E121" s="1482"/>
      <c r="F121" s="1483"/>
      <c r="G121" s="1472"/>
      <c r="H121" s="1472"/>
      <c r="I121" s="1310"/>
      <c r="J121" s="1476"/>
      <c r="K121" s="1414"/>
      <c r="L121" s="1402"/>
      <c r="M121" s="1313"/>
      <c r="N121" s="1313"/>
      <c r="O121" s="1334" t="s">
        <v>114</v>
      </c>
      <c r="P121" s="1335" t="n">
        <f aca="false">+'DG-PV Organic'!AK8</f>
        <v>41529000</v>
      </c>
      <c r="Q121" s="1335" t="n">
        <f aca="false">+P121*10%</f>
        <v>4152900</v>
      </c>
      <c r="R121" s="1384" t="n">
        <f aca="false">SUM(P121:Q121)</f>
        <v>45681900</v>
      </c>
      <c r="S121" s="1437" t="b">
        <f aca="false">+R121=AO121</f>
        <v>1</v>
      </c>
      <c r="T121" s="1337" t="n">
        <f aca="false">+IFERROR(U121/R121,"-")</f>
        <v>0.2</v>
      </c>
      <c r="U121" s="1338" t="n">
        <f aca="false">+IFERROR(X121+AA121+AD121+AG121+AJ121+AM121,"-")</f>
        <v>9136380</v>
      </c>
      <c r="V121" s="1343" t="n">
        <f aca="false">+IFERROR(X121/$R121,"-")</f>
        <v>0.2</v>
      </c>
      <c r="W121" s="1442" t="n">
        <v>45631</v>
      </c>
      <c r="X121" s="1341" t="n">
        <f aca="false">+'ref.지급기준 (2)'!G175*$R121</f>
        <v>9136380</v>
      </c>
      <c r="Y121" s="1343"/>
      <c r="Z121" s="1345" t="n">
        <f aca="false">+IFERROR(AA121/$R121,"-")</f>
        <v>0</v>
      </c>
      <c r="AA121" s="1397"/>
      <c r="AB121" s="1346" t="n">
        <v>45777</v>
      </c>
      <c r="AC121" s="1345" t="n">
        <f aca="false">+IFERROR(AD121/$R121,"-")</f>
        <v>0</v>
      </c>
      <c r="AD121" s="1345"/>
      <c r="AE121" s="1346" t="n">
        <f aca="false">EDATE(AB121,2)</f>
        <v>45838</v>
      </c>
      <c r="AF121" s="1345" t="n">
        <f aca="false">+IFERROR(AG121/$R121,"-")</f>
        <v>0</v>
      </c>
      <c r="AG121" s="1345"/>
      <c r="AH121" s="1346" t="n">
        <f aca="false">+EDATE(AB120,5)+1</f>
        <v>46022</v>
      </c>
      <c r="AI121" s="1345" t="str">
        <f aca="false">+IFERROR(AJ121/#REF!,"-")</f>
        <v>-</v>
      </c>
      <c r="AJ121" s="1345"/>
      <c r="AK121" s="1345"/>
      <c r="AL121" s="1345" t="str">
        <f aca="false">+IFERROR(AM121/#REF!,"-")</f>
        <v>-</v>
      </c>
      <c r="AM121" s="1345"/>
      <c r="AN121" s="1345"/>
      <c r="AO121" s="1347" t="n">
        <f aca="false">+R121</f>
        <v>45681900</v>
      </c>
      <c r="AP121" s="1347" t="n">
        <f aca="false">+AO121*'ref.지급기준 (2)'!G175</f>
        <v>9136380</v>
      </c>
      <c r="AQ121" s="1348" t="n">
        <f aca="false">+AB121</f>
        <v>45777</v>
      </c>
      <c r="AR121" s="1328"/>
      <c r="AS121" s="1349" t="n">
        <f aca="false">+$AO121*'ref.지급기준 (2)'!G175</f>
        <v>9136380</v>
      </c>
      <c r="AT121" s="1347" t="n">
        <f aca="false">+X121</f>
        <v>9136380</v>
      </c>
      <c r="AU121" s="1347" t="n">
        <f aca="false">+$AO121*'ref.지급기준 (2)'!I175</f>
        <v>9136380</v>
      </c>
      <c r="AV121" s="1347" t="n">
        <f aca="false">+AA121</f>
        <v>0</v>
      </c>
      <c r="AW121" s="1347" t="n">
        <f aca="false">+$AO121*'ref.지급기준 (2)'!K175</f>
        <v>22840950</v>
      </c>
      <c r="AX121" s="1347"/>
      <c r="AY121" s="1347" t="n">
        <f aca="false">+$AO121*'ref.지급기준 (2)'!M175</f>
        <v>4568190</v>
      </c>
      <c r="AZ121" s="1347"/>
      <c r="BA121" s="1347" t="n">
        <f aca="false">+$AO121*'ref.지급기준 (2)'!O175</f>
        <v>0</v>
      </c>
      <c r="BB121" s="1350"/>
      <c r="BC121" s="1441"/>
      <c r="BD121" s="1278"/>
      <c r="BE121" s="1332" t="b">
        <f aca="false">+(BA121+AY121+AW121+AU121+AS121)=R121</f>
        <v>1</v>
      </c>
      <c r="BF121" s="1278"/>
      <c r="BG121" s="1278"/>
      <c r="BH121" s="1278"/>
      <c r="BI121" s="1278"/>
      <c r="BJ121" s="1278"/>
      <c r="BK121" s="1278"/>
      <c r="BL121" s="1278"/>
      <c r="BM121" s="1278"/>
      <c r="BN121" s="1278"/>
      <c r="BO121" s="1333"/>
      <c r="BP121" s="1333"/>
    </row>
    <row r="122" customFormat="false" ht="16.5" hidden="false" customHeight="true" outlineLevel="0" collapsed="false">
      <c r="A122" s="1307"/>
      <c r="B122" s="1480"/>
      <c r="C122" s="1481"/>
      <c r="D122" s="1472"/>
      <c r="E122" s="1482"/>
      <c r="F122" s="1483"/>
      <c r="G122" s="1472"/>
      <c r="H122" s="1472"/>
      <c r="I122" s="1310"/>
      <c r="J122" s="1476"/>
      <c r="K122" s="1414"/>
      <c r="L122" s="1402"/>
      <c r="M122" s="1313"/>
      <c r="N122" s="1313"/>
      <c r="O122" s="1334" t="s">
        <v>404</v>
      </c>
      <c r="P122" s="1335" t="n">
        <f aca="false">+'ref.지급기준 (2)'!F176*'ref.지급기준 (2)'!D176/'ref.지급기준 (2)'!$Q$2</f>
        <v>0</v>
      </c>
      <c r="Q122" s="1335"/>
      <c r="R122" s="1384" t="n">
        <f aca="false">SUM(P122:Q122)</f>
        <v>0</v>
      </c>
      <c r="S122" s="1437" t="b">
        <f aca="false">+R122=AO122</f>
        <v>1</v>
      </c>
      <c r="T122" s="1337" t="str">
        <f aca="false">+IFERROR(U122/R122,"-")</f>
        <v>-</v>
      </c>
      <c r="U122" s="1338" t="n">
        <f aca="false">+IFERROR(X122+AA122+AD122+AG122+AJ122+AM122,"-")</f>
        <v>0</v>
      </c>
      <c r="V122" s="1345" t="str">
        <f aca="false">+IFERROR(X122/$R122,"-")</f>
        <v>-</v>
      </c>
      <c r="W122" s="1444"/>
      <c r="X122" s="1395"/>
      <c r="Y122" s="1345"/>
      <c r="Z122" s="1345" t="str">
        <f aca="false">+IFERROR(AA122/$R122,"-")</f>
        <v>-</v>
      </c>
      <c r="AA122" s="1345"/>
      <c r="AB122" s="1346"/>
      <c r="AC122" s="1345" t="str">
        <f aca="false">+IFERROR(AD122/$R122,"-")</f>
        <v>-</v>
      </c>
      <c r="AD122" s="1345"/>
      <c r="AE122" s="1346"/>
      <c r="AF122" s="1345" t="str">
        <f aca="false">+IFERROR(AG122/$R122,"-")</f>
        <v>-</v>
      </c>
      <c r="AG122" s="1345"/>
      <c r="AH122" s="1346"/>
      <c r="AI122" s="1345" t="str">
        <f aca="false">+IFERROR(AJ122/#REF!,"-")</f>
        <v>-</v>
      </c>
      <c r="AJ122" s="1345"/>
      <c r="AK122" s="1345"/>
      <c r="AL122" s="1345" t="str">
        <f aca="false">+IFERROR(AM122/#REF!,"-")</f>
        <v>-</v>
      </c>
      <c r="AM122" s="1345"/>
      <c r="AN122" s="1345"/>
      <c r="AO122" s="1347" t="n">
        <f aca="false">+R122</f>
        <v>0</v>
      </c>
      <c r="AP122" s="1347" t="n">
        <f aca="false">+AO122*'ref.지급기준 (2)'!G176</f>
        <v>0</v>
      </c>
      <c r="AQ122" s="1348"/>
      <c r="AR122" s="1328"/>
      <c r="AS122" s="1349" t="n">
        <f aca="false">+$AO122*'ref.지급기준 (2)'!G176</f>
        <v>0</v>
      </c>
      <c r="AT122" s="1347" t="n">
        <f aca="false">+X122</f>
        <v>0</v>
      </c>
      <c r="AU122" s="1347" t="n">
        <f aca="false">+$AO122*'ref.지급기준 (2)'!I176</f>
        <v>0</v>
      </c>
      <c r="AV122" s="1347" t="n">
        <f aca="false">+AA122</f>
        <v>0</v>
      </c>
      <c r="AW122" s="1347" t="n">
        <f aca="false">+$AO122*'ref.지급기준 (2)'!K176</f>
        <v>0</v>
      </c>
      <c r="AX122" s="1347"/>
      <c r="AY122" s="1347" t="n">
        <f aca="false">+$AO122*'ref.지급기준 (2)'!M176</f>
        <v>0</v>
      </c>
      <c r="AZ122" s="1347"/>
      <c r="BA122" s="1347" t="n">
        <f aca="false">+$AO122*'ref.지급기준 (2)'!O176</f>
        <v>0</v>
      </c>
      <c r="BB122" s="1350"/>
      <c r="BC122" s="1441"/>
      <c r="BD122" s="1278"/>
      <c r="BE122" s="1332" t="b">
        <f aca="false">+(BA122+AY122+AW122+AU122+AS122)=R122</f>
        <v>1</v>
      </c>
      <c r="BF122" s="1278"/>
      <c r="BG122" s="1278"/>
      <c r="BH122" s="1278"/>
      <c r="BI122" s="1278"/>
      <c r="BJ122" s="1278"/>
      <c r="BK122" s="1278"/>
      <c r="BL122" s="1278"/>
      <c r="BM122" s="1278"/>
      <c r="BN122" s="1278"/>
      <c r="BO122" s="1333"/>
      <c r="BP122" s="1333"/>
    </row>
    <row r="123" customFormat="false" ht="16.5" hidden="false" customHeight="true" outlineLevel="0" collapsed="false">
      <c r="A123" s="1307"/>
      <c r="B123" s="1480"/>
      <c r="C123" s="1481"/>
      <c r="D123" s="1472"/>
      <c r="E123" s="1482"/>
      <c r="F123" s="1483"/>
      <c r="G123" s="1472"/>
      <c r="H123" s="1472"/>
      <c r="I123" s="1310"/>
      <c r="J123" s="1476"/>
      <c r="K123" s="1414"/>
      <c r="L123" s="1402"/>
      <c r="M123" s="1313"/>
      <c r="N123" s="1313"/>
      <c r="O123" s="1334" t="s">
        <v>507</v>
      </c>
      <c r="P123" s="1335" t="n">
        <f aca="false">+'DG-PV Organic'!AJ8</f>
        <v>27686000</v>
      </c>
      <c r="Q123" s="1335" t="n">
        <f aca="false">+P123*10%</f>
        <v>2768600</v>
      </c>
      <c r="R123" s="1384" t="n">
        <f aca="false">SUM(P123:Q123)</f>
        <v>30454600</v>
      </c>
      <c r="S123" s="1437" t="b">
        <f aca="false">+R123=AO123</f>
        <v>1</v>
      </c>
      <c r="T123" s="1337" t="n">
        <f aca="false">+IFERROR(U123/R123,"-")</f>
        <v>0.2</v>
      </c>
      <c r="U123" s="1338" t="n">
        <f aca="false">+IFERROR(X123+AA123+AD123+AG123+AJ123+AM123,"-")</f>
        <v>6090920</v>
      </c>
      <c r="V123" s="1343" t="n">
        <f aca="false">+IFERROR(X123/$R123,"-")</f>
        <v>0.2</v>
      </c>
      <c r="W123" s="1342" t="n">
        <v>45631</v>
      </c>
      <c r="X123" s="1341" t="n">
        <f aca="false">+'ref.지급기준 (2)'!G177*$R123</f>
        <v>6090920</v>
      </c>
      <c r="Y123" s="1343"/>
      <c r="Z123" s="1345" t="n">
        <v>0</v>
      </c>
      <c r="AA123" s="1345"/>
      <c r="AB123" s="1346" t="n">
        <f aca="false">AB121</f>
        <v>45777</v>
      </c>
      <c r="AC123" s="1345" t="n">
        <f aca="false">+IFERROR(AD123/$R123,"-")</f>
        <v>0</v>
      </c>
      <c r="AD123" s="1345"/>
      <c r="AE123" s="1346" t="n">
        <f aca="false">AE121</f>
        <v>45838</v>
      </c>
      <c r="AF123" s="1345" t="n">
        <f aca="false">+IFERROR(AG123/$R123,"-")</f>
        <v>0</v>
      </c>
      <c r="AG123" s="1345"/>
      <c r="AH123" s="1346" t="n">
        <f aca="false">AH121</f>
        <v>46022</v>
      </c>
      <c r="AI123" s="1345" t="str">
        <f aca="false">+IFERROR(AJ123/#REF!,"-")</f>
        <v>-</v>
      </c>
      <c r="AJ123" s="1345"/>
      <c r="AK123" s="1345"/>
      <c r="AL123" s="1345" t="str">
        <f aca="false">+IFERROR(AM123/#REF!,"-")</f>
        <v>-</v>
      </c>
      <c r="AM123" s="1345"/>
      <c r="AN123" s="1345"/>
      <c r="AO123" s="1347" t="n">
        <f aca="false">+R123</f>
        <v>30454600</v>
      </c>
      <c r="AP123" s="1347" t="n">
        <f aca="false">+AO123*'ref.지급기준 (2)'!G177</f>
        <v>6090920</v>
      </c>
      <c r="AQ123" s="1348" t="n">
        <f aca="false">+AB123</f>
        <v>45777</v>
      </c>
      <c r="AR123" s="1328"/>
      <c r="AS123" s="1349" t="n">
        <f aca="false">+$AO123*'ref.지급기준 (2)'!G177</f>
        <v>6090920</v>
      </c>
      <c r="AT123" s="1347" t="n">
        <f aca="false">+X123</f>
        <v>6090920</v>
      </c>
      <c r="AU123" s="1347" t="n">
        <f aca="false">+$AO123*'ref.지급기준 (2)'!I177</f>
        <v>6090920</v>
      </c>
      <c r="AV123" s="1347" t="n">
        <f aca="false">+AA123</f>
        <v>0</v>
      </c>
      <c r="AW123" s="1347" t="n">
        <f aca="false">+$AO123*'ref.지급기준 (2)'!K177</f>
        <v>15227300</v>
      </c>
      <c r="AX123" s="1347"/>
      <c r="AY123" s="1347" t="n">
        <f aca="false">+$AO123*'ref.지급기준 (2)'!M177</f>
        <v>3045460</v>
      </c>
      <c r="AZ123" s="1347"/>
      <c r="BA123" s="1347" t="n">
        <f aca="false">+$AO123*'ref.지급기준 (2)'!O177</f>
        <v>0</v>
      </c>
      <c r="BB123" s="1350"/>
      <c r="BC123" s="1441"/>
      <c r="BD123" s="1278"/>
      <c r="BE123" s="1332" t="b">
        <f aca="false">+(BA123+AY123+AW123+AU123+AS123)=R123</f>
        <v>1</v>
      </c>
      <c r="BF123" s="1278"/>
      <c r="BG123" s="1278"/>
      <c r="BH123" s="1278"/>
      <c r="BI123" s="1278"/>
      <c r="BJ123" s="1278"/>
      <c r="BK123" s="1278"/>
      <c r="BL123" s="1278"/>
      <c r="BM123" s="1278"/>
      <c r="BN123" s="1278"/>
      <c r="BO123" s="1333"/>
      <c r="BP123" s="1333"/>
    </row>
    <row r="124" customFormat="false" ht="16.5" hidden="false" customHeight="true" outlineLevel="0" collapsed="false">
      <c r="A124" s="1307"/>
      <c r="B124" s="1480"/>
      <c r="C124" s="1481"/>
      <c r="D124" s="1472"/>
      <c r="E124" s="1482"/>
      <c r="F124" s="1483"/>
      <c r="G124" s="1472"/>
      <c r="H124" s="1472"/>
      <c r="I124" s="1310"/>
      <c r="J124" s="1476"/>
      <c r="K124" s="1414"/>
      <c r="L124" s="1402"/>
      <c r="M124" s="1313"/>
      <c r="N124" s="1313"/>
      <c r="O124" s="1351" t="s">
        <v>508</v>
      </c>
      <c r="P124" s="1352" t="n">
        <f aca="false">+'DG-PV Organic'!AI8</f>
        <v>27686000</v>
      </c>
      <c r="Q124" s="1457" t="n">
        <f aca="false">+P124*0.1</f>
        <v>2768600</v>
      </c>
      <c r="R124" s="1457" t="n">
        <f aca="false">SUM(P124:Q124)</f>
        <v>30454600</v>
      </c>
      <c r="S124" s="1485" t="b">
        <f aca="false">+R124=AO124</f>
        <v>1</v>
      </c>
      <c r="T124" s="1406"/>
      <c r="U124" s="1407"/>
      <c r="V124" s="1406" t="n">
        <f aca="false">+IFERROR(X124/$R124,"-")</f>
        <v>0</v>
      </c>
      <c r="W124" s="1409"/>
      <c r="X124" s="1409"/>
      <c r="Y124" s="1409"/>
      <c r="Z124" s="1409" t="n">
        <f aca="false">+IFERROR(AA124/$R124,"-")</f>
        <v>0</v>
      </c>
      <c r="AA124" s="1409"/>
      <c r="AB124" s="1410"/>
      <c r="AC124" s="1409" t="n">
        <f aca="false">+IFERROR(AD124/$R124,"-")</f>
        <v>0</v>
      </c>
      <c r="AD124" s="1409"/>
      <c r="AE124" s="1410"/>
      <c r="AF124" s="1409" t="n">
        <f aca="false">+IFERROR(AG124/$R124,"-")</f>
        <v>0</v>
      </c>
      <c r="AG124" s="1409"/>
      <c r="AH124" s="1410"/>
      <c r="AI124" s="1409" t="str">
        <f aca="false">+IFERROR(AJ124/#REF!,"-")</f>
        <v>-</v>
      </c>
      <c r="AJ124" s="1409"/>
      <c r="AK124" s="1409"/>
      <c r="AL124" s="1409"/>
      <c r="AM124" s="1409"/>
      <c r="AN124" s="1409"/>
      <c r="AO124" s="1411" t="n">
        <f aca="false">+R124</f>
        <v>30454600</v>
      </c>
      <c r="AP124" s="1411" t="n">
        <f aca="false">+AS124+AU124</f>
        <v>30454600</v>
      </c>
      <c r="AQ124" s="1412"/>
      <c r="AR124" s="1328"/>
      <c r="AS124" s="1361" t="n">
        <f aca="false">+$AO124*'ref.지급기준 (2)'!G173</f>
        <v>30454600</v>
      </c>
      <c r="AT124" s="1359" t="n">
        <f aca="false">+X124</f>
        <v>0</v>
      </c>
      <c r="AU124" s="1359" t="n">
        <f aca="false">+$AO124*'ref.지급기준 (2)'!I173</f>
        <v>0</v>
      </c>
      <c r="AV124" s="1359" t="n">
        <f aca="false">+AA124</f>
        <v>0</v>
      </c>
      <c r="AW124" s="1359" t="n">
        <f aca="false">+$AO124*'ref.지급기준 (2)'!K173</f>
        <v>0</v>
      </c>
      <c r="AX124" s="1359"/>
      <c r="AY124" s="1359" t="n">
        <f aca="false">+$AO124*'ref.지급기준 (2)'!M173</f>
        <v>0</v>
      </c>
      <c r="AZ124" s="1359"/>
      <c r="BA124" s="1359" t="n">
        <f aca="false">+$AO124*'ref.지급기준 (2)'!O173</f>
        <v>0</v>
      </c>
      <c r="BB124" s="1362"/>
      <c r="BC124" s="1441"/>
      <c r="BD124" s="1278"/>
      <c r="BE124" s="1278"/>
      <c r="BF124" s="1278"/>
      <c r="BG124" s="1278"/>
      <c r="BH124" s="1278"/>
      <c r="BI124" s="1278"/>
      <c r="BJ124" s="1278"/>
      <c r="BK124" s="1278"/>
      <c r="BL124" s="1278"/>
      <c r="BM124" s="1278"/>
      <c r="BN124" s="1278"/>
      <c r="BO124" s="1333"/>
      <c r="BP124" s="1333"/>
    </row>
    <row r="125" customFormat="false" ht="16.5" hidden="false" customHeight="true" outlineLevel="1" collapsed="false">
      <c r="A125" s="1307"/>
      <c r="B125" s="1480"/>
      <c r="C125" s="1481"/>
      <c r="D125" s="1472"/>
      <c r="E125" s="1482"/>
      <c r="F125" s="1483"/>
      <c r="G125" s="1472"/>
      <c r="H125" s="1472"/>
      <c r="I125" s="1478"/>
      <c r="J125" s="1479"/>
      <c r="K125" s="1484"/>
      <c r="L125" s="1380" t="n">
        <f aca="false">+'DG-PV Organic'!H13</f>
        <v>0.0907</v>
      </c>
      <c r="M125" s="1382" t="n">
        <f aca="false">+'DG-PV Organic'!J13</f>
        <v>0.093</v>
      </c>
      <c r="N125" s="1382" t="s">
        <v>1454</v>
      </c>
      <c r="O125" s="1314" t="s">
        <v>112</v>
      </c>
      <c r="P125" s="1315" t="n">
        <f aca="false">+'ref.지급기준 (2)'!F179*'ref.지급기준 (2)'!D179/'ref.지급기준 (2)'!$Q$2</f>
        <v>335160000</v>
      </c>
      <c r="Q125" s="1315" t="n">
        <f aca="false">+P125*10%</f>
        <v>33516000</v>
      </c>
      <c r="R125" s="1383" t="n">
        <f aca="false">SUM(P125:Q125)</f>
        <v>368676000</v>
      </c>
      <c r="S125" s="1437" t="b">
        <f aca="false">+R125=AO125</f>
        <v>1</v>
      </c>
      <c r="T125" s="1323" t="n">
        <f aca="false">+IFERROR(U125/R125,"-")</f>
        <v>0</v>
      </c>
      <c r="U125" s="1368" t="n">
        <f aca="false">+IFERROR(X125+AA125+AD125+AG125+AJ125+AM125,"-")</f>
        <v>0</v>
      </c>
      <c r="V125" s="1345" t="n">
        <f aca="false">+IFERROR(X125/$R125,"-")</f>
        <v>0</v>
      </c>
      <c r="W125" s="1346" t="n">
        <f aca="false">AE126</f>
        <v>45808</v>
      </c>
      <c r="X125" s="1395"/>
      <c r="Y125" s="1345"/>
      <c r="Z125" s="1345" t="n">
        <f aca="false">+IFERROR(AA125/$R125,"-")</f>
        <v>0</v>
      </c>
      <c r="AA125" s="1345"/>
      <c r="AB125" s="1346" t="n">
        <f aca="false">+EDATE(W125,1)</f>
        <v>45838</v>
      </c>
      <c r="AC125" s="1345" t="n">
        <f aca="false">+IFERROR(AD125/$R125,"-")</f>
        <v>0</v>
      </c>
      <c r="AD125" s="1345"/>
      <c r="AE125" s="1346" t="n">
        <f aca="false">+EDATE(AB125,3)</f>
        <v>45930</v>
      </c>
      <c r="AF125" s="1345" t="n">
        <f aca="false">+IFERROR(AG125/$R125,"-")</f>
        <v>0</v>
      </c>
      <c r="AG125" s="1345"/>
      <c r="AH125" s="1346" t="n">
        <f aca="false">+EDATE(AB125,4)</f>
        <v>45960</v>
      </c>
      <c r="AI125" s="1345" t="str">
        <f aca="false">+IFERROR(AJ125/#REF!,"-")</f>
        <v>-</v>
      </c>
      <c r="AJ125" s="1345"/>
      <c r="AK125" s="1346" t="n">
        <f aca="false">+EDATE(AB125,6)+1</f>
        <v>46022</v>
      </c>
      <c r="AL125" s="1345" t="str">
        <f aca="false">+IFERROR(AM125/#REF!,"-")</f>
        <v>-</v>
      </c>
      <c r="AM125" s="1345"/>
      <c r="AN125" s="1345"/>
      <c r="AO125" s="1347" t="n">
        <f aca="false">+R125</f>
        <v>368676000</v>
      </c>
      <c r="AP125" s="1347" t="n">
        <f aca="false">+AO125*'ref.지급기준 (2)'!G179</f>
        <v>36867600</v>
      </c>
      <c r="AQ125" s="1348" t="n">
        <f aca="false">+W125</f>
        <v>45808</v>
      </c>
      <c r="AR125" s="1328"/>
      <c r="AS125" s="1349" t="n">
        <f aca="false">+$AO125*'ref.지급기준 (2)'!G179</f>
        <v>36867600</v>
      </c>
      <c r="AT125" s="1347" t="n">
        <f aca="false">+X125</f>
        <v>0</v>
      </c>
      <c r="AU125" s="1347" t="n">
        <f aca="false">+$AO125*'ref.지급기준 (2)'!I179</f>
        <v>73735200</v>
      </c>
      <c r="AV125" s="1347" t="n">
        <f aca="false">+AA125</f>
        <v>0</v>
      </c>
      <c r="AW125" s="1347" t="n">
        <f aca="false">+$AO125*'ref.지급기준 (2)'!K179</f>
        <v>147470400</v>
      </c>
      <c r="AX125" s="1347"/>
      <c r="AY125" s="1347" t="n">
        <f aca="false">+$AO125*'ref.지급기준 (2)'!M179</f>
        <v>92169000</v>
      </c>
      <c r="AZ125" s="1347"/>
      <c r="BA125" s="1347" t="n">
        <f aca="false">+$AO125*'ref.지급기준 (2)'!O179</f>
        <v>18433800</v>
      </c>
      <c r="BB125" s="1350"/>
      <c r="BC125" s="1441" t="s">
        <v>1509</v>
      </c>
      <c r="BD125" s="1278"/>
      <c r="BE125" s="1332" t="b">
        <f aca="false">+(BA125+AY125+AW125+AU125+AS125)=R125</f>
        <v>1</v>
      </c>
      <c r="BF125" s="1278"/>
      <c r="BG125" s="1278"/>
      <c r="BH125" s="1278"/>
      <c r="BI125" s="1278"/>
      <c r="BJ125" s="1278"/>
      <c r="BK125" s="1278"/>
      <c r="BL125" s="1278"/>
      <c r="BM125" s="1278"/>
      <c r="BN125" s="1278"/>
      <c r="BO125" s="1333"/>
      <c r="BP125" s="1333"/>
    </row>
    <row r="126" customFormat="false" ht="16.5" hidden="false" customHeight="true" outlineLevel="1" collapsed="false">
      <c r="A126" s="1307"/>
      <c r="B126" s="1480"/>
      <c r="C126" s="1481"/>
      <c r="D126" s="1472"/>
      <c r="E126" s="1482"/>
      <c r="F126" s="1483"/>
      <c r="G126" s="1472"/>
      <c r="H126" s="1472"/>
      <c r="I126" s="1478"/>
      <c r="J126" s="1479"/>
      <c r="K126" s="1484"/>
      <c r="L126" s="1380"/>
      <c r="M126" s="1382"/>
      <c r="N126" s="1382"/>
      <c r="O126" s="1334" t="s">
        <v>114</v>
      </c>
      <c r="P126" s="1335" t="n">
        <f aca="false">+'ref.지급기준 (2)'!F180*'ref.지급기준 (2)'!D180/'ref.지급기준 (2)'!$Q$2</f>
        <v>95760000</v>
      </c>
      <c r="Q126" s="1335" t="n">
        <f aca="false">+P126*10%</f>
        <v>9576000</v>
      </c>
      <c r="R126" s="1384" t="n">
        <f aca="false">SUM(P126:Q126)</f>
        <v>105336000</v>
      </c>
      <c r="S126" s="1437" t="b">
        <f aca="false">+R126=AO126</f>
        <v>1</v>
      </c>
      <c r="T126" s="1337" t="n">
        <f aca="false">+IFERROR(U126/R126,"-")</f>
        <v>0</v>
      </c>
      <c r="U126" s="1338" t="n">
        <f aca="false">+IFERROR(X126+AA126+AD126+AG126+AJ126+AM126,"-")</f>
        <v>0</v>
      </c>
      <c r="V126" s="1345" t="n">
        <f aca="false">+IFERROR(X126/$R126,"-")</f>
        <v>0</v>
      </c>
      <c r="W126" s="1444" t="n">
        <v>45631</v>
      </c>
      <c r="X126" s="1395"/>
      <c r="Y126" s="1345"/>
      <c r="Z126" s="1345" t="n">
        <f aca="false">+IFERROR(AA126/$R126,"-")</f>
        <v>0</v>
      </c>
      <c r="AA126" s="1397"/>
      <c r="AB126" s="1346" t="n">
        <v>45777</v>
      </c>
      <c r="AC126" s="1345" t="n">
        <f aca="false">+IFERROR(AD126/$R126,"-")</f>
        <v>0</v>
      </c>
      <c r="AD126" s="1345"/>
      <c r="AE126" s="1346" t="n">
        <f aca="false">+EDATE(AB126,1)+1</f>
        <v>45808</v>
      </c>
      <c r="AF126" s="1345" t="n">
        <f aca="false">+IFERROR(AG126/$R126,"-")</f>
        <v>0</v>
      </c>
      <c r="AG126" s="1345"/>
      <c r="AH126" s="1346" t="n">
        <v>46022</v>
      </c>
      <c r="AI126" s="1345" t="str">
        <f aca="false">+IFERROR(AJ126/#REF!,"-")</f>
        <v>-</v>
      </c>
      <c r="AJ126" s="1345"/>
      <c r="AK126" s="1345"/>
      <c r="AL126" s="1345" t="str">
        <f aca="false">+IFERROR(AM126/#REF!,"-")</f>
        <v>-</v>
      </c>
      <c r="AM126" s="1345"/>
      <c r="AN126" s="1345"/>
      <c r="AO126" s="1347" t="n">
        <f aca="false">+R126</f>
        <v>105336000</v>
      </c>
      <c r="AP126" s="1347" t="n">
        <f aca="false">+AO126*'ref.지급기준 (2)'!G180</f>
        <v>21067200</v>
      </c>
      <c r="AQ126" s="1348" t="n">
        <f aca="false">+AB126</f>
        <v>45777</v>
      </c>
      <c r="AR126" s="1328"/>
      <c r="AS126" s="1349" t="n">
        <f aca="false">+$AO126*'ref.지급기준 (2)'!G180</f>
        <v>21067200</v>
      </c>
      <c r="AT126" s="1347" t="n">
        <f aca="false">+X126</f>
        <v>0</v>
      </c>
      <c r="AU126" s="1347" t="n">
        <f aca="false">+$AO126*'ref.지급기준 (2)'!I180</f>
        <v>21067200</v>
      </c>
      <c r="AV126" s="1347" t="n">
        <f aca="false">+AA126</f>
        <v>0</v>
      </c>
      <c r="AW126" s="1347" t="n">
        <f aca="false">+$AO126*'ref.지급기준 (2)'!K180</f>
        <v>52668000</v>
      </c>
      <c r="AX126" s="1347"/>
      <c r="AY126" s="1347" t="n">
        <f aca="false">+$AO126*'ref.지급기준 (2)'!M180</f>
        <v>10533600</v>
      </c>
      <c r="AZ126" s="1347"/>
      <c r="BA126" s="1347" t="n">
        <f aca="false">+$AO126*'ref.지급기준 (2)'!O180</f>
        <v>0</v>
      </c>
      <c r="BB126" s="1350"/>
      <c r="BC126" s="1441"/>
      <c r="BD126" s="1278"/>
      <c r="BE126" s="1332" t="b">
        <f aca="false">+(BA126+AY126+AW126+AU126+AS126)=R126</f>
        <v>1</v>
      </c>
      <c r="BF126" s="1278"/>
      <c r="BG126" s="1278"/>
      <c r="BH126" s="1278"/>
      <c r="BI126" s="1278"/>
      <c r="BJ126" s="1278"/>
      <c r="BK126" s="1278"/>
      <c r="BL126" s="1278"/>
      <c r="BM126" s="1278"/>
      <c r="BN126" s="1278"/>
      <c r="BO126" s="1333"/>
      <c r="BP126" s="1333"/>
    </row>
    <row r="127" customFormat="false" ht="16.5" hidden="false" customHeight="true" outlineLevel="1" collapsed="false">
      <c r="A127" s="1307"/>
      <c r="B127" s="1480"/>
      <c r="C127" s="1481"/>
      <c r="D127" s="1472"/>
      <c r="E127" s="1482"/>
      <c r="F127" s="1483"/>
      <c r="G127" s="1472"/>
      <c r="H127" s="1472"/>
      <c r="I127" s="1478"/>
      <c r="J127" s="1479"/>
      <c r="K127" s="1484"/>
      <c r="L127" s="1380"/>
      <c r="M127" s="1382"/>
      <c r="N127" s="1382"/>
      <c r="O127" s="1334" t="s">
        <v>404</v>
      </c>
      <c r="P127" s="1335" t="n">
        <f aca="false">+'ref.지급기준 (2)'!F181*'ref.지급기준 (2)'!D181/'ref.지급기준 (2)'!$Q$2</f>
        <v>0</v>
      </c>
      <c r="Q127" s="1335"/>
      <c r="R127" s="1384" t="n">
        <f aca="false">SUM(P127:Q127)</f>
        <v>0</v>
      </c>
      <c r="S127" s="1437" t="b">
        <f aca="false">+R127=AO127</f>
        <v>1</v>
      </c>
      <c r="T127" s="1337" t="str">
        <f aca="false">+IFERROR(U127/R127,"-")</f>
        <v>-</v>
      </c>
      <c r="U127" s="1338" t="n">
        <f aca="false">+IFERROR(X127+AA127+AD127+AG127+AJ127+AM127,"-")</f>
        <v>0</v>
      </c>
      <c r="V127" s="1345" t="str">
        <f aca="false">+IFERROR(X127/$R127,"-")</f>
        <v>-</v>
      </c>
      <c r="W127" s="1444"/>
      <c r="X127" s="1395"/>
      <c r="Y127" s="1345"/>
      <c r="Z127" s="1345" t="str">
        <f aca="false">+IFERROR(AA127/$R127,"-")</f>
        <v>-</v>
      </c>
      <c r="AA127" s="1345"/>
      <c r="AB127" s="1346"/>
      <c r="AC127" s="1345" t="str">
        <f aca="false">+IFERROR(AD127/$R127,"-")</f>
        <v>-</v>
      </c>
      <c r="AD127" s="1345"/>
      <c r="AE127" s="1346"/>
      <c r="AF127" s="1345" t="str">
        <f aca="false">+IFERROR(AG127/$R127,"-")</f>
        <v>-</v>
      </c>
      <c r="AG127" s="1345"/>
      <c r="AH127" s="1346"/>
      <c r="AI127" s="1345" t="str">
        <f aca="false">+IFERROR(AJ127/#REF!,"-")</f>
        <v>-</v>
      </c>
      <c r="AJ127" s="1345"/>
      <c r="AK127" s="1345"/>
      <c r="AL127" s="1345" t="str">
        <f aca="false">+IFERROR(AM127/#REF!,"-")</f>
        <v>-</v>
      </c>
      <c r="AM127" s="1345"/>
      <c r="AN127" s="1345"/>
      <c r="AO127" s="1347" t="n">
        <f aca="false">+R127</f>
        <v>0</v>
      </c>
      <c r="AP127" s="1347" t="n">
        <f aca="false">+AO127*'ref.지급기준 (2)'!G181</f>
        <v>0</v>
      </c>
      <c r="AQ127" s="1348"/>
      <c r="AR127" s="1328"/>
      <c r="AS127" s="1349" t="n">
        <f aca="false">+$AO127*'ref.지급기준 (2)'!G181</f>
        <v>0</v>
      </c>
      <c r="AT127" s="1347" t="n">
        <f aca="false">+X127</f>
        <v>0</v>
      </c>
      <c r="AU127" s="1347" t="n">
        <f aca="false">+$AO127*'ref.지급기준 (2)'!I181</f>
        <v>0</v>
      </c>
      <c r="AV127" s="1347" t="n">
        <f aca="false">+AA127</f>
        <v>0</v>
      </c>
      <c r="AW127" s="1347" t="n">
        <f aca="false">+$AO127*'ref.지급기준 (2)'!K181</f>
        <v>0</v>
      </c>
      <c r="AX127" s="1347"/>
      <c r="AY127" s="1347" t="n">
        <f aca="false">+$AO127*'ref.지급기준 (2)'!M181</f>
        <v>0</v>
      </c>
      <c r="AZ127" s="1347"/>
      <c r="BA127" s="1347" t="n">
        <f aca="false">+$AO127*'ref.지급기준 (2)'!O181</f>
        <v>0</v>
      </c>
      <c r="BB127" s="1350"/>
      <c r="BC127" s="1441"/>
      <c r="BD127" s="1278"/>
      <c r="BE127" s="1332" t="b">
        <f aca="false">+(BA127+AY127+AW127+AU127+AS127)=R127</f>
        <v>1</v>
      </c>
      <c r="BF127" s="1278"/>
      <c r="BG127" s="1278"/>
      <c r="BH127" s="1278"/>
      <c r="BI127" s="1278"/>
      <c r="BJ127" s="1278"/>
      <c r="BK127" s="1278"/>
      <c r="BL127" s="1278"/>
      <c r="BM127" s="1278"/>
      <c r="BN127" s="1278"/>
      <c r="BO127" s="1333"/>
      <c r="BP127" s="1333"/>
    </row>
    <row r="128" customFormat="false" ht="16.5" hidden="false" customHeight="true" outlineLevel="1" collapsed="false">
      <c r="A128" s="1307"/>
      <c r="B128" s="1480"/>
      <c r="C128" s="1481"/>
      <c r="D128" s="1472"/>
      <c r="E128" s="1482"/>
      <c r="F128" s="1483"/>
      <c r="G128" s="1472"/>
      <c r="H128" s="1472"/>
      <c r="I128" s="1478"/>
      <c r="J128" s="1479"/>
      <c r="K128" s="1484"/>
      <c r="L128" s="1380"/>
      <c r="M128" s="1382"/>
      <c r="N128" s="1382"/>
      <c r="O128" s="1334" t="s">
        <v>507</v>
      </c>
      <c r="P128" s="1335" t="n">
        <f aca="false">+'ref.지급기준 (2)'!F182*'ref.지급기준 (2)'!D182/'ref.지급기준 (2)'!$Q$2</f>
        <v>63840000</v>
      </c>
      <c r="Q128" s="1335" t="n">
        <f aca="false">+P128*10%</f>
        <v>6384000</v>
      </c>
      <c r="R128" s="1384" t="n">
        <f aca="false">SUM(P128:Q128)</f>
        <v>70224000</v>
      </c>
      <c r="S128" s="1437" t="b">
        <f aca="false">+R128=AO128</f>
        <v>1</v>
      </c>
      <c r="T128" s="1337" t="n">
        <f aca="false">+IFERROR(U128/R128,"-")</f>
        <v>0</v>
      </c>
      <c r="U128" s="1338" t="n">
        <f aca="false">+IFERROR(X128+AA128+AD128+AG128+AJ128+AM128,"-")</f>
        <v>0</v>
      </c>
      <c r="V128" s="1345" t="n">
        <f aca="false">+IFERROR(X128/$R128,"-")</f>
        <v>0</v>
      </c>
      <c r="W128" s="1346" t="n">
        <v>45631</v>
      </c>
      <c r="X128" s="1395"/>
      <c r="Y128" s="1345"/>
      <c r="Z128" s="1345" t="n">
        <v>0</v>
      </c>
      <c r="AA128" s="1345"/>
      <c r="AB128" s="1346" t="n">
        <f aca="false">AB126</f>
        <v>45777</v>
      </c>
      <c r="AC128" s="1345" t="n">
        <f aca="false">+IFERROR(AD128/$R128,"-")</f>
        <v>0</v>
      </c>
      <c r="AD128" s="1345"/>
      <c r="AE128" s="1346" t="n">
        <f aca="false">AE126</f>
        <v>45808</v>
      </c>
      <c r="AF128" s="1345" t="n">
        <f aca="false">+IFERROR(AG128/$R128,"-")</f>
        <v>0</v>
      </c>
      <c r="AG128" s="1345"/>
      <c r="AH128" s="1346" t="n">
        <f aca="false">AH126</f>
        <v>46022</v>
      </c>
      <c r="AI128" s="1345" t="str">
        <f aca="false">+IFERROR(AJ128/#REF!,"-")</f>
        <v>-</v>
      </c>
      <c r="AJ128" s="1345"/>
      <c r="AK128" s="1345"/>
      <c r="AL128" s="1345" t="str">
        <f aca="false">+IFERROR(AM128/#REF!,"-")</f>
        <v>-</v>
      </c>
      <c r="AM128" s="1345"/>
      <c r="AN128" s="1345"/>
      <c r="AO128" s="1347" t="n">
        <f aca="false">+R128</f>
        <v>70224000</v>
      </c>
      <c r="AP128" s="1347" t="n">
        <f aca="false">+AO128*'ref.지급기준 (2)'!G182</f>
        <v>14044800</v>
      </c>
      <c r="AQ128" s="1348" t="n">
        <f aca="false">+AB128</f>
        <v>45777</v>
      </c>
      <c r="AR128" s="1328"/>
      <c r="AS128" s="1349" t="n">
        <f aca="false">+$AO128*'ref.지급기준 (2)'!G182</f>
        <v>14044800</v>
      </c>
      <c r="AT128" s="1347" t="n">
        <f aca="false">+X128</f>
        <v>0</v>
      </c>
      <c r="AU128" s="1347" t="n">
        <f aca="false">+$AO128*'ref.지급기준 (2)'!I182</f>
        <v>14044800</v>
      </c>
      <c r="AV128" s="1347" t="n">
        <f aca="false">+AA128</f>
        <v>0</v>
      </c>
      <c r="AW128" s="1347" t="n">
        <f aca="false">+$AO128*'ref.지급기준 (2)'!K182</f>
        <v>35112000</v>
      </c>
      <c r="AX128" s="1347"/>
      <c r="AY128" s="1347" t="n">
        <f aca="false">+$AO128*'ref.지급기준 (2)'!M182</f>
        <v>7022400</v>
      </c>
      <c r="AZ128" s="1347"/>
      <c r="BA128" s="1347" t="n">
        <f aca="false">+$AO128*'ref.지급기준 (2)'!O182</f>
        <v>0</v>
      </c>
      <c r="BB128" s="1350"/>
      <c r="BC128" s="1441"/>
      <c r="BD128" s="1278"/>
      <c r="BE128" s="1332" t="b">
        <f aca="false">+(BA128+AY128+AW128+AU128+AS128)=R128</f>
        <v>1</v>
      </c>
      <c r="BF128" s="1278"/>
      <c r="BG128" s="1278"/>
      <c r="BH128" s="1278"/>
      <c r="BI128" s="1278"/>
      <c r="BJ128" s="1278"/>
      <c r="BK128" s="1278"/>
      <c r="BL128" s="1278"/>
      <c r="BM128" s="1278"/>
      <c r="BN128" s="1278"/>
      <c r="BO128" s="1333"/>
      <c r="BP128" s="1333"/>
    </row>
    <row r="129" customFormat="false" ht="16.5" hidden="false" customHeight="true" outlineLevel="1" collapsed="false">
      <c r="A129" s="1307"/>
      <c r="B129" s="1480"/>
      <c r="C129" s="1481"/>
      <c r="D129" s="1472"/>
      <c r="E129" s="1482"/>
      <c r="F129" s="1483"/>
      <c r="G129" s="1472"/>
      <c r="H129" s="1472"/>
      <c r="I129" s="1478"/>
      <c r="J129" s="1479"/>
      <c r="K129" s="1484"/>
      <c r="L129" s="1380"/>
      <c r="M129" s="1382"/>
      <c r="N129" s="1382"/>
      <c r="O129" s="1385" t="s">
        <v>508</v>
      </c>
      <c r="P129" s="1386" t="n">
        <f aca="false">+'DG-PV Organic'!AI13</f>
        <v>613060000</v>
      </c>
      <c r="Q129" s="1387" t="n">
        <f aca="false">+P129*0.1</f>
        <v>61306000</v>
      </c>
      <c r="R129" s="1387" t="n">
        <f aca="false">SUM(P129:Q129)</f>
        <v>674366000</v>
      </c>
      <c r="S129" s="1437" t="b">
        <f aca="false">+R129=AO129</f>
        <v>1</v>
      </c>
      <c r="T129" s="1445"/>
      <c r="U129" s="1446"/>
      <c r="V129" s="1445" t="n">
        <f aca="false">+IFERROR(X129/$R129,"-")</f>
        <v>0</v>
      </c>
      <c r="W129" s="1447"/>
      <c r="X129" s="1447"/>
      <c r="Y129" s="1447"/>
      <c r="Z129" s="1447" t="n">
        <f aca="false">+IFERROR(AA129/$R129,"-")</f>
        <v>0</v>
      </c>
      <c r="AA129" s="1447"/>
      <c r="AB129" s="1448"/>
      <c r="AC129" s="1447" t="n">
        <f aca="false">+IFERROR(AD129/$R129,"-")</f>
        <v>0</v>
      </c>
      <c r="AD129" s="1447"/>
      <c r="AE129" s="1448"/>
      <c r="AF129" s="1447" t="n">
        <f aca="false">+IFERROR(AG129/$R129,"-")</f>
        <v>0</v>
      </c>
      <c r="AG129" s="1447"/>
      <c r="AH129" s="1448"/>
      <c r="AI129" s="1447" t="str">
        <f aca="false">+IFERROR(AJ129/#REF!,"-")</f>
        <v>-</v>
      </c>
      <c r="AJ129" s="1447"/>
      <c r="AK129" s="1447"/>
      <c r="AL129" s="1447"/>
      <c r="AM129" s="1447"/>
      <c r="AN129" s="1447"/>
      <c r="AO129" s="1449" t="n">
        <f aca="false">+R129</f>
        <v>674366000</v>
      </c>
      <c r="AP129" s="1449" t="n">
        <f aca="false">+AS129+AU129</f>
        <v>674366000</v>
      </c>
      <c r="AQ129" s="1450"/>
      <c r="AR129" s="1328"/>
      <c r="AS129" s="1361" t="n">
        <f aca="false">+$AO129*'ref.지급기준 (2)'!G178</f>
        <v>674366000</v>
      </c>
      <c r="AT129" s="1359" t="n">
        <f aca="false">+X129</f>
        <v>0</v>
      </c>
      <c r="AU129" s="1359" t="n">
        <f aca="false">+$AO129*'ref.지급기준 (2)'!I178</f>
        <v>0</v>
      </c>
      <c r="AV129" s="1359" t="n">
        <f aca="false">+AA129</f>
        <v>0</v>
      </c>
      <c r="AW129" s="1359" t="n">
        <f aca="false">+$AO129*'ref.지급기준 (2)'!K178</f>
        <v>0</v>
      </c>
      <c r="AX129" s="1359"/>
      <c r="AY129" s="1359" t="n">
        <f aca="false">+$AO129*'ref.지급기준 (2)'!M178</f>
        <v>0</v>
      </c>
      <c r="AZ129" s="1359"/>
      <c r="BA129" s="1359" t="n">
        <f aca="false">+$AO129*'ref.지급기준 (2)'!O178</f>
        <v>0</v>
      </c>
      <c r="BB129" s="1362"/>
      <c r="BC129" s="1441"/>
      <c r="BD129" s="1278"/>
      <c r="BE129" s="1278"/>
      <c r="BF129" s="1278"/>
      <c r="BG129" s="1278"/>
      <c r="BH129" s="1278"/>
      <c r="BI129" s="1278"/>
      <c r="BJ129" s="1278"/>
      <c r="BK129" s="1278"/>
      <c r="BL129" s="1278"/>
      <c r="BM129" s="1278"/>
      <c r="BN129" s="1278"/>
      <c r="BO129" s="1333"/>
      <c r="BP129" s="1333"/>
    </row>
    <row r="130" customFormat="false" ht="16.5" hidden="false" customHeight="true" outlineLevel="0" collapsed="false">
      <c r="A130" s="1486"/>
      <c r="B130" s="1487" t="n">
        <v>5</v>
      </c>
      <c r="C130" s="1488" t="s">
        <v>1512</v>
      </c>
      <c r="D130" s="1489" t="s">
        <v>1513</v>
      </c>
      <c r="E130" s="1489" t="s">
        <v>1514</v>
      </c>
      <c r="F130" s="1490" t="s">
        <v>1515</v>
      </c>
      <c r="G130" s="1489" t="n">
        <f aca="false">SUBTOTAL(103,I130:I159)</f>
        <v>5</v>
      </c>
      <c r="H130" s="1489" t="s">
        <v>1472</v>
      </c>
      <c r="I130" s="1491" t="s">
        <v>1516</v>
      </c>
      <c r="J130" s="1492" t="s">
        <v>1517</v>
      </c>
      <c r="K130" s="1493" t="n">
        <f aca="false">+'ref.지급기준 (2)'!D179</f>
        <v>319.2</v>
      </c>
      <c r="L130" s="1494" t="n">
        <f aca="false">+'DG-PV Organic'!H3</f>
        <v>0.0897</v>
      </c>
      <c r="M130" s="1495" t="n">
        <f aca="false">+'DG-PV Organic'!J3</f>
        <v>0.093</v>
      </c>
      <c r="N130" s="1495" t="s">
        <v>1454</v>
      </c>
      <c r="O130" s="1496" t="s">
        <v>112</v>
      </c>
      <c r="P130" s="1497" t="n">
        <f aca="false">+'DG-PV Organic'!AL3</f>
        <v>335160000</v>
      </c>
      <c r="Q130" s="1497" t="n">
        <f aca="false">+P130*10%</f>
        <v>33516000</v>
      </c>
      <c r="R130" s="1498" t="n">
        <f aca="false">SUM(P130:Q130)</f>
        <v>368676000</v>
      </c>
      <c r="S130" s="1499" t="b">
        <f aca="false">+R130=AO130</f>
        <v>1</v>
      </c>
      <c r="T130" s="1500" t="n">
        <f aca="false">+IFERROR(U130/R130,"-")</f>
        <v>0</v>
      </c>
      <c r="U130" s="1501" t="n">
        <f aca="false">+IFERROR(X130+AA130+AD130+AG130+AJ130+AM130,"-")</f>
        <v>0</v>
      </c>
      <c r="V130" s="1502" t="n">
        <f aca="false">+IFERROR(X130/$R130,"-")</f>
        <v>0</v>
      </c>
      <c r="W130" s="1503" t="n">
        <f aca="false">AE131</f>
        <v>45777</v>
      </c>
      <c r="X130" s="1504"/>
      <c r="Y130" s="1502"/>
      <c r="Z130" s="1502" t="n">
        <f aca="false">+IFERROR(AA130/$R130,"-")</f>
        <v>0</v>
      </c>
      <c r="AA130" s="1502"/>
      <c r="AB130" s="1505" t="n">
        <f aca="false">+EDATE(W130,1)</f>
        <v>45807</v>
      </c>
      <c r="AC130" s="1502" t="n">
        <f aca="false">+IFERROR(AD130/$R130,"-")</f>
        <v>0</v>
      </c>
      <c r="AD130" s="1502"/>
      <c r="AE130" s="1505" t="n">
        <f aca="false">+EDATE(AB130,3)</f>
        <v>45899</v>
      </c>
      <c r="AF130" s="1502" t="n">
        <f aca="false">+IFERROR(AG130/$R130,"-")</f>
        <v>0</v>
      </c>
      <c r="AG130" s="1502"/>
      <c r="AH130" s="1505" t="n">
        <f aca="false">+EDATE(AB130,4)</f>
        <v>45930</v>
      </c>
      <c r="AI130" s="1502" t="str">
        <f aca="false">+IFERROR(AJ130/#REF!,"-")</f>
        <v>-</v>
      </c>
      <c r="AJ130" s="1502"/>
      <c r="AK130" s="1505" t="n">
        <f aca="false">+EDATE(AB130,6)</f>
        <v>45991</v>
      </c>
      <c r="AL130" s="1502" t="str">
        <f aca="false">+IFERROR(AM130/#REF!,"-")</f>
        <v>-</v>
      </c>
      <c r="AM130" s="1502"/>
      <c r="AN130" s="1502"/>
      <c r="AO130" s="1506" t="n">
        <f aca="false">+R130</f>
        <v>368676000</v>
      </c>
      <c r="AP130" s="1506" t="n">
        <f aca="false">+AO130*'ref.지급기준 (2)'!G179</f>
        <v>36867600</v>
      </c>
      <c r="AQ130" s="1507" t="n">
        <f aca="false">+W130</f>
        <v>45777</v>
      </c>
      <c r="AR130" s="1328"/>
      <c r="AS130" s="1349" t="n">
        <f aca="false">+$AO130*'ref.지급기준 (2)'!G179</f>
        <v>36867600</v>
      </c>
      <c r="AT130" s="1347" t="n">
        <f aca="false">+X130</f>
        <v>0</v>
      </c>
      <c r="AU130" s="1347" t="n">
        <f aca="false">+$AO130*'ref.지급기준 (2)'!I179</f>
        <v>73735200</v>
      </c>
      <c r="AV130" s="1347" t="n">
        <f aca="false">+AA130</f>
        <v>0</v>
      </c>
      <c r="AW130" s="1347" t="n">
        <f aca="false">+$AO130*'ref.지급기준 (2)'!K179</f>
        <v>147470400</v>
      </c>
      <c r="AX130" s="1347"/>
      <c r="AY130" s="1347" t="n">
        <f aca="false">+$AO130*'ref.지급기준 (2)'!M179</f>
        <v>92169000</v>
      </c>
      <c r="AZ130" s="1347"/>
      <c r="BA130" s="1347" t="n">
        <f aca="false">+$AO130*'ref.지급기준 (2)'!O179</f>
        <v>18433800</v>
      </c>
      <c r="BB130" s="1350"/>
      <c r="BC130" s="1441" t="s">
        <v>1509</v>
      </c>
      <c r="BD130" s="1278"/>
      <c r="BE130" s="1332" t="b">
        <f aca="false">+(BA130+AY130+AW130+AU130+AS130)=R130</f>
        <v>1</v>
      </c>
      <c r="BF130" s="1278"/>
      <c r="BG130" s="1278"/>
      <c r="BH130" s="1278"/>
      <c r="BI130" s="1278"/>
      <c r="BJ130" s="1278"/>
      <c r="BK130" s="1278"/>
      <c r="BL130" s="1278"/>
      <c r="BM130" s="1278"/>
      <c r="BN130" s="1278"/>
      <c r="BO130" s="1333"/>
      <c r="BP130" s="1333"/>
    </row>
    <row r="131" customFormat="false" ht="16.5" hidden="false" customHeight="false" outlineLevel="0" collapsed="false">
      <c r="A131" s="1486"/>
      <c r="B131" s="1487"/>
      <c r="C131" s="1488"/>
      <c r="D131" s="1489"/>
      <c r="E131" s="1489"/>
      <c r="F131" s="1490"/>
      <c r="G131" s="1489"/>
      <c r="H131" s="1489"/>
      <c r="I131" s="1491"/>
      <c r="J131" s="1492"/>
      <c r="K131" s="1493"/>
      <c r="L131" s="1494"/>
      <c r="M131" s="1495"/>
      <c r="N131" s="1495"/>
      <c r="O131" s="1334" t="s">
        <v>114</v>
      </c>
      <c r="P131" s="1335" t="n">
        <f aca="false">+'DG-PV Organic'!AK3</f>
        <v>95760000</v>
      </c>
      <c r="Q131" s="1335" t="n">
        <f aca="false">+P131*10%</f>
        <v>9576000</v>
      </c>
      <c r="R131" s="1384" t="n">
        <f aca="false">SUM(P131:Q131)</f>
        <v>105336000</v>
      </c>
      <c r="S131" s="1437" t="b">
        <f aca="false">+R131=AO131</f>
        <v>1</v>
      </c>
      <c r="T131" s="1337" t="n">
        <f aca="false">+IFERROR(U131/R131,"-")</f>
        <v>0.4</v>
      </c>
      <c r="U131" s="1338" t="n">
        <f aca="false">+IFERROR(X131+AA131+AD131+AG131+AJ131+AM131,"-")</f>
        <v>42134400</v>
      </c>
      <c r="V131" s="1343" t="n">
        <f aca="false">+IFERROR(X131/$R131,"-")</f>
        <v>0.2</v>
      </c>
      <c r="W131" s="1442" t="n">
        <v>45650</v>
      </c>
      <c r="X131" s="1341" t="n">
        <v>21067200</v>
      </c>
      <c r="Y131" s="1343"/>
      <c r="Z131" s="1343" t="n">
        <f aca="false">+IFERROR(AA131/$R131,"-")</f>
        <v>0.2</v>
      </c>
      <c r="AA131" s="1344" t="n">
        <v>21067200</v>
      </c>
      <c r="AB131" s="1342" t="n">
        <v>45737</v>
      </c>
      <c r="AC131" s="1345" t="n">
        <f aca="false">+IFERROR(AD131/$R131,"-")</f>
        <v>0</v>
      </c>
      <c r="AD131" s="1345"/>
      <c r="AE131" s="1346" t="n">
        <v>45777</v>
      </c>
      <c r="AF131" s="1345" t="n">
        <f aca="false">+IFERROR(AG131/$R131,"-")</f>
        <v>0</v>
      </c>
      <c r="AG131" s="1345"/>
      <c r="AH131" s="1346" t="n">
        <v>46022</v>
      </c>
      <c r="AI131" s="1345" t="str">
        <f aca="false">+IFERROR(AJ131/#REF!,"-")</f>
        <v>-</v>
      </c>
      <c r="AJ131" s="1345"/>
      <c r="AK131" s="1345"/>
      <c r="AL131" s="1345" t="str">
        <f aca="false">+IFERROR(AM131/#REF!,"-")</f>
        <v>-</v>
      </c>
      <c r="AM131" s="1345"/>
      <c r="AN131" s="1345"/>
      <c r="AO131" s="1347" t="n">
        <f aca="false">+R131</f>
        <v>105336000</v>
      </c>
      <c r="AP131" s="1347" t="n">
        <f aca="false">+AO131*'ref.지급기준 (2)'!G180</f>
        <v>21067200</v>
      </c>
      <c r="AQ131" s="1508" t="n">
        <f aca="false">+AB131</f>
        <v>45737</v>
      </c>
      <c r="AR131" s="1328"/>
      <c r="AS131" s="1349" t="n">
        <f aca="false">+$AO131*'ref.지급기준 (2)'!G180</f>
        <v>21067200</v>
      </c>
      <c r="AT131" s="1347" t="n">
        <f aca="false">+X131</f>
        <v>21067200</v>
      </c>
      <c r="AU131" s="1347" t="n">
        <f aca="false">+$AO131*'ref.지급기준 (2)'!I180</f>
        <v>21067200</v>
      </c>
      <c r="AV131" s="1347" t="n">
        <f aca="false">+AA131</f>
        <v>21067200</v>
      </c>
      <c r="AW131" s="1347" t="n">
        <f aca="false">+$AO131*'ref.지급기준 (2)'!K180</f>
        <v>52668000</v>
      </c>
      <c r="AX131" s="1347"/>
      <c r="AY131" s="1347" t="n">
        <f aca="false">+$AO131*'ref.지급기준 (2)'!M180</f>
        <v>10533600</v>
      </c>
      <c r="AZ131" s="1347"/>
      <c r="BA131" s="1347" t="n">
        <f aca="false">+$AO131*'ref.지급기준 (2)'!O180</f>
        <v>0</v>
      </c>
      <c r="BB131" s="1350"/>
      <c r="BC131" s="1441"/>
      <c r="BD131" s="1278"/>
      <c r="BE131" s="1332" t="b">
        <f aca="false">+(BA131+AY131+AW131+AU131+AS131)=R131</f>
        <v>1</v>
      </c>
      <c r="BF131" s="1278"/>
      <c r="BG131" s="1278"/>
      <c r="BH131" s="1278"/>
      <c r="BI131" s="1278"/>
      <c r="BJ131" s="1278"/>
      <c r="BK131" s="1278"/>
      <c r="BL131" s="1278"/>
      <c r="BM131" s="1278"/>
      <c r="BN131" s="1278"/>
      <c r="BO131" s="1333"/>
      <c r="BP131" s="1333"/>
    </row>
    <row r="132" customFormat="false" ht="16.5" hidden="false" customHeight="false" outlineLevel="0" collapsed="false">
      <c r="A132" s="1486"/>
      <c r="B132" s="1487"/>
      <c r="C132" s="1488"/>
      <c r="D132" s="1489"/>
      <c r="E132" s="1489"/>
      <c r="F132" s="1490"/>
      <c r="G132" s="1489"/>
      <c r="H132" s="1489"/>
      <c r="I132" s="1491"/>
      <c r="J132" s="1492"/>
      <c r="K132" s="1493"/>
      <c r="L132" s="1494"/>
      <c r="M132" s="1495"/>
      <c r="N132" s="1495"/>
      <c r="O132" s="1334" t="s">
        <v>404</v>
      </c>
      <c r="P132" s="1335" t="n">
        <f aca="false">+'ref.지급기준 (2)'!F181*'ref.지급기준 (2)'!D181/'ref.지급기준 (2)'!$Q$2</f>
        <v>0</v>
      </c>
      <c r="Q132" s="1335"/>
      <c r="R132" s="1384" t="n">
        <f aca="false">SUM(P132:Q132)</f>
        <v>0</v>
      </c>
      <c r="S132" s="1437" t="b">
        <f aca="false">+R132=AO132</f>
        <v>1</v>
      </c>
      <c r="T132" s="1337" t="str">
        <f aca="false">+IFERROR(U132/R132,"-")</f>
        <v>-</v>
      </c>
      <c r="U132" s="1338" t="n">
        <f aca="false">+IFERROR(X132+AA132+AD132+AG132+AJ132+AM132,"-")</f>
        <v>0</v>
      </c>
      <c r="V132" s="1345" t="str">
        <f aca="false">+IFERROR(X132/$R132,"-")</f>
        <v>-</v>
      </c>
      <c r="W132" s="1444"/>
      <c r="X132" s="1395"/>
      <c r="Y132" s="1345"/>
      <c r="Z132" s="1345" t="str">
        <f aca="false">+IFERROR(AA132/$R132,"-")</f>
        <v>-</v>
      </c>
      <c r="AA132" s="1345"/>
      <c r="AB132" s="1346"/>
      <c r="AC132" s="1345" t="str">
        <f aca="false">+IFERROR(AD132/$R132,"-")</f>
        <v>-</v>
      </c>
      <c r="AD132" s="1345"/>
      <c r="AE132" s="1346"/>
      <c r="AF132" s="1345" t="str">
        <f aca="false">+IFERROR(AG132/$R132,"-")</f>
        <v>-</v>
      </c>
      <c r="AG132" s="1345"/>
      <c r="AH132" s="1346"/>
      <c r="AI132" s="1345" t="str">
        <f aca="false">+IFERROR(AJ132/#REF!,"-")</f>
        <v>-</v>
      </c>
      <c r="AJ132" s="1345"/>
      <c r="AK132" s="1345"/>
      <c r="AL132" s="1345" t="str">
        <f aca="false">+IFERROR(AM132/#REF!,"-")</f>
        <v>-</v>
      </c>
      <c r="AM132" s="1345"/>
      <c r="AN132" s="1345"/>
      <c r="AO132" s="1347" t="n">
        <f aca="false">+R132</f>
        <v>0</v>
      </c>
      <c r="AP132" s="1347" t="n">
        <f aca="false">+AO132*'ref.지급기준 (2)'!G181</f>
        <v>0</v>
      </c>
      <c r="AQ132" s="1508"/>
      <c r="AR132" s="1328"/>
      <c r="AS132" s="1349" t="n">
        <f aca="false">+$AO132*'ref.지급기준 (2)'!G181</f>
        <v>0</v>
      </c>
      <c r="AT132" s="1347" t="n">
        <f aca="false">+X132</f>
        <v>0</v>
      </c>
      <c r="AU132" s="1347" t="n">
        <f aca="false">+$AO132*'ref.지급기준 (2)'!I181</f>
        <v>0</v>
      </c>
      <c r="AV132" s="1347" t="n">
        <f aca="false">+AA132</f>
        <v>0</v>
      </c>
      <c r="AW132" s="1347" t="n">
        <f aca="false">+$AO132*'ref.지급기준 (2)'!K181</f>
        <v>0</v>
      </c>
      <c r="AX132" s="1347"/>
      <c r="AY132" s="1347" t="n">
        <f aca="false">+$AO132*'ref.지급기준 (2)'!M181</f>
        <v>0</v>
      </c>
      <c r="AZ132" s="1347"/>
      <c r="BA132" s="1347" t="n">
        <f aca="false">+$AO132*'ref.지급기준 (2)'!O181</f>
        <v>0</v>
      </c>
      <c r="BB132" s="1350"/>
      <c r="BC132" s="1441"/>
      <c r="BD132" s="1278"/>
      <c r="BE132" s="1332" t="b">
        <f aca="false">+(BA132+AY132+AW132+AU132+AS132)=R132</f>
        <v>1</v>
      </c>
      <c r="BF132" s="1278"/>
      <c r="BG132" s="1278"/>
      <c r="BH132" s="1278"/>
      <c r="BI132" s="1278"/>
      <c r="BJ132" s="1278"/>
      <c r="BK132" s="1278"/>
      <c r="BL132" s="1278"/>
      <c r="BM132" s="1278"/>
      <c r="BN132" s="1278"/>
      <c r="BO132" s="1333"/>
      <c r="BP132" s="1333"/>
    </row>
    <row r="133" customFormat="false" ht="17.25" hidden="false" customHeight="true" outlineLevel="0" collapsed="false">
      <c r="A133" s="1486"/>
      <c r="B133" s="1487"/>
      <c r="C133" s="1488"/>
      <c r="D133" s="1489"/>
      <c r="E133" s="1489"/>
      <c r="F133" s="1490"/>
      <c r="G133" s="1489"/>
      <c r="H133" s="1489"/>
      <c r="I133" s="1491"/>
      <c r="J133" s="1492"/>
      <c r="K133" s="1493"/>
      <c r="L133" s="1494"/>
      <c r="M133" s="1495"/>
      <c r="N133" s="1495"/>
      <c r="O133" s="1334" t="s">
        <v>507</v>
      </c>
      <c r="P133" s="1335" t="n">
        <f aca="false">+'DG-PV Organic'!AJ3</f>
        <v>63840000</v>
      </c>
      <c r="Q133" s="1335" t="n">
        <f aca="false">+P133*10%</f>
        <v>6384000</v>
      </c>
      <c r="R133" s="1384" t="n">
        <f aca="false">SUM(P133:Q133)</f>
        <v>70224000</v>
      </c>
      <c r="S133" s="1437" t="b">
        <f aca="false">+R133=AO133</f>
        <v>1</v>
      </c>
      <c r="T133" s="1337" t="n">
        <f aca="false">+IFERROR(U133/R133,"-")</f>
        <v>0.4</v>
      </c>
      <c r="U133" s="1338" t="n">
        <f aca="false">+IFERROR(X133+AA133+AD133+AG133+AJ133+AM133,"-")</f>
        <v>28089600</v>
      </c>
      <c r="V133" s="1343" t="n">
        <f aca="false">+IFERROR(X133/$R133,"-")</f>
        <v>0.2</v>
      </c>
      <c r="W133" s="1342" t="n">
        <v>45650</v>
      </c>
      <c r="X133" s="1341" t="n">
        <v>14044800</v>
      </c>
      <c r="Y133" s="1343"/>
      <c r="Z133" s="1343" t="n">
        <f aca="false">+IFERROR(AA133/$R133,"-")</f>
        <v>0.2</v>
      </c>
      <c r="AA133" s="1344" t="n">
        <v>14044800</v>
      </c>
      <c r="AB133" s="1342" t="n">
        <f aca="false">AB131</f>
        <v>45737</v>
      </c>
      <c r="AC133" s="1345" t="n">
        <f aca="false">+IFERROR(AD133/$R133,"-")</f>
        <v>0</v>
      </c>
      <c r="AD133" s="1345"/>
      <c r="AE133" s="1346" t="n">
        <v>45777</v>
      </c>
      <c r="AF133" s="1345" t="n">
        <f aca="false">+IFERROR(AG133/$R133,"-")</f>
        <v>0</v>
      </c>
      <c r="AG133" s="1345"/>
      <c r="AH133" s="1346" t="n">
        <v>46022</v>
      </c>
      <c r="AI133" s="1345" t="str">
        <f aca="false">+IFERROR(AJ133/#REF!,"-")</f>
        <v>-</v>
      </c>
      <c r="AJ133" s="1345"/>
      <c r="AK133" s="1345"/>
      <c r="AL133" s="1345" t="str">
        <f aca="false">+IFERROR(AM133/#REF!,"-")</f>
        <v>-</v>
      </c>
      <c r="AM133" s="1345"/>
      <c r="AN133" s="1345"/>
      <c r="AO133" s="1347" t="n">
        <f aca="false">+R133</f>
        <v>70224000</v>
      </c>
      <c r="AP133" s="1347" t="n">
        <f aca="false">+AO133*'ref.지급기준 (2)'!G182</f>
        <v>14044800</v>
      </c>
      <c r="AQ133" s="1508" t="n">
        <f aca="false">+AB133</f>
        <v>45737</v>
      </c>
      <c r="AR133" s="1328"/>
      <c r="AS133" s="1349" t="n">
        <f aca="false">+$AO133*'ref.지급기준 (2)'!G182</f>
        <v>14044800</v>
      </c>
      <c r="AT133" s="1347" t="n">
        <f aca="false">+X133</f>
        <v>14044800</v>
      </c>
      <c r="AU133" s="1347" t="n">
        <f aca="false">+$AO133*'ref.지급기준 (2)'!I182</f>
        <v>14044800</v>
      </c>
      <c r="AV133" s="1347" t="n">
        <f aca="false">+AA133</f>
        <v>14044800</v>
      </c>
      <c r="AW133" s="1347" t="n">
        <f aca="false">+$AO133*'ref.지급기준 (2)'!K182</f>
        <v>35112000</v>
      </c>
      <c r="AX133" s="1347"/>
      <c r="AY133" s="1347" t="n">
        <f aca="false">+$AO133*'ref.지급기준 (2)'!M182</f>
        <v>7022400</v>
      </c>
      <c r="AZ133" s="1347"/>
      <c r="BA133" s="1347" t="n">
        <f aca="false">+$AO133*'ref.지급기준 (2)'!O182</f>
        <v>0</v>
      </c>
      <c r="BB133" s="1350"/>
      <c r="BC133" s="1441"/>
      <c r="BD133" s="1278"/>
      <c r="BE133" s="1332" t="b">
        <f aca="false">+(BA133+AY133+AW133+AU133+AS133)=R133</f>
        <v>1</v>
      </c>
      <c r="BF133" s="1278"/>
      <c r="BG133" s="1278"/>
      <c r="BH133" s="1278"/>
      <c r="BI133" s="1278"/>
      <c r="BJ133" s="1278"/>
      <c r="BK133" s="1278"/>
      <c r="BL133" s="1278"/>
      <c r="BM133" s="1278"/>
      <c r="BN133" s="1278"/>
      <c r="BO133" s="1333"/>
      <c r="BP133" s="1333"/>
    </row>
    <row r="134" customFormat="false" ht="17.25" hidden="false" customHeight="true" outlineLevel="0" collapsed="false">
      <c r="A134" s="1486"/>
      <c r="B134" s="1487"/>
      <c r="C134" s="1488"/>
      <c r="D134" s="1489"/>
      <c r="E134" s="1489"/>
      <c r="F134" s="1490"/>
      <c r="G134" s="1489"/>
      <c r="H134" s="1489"/>
      <c r="I134" s="1491"/>
      <c r="J134" s="1492"/>
      <c r="K134" s="1493"/>
      <c r="L134" s="1494"/>
      <c r="M134" s="1495"/>
      <c r="N134" s="1495"/>
      <c r="O134" s="1385" t="s">
        <v>508</v>
      </c>
      <c r="P134" s="1386" t="n">
        <f aca="false">+'DG-PV Organic'!AI3</f>
        <v>89376000</v>
      </c>
      <c r="Q134" s="1457" t="n">
        <f aca="false">+P134*0.1</f>
        <v>8937600</v>
      </c>
      <c r="R134" s="1457" t="n">
        <f aca="false">SUM(P134:Q134)</f>
        <v>98313600</v>
      </c>
      <c r="S134" s="1437" t="b">
        <f aca="false">+R134=AO134</f>
        <v>1</v>
      </c>
      <c r="T134" s="1355"/>
      <c r="U134" s="668"/>
      <c r="V134" s="1355" t="n">
        <f aca="false">+IFERROR(X134/$R134,"-")</f>
        <v>0</v>
      </c>
      <c r="W134" s="1357"/>
      <c r="X134" s="1357"/>
      <c r="Y134" s="1357"/>
      <c r="Z134" s="1357" t="n">
        <f aca="false">+IFERROR(AA134/$R134,"-")</f>
        <v>0</v>
      </c>
      <c r="AA134" s="1357"/>
      <c r="AB134" s="1358"/>
      <c r="AC134" s="1357" t="n">
        <f aca="false">+IFERROR(AD134/$R134,"-")</f>
        <v>0</v>
      </c>
      <c r="AD134" s="1357"/>
      <c r="AE134" s="1358"/>
      <c r="AF134" s="1357" t="n">
        <f aca="false">+IFERROR(AG134/$R134,"-")</f>
        <v>0</v>
      </c>
      <c r="AG134" s="1357"/>
      <c r="AH134" s="1358"/>
      <c r="AI134" s="1357" t="str">
        <f aca="false">+IFERROR(AJ134/#REF!,"-")</f>
        <v>-</v>
      </c>
      <c r="AJ134" s="1357"/>
      <c r="AK134" s="1357"/>
      <c r="AL134" s="1357"/>
      <c r="AM134" s="1357"/>
      <c r="AN134" s="1357"/>
      <c r="AO134" s="1359" t="n">
        <f aca="false">+R134</f>
        <v>98313600</v>
      </c>
      <c r="AP134" s="1359" t="n">
        <f aca="false">+AS134+AU134</f>
        <v>98313600</v>
      </c>
      <c r="AQ134" s="1509"/>
      <c r="AR134" s="1328"/>
      <c r="AS134" s="1361" t="n">
        <f aca="false">+$AO134*'ref.지급기준 (2)'!G178</f>
        <v>98313600</v>
      </c>
      <c r="AT134" s="1359" t="n">
        <f aca="false">+X134</f>
        <v>0</v>
      </c>
      <c r="AU134" s="1359" t="n">
        <f aca="false">+$AO134*'ref.지급기준 (2)'!I178</f>
        <v>0</v>
      </c>
      <c r="AV134" s="1359" t="n">
        <f aca="false">+AA134</f>
        <v>0</v>
      </c>
      <c r="AW134" s="1359" t="n">
        <f aca="false">+$AO134*'ref.지급기준 (2)'!K178</f>
        <v>0</v>
      </c>
      <c r="AX134" s="1359"/>
      <c r="AY134" s="1359" t="n">
        <f aca="false">+$AO134*'ref.지급기준 (2)'!M178</f>
        <v>0</v>
      </c>
      <c r="AZ134" s="1359"/>
      <c r="BA134" s="1359" t="n">
        <f aca="false">+$AO134*'ref.지급기준 (2)'!O178</f>
        <v>0</v>
      </c>
      <c r="BB134" s="1362"/>
      <c r="BC134" s="1441"/>
      <c r="BD134" s="1278"/>
      <c r="BE134" s="1278"/>
      <c r="BF134" s="1278"/>
      <c r="BG134" s="1278"/>
      <c r="BH134" s="1278"/>
      <c r="BI134" s="1278"/>
      <c r="BJ134" s="1278"/>
      <c r="BK134" s="1278"/>
      <c r="BL134" s="1278"/>
      <c r="BM134" s="1278"/>
      <c r="BN134" s="1278"/>
      <c r="BO134" s="1333"/>
      <c r="BP134" s="1333"/>
    </row>
    <row r="135" customFormat="false" ht="16.5" hidden="false" customHeight="true" outlineLevel="0" collapsed="false">
      <c r="A135" s="1486"/>
      <c r="B135" s="1487"/>
      <c r="C135" s="1488"/>
      <c r="D135" s="1489"/>
      <c r="E135" s="1489"/>
      <c r="F135" s="1490"/>
      <c r="G135" s="1489"/>
      <c r="H135" s="1489"/>
      <c r="I135" s="1310" t="s">
        <v>1518</v>
      </c>
      <c r="J135" s="1510" t="s">
        <v>466</v>
      </c>
      <c r="K135" s="1453" t="n">
        <f aca="false">+'ref.지급기준 (2)'!D184</f>
        <v>545.46</v>
      </c>
      <c r="L135" s="1376" t="n">
        <f aca="false">+'DG-PV Organic'!H4</f>
        <v>0.0891</v>
      </c>
      <c r="M135" s="1364" t="n">
        <f aca="false">+'DG-PV Organic'!J4</f>
        <v>0.093</v>
      </c>
      <c r="N135" s="1364" t="s">
        <v>1454</v>
      </c>
      <c r="O135" s="1365" t="s">
        <v>112</v>
      </c>
      <c r="P135" s="1367" t="n">
        <f aca="false">+'DG-PV Organic'!AL4</f>
        <v>541401000</v>
      </c>
      <c r="Q135" s="1511" t="n">
        <f aca="false">+P135*10%</f>
        <v>54140100</v>
      </c>
      <c r="R135" s="1512" t="n">
        <f aca="false">SUM(P135:Q135)</f>
        <v>595541100</v>
      </c>
      <c r="S135" s="1437" t="b">
        <f aca="false">+R135=AO135</f>
        <v>1</v>
      </c>
      <c r="T135" s="1323" t="n">
        <f aca="false">+IFERROR(U135/R135,"-")</f>
        <v>0</v>
      </c>
      <c r="U135" s="1368" t="n">
        <f aca="false">+IFERROR(X135+AA135+AD135+AG135+AJ135+AM135,"-")</f>
        <v>0</v>
      </c>
      <c r="V135" s="1345" t="n">
        <f aca="false">+IFERROR(X135/$R135,"-")</f>
        <v>0</v>
      </c>
      <c r="W135" s="1444" t="n">
        <f aca="false">AE136</f>
        <v>45808</v>
      </c>
      <c r="X135" s="1395"/>
      <c r="Y135" s="1345"/>
      <c r="Z135" s="1345" t="n">
        <f aca="false">+IFERROR(AA135/$R135,"-")</f>
        <v>0</v>
      </c>
      <c r="AA135" s="1345"/>
      <c r="AB135" s="1346" t="n">
        <f aca="false">+EDATE(W135,1)</f>
        <v>45838</v>
      </c>
      <c r="AC135" s="1345" t="n">
        <f aca="false">+IFERROR(AD135/$R135,"-")</f>
        <v>0</v>
      </c>
      <c r="AD135" s="1345"/>
      <c r="AE135" s="1346" t="n">
        <f aca="false">+EDATE(AB135,3)</f>
        <v>45930</v>
      </c>
      <c r="AF135" s="1345" t="n">
        <f aca="false">+IFERROR(AG135/$R135,"-")</f>
        <v>0</v>
      </c>
      <c r="AG135" s="1345"/>
      <c r="AH135" s="1346" t="n">
        <f aca="false">+EDATE(AB135,4)</f>
        <v>45960</v>
      </c>
      <c r="AI135" s="1345" t="str">
        <f aca="false">+IFERROR(AJ135/#REF!,"-")</f>
        <v>-</v>
      </c>
      <c r="AJ135" s="1345"/>
      <c r="AK135" s="1346" t="n">
        <f aca="false">+EDATE(AB135,6)</f>
        <v>46021</v>
      </c>
      <c r="AL135" s="1345" t="str">
        <f aca="false">+IFERROR(AM135/#REF!,"-")</f>
        <v>-</v>
      </c>
      <c r="AM135" s="1345"/>
      <c r="AN135" s="1345"/>
      <c r="AO135" s="1347" t="n">
        <f aca="false">+R135</f>
        <v>595541100</v>
      </c>
      <c r="AP135" s="1347" t="n">
        <f aca="false">+AO135*'ref.지급기준 (2)'!G184</f>
        <v>59554110</v>
      </c>
      <c r="AQ135" s="1508" t="n">
        <f aca="false">+W135</f>
        <v>45808</v>
      </c>
      <c r="AR135" s="1328"/>
      <c r="AS135" s="1349" t="n">
        <f aca="false">+$AO135*'ref.지급기준 (2)'!G184</f>
        <v>59554110</v>
      </c>
      <c r="AT135" s="1347" t="n">
        <f aca="false">+X135</f>
        <v>0</v>
      </c>
      <c r="AU135" s="1347" t="n">
        <f aca="false">+$AO135*'ref.지급기준 (2)'!I184</f>
        <v>119108220</v>
      </c>
      <c r="AV135" s="1347" t="n">
        <f aca="false">+AA135</f>
        <v>0</v>
      </c>
      <c r="AW135" s="1347" t="n">
        <f aca="false">+$AO135*'ref.지급기준 (2)'!K184</f>
        <v>238216440</v>
      </c>
      <c r="AX135" s="1347"/>
      <c r="AY135" s="1347" t="n">
        <f aca="false">+$AO135*'ref.지급기준 (2)'!M184</f>
        <v>148885275</v>
      </c>
      <c r="AZ135" s="1347"/>
      <c r="BA135" s="1347" t="n">
        <f aca="false">+$AO135*'ref.지급기준 (2)'!O184</f>
        <v>29777055</v>
      </c>
      <c r="BB135" s="1350"/>
      <c r="BC135" s="1441" t="s">
        <v>1509</v>
      </c>
      <c r="BD135" s="1278"/>
      <c r="BE135" s="1332" t="b">
        <f aca="false">+(BA135+AY135+AW135+AU135+AS135)=R135</f>
        <v>1</v>
      </c>
      <c r="BF135" s="1278"/>
      <c r="BG135" s="1278"/>
      <c r="BH135" s="1278"/>
      <c r="BI135" s="1278"/>
      <c r="BJ135" s="1278"/>
      <c r="BK135" s="1278"/>
      <c r="BL135" s="1278"/>
      <c r="BM135" s="1278"/>
      <c r="BN135" s="1278"/>
      <c r="BO135" s="1333"/>
      <c r="BP135" s="1333"/>
    </row>
    <row r="136" customFormat="false" ht="16.5" hidden="false" customHeight="false" outlineLevel="0" collapsed="false">
      <c r="A136" s="1486"/>
      <c r="B136" s="1487"/>
      <c r="C136" s="1488"/>
      <c r="D136" s="1489"/>
      <c r="E136" s="1489"/>
      <c r="F136" s="1490"/>
      <c r="G136" s="1489"/>
      <c r="H136" s="1489"/>
      <c r="I136" s="1310"/>
      <c r="J136" s="1510"/>
      <c r="K136" s="1453"/>
      <c r="L136" s="1376"/>
      <c r="M136" s="1364"/>
      <c r="N136" s="1364"/>
      <c r="O136" s="1334" t="s">
        <v>114</v>
      </c>
      <c r="P136" s="1336" t="n">
        <f aca="false">+'DG-PV Organic'!AK4</f>
        <v>154686000</v>
      </c>
      <c r="Q136" s="1513" t="n">
        <f aca="false">+P136*10%</f>
        <v>15468600</v>
      </c>
      <c r="R136" s="1384" t="n">
        <f aca="false">SUM(P136:Q136)</f>
        <v>170154600</v>
      </c>
      <c r="S136" s="1437" t="b">
        <f aca="false">+R136=AO136</f>
        <v>1</v>
      </c>
      <c r="T136" s="1337" t="n">
        <f aca="false">+IFERROR(U136/R136,"-")</f>
        <v>0.2</v>
      </c>
      <c r="U136" s="1338" t="n">
        <f aca="false">+IFERROR(X136+AA136+AD136+AG136+AJ136+AM136,"-")</f>
        <v>34030920</v>
      </c>
      <c r="V136" s="1343" t="n">
        <f aca="false">+IFERROR(X136/$R136,"-")</f>
        <v>0.2</v>
      </c>
      <c r="W136" s="1442" t="n">
        <v>45679</v>
      </c>
      <c r="X136" s="1341" t="n">
        <f aca="false">+R136*20%</f>
        <v>34030920</v>
      </c>
      <c r="Y136" s="1343"/>
      <c r="Z136" s="1345" t="n">
        <f aca="false">+IFERROR(AA136/$R136,"-")</f>
        <v>0</v>
      </c>
      <c r="AA136" s="1397"/>
      <c r="AB136" s="1346" t="n">
        <v>45777</v>
      </c>
      <c r="AC136" s="1345" t="n">
        <f aca="false">+IFERROR(AD136/$R136,"-")</f>
        <v>0</v>
      </c>
      <c r="AD136" s="1345"/>
      <c r="AE136" s="1346" t="n">
        <v>45808</v>
      </c>
      <c r="AF136" s="1345" t="n">
        <f aca="false">+IFERROR(AG136/$R136,"-")</f>
        <v>0</v>
      </c>
      <c r="AG136" s="1345"/>
      <c r="AH136" s="1346" t="n">
        <v>45999</v>
      </c>
      <c r="AI136" s="1345" t="str">
        <f aca="false">+IFERROR(AJ136/#REF!,"-")</f>
        <v>-</v>
      </c>
      <c r="AJ136" s="1345"/>
      <c r="AK136" s="1345"/>
      <c r="AL136" s="1345" t="str">
        <f aca="false">+IFERROR(AM136/#REF!,"-")</f>
        <v>-</v>
      </c>
      <c r="AM136" s="1345"/>
      <c r="AN136" s="1345"/>
      <c r="AO136" s="1347" t="n">
        <f aca="false">+R136</f>
        <v>170154600</v>
      </c>
      <c r="AP136" s="1347" t="n">
        <f aca="false">+AO136*'ref.지급기준 (2)'!G185</f>
        <v>34030920</v>
      </c>
      <c r="AQ136" s="1508" t="n">
        <f aca="false">+AB136</f>
        <v>45777</v>
      </c>
      <c r="AR136" s="1328"/>
      <c r="AS136" s="1349" t="n">
        <f aca="false">+$AO136*'ref.지급기준 (2)'!G185</f>
        <v>34030920</v>
      </c>
      <c r="AT136" s="1347" t="n">
        <f aca="false">+X136</f>
        <v>34030920</v>
      </c>
      <c r="AU136" s="1347" t="n">
        <f aca="false">+$AO136*'ref.지급기준 (2)'!I185</f>
        <v>34030920</v>
      </c>
      <c r="AV136" s="1347" t="n">
        <f aca="false">+AA136</f>
        <v>0</v>
      </c>
      <c r="AW136" s="1347" t="n">
        <f aca="false">+$AO136*'ref.지급기준 (2)'!K185</f>
        <v>85077300</v>
      </c>
      <c r="AX136" s="1347"/>
      <c r="AY136" s="1347" t="n">
        <f aca="false">+$AO136*'ref.지급기준 (2)'!M185</f>
        <v>17015460</v>
      </c>
      <c r="AZ136" s="1347"/>
      <c r="BA136" s="1347" t="n">
        <f aca="false">+$AO136*'ref.지급기준 (2)'!O185</f>
        <v>0</v>
      </c>
      <c r="BB136" s="1350"/>
      <c r="BC136" s="1441"/>
      <c r="BD136" s="1278"/>
      <c r="BE136" s="1332" t="b">
        <f aca="false">+(BA136+AY136+AW136+AU136+AS136)=R136</f>
        <v>1</v>
      </c>
      <c r="BF136" s="1278"/>
      <c r="BG136" s="1278"/>
      <c r="BH136" s="1278"/>
      <c r="BI136" s="1278"/>
      <c r="BJ136" s="1278"/>
      <c r="BK136" s="1278"/>
      <c r="BL136" s="1278"/>
      <c r="BM136" s="1278"/>
      <c r="BN136" s="1278"/>
      <c r="BO136" s="1333"/>
      <c r="BP136" s="1333"/>
    </row>
    <row r="137" customFormat="false" ht="16.5" hidden="false" customHeight="false" outlineLevel="0" collapsed="false">
      <c r="A137" s="1486"/>
      <c r="B137" s="1487"/>
      <c r="C137" s="1488"/>
      <c r="D137" s="1489"/>
      <c r="E137" s="1489"/>
      <c r="F137" s="1490"/>
      <c r="G137" s="1489"/>
      <c r="H137" s="1489"/>
      <c r="I137" s="1310"/>
      <c r="J137" s="1510"/>
      <c r="K137" s="1453"/>
      <c r="L137" s="1376"/>
      <c r="M137" s="1364"/>
      <c r="N137" s="1364"/>
      <c r="O137" s="1334" t="s">
        <v>404</v>
      </c>
      <c r="P137" s="1336" t="n">
        <f aca="false">+'ref.지급기준 (2)'!F186*'ref.지급기준 (2)'!D186/'ref.지급기준 (2)'!$Q$2</f>
        <v>0</v>
      </c>
      <c r="Q137" s="1513"/>
      <c r="R137" s="1384" t="n">
        <f aca="false">SUM(P137:Q137)</f>
        <v>0</v>
      </c>
      <c r="S137" s="1437" t="b">
        <f aca="false">+R137=AO137</f>
        <v>1</v>
      </c>
      <c r="T137" s="1337" t="str">
        <f aca="false">+IFERROR(U137/R137,"-")</f>
        <v>-</v>
      </c>
      <c r="U137" s="1338" t="n">
        <f aca="false">+IFERROR(X137+AA137+AD137+AG137+AJ137+AM137,"-")</f>
        <v>0</v>
      </c>
      <c r="V137" s="1345" t="str">
        <f aca="false">+IFERROR(X137/$R137,"-")</f>
        <v>-</v>
      </c>
      <c r="W137" s="1444"/>
      <c r="X137" s="1395"/>
      <c r="Y137" s="1345"/>
      <c r="Z137" s="1345" t="str">
        <f aca="false">+IFERROR(AA137/$R137,"-")</f>
        <v>-</v>
      </c>
      <c r="AA137" s="1345"/>
      <c r="AB137" s="1346"/>
      <c r="AC137" s="1345" t="str">
        <f aca="false">+IFERROR(AD137/$R137,"-")</f>
        <v>-</v>
      </c>
      <c r="AD137" s="1345"/>
      <c r="AE137" s="1346"/>
      <c r="AF137" s="1345" t="str">
        <f aca="false">+IFERROR(AG137/$R137,"-")</f>
        <v>-</v>
      </c>
      <c r="AG137" s="1345"/>
      <c r="AH137" s="1346"/>
      <c r="AI137" s="1345" t="str">
        <f aca="false">+IFERROR(AJ137/#REF!,"-")</f>
        <v>-</v>
      </c>
      <c r="AJ137" s="1345"/>
      <c r="AK137" s="1345"/>
      <c r="AL137" s="1345" t="str">
        <f aca="false">+IFERROR(AM137/#REF!,"-")</f>
        <v>-</v>
      </c>
      <c r="AM137" s="1345"/>
      <c r="AN137" s="1345"/>
      <c r="AO137" s="1347" t="n">
        <f aca="false">+R137</f>
        <v>0</v>
      </c>
      <c r="AP137" s="1347" t="n">
        <f aca="false">+AO137*'ref.지급기준 (2)'!G186</f>
        <v>0</v>
      </c>
      <c r="AQ137" s="1508"/>
      <c r="AR137" s="1328"/>
      <c r="AS137" s="1349" t="n">
        <f aca="false">+$AO137*'ref.지급기준 (2)'!G186</f>
        <v>0</v>
      </c>
      <c r="AT137" s="1347" t="n">
        <f aca="false">+X137</f>
        <v>0</v>
      </c>
      <c r="AU137" s="1347" t="n">
        <f aca="false">+$AO137*'ref.지급기준 (2)'!I186</f>
        <v>0</v>
      </c>
      <c r="AV137" s="1347" t="n">
        <f aca="false">+AA137</f>
        <v>0</v>
      </c>
      <c r="AW137" s="1347" t="n">
        <f aca="false">+$AO137*'ref.지급기준 (2)'!K186</f>
        <v>0</v>
      </c>
      <c r="AX137" s="1347"/>
      <c r="AY137" s="1347" t="n">
        <f aca="false">+$AO137*'ref.지급기준 (2)'!M186</f>
        <v>0</v>
      </c>
      <c r="AZ137" s="1347"/>
      <c r="BA137" s="1347" t="n">
        <f aca="false">+$AO137*'ref.지급기준 (2)'!O186</f>
        <v>0</v>
      </c>
      <c r="BB137" s="1350"/>
      <c r="BC137" s="1441"/>
      <c r="BD137" s="1278"/>
      <c r="BE137" s="1332" t="b">
        <f aca="false">+(BA137+AY137+AW137+AU137+AS137)=R137</f>
        <v>1</v>
      </c>
      <c r="BF137" s="1278"/>
      <c r="BG137" s="1278"/>
      <c r="BH137" s="1278"/>
      <c r="BI137" s="1278"/>
      <c r="BJ137" s="1278"/>
      <c r="BK137" s="1278"/>
      <c r="BL137" s="1278"/>
      <c r="BM137" s="1278"/>
      <c r="BN137" s="1278"/>
      <c r="BO137" s="1333"/>
      <c r="BP137" s="1333"/>
    </row>
    <row r="138" customFormat="false" ht="17.25" hidden="false" customHeight="true" outlineLevel="0" collapsed="false">
      <c r="A138" s="1486"/>
      <c r="B138" s="1487"/>
      <c r="C138" s="1488"/>
      <c r="D138" s="1489"/>
      <c r="E138" s="1489"/>
      <c r="F138" s="1490"/>
      <c r="G138" s="1489"/>
      <c r="H138" s="1489"/>
      <c r="I138" s="1310"/>
      <c r="J138" s="1510"/>
      <c r="K138" s="1453"/>
      <c r="L138" s="1376"/>
      <c r="M138" s="1364"/>
      <c r="N138" s="1364"/>
      <c r="O138" s="1334" t="s">
        <v>507</v>
      </c>
      <c r="P138" s="1336" t="n">
        <f aca="false">+'DG-PV Organic'!AJ4</f>
        <v>103124000</v>
      </c>
      <c r="Q138" s="1513" t="n">
        <f aca="false">+P138*10%</f>
        <v>10312400</v>
      </c>
      <c r="R138" s="1384" t="n">
        <f aca="false">SUM(P138:Q138)</f>
        <v>113436400</v>
      </c>
      <c r="S138" s="1437" t="b">
        <f aca="false">+R138=AO138</f>
        <v>1</v>
      </c>
      <c r="T138" s="1337" t="n">
        <f aca="false">+IFERROR(U138/R138,"-")</f>
        <v>0.2</v>
      </c>
      <c r="U138" s="1338" t="n">
        <f aca="false">+IFERROR(X138+AA138+AD138+AG138+AJ138+AM138,"-")</f>
        <v>22687280</v>
      </c>
      <c r="V138" s="1343" t="n">
        <f aca="false">+IFERROR(X138/$R138,"-")</f>
        <v>0.2</v>
      </c>
      <c r="W138" s="1442" t="n">
        <v>45679</v>
      </c>
      <c r="X138" s="1341" t="n">
        <f aca="false">+R138*20%</f>
        <v>22687280</v>
      </c>
      <c r="Y138" s="1343"/>
      <c r="Z138" s="1345" t="n">
        <v>0</v>
      </c>
      <c r="AA138" s="1345"/>
      <c r="AB138" s="1346" t="n">
        <f aca="false">+AB136</f>
        <v>45777</v>
      </c>
      <c r="AC138" s="1345" t="n">
        <f aca="false">+IFERROR(AD138/$R138,"-")</f>
        <v>0</v>
      </c>
      <c r="AD138" s="1345"/>
      <c r="AE138" s="1346" t="n">
        <v>45797</v>
      </c>
      <c r="AF138" s="1345" t="n">
        <f aca="false">+IFERROR(AG138/$R138,"-")</f>
        <v>0</v>
      </c>
      <c r="AG138" s="1345"/>
      <c r="AH138" s="1346" t="n">
        <v>45999</v>
      </c>
      <c r="AI138" s="1345" t="str">
        <f aca="false">+IFERROR(AJ138/#REF!,"-")</f>
        <v>-</v>
      </c>
      <c r="AJ138" s="1345"/>
      <c r="AK138" s="1345"/>
      <c r="AL138" s="1345" t="str">
        <f aca="false">+IFERROR(AM138/#REF!,"-")</f>
        <v>-</v>
      </c>
      <c r="AM138" s="1345"/>
      <c r="AN138" s="1345"/>
      <c r="AO138" s="1347" t="n">
        <f aca="false">+R138</f>
        <v>113436400</v>
      </c>
      <c r="AP138" s="1347" t="n">
        <f aca="false">+AO138*'ref.지급기준 (2)'!G187</f>
        <v>22687280</v>
      </c>
      <c r="AQ138" s="1508" t="n">
        <f aca="false">+AB138</f>
        <v>45777</v>
      </c>
      <c r="AR138" s="1328"/>
      <c r="AS138" s="1349" t="n">
        <f aca="false">+$AO138*'ref.지급기준 (2)'!G187</f>
        <v>22687280</v>
      </c>
      <c r="AT138" s="1347" t="n">
        <f aca="false">+X138</f>
        <v>22687280</v>
      </c>
      <c r="AU138" s="1347" t="n">
        <f aca="false">+$AO138*'ref.지급기준 (2)'!I187</f>
        <v>22687280</v>
      </c>
      <c r="AV138" s="1347" t="n">
        <f aca="false">+AA138</f>
        <v>0</v>
      </c>
      <c r="AW138" s="1347" t="n">
        <f aca="false">+$AO138*'ref.지급기준 (2)'!K187</f>
        <v>56718200</v>
      </c>
      <c r="AX138" s="1347"/>
      <c r="AY138" s="1347" t="n">
        <f aca="false">+$AO138*'ref.지급기준 (2)'!M187</f>
        <v>11343640</v>
      </c>
      <c r="AZ138" s="1347"/>
      <c r="BA138" s="1347" t="n">
        <f aca="false">+$AO138*'ref.지급기준 (2)'!O187</f>
        <v>0</v>
      </c>
      <c r="BB138" s="1350"/>
      <c r="BC138" s="1441"/>
      <c r="BD138" s="1278"/>
      <c r="BE138" s="1332" t="b">
        <f aca="false">+(BA138+AY138+AW138+AU138+AS138)=R138</f>
        <v>1</v>
      </c>
      <c r="BF138" s="1278"/>
      <c r="BG138" s="1278"/>
      <c r="BH138" s="1278"/>
      <c r="BI138" s="1278"/>
      <c r="BJ138" s="1278"/>
      <c r="BK138" s="1278"/>
      <c r="BL138" s="1278"/>
      <c r="BM138" s="1278"/>
      <c r="BN138" s="1278"/>
      <c r="BO138" s="1333"/>
      <c r="BP138" s="1333"/>
    </row>
    <row r="139" customFormat="false" ht="17.25" hidden="false" customHeight="true" outlineLevel="0" collapsed="false">
      <c r="A139" s="1486"/>
      <c r="B139" s="1487"/>
      <c r="C139" s="1488"/>
      <c r="D139" s="1489"/>
      <c r="E139" s="1489"/>
      <c r="F139" s="1490"/>
      <c r="G139" s="1489"/>
      <c r="H139" s="1489"/>
      <c r="I139" s="1310"/>
      <c r="J139" s="1510"/>
      <c r="K139" s="1453"/>
      <c r="L139" s="1376"/>
      <c r="M139" s="1364"/>
      <c r="N139" s="1364"/>
      <c r="O139" s="1351" t="s">
        <v>508</v>
      </c>
      <c r="P139" s="1353" t="n">
        <f aca="false">+'DG-PV Organic'!AI4</f>
        <v>103124000</v>
      </c>
      <c r="Q139" s="1514" t="n">
        <f aca="false">+P139*0.1</f>
        <v>10312400</v>
      </c>
      <c r="R139" s="1387" t="n">
        <f aca="false">SUM(P139:Q139)</f>
        <v>113436400</v>
      </c>
      <c r="S139" s="1437" t="b">
        <f aca="false">+R139=AO139</f>
        <v>1</v>
      </c>
      <c r="T139" s="1355"/>
      <c r="U139" s="668"/>
      <c r="V139" s="1355" t="n">
        <f aca="false">+IFERROR(X139/$R139,"-")</f>
        <v>0</v>
      </c>
      <c r="W139" s="1357"/>
      <c r="X139" s="1357"/>
      <c r="Y139" s="1357"/>
      <c r="Z139" s="1357" t="n">
        <f aca="false">+IFERROR(AA139/$R139,"-")</f>
        <v>0</v>
      </c>
      <c r="AA139" s="1357"/>
      <c r="AB139" s="1358"/>
      <c r="AC139" s="1357" t="n">
        <f aca="false">+IFERROR(AD139/$R139,"-")</f>
        <v>0</v>
      </c>
      <c r="AD139" s="1357"/>
      <c r="AE139" s="1358"/>
      <c r="AF139" s="1357" t="n">
        <f aca="false">+IFERROR(AG139/$R139,"-")</f>
        <v>0</v>
      </c>
      <c r="AG139" s="1357"/>
      <c r="AH139" s="1358"/>
      <c r="AI139" s="1357" t="str">
        <f aca="false">+IFERROR(AJ139/#REF!,"-")</f>
        <v>-</v>
      </c>
      <c r="AJ139" s="1357"/>
      <c r="AK139" s="1357"/>
      <c r="AL139" s="1357"/>
      <c r="AM139" s="1357"/>
      <c r="AN139" s="1357"/>
      <c r="AO139" s="1359" t="n">
        <f aca="false">+R139</f>
        <v>113436400</v>
      </c>
      <c r="AP139" s="1359" t="n">
        <f aca="false">+AS139+AU139</f>
        <v>113436400</v>
      </c>
      <c r="AQ139" s="1509"/>
      <c r="AR139" s="1328"/>
      <c r="AS139" s="1361" t="n">
        <f aca="false">+$AO139*'ref.지급기준 (2)'!G183</f>
        <v>113436400</v>
      </c>
      <c r="AT139" s="1359" t="n">
        <f aca="false">+X139</f>
        <v>0</v>
      </c>
      <c r="AU139" s="1359" t="n">
        <f aca="false">+$AO139*'ref.지급기준 (2)'!I183</f>
        <v>0</v>
      </c>
      <c r="AV139" s="1359" t="n">
        <f aca="false">+AA139</f>
        <v>0</v>
      </c>
      <c r="AW139" s="1359" t="n">
        <f aca="false">+$AO139*'ref.지급기준 (2)'!K183</f>
        <v>0</v>
      </c>
      <c r="AX139" s="1359"/>
      <c r="AY139" s="1359" t="n">
        <f aca="false">+$AO139*'ref.지급기준 (2)'!M183</f>
        <v>0</v>
      </c>
      <c r="AZ139" s="1359"/>
      <c r="BA139" s="1359" t="n">
        <f aca="false">+$AO139*'ref.지급기준 (2)'!O183</f>
        <v>0</v>
      </c>
      <c r="BB139" s="1362"/>
      <c r="BC139" s="1441"/>
      <c r="BD139" s="1278"/>
      <c r="BE139" s="1278"/>
      <c r="BF139" s="1278"/>
      <c r="BG139" s="1278"/>
      <c r="BH139" s="1278"/>
      <c r="BI139" s="1278"/>
      <c r="BJ139" s="1278"/>
      <c r="BK139" s="1278"/>
      <c r="BL139" s="1278"/>
      <c r="BM139" s="1278"/>
      <c r="BN139" s="1278"/>
      <c r="BO139" s="1333"/>
      <c r="BP139" s="1333"/>
    </row>
    <row r="140" customFormat="false" ht="16.5" hidden="false" customHeight="true" outlineLevel="0" collapsed="false">
      <c r="A140" s="1486"/>
      <c r="B140" s="1487"/>
      <c r="C140" s="1488"/>
      <c r="D140" s="1489"/>
      <c r="E140" s="1489"/>
      <c r="F140" s="1490"/>
      <c r="G140" s="1489"/>
      <c r="H140" s="1489"/>
      <c r="I140" s="1310" t="s">
        <v>1519</v>
      </c>
      <c r="J140" s="1476" t="s">
        <v>1520</v>
      </c>
      <c r="K140" s="1484" t="n">
        <f aca="false">+'ref.지급기준 (2)'!D189</f>
        <v>148.59</v>
      </c>
      <c r="L140" s="1380" t="n">
        <f aca="false">+'DG-PV Organic'!H5</f>
        <v>0.0963</v>
      </c>
      <c r="M140" s="1382" t="n">
        <f aca="false">+'DG-PV Organic'!J5</f>
        <v>0.093</v>
      </c>
      <c r="N140" s="1382" t="s">
        <v>1454</v>
      </c>
      <c r="O140" s="1515" t="s">
        <v>112</v>
      </c>
      <c r="P140" s="1516" t="n">
        <f aca="false">+'DG-PV Organic'!AL5</f>
        <v>156019500</v>
      </c>
      <c r="Q140" s="1366" t="n">
        <f aca="false">+P140*10%</f>
        <v>15601950</v>
      </c>
      <c r="R140" s="1367" t="n">
        <f aca="false">SUM(P140:Q140)</f>
        <v>171621450</v>
      </c>
      <c r="S140" s="1437" t="b">
        <f aca="false">+R140=AO140</f>
        <v>1</v>
      </c>
      <c r="T140" s="1323" t="n">
        <f aca="false">+IFERROR(U140/R140,"-")</f>
        <v>0</v>
      </c>
      <c r="U140" s="1368" t="n">
        <f aca="false">+IFERROR(X140+AA140+AD140+AG140+AJ140+AM140,"-")</f>
        <v>0</v>
      </c>
      <c r="V140" s="1345" t="n">
        <f aca="false">+IFERROR(X140/$R140,"-")</f>
        <v>0</v>
      </c>
      <c r="W140" s="1444" t="n">
        <f aca="false">AE141</f>
        <v>45807</v>
      </c>
      <c r="X140" s="1395"/>
      <c r="Y140" s="1345"/>
      <c r="Z140" s="1345" t="n">
        <f aca="false">+IFERROR(AA140/$R140,"-")</f>
        <v>0</v>
      </c>
      <c r="AA140" s="1345"/>
      <c r="AB140" s="1346" t="n">
        <f aca="false">+EDATE(W140,1)</f>
        <v>45838</v>
      </c>
      <c r="AC140" s="1345" t="n">
        <f aca="false">+IFERROR(AD140/$R140,"-")</f>
        <v>0</v>
      </c>
      <c r="AD140" s="1345"/>
      <c r="AE140" s="1346" t="n">
        <f aca="false">+EDATE(AB140,3)</f>
        <v>45930</v>
      </c>
      <c r="AF140" s="1345" t="n">
        <f aca="false">+IFERROR(AG140/$R140,"-")</f>
        <v>0</v>
      </c>
      <c r="AG140" s="1345"/>
      <c r="AH140" s="1346" t="n">
        <f aca="false">+EDATE(AB140,4)</f>
        <v>45960</v>
      </c>
      <c r="AI140" s="1345" t="str">
        <f aca="false">+IFERROR(AJ140/#REF!,"-")</f>
        <v>-</v>
      </c>
      <c r="AJ140" s="1345"/>
      <c r="AK140" s="1346" t="n">
        <f aca="false">+EDATE(AB140,6)</f>
        <v>46021</v>
      </c>
      <c r="AL140" s="1345" t="str">
        <f aca="false">+IFERROR(AM140/#REF!,"-")</f>
        <v>-</v>
      </c>
      <c r="AM140" s="1345"/>
      <c r="AN140" s="1345"/>
      <c r="AO140" s="1347" t="n">
        <f aca="false">+R140</f>
        <v>171621450</v>
      </c>
      <c r="AP140" s="1347" t="n">
        <f aca="false">+AO140*'ref.지급기준 (2)'!G189</f>
        <v>17162145</v>
      </c>
      <c r="AQ140" s="1508" t="n">
        <f aca="false">+W140</f>
        <v>45807</v>
      </c>
      <c r="AR140" s="1328"/>
      <c r="AS140" s="1349" t="n">
        <f aca="false">+$AO140*'ref.지급기준 (2)'!G189</f>
        <v>17162145</v>
      </c>
      <c r="AT140" s="1347" t="n">
        <f aca="false">+X140</f>
        <v>0</v>
      </c>
      <c r="AU140" s="1347" t="n">
        <f aca="false">+$AO140*'ref.지급기준 (2)'!I189</f>
        <v>34324290</v>
      </c>
      <c r="AV140" s="1347" t="n">
        <f aca="false">+AA140</f>
        <v>0</v>
      </c>
      <c r="AW140" s="1347" t="n">
        <f aca="false">+$AO140*'ref.지급기준 (2)'!K189</f>
        <v>68648580</v>
      </c>
      <c r="AX140" s="1347"/>
      <c r="AY140" s="1347" t="n">
        <f aca="false">+$AO140*'ref.지급기준 (2)'!M189</f>
        <v>42905362.5</v>
      </c>
      <c r="AZ140" s="1347"/>
      <c r="BA140" s="1347" t="n">
        <f aca="false">+$AO140*'ref.지급기준 (2)'!O189</f>
        <v>8581072.5</v>
      </c>
      <c r="BB140" s="1350"/>
      <c r="BC140" s="1441" t="s">
        <v>1509</v>
      </c>
      <c r="BD140" s="1278"/>
      <c r="BE140" s="1332" t="b">
        <f aca="false">+(BA140+AY140+AW140+AU140+AS140)=R140</f>
        <v>1</v>
      </c>
      <c r="BF140" s="1278"/>
      <c r="BG140" s="1278"/>
      <c r="BH140" s="1278"/>
      <c r="BI140" s="1278"/>
      <c r="BJ140" s="1278"/>
      <c r="BK140" s="1278"/>
      <c r="BL140" s="1278"/>
      <c r="BM140" s="1278"/>
      <c r="BN140" s="1278"/>
      <c r="BO140" s="1333"/>
      <c r="BP140" s="1333"/>
    </row>
    <row r="141" customFormat="false" ht="16.5" hidden="false" customHeight="false" outlineLevel="0" collapsed="false">
      <c r="A141" s="1486"/>
      <c r="B141" s="1487"/>
      <c r="C141" s="1488"/>
      <c r="D141" s="1489"/>
      <c r="E141" s="1489"/>
      <c r="F141" s="1490"/>
      <c r="G141" s="1489"/>
      <c r="H141" s="1489"/>
      <c r="I141" s="1310"/>
      <c r="J141" s="1476"/>
      <c r="K141" s="1484"/>
      <c r="L141" s="1380"/>
      <c r="M141" s="1382"/>
      <c r="N141" s="1382"/>
      <c r="O141" s="1517" t="s">
        <v>114</v>
      </c>
      <c r="P141" s="1518" t="n">
        <f aca="false">+'DG-PV Organic'!AK5</f>
        <v>44577000</v>
      </c>
      <c r="Q141" s="1335" t="n">
        <f aca="false">+P141*10%</f>
        <v>4457700</v>
      </c>
      <c r="R141" s="1336" t="n">
        <f aca="false">SUM(P141:Q141)</f>
        <v>49034700</v>
      </c>
      <c r="S141" s="1437" t="b">
        <f aca="false">+R141=AO141</f>
        <v>1</v>
      </c>
      <c r="T141" s="1337" t="n">
        <f aca="false">+IFERROR(U141/R141,"-")</f>
        <v>0.205698005698006</v>
      </c>
      <c r="U141" s="1338" t="n">
        <f aca="false">+IFERROR(X141+AA141+AD141+AG141+AJ141+AM141,"-")</f>
        <v>10086340</v>
      </c>
      <c r="V141" s="1343" t="n">
        <f aca="false">+IFERROR(X141/$R141,"-")</f>
        <v>0.205698005698006</v>
      </c>
      <c r="W141" s="1442" t="n">
        <v>45679</v>
      </c>
      <c r="X141" s="1341" t="n">
        <f aca="false">+R141*20%+279400</f>
        <v>10086340</v>
      </c>
      <c r="Y141" s="1343"/>
      <c r="Z141" s="1345" t="n">
        <f aca="false">+IFERROR(AA141/$R141,"-")</f>
        <v>0</v>
      </c>
      <c r="AA141" s="1397"/>
      <c r="AB141" s="1346" t="n">
        <v>45777</v>
      </c>
      <c r="AC141" s="1345" t="n">
        <f aca="false">+IFERROR(AD141/$R141,"-")</f>
        <v>0</v>
      </c>
      <c r="AD141" s="1345"/>
      <c r="AE141" s="1346" t="n">
        <f aca="false">+EDATE(AB141,1)</f>
        <v>45807</v>
      </c>
      <c r="AF141" s="1345" t="n">
        <f aca="false">+IFERROR(AG141/$R141,"-")</f>
        <v>0</v>
      </c>
      <c r="AG141" s="1345"/>
      <c r="AH141" s="1346" t="n">
        <f aca="false">+EDATE(AB140,5)</f>
        <v>45991</v>
      </c>
      <c r="AI141" s="1345" t="str">
        <f aca="false">+IFERROR(AJ141/#REF!,"-")</f>
        <v>-</v>
      </c>
      <c r="AJ141" s="1345"/>
      <c r="AK141" s="1345"/>
      <c r="AL141" s="1345" t="str">
        <f aca="false">+IFERROR(AM141/#REF!,"-")</f>
        <v>-</v>
      </c>
      <c r="AM141" s="1345"/>
      <c r="AN141" s="1345"/>
      <c r="AO141" s="1347" t="n">
        <f aca="false">+R141</f>
        <v>49034700</v>
      </c>
      <c r="AP141" s="1347" t="n">
        <f aca="false">+AO141*'ref.지급기준 (2)'!G190</f>
        <v>9806940</v>
      </c>
      <c r="AQ141" s="1508" t="n">
        <f aca="false">+AB141</f>
        <v>45777</v>
      </c>
      <c r="AR141" s="1328"/>
      <c r="AS141" s="1349" t="n">
        <f aca="false">+$AO141*'ref.지급기준 (2)'!G190</f>
        <v>9806940</v>
      </c>
      <c r="AT141" s="1347" t="n">
        <f aca="false">+X141</f>
        <v>10086340</v>
      </c>
      <c r="AU141" s="1347" t="n">
        <f aca="false">+$AO141*'ref.지급기준 (2)'!I190</f>
        <v>9806940</v>
      </c>
      <c r="AV141" s="1347" t="n">
        <f aca="false">+AA141</f>
        <v>0</v>
      </c>
      <c r="AW141" s="1347" t="n">
        <f aca="false">+$AO141*'ref.지급기준 (2)'!K190</f>
        <v>24517350</v>
      </c>
      <c r="AX141" s="1347"/>
      <c r="AY141" s="1347" t="n">
        <f aca="false">+$AO141*'ref.지급기준 (2)'!M190</f>
        <v>4903470</v>
      </c>
      <c r="AZ141" s="1347"/>
      <c r="BA141" s="1347" t="n">
        <f aca="false">+$AO141*'ref.지급기준 (2)'!O190</f>
        <v>0</v>
      </c>
      <c r="BB141" s="1350"/>
      <c r="BC141" s="1441"/>
      <c r="BD141" s="1278"/>
      <c r="BE141" s="1332" t="b">
        <f aca="false">+(BA141+AY141+AW141+AU141+AS141)=R141</f>
        <v>1</v>
      </c>
      <c r="BF141" s="1278"/>
      <c r="BG141" s="1278"/>
      <c r="BH141" s="1278"/>
      <c r="BI141" s="1278"/>
      <c r="BJ141" s="1278"/>
      <c r="BK141" s="1278"/>
      <c r="BL141" s="1278"/>
      <c r="BM141" s="1278"/>
      <c r="BN141" s="1278"/>
      <c r="BO141" s="1333"/>
      <c r="BP141" s="1333"/>
    </row>
    <row r="142" customFormat="false" ht="16.5" hidden="false" customHeight="false" outlineLevel="0" collapsed="false">
      <c r="A142" s="1486"/>
      <c r="B142" s="1487"/>
      <c r="C142" s="1488"/>
      <c r="D142" s="1489"/>
      <c r="E142" s="1489"/>
      <c r="F142" s="1490"/>
      <c r="G142" s="1489"/>
      <c r="H142" s="1489"/>
      <c r="I142" s="1310"/>
      <c r="J142" s="1476"/>
      <c r="K142" s="1484"/>
      <c r="L142" s="1380"/>
      <c r="M142" s="1382"/>
      <c r="N142" s="1382"/>
      <c r="O142" s="1517" t="s">
        <v>404</v>
      </c>
      <c r="P142" s="1518" t="n">
        <f aca="false">+'ref.지급기준 (2)'!F191*'ref.지급기준 (2)'!D191/'ref.지급기준 (2)'!$Q$2</f>
        <v>0</v>
      </c>
      <c r="Q142" s="1335"/>
      <c r="R142" s="1336" t="n">
        <f aca="false">SUM(P142:Q142)</f>
        <v>0</v>
      </c>
      <c r="S142" s="1437" t="b">
        <f aca="false">+R142=AO142</f>
        <v>1</v>
      </c>
      <c r="T142" s="1337" t="str">
        <f aca="false">+IFERROR(U142/R142,"-")</f>
        <v>-</v>
      </c>
      <c r="U142" s="1338" t="n">
        <f aca="false">+IFERROR(X142+AA142+AD142+AG142+AJ142+AM142,"-")</f>
        <v>0</v>
      </c>
      <c r="V142" s="1345" t="str">
        <f aca="false">+IFERROR(X142/$R142,"-")</f>
        <v>-</v>
      </c>
      <c r="W142" s="1444"/>
      <c r="X142" s="1395"/>
      <c r="Y142" s="1345"/>
      <c r="Z142" s="1345" t="str">
        <f aca="false">+IFERROR(AA142/$R142,"-")</f>
        <v>-</v>
      </c>
      <c r="AA142" s="1345"/>
      <c r="AB142" s="1346"/>
      <c r="AC142" s="1345" t="str">
        <f aca="false">+IFERROR(AD142/$R142,"-")</f>
        <v>-</v>
      </c>
      <c r="AD142" s="1345"/>
      <c r="AE142" s="1346"/>
      <c r="AF142" s="1345" t="str">
        <f aca="false">+IFERROR(AG142/$R142,"-")</f>
        <v>-</v>
      </c>
      <c r="AG142" s="1345"/>
      <c r="AH142" s="1346"/>
      <c r="AI142" s="1345" t="str">
        <f aca="false">+IFERROR(AJ142/#REF!,"-")</f>
        <v>-</v>
      </c>
      <c r="AJ142" s="1345"/>
      <c r="AK142" s="1345"/>
      <c r="AL142" s="1345" t="str">
        <f aca="false">+IFERROR(AM142/#REF!,"-")</f>
        <v>-</v>
      </c>
      <c r="AM142" s="1345"/>
      <c r="AN142" s="1345"/>
      <c r="AO142" s="1347" t="n">
        <f aca="false">+R142</f>
        <v>0</v>
      </c>
      <c r="AP142" s="1347" t="n">
        <f aca="false">+AO142*'ref.지급기준 (2)'!G191</f>
        <v>0</v>
      </c>
      <c r="AQ142" s="1508"/>
      <c r="AR142" s="1328"/>
      <c r="AS142" s="1349" t="n">
        <f aca="false">+$AO142*'ref.지급기준 (2)'!G191</f>
        <v>0</v>
      </c>
      <c r="AT142" s="1347" t="n">
        <f aca="false">+X142</f>
        <v>0</v>
      </c>
      <c r="AU142" s="1347" t="n">
        <f aca="false">+$AO142*'ref.지급기준 (2)'!I191</f>
        <v>0</v>
      </c>
      <c r="AV142" s="1347" t="n">
        <f aca="false">+AA142</f>
        <v>0</v>
      </c>
      <c r="AW142" s="1347" t="n">
        <f aca="false">+$AO142*'ref.지급기준 (2)'!K191</f>
        <v>0</v>
      </c>
      <c r="AX142" s="1347"/>
      <c r="AY142" s="1347" t="n">
        <f aca="false">+$AO142*'ref.지급기준 (2)'!M191</f>
        <v>0</v>
      </c>
      <c r="AZ142" s="1347"/>
      <c r="BA142" s="1347" t="n">
        <f aca="false">+$AO142*'ref.지급기준 (2)'!O191</f>
        <v>0</v>
      </c>
      <c r="BB142" s="1350"/>
      <c r="BC142" s="1441"/>
      <c r="BD142" s="1278"/>
      <c r="BE142" s="1332" t="b">
        <f aca="false">+(BA142+AY142+AW142+AU142+AS142)=R142</f>
        <v>1</v>
      </c>
      <c r="BF142" s="1278"/>
      <c r="BG142" s="1278"/>
      <c r="BH142" s="1278"/>
      <c r="BI142" s="1278"/>
      <c r="BJ142" s="1278"/>
      <c r="BK142" s="1278"/>
      <c r="BL142" s="1278"/>
      <c r="BM142" s="1278"/>
      <c r="BN142" s="1278"/>
      <c r="BO142" s="1333"/>
      <c r="BP142" s="1333"/>
    </row>
    <row r="143" customFormat="false" ht="17.25" hidden="false" customHeight="true" outlineLevel="0" collapsed="false">
      <c r="A143" s="1486"/>
      <c r="B143" s="1487"/>
      <c r="C143" s="1488"/>
      <c r="D143" s="1489"/>
      <c r="E143" s="1489"/>
      <c r="F143" s="1490"/>
      <c r="G143" s="1489"/>
      <c r="H143" s="1489"/>
      <c r="I143" s="1310"/>
      <c r="J143" s="1476"/>
      <c r="K143" s="1484"/>
      <c r="L143" s="1380"/>
      <c r="M143" s="1382"/>
      <c r="N143" s="1382"/>
      <c r="O143" s="1517" t="s">
        <v>507</v>
      </c>
      <c r="P143" s="1518" t="n">
        <f aca="false">+'DG-PV Organic'!AJ5</f>
        <v>29718000</v>
      </c>
      <c r="Q143" s="1335" t="n">
        <f aca="false">+P143*10%</f>
        <v>2971800</v>
      </c>
      <c r="R143" s="1336" t="n">
        <f aca="false">SUM(P143:Q143)</f>
        <v>32689800</v>
      </c>
      <c r="S143" s="1437" t="b">
        <f aca="false">+R143=AO143</f>
        <v>1</v>
      </c>
      <c r="T143" s="1337" t="n">
        <f aca="false">+IFERROR(U143/R143,"-")</f>
        <v>0.2</v>
      </c>
      <c r="U143" s="1338" t="n">
        <f aca="false">+IFERROR(X143+AA143+AD143+AG143+AJ143+AM143,"-")</f>
        <v>6537960</v>
      </c>
      <c r="V143" s="1343" t="n">
        <f aca="false">+IFERROR(X143/$R143,"-")</f>
        <v>0.2</v>
      </c>
      <c r="W143" s="1442" t="n">
        <f aca="false">W141</f>
        <v>45679</v>
      </c>
      <c r="X143" s="1341" t="n">
        <f aca="false">+R143*20%</f>
        <v>6537960</v>
      </c>
      <c r="Y143" s="1343"/>
      <c r="Z143" s="1345" t="n">
        <v>0</v>
      </c>
      <c r="AA143" s="1345"/>
      <c r="AB143" s="1346" t="n">
        <f aca="false">AB141</f>
        <v>45777</v>
      </c>
      <c r="AC143" s="1345" t="n">
        <f aca="false">+IFERROR(AD143/$R143,"-")</f>
        <v>0</v>
      </c>
      <c r="AD143" s="1345"/>
      <c r="AE143" s="1346" t="n">
        <f aca="false">AE141</f>
        <v>45807</v>
      </c>
      <c r="AF143" s="1345" t="n">
        <f aca="false">+IFERROR(AG143/$R143,"-")</f>
        <v>0</v>
      </c>
      <c r="AG143" s="1345"/>
      <c r="AH143" s="1346" t="n">
        <f aca="false">AH141</f>
        <v>45991</v>
      </c>
      <c r="AI143" s="1345" t="str">
        <f aca="false">+IFERROR(AJ143/#REF!,"-")</f>
        <v>-</v>
      </c>
      <c r="AJ143" s="1345"/>
      <c r="AK143" s="1345"/>
      <c r="AL143" s="1345" t="str">
        <f aca="false">+IFERROR(AM143/#REF!,"-")</f>
        <v>-</v>
      </c>
      <c r="AM143" s="1345"/>
      <c r="AN143" s="1345"/>
      <c r="AO143" s="1347" t="n">
        <f aca="false">+R143</f>
        <v>32689800</v>
      </c>
      <c r="AP143" s="1347" t="n">
        <f aca="false">+AO143*'ref.지급기준 (2)'!G192</f>
        <v>6537960</v>
      </c>
      <c r="AQ143" s="1508" t="n">
        <f aca="false">+AB143</f>
        <v>45777</v>
      </c>
      <c r="AR143" s="1328"/>
      <c r="AS143" s="1349" t="n">
        <f aca="false">+$AO143*'ref.지급기준 (2)'!G192</f>
        <v>6537960</v>
      </c>
      <c r="AT143" s="1347" t="n">
        <f aca="false">+X143</f>
        <v>6537960</v>
      </c>
      <c r="AU143" s="1347" t="n">
        <f aca="false">+$AO143*'ref.지급기준 (2)'!I192</f>
        <v>6537960</v>
      </c>
      <c r="AV143" s="1347" t="n">
        <f aca="false">+AA143</f>
        <v>0</v>
      </c>
      <c r="AW143" s="1347" t="n">
        <f aca="false">+$AO143*'ref.지급기준 (2)'!K192</f>
        <v>16344900</v>
      </c>
      <c r="AX143" s="1347"/>
      <c r="AY143" s="1347" t="n">
        <f aca="false">+$AO143*'ref.지급기준 (2)'!M192</f>
        <v>3268980</v>
      </c>
      <c r="AZ143" s="1347"/>
      <c r="BA143" s="1347" t="n">
        <f aca="false">+$AO143*'ref.지급기준 (2)'!O192</f>
        <v>0</v>
      </c>
      <c r="BB143" s="1350"/>
      <c r="BC143" s="1441"/>
      <c r="BD143" s="1278"/>
      <c r="BE143" s="1332" t="b">
        <f aca="false">+(BA143+AY143+AW143+AU143+AS143)=R143</f>
        <v>1</v>
      </c>
      <c r="BF143" s="1278"/>
      <c r="BG143" s="1278"/>
      <c r="BH143" s="1278"/>
      <c r="BI143" s="1278"/>
      <c r="BJ143" s="1278"/>
      <c r="BK143" s="1278"/>
      <c r="BL143" s="1278"/>
      <c r="BM143" s="1278"/>
      <c r="BN143" s="1278"/>
      <c r="BO143" s="1333"/>
      <c r="BP143" s="1333"/>
    </row>
    <row r="144" customFormat="false" ht="17.25" hidden="false" customHeight="true" outlineLevel="0" collapsed="false">
      <c r="A144" s="1486"/>
      <c r="B144" s="1487"/>
      <c r="C144" s="1488"/>
      <c r="D144" s="1489"/>
      <c r="E144" s="1489"/>
      <c r="F144" s="1490"/>
      <c r="G144" s="1489"/>
      <c r="H144" s="1489"/>
      <c r="I144" s="1310"/>
      <c r="J144" s="1476"/>
      <c r="K144" s="1484"/>
      <c r="L144" s="1380"/>
      <c r="M144" s="1382"/>
      <c r="N144" s="1382"/>
      <c r="O144" s="1519" t="s">
        <v>508</v>
      </c>
      <c r="P144" s="1520" t="n">
        <f aca="false">+'DG-PV Organic'!AI5</f>
        <v>29718000</v>
      </c>
      <c r="Q144" s="1387" t="n">
        <f aca="false">+P144*0.1</f>
        <v>2971800</v>
      </c>
      <c r="R144" s="1398" t="n">
        <f aca="false">SUM(P144:Q144)</f>
        <v>32689800</v>
      </c>
      <c r="S144" s="1437" t="b">
        <f aca="false">+R144=AO144</f>
        <v>1</v>
      </c>
      <c r="T144" s="1355"/>
      <c r="U144" s="668"/>
      <c r="V144" s="1355" t="n">
        <f aca="false">+IFERROR(X144/$R144,"-")</f>
        <v>0</v>
      </c>
      <c r="W144" s="1357"/>
      <c r="X144" s="1357"/>
      <c r="Y144" s="1357"/>
      <c r="Z144" s="1357" t="n">
        <f aca="false">+IFERROR(AA144/$R144,"-")</f>
        <v>0</v>
      </c>
      <c r="AA144" s="1357"/>
      <c r="AB144" s="1358"/>
      <c r="AC144" s="1357" t="n">
        <f aca="false">+IFERROR(AD144/$R144,"-")</f>
        <v>0</v>
      </c>
      <c r="AD144" s="1357"/>
      <c r="AE144" s="1358"/>
      <c r="AF144" s="1357" t="n">
        <f aca="false">+IFERROR(AG144/$R144,"-")</f>
        <v>0</v>
      </c>
      <c r="AG144" s="1357"/>
      <c r="AH144" s="1358"/>
      <c r="AI144" s="1357" t="str">
        <f aca="false">+IFERROR(AJ144/#REF!,"-")</f>
        <v>-</v>
      </c>
      <c r="AJ144" s="1357"/>
      <c r="AK144" s="1357"/>
      <c r="AL144" s="1357"/>
      <c r="AM144" s="1357"/>
      <c r="AN144" s="1357"/>
      <c r="AO144" s="1359" t="n">
        <f aca="false">+R144</f>
        <v>32689800</v>
      </c>
      <c r="AP144" s="1359" t="n">
        <f aca="false">+AS144+AU144</f>
        <v>32689800</v>
      </c>
      <c r="AQ144" s="1509"/>
      <c r="AR144" s="1328"/>
      <c r="AS144" s="1361" t="n">
        <f aca="false">+$AO144*'ref.지급기준 (2)'!G188</f>
        <v>32689800</v>
      </c>
      <c r="AT144" s="1359" t="n">
        <f aca="false">+X144</f>
        <v>0</v>
      </c>
      <c r="AU144" s="1359" t="n">
        <f aca="false">+$AO144*'ref.지급기준 (2)'!I188</f>
        <v>0</v>
      </c>
      <c r="AV144" s="1359" t="n">
        <f aca="false">+AA144</f>
        <v>0</v>
      </c>
      <c r="AW144" s="1359" t="n">
        <f aca="false">+$AO144*'ref.지급기준 (2)'!K188</f>
        <v>0</v>
      </c>
      <c r="AX144" s="1359"/>
      <c r="AY144" s="1359" t="n">
        <f aca="false">+$AO144*'ref.지급기준 (2)'!M188</f>
        <v>0</v>
      </c>
      <c r="AZ144" s="1359"/>
      <c r="BA144" s="1359" t="n">
        <f aca="false">+$AO144*'ref.지급기준 (2)'!O188</f>
        <v>0</v>
      </c>
      <c r="BB144" s="1362"/>
      <c r="BC144" s="1441"/>
      <c r="BD144" s="1278"/>
      <c r="BE144" s="1278"/>
      <c r="BF144" s="1278"/>
      <c r="BG144" s="1278"/>
      <c r="BH144" s="1278"/>
      <c r="BI144" s="1278"/>
      <c r="BJ144" s="1278"/>
      <c r="BK144" s="1278"/>
      <c r="BL144" s="1278"/>
      <c r="BM144" s="1278"/>
      <c r="BN144" s="1278"/>
      <c r="BO144" s="1333"/>
      <c r="BP144" s="1333"/>
    </row>
    <row r="145" customFormat="false" ht="16.5" hidden="false" customHeight="true" outlineLevel="0" collapsed="false">
      <c r="A145" s="1486"/>
      <c r="B145" s="1487"/>
      <c r="C145" s="1488"/>
      <c r="D145" s="1489"/>
      <c r="E145" s="1489"/>
      <c r="F145" s="1490"/>
      <c r="G145" s="1489"/>
      <c r="H145" s="1489"/>
      <c r="I145" s="1310" t="s">
        <v>1521</v>
      </c>
      <c r="J145" s="1510" t="s">
        <v>1522</v>
      </c>
      <c r="K145" s="684" t="n">
        <f aca="false">+'ref.지급기준 (2)'!D194</f>
        <v>71.68</v>
      </c>
      <c r="L145" s="1521" t="n">
        <f aca="false">+'DG-PV Organic'!H6</f>
        <v>0.0865</v>
      </c>
      <c r="M145" s="669" t="n">
        <f aca="false">+'DG-PV Organic'!J6</f>
        <v>0.093</v>
      </c>
      <c r="N145" s="1522" t="s">
        <v>1454</v>
      </c>
      <c r="O145" s="1523" t="s">
        <v>112</v>
      </c>
      <c r="P145" s="1524" t="n">
        <f aca="false">+'ref.지급기준 (2)'!F194*'ref.지급기준 (2)'!D194/'ref.지급기준 (2)'!$Q$2</f>
        <v>75264000</v>
      </c>
      <c r="Q145" s="1436" t="n">
        <f aca="false">+P145*10%</f>
        <v>7526400</v>
      </c>
      <c r="R145" s="1367" t="n">
        <f aca="false">SUM(P145:Q145)</f>
        <v>82790400</v>
      </c>
      <c r="S145" s="1437" t="b">
        <f aca="false">+R145=AO145</f>
        <v>1</v>
      </c>
      <c r="T145" s="1323" t="n">
        <f aca="false">+IFERROR(U145/R145,"-")</f>
        <v>0</v>
      </c>
      <c r="U145" s="1368" t="n">
        <f aca="false">+IFERROR(X145+AA145+AD145+AG145+AJ145+AM145,"-")</f>
        <v>0</v>
      </c>
      <c r="V145" s="1345" t="n">
        <f aca="false">+IFERROR(X145/$R145,"-")</f>
        <v>0</v>
      </c>
      <c r="W145" s="1444" t="n">
        <f aca="false">AE146</f>
        <v>45838</v>
      </c>
      <c r="X145" s="1395"/>
      <c r="Y145" s="1345"/>
      <c r="Z145" s="1345" t="n">
        <f aca="false">+IFERROR(AA145/$R145,"-")</f>
        <v>0</v>
      </c>
      <c r="AA145" s="1345"/>
      <c r="AB145" s="1346" t="n">
        <f aca="false">+EDATE(W145,1)</f>
        <v>45868</v>
      </c>
      <c r="AC145" s="1345" t="n">
        <f aca="false">+IFERROR(AD145/$R145,"-")</f>
        <v>0</v>
      </c>
      <c r="AD145" s="1345"/>
      <c r="AE145" s="1346" t="n">
        <f aca="false">+EDATE(AB145,3)</f>
        <v>45960</v>
      </c>
      <c r="AF145" s="1345" t="n">
        <f aca="false">+IFERROR(AG145/$R145,"-")</f>
        <v>0</v>
      </c>
      <c r="AG145" s="1345"/>
      <c r="AH145" s="1346" t="n">
        <f aca="false">+EDATE(AB145,4)</f>
        <v>45991</v>
      </c>
      <c r="AI145" s="1345" t="str">
        <f aca="false">+IFERROR(AJ145/#REF!,"-")</f>
        <v>-</v>
      </c>
      <c r="AJ145" s="1345"/>
      <c r="AK145" s="1346" t="n">
        <f aca="false">+EDATE(AB145,6)</f>
        <v>46052</v>
      </c>
      <c r="AL145" s="1345" t="str">
        <f aca="false">+IFERROR(AM145/#REF!,"-")</f>
        <v>-</v>
      </c>
      <c r="AM145" s="1345"/>
      <c r="AN145" s="1345"/>
      <c r="AO145" s="1347" t="n">
        <f aca="false">+R145</f>
        <v>82790400</v>
      </c>
      <c r="AP145" s="1347" t="n">
        <f aca="false">+AO145*'ref.지급기준 (2)'!G194</f>
        <v>8279040</v>
      </c>
      <c r="AQ145" s="1508" t="n">
        <f aca="false">+W145</f>
        <v>45838</v>
      </c>
      <c r="AR145" s="1328"/>
      <c r="AS145" s="1349" t="n">
        <f aca="false">+$AO145*'ref.지급기준 (2)'!G194</f>
        <v>8279040</v>
      </c>
      <c r="AT145" s="1347" t="n">
        <f aca="false">+X145</f>
        <v>0</v>
      </c>
      <c r="AU145" s="1347" t="n">
        <f aca="false">+$AO145*'ref.지급기준 (2)'!I194</f>
        <v>16558080</v>
      </c>
      <c r="AV145" s="1347" t="n">
        <f aca="false">+AA145</f>
        <v>0</v>
      </c>
      <c r="AW145" s="1347" t="n">
        <f aca="false">+$AO145*'ref.지급기준 (2)'!K194</f>
        <v>33116160</v>
      </c>
      <c r="AX145" s="1347"/>
      <c r="AY145" s="1347" t="n">
        <f aca="false">+$AO145*'ref.지급기준 (2)'!M194</f>
        <v>20697600</v>
      </c>
      <c r="AZ145" s="1347"/>
      <c r="BA145" s="1347" t="n">
        <f aca="false">+$AO145*'ref.지급기준 (2)'!O194</f>
        <v>4139520</v>
      </c>
      <c r="BB145" s="1350"/>
      <c r="BC145" s="1441" t="s">
        <v>1509</v>
      </c>
      <c r="BD145" s="1278"/>
      <c r="BE145" s="1332" t="b">
        <f aca="false">+(BA145+AY145+AW145+AU145+AS145)=R145</f>
        <v>1</v>
      </c>
      <c r="BF145" s="1278"/>
      <c r="BG145" s="1278"/>
      <c r="BH145" s="1278"/>
      <c r="BI145" s="1278"/>
      <c r="BJ145" s="1278"/>
      <c r="BK145" s="1278"/>
      <c r="BL145" s="1278"/>
      <c r="BM145" s="1278"/>
      <c r="BN145" s="1278"/>
      <c r="BO145" s="1333"/>
      <c r="BP145" s="1333"/>
    </row>
    <row r="146" customFormat="false" ht="16.5" hidden="false" customHeight="false" outlineLevel="0" collapsed="false">
      <c r="A146" s="1486"/>
      <c r="B146" s="1487"/>
      <c r="C146" s="1488"/>
      <c r="D146" s="1489"/>
      <c r="E146" s="1489"/>
      <c r="F146" s="1490"/>
      <c r="G146" s="1489"/>
      <c r="H146" s="1489"/>
      <c r="I146" s="1310"/>
      <c r="J146" s="1510"/>
      <c r="K146" s="684"/>
      <c r="L146" s="1521"/>
      <c r="M146" s="669"/>
      <c r="N146" s="1522"/>
      <c r="O146" s="1467" t="s">
        <v>114</v>
      </c>
      <c r="P146" s="1518" t="n">
        <f aca="false">+'ref.지급기준 (2)'!F195*'ref.지급기준 (2)'!D195/'ref.지급기준 (2)'!$Q$2</f>
        <v>21504000</v>
      </c>
      <c r="Q146" s="1384" t="n">
        <f aca="false">+P146*10%</f>
        <v>2150400</v>
      </c>
      <c r="R146" s="1336" t="n">
        <f aca="false">SUM(P146:Q146)</f>
        <v>23654400</v>
      </c>
      <c r="S146" s="1437" t="b">
        <f aca="false">+R146=AO146</f>
        <v>1</v>
      </c>
      <c r="T146" s="1337" t="n">
        <f aca="false">+IFERROR(U146/R146,"-")</f>
        <v>0.2</v>
      </c>
      <c r="U146" s="1338" t="n">
        <f aca="false">+IFERROR(X146+AA146+AD146+AG146+AJ146+AM146,"-")</f>
        <v>4730880</v>
      </c>
      <c r="V146" s="1343" t="n">
        <f aca="false">+IFERROR(X146/$R146,"-")</f>
        <v>0.2</v>
      </c>
      <c r="W146" s="1442" t="n">
        <v>45705</v>
      </c>
      <c r="X146" s="1341" t="n">
        <f aca="false">+R146*20%</f>
        <v>4730880</v>
      </c>
      <c r="Y146" s="1343"/>
      <c r="Z146" s="1345" t="n">
        <f aca="false">+IFERROR(AA146/$R146,"-")</f>
        <v>0</v>
      </c>
      <c r="AA146" s="1397"/>
      <c r="AB146" s="1346" t="n">
        <v>45777</v>
      </c>
      <c r="AC146" s="1345" t="n">
        <f aca="false">+IFERROR(AD146/$R146,"-")</f>
        <v>0</v>
      </c>
      <c r="AD146" s="1345"/>
      <c r="AE146" s="1346" t="n">
        <f aca="false">+EDATE(AB146,2)</f>
        <v>45838</v>
      </c>
      <c r="AF146" s="1345" t="n">
        <f aca="false">+IFERROR(AG146/$R146,"-")</f>
        <v>0</v>
      </c>
      <c r="AG146" s="1345"/>
      <c r="AH146" s="1346" t="n">
        <f aca="false">+EDATE(AB145,5)</f>
        <v>46021</v>
      </c>
      <c r="AI146" s="1345" t="str">
        <f aca="false">+IFERROR(AJ146/#REF!,"-")</f>
        <v>-</v>
      </c>
      <c r="AJ146" s="1345"/>
      <c r="AK146" s="1345"/>
      <c r="AL146" s="1345" t="str">
        <f aca="false">+IFERROR(AM146/#REF!,"-")</f>
        <v>-</v>
      </c>
      <c r="AM146" s="1345"/>
      <c r="AN146" s="1345"/>
      <c r="AO146" s="1347" t="n">
        <f aca="false">+R146</f>
        <v>23654400</v>
      </c>
      <c r="AP146" s="1347" t="n">
        <f aca="false">+AO146*'ref.지급기준 (2)'!G195</f>
        <v>4730880</v>
      </c>
      <c r="AQ146" s="1508" t="n">
        <f aca="false">+AB146</f>
        <v>45777</v>
      </c>
      <c r="AR146" s="1328"/>
      <c r="AS146" s="1349" t="n">
        <f aca="false">+$AO146*'ref.지급기준 (2)'!G195</f>
        <v>4730880</v>
      </c>
      <c r="AT146" s="1347" t="n">
        <f aca="false">+X146</f>
        <v>4730880</v>
      </c>
      <c r="AU146" s="1347" t="n">
        <f aca="false">+$AO146*'ref.지급기준 (2)'!I195</f>
        <v>4730880</v>
      </c>
      <c r="AV146" s="1347" t="n">
        <f aca="false">+AA146</f>
        <v>0</v>
      </c>
      <c r="AW146" s="1347" t="n">
        <f aca="false">+$AO146*'ref.지급기준 (2)'!K195</f>
        <v>11827200</v>
      </c>
      <c r="AX146" s="1347"/>
      <c r="AY146" s="1347" t="n">
        <f aca="false">+$AO146*'ref.지급기준 (2)'!M195</f>
        <v>2365440</v>
      </c>
      <c r="AZ146" s="1347"/>
      <c r="BA146" s="1347" t="n">
        <f aca="false">+$AO146*'ref.지급기준 (2)'!O195</f>
        <v>0</v>
      </c>
      <c r="BB146" s="1350"/>
      <c r="BC146" s="1441"/>
      <c r="BD146" s="1278"/>
      <c r="BE146" s="1332" t="b">
        <f aca="false">+(BA146+AY146+AW146+AU146+AS146)=R146</f>
        <v>1</v>
      </c>
      <c r="BF146" s="1278"/>
      <c r="BG146" s="1278"/>
      <c r="BH146" s="1278"/>
      <c r="BI146" s="1278"/>
      <c r="BJ146" s="1278"/>
      <c r="BK146" s="1278"/>
      <c r="BL146" s="1278"/>
      <c r="BM146" s="1278"/>
      <c r="BN146" s="1278"/>
      <c r="BO146" s="1333"/>
      <c r="BP146" s="1333"/>
    </row>
    <row r="147" customFormat="false" ht="16.5" hidden="false" customHeight="false" outlineLevel="0" collapsed="false">
      <c r="A147" s="1486"/>
      <c r="B147" s="1487"/>
      <c r="C147" s="1488"/>
      <c r="D147" s="1489"/>
      <c r="E147" s="1489"/>
      <c r="F147" s="1490"/>
      <c r="G147" s="1489"/>
      <c r="H147" s="1489"/>
      <c r="I147" s="1310"/>
      <c r="J147" s="1510"/>
      <c r="K147" s="684"/>
      <c r="L147" s="1521"/>
      <c r="M147" s="669"/>
      <c r="N147" s="1522"/>
      <c r="O147" s="1467" t="s">
        <v>404</v>
      </c>
      <c r="P147" s="1518" t="n">
        <f aca="false">+'ref.지급기준 (2)'!F196*'ref.지급기준 (2)'!D196/'ref.지급기준 (2)'!$Q$2</f>
        <v>0</v>
      </c>
      <c r="Q147" s="1384"/>
      <c r="R147" s="1336" t="n">
        <f aca="false">SUM(P147:Q147)</f>
        <v>0</v>
      </c>
      <c r="S147" s="1437" t="b">
        <f aca="false">+R147=AO147</f>
        <v>1</v>
      </c>
      <c r="T147" s="1337" t="str">
        <f aca="false">+IFERROR(U147/R147,"-")</f>
        <v>-</v>
      </c>
      <c r="U147" s="1338" t="n">
        <f aca="false">+IFERROR(X147+AA147+AD147+AG147+AJ147+AM147,"-")</f>
        <v>0</v>
      </c>
      <c r="V147" s="1345" t="str">
        <f aca="false">+IFERROR(X147/$R147,"-")</f>
        <v>-</v>
      </c>
      <c r="W147" s="1444"/>
      <c r="X147" s="1395"/>
      <c r="Y147" s="1345"/>
      <c r="Z147" s="1345" t="str">
        <f aca="false">+IFERROR(AA147/$R147,"-")</f>
        <v>-</v>
      </c>
      <c r="AA147" s="1345"/>
      <c r="AB147" s="1346"/>
      <c r="AC147" s="1345" t="str">
        <f aca="false">+IFERROR(AD147/$R147,"-")</f>
        <v>-</v>
      </c>
      <c r="AD147" s="1345"/>
      <c r="AE147" s="1346"/>
      <c r="AF147" s="1345" t="str">
        <f aca="false">+IFERROR(AG147/$R147,"-")</f>
        <v>-</v>
      </c>
      <c r="AG147" s="1345"/>
      <c r="AH147" s="1346"/>
      <c r="AI147" s="1345" t="str">
        <f aca="false">+IFERROR(AJ147/#REF!,"-")</f>
        <v>-</v>
      </c>
      <c r="AJ147" s="1345"/>
      <c r="AK147" s="1345"/>
      <c r="AL147" s="1345" t="str">
        <f aca="false">+IFERROR(AM147/#REF!,"-")</f>
        <v>-</v>
      </c>
      <c r="AM147" s="1345"/>
      <c r="AN147" s="1345"/>
      <c r="AO147" s="1347" t="n">
        <f aca="false">+R147</f>
        <v>0</v>
      </c>
      <c r="AP147" s="1347" t="n">
        <f aca="false">+AO147*'ref.지급기준 (2)'!G196</f>
        <v>0</v>
      </c>
      <c r="AQ147" s="1508"/>
      <c r="AR147" s="1328"/>
      <c r="AS147" s="1349" t="n">
        <f aca="false">+$AO147*'ref.지급기준 (2)'!G196</f>
        <v>0</v>
      </c>
      <c r="AT147" s="1347" t="n">
        <f aca="false">+X147</f>
        <v>0</v>
      </c>
      <c r="AU147" s="1347" t="n">
        <f aca="false">+$AO147*'ref.지급기준 (2)'!I196</f>
        <v>0</v>
      </c>
      <c r="AV147" s="1347" t="n">
        <f aca="false">+AA147</f>
        <v>0</v>
      </c>
      <c r="AW147" s="1347" t="n">
        <f aca="false">+$AO147*'ref.지급기준 (2)'!K196</f>
        <v>0</v>
      </c>
      <c r="AX147" s="1347"/>
      <c r="AY147" s="1347" t="n">
        <f aca="false">+$AO147*'ref.지급기준 (2)'!M196</f>
        <v>0</v>
      </c>
      <c r="AZ147" s="1347"/>
      <c r="BA147" s="1347" t="n">
        <f aca="false">+$AO147*'ref.지급기준 (2)'!O196</f>
        <v>0</v>
      </c>
      <c r="BB147" s="1350"/>
      <c r="BC147" s="1441"/>
      <c r="BD147" s="1278"/>
      <c r="BE147" s="1332" t="b">
        <f aca="false">+(BA147+AY147+AW147+AU147+AS147)=R147</f>
        <v>1</v>
      </c>
      <c r="BF147" s="1278"/>
      <c r="BG147" s="1278"/>
      <c r="BH147" s="1278"/>
      <c r="BI147" s="1278"/>
      <c r="BJ147" s="1278"/>
      <c r="BK147" s="1278"/>
      <c r="BL147" s="1278"/>
      <c r="BM147" s="1278"/>
      <c r="BN147" s="1278"/>
      <c r="BO147" s="1333"/>
      <c r="BP147" s="1333"/>
    </row>
    <row r="148" customFormat="false" ht="17.25" hidden="false" customHeight="true" outlineLevel="0" collapsed="false">
      <c r="A148" s="1486"/>
      <c r="B148" s="1487"/>
      <c r="C148" s="1488"/>
      <c r="D148" s="1489"/>
      <c r="E148" s="1489"/>
      <c r="F148" s="1490"/>
      <c r="G148" s="1489"/>
      <c r="H148" s="1489"/>
      <c r="I148" s="1310"/>
      <c r="J148" s="1510"/>
      <c r="K148" s="684"/>
      <c r="L148" s="1521"/>
      <c r="M148" s="669"/>
      <c r="N148" s="1522"/>
      <c r="O148" s="1467" t="s">
        <v>507</v>
      </c>
      <c r="P148" s="1518" t="n">
        <f aca="false">+'ref.지급기준 (2)'!F197*'ref.지급기준 (2)'!D197/'ref.지급기준 (2)'!$Q$2</f>
        <v>14336000</v>
      </c>
      <c r="Q148" s="1384" t="n">
        <f aca="false">+P148*10%</f>
        <v>1433600</v>
      </c>
      <c r="R148" s="1336" t="n">
        <f aca="false">SUM(P148:Q148)</f>
        <v>15769600</v>
      </c>
      <c r="S148" s="1437" t="b">
        <f aca="false">+R148=AO148</f>
        <v>1</v>
      </c>
      <c r="T148" s="1337" t="n">
        <f aca="false">+IFERROR(U148/R148,"-")</f>
        <v>0.2</v>
      </c>
      <c r="U148" s="1338" t="n">
        <f aca="false">+IFERROR(X148+AA148+AD148+AG148+AJ148+AM148,"-")</f>
        <v>3153920</v>
      </c>
      <c r="V148" s="1343" t="n">
        <f aca="false">+IFERROR(X148/$R148,"-")</f>
        <v>0.2</v>
      </c>
      <c r="W148" s="1442" t="n">
        <f aca="false">W146</f>
        <v>45705</v>
      </c>
      <c r="X148" s="1341" t="n">
        <f aca="false">+R148*20%</f>
        <v>3153920</v>
      </c>
      <c r="Y148" s="1343"/>
      <c r="Z148" s="1345" t="n">
        <v>0</v>
      </c>
      <c r="AA148" s="1345"/>
      <c r="AB148" s="1346" t="n">
        <f aca="false">AB146</f>
        <v>45777</v>
      </c>
      <c r="AC148" s="1345" t="n">
        <f aca="false">+IFERROR(AD148/$R148,"-")</f>
        <v>0</v>
      </c>
      <c r="AD148" s="1345"/>
      <c r="AE148" s="1346" t="n">
        <f aca="false">AE146</f>
        <v>45838</v>
      </c>
      <c r="AF148" s="1345" t="n">
        <f aca="false">+IFERROR(AG148/$R148,"-")</f>
        <v>0</v>
      </c>
      <c r="AG148" s="1345"/>
      <c r="AH148" s="1346" t="n">
        <f aca="false">AH146</f>
        <v>46021</v>
      </c>
      <c r="AI148" s="1345" t="str">
        <f aca="false">+IFERROR(AJ148/#REF!,"-")</f>
        <v>-</v>
      </c>
      <c r="AJ148" s="1345"/>
      <c r="AK148" s="1345"/>
      <c r="AL148" s="1345" t="str">
        <f aca="false">+IFERROR(AM148/#REF!,"-")</f>
        <v>-</v>
      </c>
      <c r="AM148" s="1345"/>
      <c r="AN148" s="1345"/>
      <c r="AO148" s="1347" t="n">
        <f aca="false">+R148</f>
        <v>15769600</v>
      </c>
      <c r="AP148" s="1347" t="n">
        <f aca="false">+AO148*'ref.지급기준 (2)'!G197</f>
        <v>3153920</v>
      </c>
      <c r="AQ148" s="1508" t="n">
        <f aca="false">+AB148</f>
        <v>45777</v>
      </c>
      <c r="AR148" s="1328"/>
      <c r="AS148" s="1349" t="n">
        <f aca="false">+$AO148*'ref.지급기준 (2)'!G197</f>
        <v>3153920</v>
      </c>
      <c r="AT148" s="1347" t="n">
        <f aca="false">+X148</f>
        <v>3153920</v>
      </c>
      <c r="AU148" s="1347" t="n">
        <f aca="false">+$AO148*'ref.지급기준 (2)'!I197</f>
        <v>3153920</v>
      </c>
      <c r="AV148" s="1347" t="n">
        <f aca="false">+AA148</f>
        <v>0</v>
      </c>
      <c r="AW148" s="1347" t="n">
        <f aca="false">+$AO148*'ref.지급기준 (2)'!K197</f>
        <v>7884800</v>
      </c>
      <c r="AX148" s="1347"/>
      <c r="AY148" s="1347" t="n">
        <f aca="false">+$AO148*'ref.지급기준 (2)'!M197</f>
        <v>1576960</v>
      </c>
      <c r="AZ148" s="1347"/>
      <c r="BA148" s="1347" t="n">
        <f aca="false">+$AO148*'ref.지급기준 (2)'!O197</f>
        <v>0</v>
      </c>
      <c r="BB148" s="1350"/>
      <c r="BC148" s="1441"/>
      <c r="BD148" s="1278"/>
      <c r="BE148" s="1332" t="b">
        <f aca="false">+(BA148+AY148+AW148+AU148+AS148)=R148</f>
        <v>1</v>
      </c>
      <c r="BF148" s="1278"/>
      <c r="BG148" s="1278"/>
      <c r="BH148" s="1278"/>
      <c r="BI148" s="1278"/>
      <c r="BJ148" s="1278"/>
      <c r="BK148" s="1278"/>
      <c r="BL148" s="1278"/>
      <c r="BM148" s="1278"/>
      <c r="BN148" s="1278"/>
      <c r="BO148" s="1333"/>
      <c r="BP148" s="1333"/>
    </row>
    <row r="149" customFormat="false" ht="17.25" hidden="false" customHeight="true" outlineLevel="0" collapsed="false">
      <c r="A149" s="1486"/>
      <c r="B149" s="1487"/>
      <c r="C149" s="1488"/>
      <c r="D149" s="1489"/>
      <c r="E149" s="1489"/>
      <c r="F149" s="1490"/>
      <c r="G149" s="1489"/>
      <c r="H149" s="1489"/>
      <c r="I149" s="1310"/>
      <c r="J149" s="1510"/>
      <c r="K149" s="684"/>
      <c r="L149" s="1521"/>
      <c r="M149" s="669"/>
      <c r="N149" s="1522"/>
      <c r="O149" s="1525" t="s">
        <v>508</v>
      </c>
      <c r="P149" s="1526" t="n">
        <f aca="false">40000*K145*5</f>
        <v>14336000</v>
      </c>
      <c r="Q149" s="1457" t="n">
        <f aca="false">+P149*0.1</f>
        <v>1433600</v>
      </c>
      <c r="R149" s="1353" t="n">
        <f aca="false">SUM(P149:Q149)</f>
        <v>15769600</v>
      </c>
      <c r="S149" s="1437" t="b">
        <f aca="false">+R149=AO149</f>
        <v>1</v>
      </c>
      <c r="T149" s="1355"/>
      <c r="U149" s="668"/>
      <c r="V149" s="1355" t="n">
        <f aca="false">+IFERROR(X149/$R149,"-")</f>
        <v>0</v>
      </c>
      <c r="W149" s="1357"/>
      <c r="X149" s="1357"/>
      <c r="Y149" s="1357"/>
      <c r="Z149" s="1357" t="n">
        <f aca="false">+IFERROR(AA149/$R149,"-")</f>
        <v>0</v>
      </c>
      <c r="AA149" s="1357"/>
      <c r="AB149" s="1358"/>
      <c r="AC149" s="1357" t="n">
        <f aca="false">+IFERROR(AD149/$R149,"-")</f>
        <v>0</v>
      </c>
      <c r="AD149" s="1357"/>
      <c r="AE149" s="1358"/>
      <c r="AF149" s="1357" t="n">
        <f aca="false">+IFERROR(AG149/$R149,"-")</f>
        <v>0</v>
      </c>
      <c r="AG149" s="1357"/>
      <c r="AH149" s="1358"/>
      <c r="AI149" s="1357" t="str">
        <f aca="false">+IFERROR(AJ149/#REF!,"-")</f>
        <v>-</v>
      </c>
      <c r="AJ149" s="1357"/>
      <c r="AK149" s="1357"/>
      <c r="AL149" s="1357"/>
      <c r="AM149" s="1357"/>
      <c r="AN149" s="1357"/>
      <c r="AO149" s="1359" t="n">
        <f aca="false">+R149</f>
        <v>15769600</v>
      </c>
      <c r="AP149" s="1359" t="n">
        <f aca="false">+AS149+AU149</f>
        <v>15769600</v>
      </c>
      <c r="AQ149" s="1509"/>
      <c r="AR149" s="1328"/>
      <c r="AS149" s="1361" t="n">
        <f aca="false">+$AO149*'ref.지급기준 (2)'!G193</f>
        <v>15769600</v>
      </c>
      <c r="AT149" s="1359" t="n">
        <f aca="false">+X149</f>
        <v>0</v>
      </c>
      <c r="AU149" s="1359" t="n">
        <f aca="false">+$AO149*'ref.지급기준 (2)'!I193</f>
        <v>0</v>
      </c>
      <c r="AV149" s="1359" t="n">
        <f aca="false">+AA149</f>
        <v>0</v>
      </c>
      <c r="AW149" s="1359" t="n">
        <f aca="false">+$AO149*'ref.지급기준 (2)'!K193</f>
        <v>0</v>
      </c>
      <c r="AX149" s="1359"/>
      <c r="AY149" s="1359" t="n">
        <f aca="false">+$AO149*'ref.지급기준 (2)'!M193</f>
        <v>0</v>
      </c>
      <c r="AZ149" s="1359"/>
      <c r="BA149" s="1359" t="n">
        <f aca="false">+$AO149*'ref.지급기준 (2)'!O193</f>
        <v>0</v>
      </c>
      <c r="BB149" s="1362"/>
      <c r="BC149" s="1441"/>
      <c r="BD149" s="1278"/>
      <c r="BE149" s="1278"/>
      <c r="BF149" s="1278"/>
      <c r="BG149" s="1278"/>
      <c r="BH149" s="1278"/>
      <c r="BI149" s="1278"/>
      <c r="BJ149" s="1278"/>
      <c r="BK149" s="1278"/>
      <c r="BL149" s="1278"/>
      <c r="BM149" s="1278"/>
      <c r="BN149" s="1278"/>
      <c r="BO149" s="1333"/>
      <c r="BP149" s="1333"/>
    </row>
    <row r="150" customFormat="false" ht="17.25" hidden="false" customHeight="true" outlineLevel="0" collapsed="false">
      <c r="A150" s="1486"/>
      <c r="B150" s="1487"/>
      <c r="C150" s="1488"/>
      <c r="D150" s="1489"/>
      <c r="E150" s="1489"/>
      <c r="F150" s="1490"/>
      <c r="G150" s="1489"/>
      <c r="H150" s="1489"/>
      <c r="I150" s="1310"/>
      <c r="J150" s="1510" t="s">
        <v>1523</v>
      </c>
      <c r="K150" s="684" t="n">
        <f aca="false">+'ref.지급기준 (2)'!D199</f>
        <v>38.4</v>
      </c>
      <c r="L150" s="1521"/>
      <c r="M150" s="669"/>
      <c r="N150" s="1522" t="s">
        <v>1454</v>
      </c>
      <c r="O150" s="1323" t="s">
        <v>112</v>
      </c>
      <c r="P150" s="1366" t="n">
        <f aca="false">+'ref.지급기준 (2)'!F199*'ref.지급기준 (2)'!D199/'ref.지급기준 (2)'!$Q$2</f>
        <v>40320000</v>
      </c>
      <c r="Q150" s="1436" t="n">
        <f aca="false">+P150*10%</f>
        <v>4032000</v>
      </c>
      <c r="R150" s="1367" t="n">
        <f aca="false">SUM(P150:Q150)</f>
        <v>44352000</v>
      </c>
      <c r="S150" s="1437" t="b">
        <f aca="false">+R150=AO150</f>
        <v>1</v>
      </c>
      <c r="T150" s="1323" t="n">
        <f aca="false">+IFERROR(U150/R150,"-")</f>
        <v>0</v>
      </c>
      <c r="U150" s="1368" t="n">
        <f aca="false">+IFERROR(X150+AA150+AD150+AG150+AJ150+AM150,"-")</f>
        <v>0</v>
      </c>
      <c r="V150" s="1345" t="n">
        <f aca="false">+IFERROR(X150/$R150,"-")</f>
        <v>0</v>
      </c>
      <c r="W150" s="1444" t="n">
        <f aca="false">AE151</f>
        <v>45838</v>
      </c>
      <c r="X150" s="1395"/>
      <c r="Y150" s="1345"/>
      <c r="Z150" s="1345" t="n">
        <f aca="false">+IFERROR(AA150/$R150,"-")</f>
        <v>0</v>
      </c>
      <c r="AA150" s="1345"/>
      <c r="AB150" s="1346" t="n">
        <f aca="false">+EDATE(W150,1)</f>
        <v>45868</v>
      </c>
      <c r="AC150" s="1345" t="n">
        <f aca="false">+IFERROR(AD150/$R150,"-")</f>
        <v>0</v>
      </c>
      <c r="AD150" s="1345"/>
      <c r="AE150" s="1346" t="n">
        <f aca="false">+EDATE(AB150,3)</f>
        <v>45960</v>
      </c>
      <c r="AF150" s="1345" t="n">
        <f aca="false">+IFERROR(AG150/$R150,"-")</f>
        <v>0</v>
      </c>
      <c r="AG150" s="1345"/>
      <c r="AH150" s="1346" t="n">
        <f aca="false">+EDATE(AB150,4)</f>
        <v>45991</v>
      </c>
      <c r="AI150" s="1345" t="str">
        <f aca="false">+IFERROR(AJ150/#REF!,"-")</f>
        <v>-</v>
      </c>
      <c r="AJ150" s="1345"/>
      <c r="AK150" s="1346" t="n">
        <f aca="false">+EDATE(AB150,6)</f>
        <v>46052</v>
      </c>
      <c r="AL150" s="1345"/>
      <c r="AM150" s="1345"/>
      <c r="AN150" s="1345"/>
      <c r="AO150" s="1347" t="n">
        <f aca="false">+R150</f>
        <v>44352000</v>
      </c>
      <c r="AP150" s="1347" t="n">
        <f aca="false">+AO150*'ref.지급기준 (2)'!G199</f>
        <v>4435200</v>
      </c>
      <c r="AQ150" s="1508" t="n">
        <f aca="false">+W150</f>
        <v>45838</v>
      </c>
      <c r="AR150" s="1328"/>
      <c r="AS150" s="1349" t="n">
        <f aca="false">+$AO150*'ref.지급기준 (2)'!G199</f>
        <v>4435200</v>
      </c>
      <c r="AT150" s="1347" t="n">
        <f aca="false">+X150</f>
        <v>0</v>
      </c>
      <c r="AU150" s="1347" t="n">
        <f aca="false">+$AO150*'ref.지급기준 (2)'!I199</f>
        <v>8870400</v>
      </c>
      <c r="AV150" s="1347" t="n">
        <f aca="false">+AA150</f>
        <v>0</v>
      </c>
      <c r="AW150" s="1347" t="n">
        <f aca="false">+$AO150*'ref.지급기준 (2)'!K199</f>
        <v>17740800</v>
      </c>
      <c r="AX150" s="1347"/>
      <c r="AY150" s="1347" t="n">
        <f aca="false">+$AO150*'ref.지급기준 (2)'!M199</f>
        <v>11088000</v>
      </c>
      <c r="AZ150" s="1347"/>
      <c r="BA150" s="1347" t="n">
        <f aca="false">+$AO150*'ref.지급기준 (2)'!O199</f>
        <v>2217600</v>
      </c>
      <c r="BB150" s="1350"/>
      <c r="BC150" s="1441" t="s">
        <v>1509</v>
      </c>
      <c r="BD150" s="1278"/>
      <c r="BE150" s="1332" t="b">
        <f aca="false">+(BA150+AY150+AW150+AU150+AS150)=R150</f>
        <v>1</v>
      </c>
      <c r="BF150" s="1278"/>
      <c r="BG150" s="1278"/>
      <c r="BH150" s="1278"/>
      <c r="BI150" s="1278"/>
      <c r="BJ150" s="1278"/>
      <c r="BK150" s="1278"/>
      <c r="BL150" s="1278"/>
      <c r="BM150" s="1278"/>
      <c r="BN150" s="1278"/>
      <c r="BO150" s="1333"/>
      <c r="BP150" s="1333"/>
    </row>
    <row r="151" customFormat="false" ht="17.25" hidden="false" customHeight="true" outlineLevel="0" collapsed="false">
      <c r="A151" s="1486"/>
      <c r="B151" s="1487"/>
      <c r="C151" s="1488"/>
      <c r="D151" s="1489"/>
      <c r="E151" s="1489"/>
      <c r="F151" s="1490"/>
      <c r="G151" s="1489"/>
      <c r="H151" s="1489"/>
      <c r="I151" s="1310"/>
      <c r="J151" s="1510"/>
      <c r="K151" s="684"/>
      <c r="L151" s="1521"/>
      <c r="M151" s="669"/>
      <c r="N151" s="1522"/>
      <c r="O151" s="1337" t="s">
        <v>114</v>
      </c>
      <c r="P151" s="1335" t="n">
        <f aca="false">+'ref.지급기준 (2)'!F200*'ref.지급기준 (2)'!D200/'ref.지급기준 (2)'!$Q$2</f>
        <v>11520000</v>
      </c>
      <c r="Q151" s="1384" t="n">
        <f aca="false">+P151*10%</f>
        <v>1152000</v>
      </c>
      <c r="R151" s="1336" t="n">
        <f aca="false">SUM(P151:Q151)</f>
        <v>12672000</v>
      </c>
      <c r="S151" s="1437" t="b">
        <f aca="false">+R151=AO151</f>
        <v>1</v>
      </c>
      <c r="T151" s="1337" t="n">
        <f aca="false">+IFERROR(U151/R151,"-")</f>
        <v>0.2</v>
      </c>
      <c r="U151" s="1338" t="n">
        <f aca="false">+IFERROR(X151+AA151+AD151+AG151+AJ151+AM151,"-")</f>
        <v>2534400</v>
      </c>
      <c r="V151" s="1343" t="n">
        <f aca="false">+IFERROR(X151/$R151,"-")</f>
        <v>0.2</v>
      </c>
      <c r="W151" s="1442" t="n">
        <v>45705</v>
      </c>
      <c r="X151" s="1341" t="n">
        <f aca="false">+R151*20%</f>
        <v>2534400</v>
      </c>
      <c r="Y151" s="1343"/>
      <c r="Z151" s="1345" t="n">
        <f aca="false">+IFERROR(AA151/$R151,"-")</f>
        <v>0</v>
      </c>
      <c r="AA151" s="1397"/>
      <c r="AB151" s="1346" t="n">
        <v>45777</v>
      </c>
      <c r="AC151" s="1345" t="n">
        <f aca="false">+IFERROR(AD151/$R151,"-")</f>
        <v>0</v>
      </c>
      <c r="AD151" s="1345"/>
      <c r="AE151" s="1346" t="n">
        <f aca="false">+EDATE(AB151,2)</f>
        <v>45838</v>
      </c>
      <c r="AF151" s="1345" t="n">
        <f aca="false">+IFERROR(AG151/$R151,"-")</f>
        <v>0</v>
      </c>
      <c r="AG151" s="1345"/>
      <c r="AH151" s="1346" t="n">
        <f aca="false">+EDATE(AB150,5)</f>
        <v>46021</v>
      </c>
      <c r="AI151" s="1345" t="str">
        <f aca="false">+IFERROR(AJ151/#REF!,"-")</f>
        <v>-</v>
      </c>
      <c r="AJ151" s="1345"/>
      <c r="AK151" s="1345"/>
      <c r="AL151" s="1345"/>
      <c r="AM151" s="1345"/>
      <c r="AN151" s="1345"/>
      <c r="AO151" s="1347" t="n">
        <f aca="false">+R151</f>
        <v>12672000</v>
      </c>
      <c r="AP151" s="1347" t="n">
        <f aca="false">+AO151*'ref.지급기준 (2)'!G200</f>
        <v>2534400</v>
      </c>
      <c r="AQ151" s="1508" t="n">
        <f aca="false">+AB151</f>
        <v>45777</v>
      </c>
      <c r="AR151" s="1328"/>
      <c r="AS151" s="1349" t="n">
        <f aca="false">+$AO151*'ref.지급기준 (2)'!G200</f>
        <v>2534400</v>
      </c>
      <c r="AT151" s="1347" t="n">
        <f aca="false">+X151</f>
        <v>2534400</v>
      </c>
      <c r="AU151" s="1347" t="n">
        <f aca="false">+$AO151*'ref.지급기준 (2)'!I200</f>
        <v>2534400</v>
      </c>
      <c r="AV151" s="1347" t="n">
        <f aca="false">+AA151</f>
        <v>0</v>
      </c>
      <c r="AW151" s="1347" t="n">
        <f aca="false">+$AO151*'ref.지급기준 (2)'!K200</f>
        <v>6336000</v>
      </c>
      <c r="AX151" s="1347"/>
      <c r="AY151" s="1347" t="n">
        <f aca="false">+$AO151*'ref.지급기준 (2)'!M200</f>
        <v>1267200</v>
      </c>
      <c r="AZ151" s="1347"/>
      <c r="BA151" s="1347" t="n">
        <f aca="false">+$AO151*'ref.지급기준 (2)'!O200</f>
        <v>0</v>
      </c>
      <c r="BB151" s="1350"/>
      <c r="BC151" s="1441"/>
      <c r="BD151" s="1278"/>
      <c r="BE151" s="1332" t="b">
        <f aca="false">+(BA151+AY151+AW151+AU151+AS151)=R151</f>
        <v>1</v>
      </c>
      <c r="BF151" s="1278"/>
      <c r="BG151" s="1278"/>
      <c r="BH151" s="1278"/>
      <c r="BI151" s="1278"/>
      <c r="BJ151" s="1278"/>
      <c r="BK151" s="1278"/>
      <c r="BL151" s="1278"/>
      <c r="BM151" s="1278"/>
      <c r="BN151" s="1278"/>
      <c r="BO151" s="1333"/>
      <c r="BP151" s="1333"/>
    </row>
    <row r="152" customFormat="false" ht="17.25" hidden="false" customHeight="true" outlineLevel="0" collapsed="false">
      <c r="A152" s="1486"/>
      <c r="B152" s="1487"/>
      <c r="C152" s="1488"/>
      <c r="D152" s="1489"/>
      <c r="E152" s="1489"/>
      <c r="F152" s="1490"/>
      <c r="G152" s="1489"/>
      <c r="H152" s="1489"/>
      <c r="I152" s="1310"/>
      <c r="J152" s="1510"/>
      <c r="K152" s="684"/>
      <c r="L152" s="1521"/>
      <c r="M152" s="669"/>
      <c r="N152" s="1522"/>
      <c r="O152" s="1337" t="s">
        <v>404</v>
      </c>
      <c r="P152" s="1335" t="n">
        <f aca="false">+'ref.지급기준 (2)'!F201*'ref.지급기준 (2)'!D201/'ref.지급기준 (2)'!$Q$2</f>
        <v>0</v>
      </c>
      <c r="Q152" s="1384"/>
      <c r="R152" s="1336" t="n">
        <f aca="false">SUM(P152:Q152)</f>
        <v>0</v>
      </c>
      <c r="S152" s="1437" t="b">
        <f aca="false">+R152=AO152</f>
        <v>1</v>
      </c>
      <c r="T152" s="1337" t="str">
        <f aca="false">+IFERROR(U152/R152,"-")</f>
        <v>-</v>
      </c>
      <c r="U152" s="1338" t="n">
        <f aca="false">+IFERROR(X152+AA152+AD152+AG152+AJ152+AM152,"-")</f>
        <v>0</v>
      </c>
      <c r="V152" s="1345" t="str">
        <f aca="false">+IFERROR(X152/$R152,"-")</f>
        <v>-</v>
      </c>
      <c r="W152" s="1444"/>
      <c r="X152" s="1395"/>
      <c r="Y152" s="1345"/>
      <c r="Z152" s="1345" t="str">
        <f aca="false">+IFERROR(AA152/$R152,"-")</f>
        <v>-</v>
      </c>
      <c r="AA152" s="1345"/>
      <c r="AB152" s="1346"/>
      <c r="AC152" s="1345" t="str">
        <f aca="false">+IFERROR(AD152/$R152,"-")</f>
        <v>-</v>
      </c>
      <c r="AD152" s="1345"/>
      <c r="AE152" s="1346"/>
      <c r="AF152" s="1345" t="str">
        <f aca="false">+IFERROR(AG152/$R152,"-")</f>
        <v>-</v>
      </c>
      <c r="AG152" s="1345"/>
      <c r="AH152" s="1346"/>
      <c r="AI152" s="1345" t="str">
        <f aca="false">+IFERROR(AJ152/#REF!,"-")</f>
        <v>-</v>
      </c>
      <c r="AJ152" s="1345"/>
      <c r="AK152" s="1345"/>
      <c r="AL152" s="1345"/>
      <c r="AM152" s="1345"/>
      <c r="AN152" s="1345"/>
      <c r="AO152" s="1347" t="n">
        <f aca="false">+R152</f>
        <v>0</v>
      </c>
      <c r="AP152" s="1347" t="n">
        <f aca="false">+AO152*'ref.지급기준 (2)'!G201</f>
        <v>0</v>
      </c>
      <c r="AQ152" s="1508"/>
      <c r="AR152" s="1328"/>
      <c r="AS152" s="1349" t="n">
        <f aca="false">+$AO152*'ref.지급기준 (2)'!G201</f>
        <v>0</v>
      </c>
      <c r="AT152" s="1347" t="n">
        <f aca="false">+X152</f>
        <v>0</v>
      </c>
      <c r="AU152" s="1347" t="n">
        <f aca="false">+$AO152*'ref.지급기준 (2)'!I201</f>
        <v>0</v>
      </c>
      <c r="AV152" s="1347" t="n">
        <f aca="false">+AA152</f>
        <v>0</v>
      </c>
      <c r="AW152" s="1347" t="n">
        <f aca="false">+$AO152*'ref.지급기준 (2)'!K201</f>
        <v>0</v>
      </c>
      <c r="AX152" s="1347"/>
      <c r="AY152" s="1347" t="n">
        <f aca="false">+$AO152*'ref.지급기준 (2)'!M201</f>
        <v>0</v>
      </c>
      <c r="AZ152" s="1347"/>
      <c r="BA152" s="1347" t="n">
        <f aca="false">+$AO152*'ref.지급기준 (2)'!O201</f>
        <v>0</v>
      </c>
      <c r="BB152" s="1350"/>
      <c r="BC152" s="1441"/>
      <c r="BD152" s="1278"/>
      <c r="BE152" s="1332" t="b">
        <f aca="false">+(BA152+AY152+AW152+AU152+AS152)=R152</f>
        <v>1</v>
      </c>
      <c r="BF152" s="1278"/>
      <c r="BG152" s="1278"/>
      <c r="BH152" s="1278"/>
      <c r="BI152" s="1278"/>
      <c r="BJ152" s="1278"/>
      <c r="BK152" s="1278"/>
      <c r="BL152" s="1278"/>
      <c r="BM152" s="1278"/>
      <c r="BN152" s="1278"/>
      <c r="BO152" s="1333"/>
      <c r="BP152" s="1333"/>
    </row>
    <row r="153" customFormat="false" ht="17.25" hidden="false" customHeight="true" outlineLevel="0" collapsed="false">
      <c r="A153" s="1486"/>
      <c r="B153" s="1487"/>
      <c r="C153" s="1488"/>
      <c r="D153" s="1489"/>
      <c r="E153" s="1489"/>
      <c r="F153" s="1490"/>
      <c r="G153" s="1489"/>
      <c r="H153" s="1489"/>
      <c r="I153" s="1310"/>
      <c r="J153" s="1510"/>
      <c r="K153" s="684"/>
      <c r="L153" s="1521"/>
      <c r="M153" s="669"/>
      <c r="N153" s="1522"/>
      <c r="O153" s="1337" t="s">
        <v>507</v>
      </c>
      <c r="P153" s="1335" t="n">
        <f aca="false">+'ref.지급기준 (2)'!F202*'ref.지급기준 (2)'!D202/'ref.지급기준 (2)'!$Q$2</f>
        <v>7680000</v>
      </c>
      <c r="Q153" s="1384" t="n">
        <f aca="false">+P153*10%</f>
        <v>768000</v>
      </c>
      <c r="R153" s="1336" t="n">
        <f aca="false">SUM(P153:Q153)</f>
        <v>8448000</v>
      </c>
      <c r="S153" s="1437" t="b">
        <f aca="false">+R153=AO153</f>
        <v>1</v>
      </c>
      <c r="T153" s="1337" t="n">
        <f aca="false">+IFERROR(U153/R153,"-")</f>
        <v>0.2</v>
      </c>
      <c r="U153" s="1338" t="n">
        <f aca="false">+IFERROR(X153+AA153+AD153+AG153+AJ153+AM153,"-")</f>
        <v>1689600</v>
      </c>
      <c r="V153" s="1343" t="n">
        <f aca="false">+IFERROR(X153/$R153,"-")</f>
        <v>0.2</v>
      </c>
      <c r="W153" s="1442" t="n">
        <f aca="false">W151</f>
        <v>45705</v>
      </c>
      <c r="X153" s="1341" t="n">
        <f aca="false">+R153*20%</f>
        <v>1689600</v>
      </c>
      <c r="Y153" s="1343"/>
      <c r="Z153" s="1345" t="n">
        <v>0</v>
      </c>
      <c r="AA153" s="1345"/>
      <c r="AB153" s="1346" t="n">
        <f aca="false">AB151</f>
        <v>45777</v>
      </c>
      <c r="AC153" s="1345" t="n">
        <f aca="false">+IFERROR(AD153/$R153,"-")</f>
        <v>0</v>
      </c>
      <c r="AD153" s="1345"/>
      <c r="AE153" s="1346" t="n">
        <f aca="false">AE151</f>
        <v>45838</v>
      </c>
      <c r="AF153" s="1345" t="n">
        <f aca="false">+IFERROR(AG153/$R153,"-")</f>
        <v>0</v>
      </c>
      <c r="AG153" s="1345"/>
      <c r="AH153" s="1346" t="n">
        <f aca="false">AH151</f>
        <v>46021</v>
      </c>
      <c r="AI153" s="1345" t="str">
        <f aca="false">+IFERROR(AJ153/#REF!,"-")</f>
        <v>-</v>
      </c>
      <c r="AJ153" s="1345"/>
      <c r="AK153" s="1345"/>
      <c r="AL153" s="1345"/>
      <c r="AM153" s="1345"/>
      <c r="AN153" s="1345"/>
      <c r="AO153" s="1347" t="n">
        <f aca="false">+R153</f>
        <v>8448000</v>
      </c>
      <c r="AP153" s="1347" t="n">
        <f aca="false">+AO153*'ref.지급기준 (2)'!G202</f>
        <v>1689600</v>
      </c>
      <c r="AQ153" s="1508" t="n">
        <f aca="false">+AB153</f>
        <v>45777</v>
      </c>
      <c r="AR153" s="1328"/>
      <c r="AS153" s="1349" t="n">
        <f aca="false">+$AO153*'ref.지급기준 (2)'!G202</f>
        <v>1689600</v>
      </c>
      <c r="AT153" s="1347" t="n">
        <f aca="false">+X153</f>
        <v>1689600</v>
      </c>
      <c r="AU153" s="1347" t="n">
        <f aca="false">+$AO153*'ref.지급기준 (2)'!I202</f>
        <v>1689600</v>
      </c>
      <c r="AV153" s="1347" t="n">
        <f aca="false">+AA153</f>
        <v>0</v>
      </c>
      <c r="AW153" s="1347" t="n">
        <f aca="false">+$AO153*'ref.지급기준 (2)'!K202</f>
        <v>4224000</v>
      </c>
      <c r="AX153" s="1347"/>
      <c r="AY153" s="1347" t="n">
        <f aca="false">+$AO153*'ref.지급기준 (2)'!M202</f>
        <v>844800</v>
      </c>
      <c r="AZ153" s="1347"/>
      <c r="BA153" s="1347" t="n">
        <f aca="false">+$AO153*'ref.지급기준 (2)'!O202</f>
        <v>0</v>
      </c>
      <c r="BB153" s="1350"/>
      <c r="BC153" s="1441"/>
      <c r="BD153" s="1278"/>
      <c r="BE153" s="1332" t="b">
        <f aca="false">+(BA153+AY153+AW153+AU153+AS153)=R153</f>
        <v>1</v>
      </c>
      <c r="BF153" s="1278"/>
      <c r="BG153" s="1278"/>
      <c r="BH153" s="1278"/>
      <c r="BI153" s="1278"/>
      <c r="BJ153" s="1278"/>
      <c r="BK153" s="1278"/>
      <c r="BL153" s="1278"/>
      <c r="BM153" s="1278"/>
      <c r="BN153" s="1278"/>
      <c r="BO153" s="1333"/>
      <c r="BP153" s="1333"/>
    </row>
    <row r="154" customFormat="false" ht="17.25" hidden="false" customHeight="true" outlineLevel="0" collapsed="false">
      <c r="A154" s="1486"/>
      <c r="B154" s="1487"/>
      <c r="C154" s="1488"/>
      <c r="D154" s="1489"/>
      <c r="E154" s="1489"/>
      <c r="F154" s="1490"/>
      <c r="G154" s="1489"/>
      <c r="H154" s="1489"/>
      <c r="I154" s="1310"/>
      <c r="J154" s="1510"/>
      <c r="K154" s="684"/>
      <c r="L154" s="1521"/>
      <c r="M154" s="669"/>
      <c r="N154" s="1522"/>
      <c r="O154" s="1527" t="s">
        <v>508</v>
      </c>
      <c r="P154" s="1526" t="n">
        <f aca="false">40000*K150*5</f>
        <v>7680000</v>
      </c>
      <c r="Q154" s="1457" t="n">
        <f aca="false">+P154*0.1</f>
        <v>768000</v>
      </c>
      <c r="R154" s="1353" t="n">
        <f aca="false">SUM(P154:Q154)</f>
        <v>8448000</v>
      </c>
      <c r="S154" s="1437" t="b">
        <f aca="false">+R154=AO154</f>
        <v>1</v>
      </c>
      <c r="T154" s="1527"/>
      <c r="U154" s="668"/>
      <c r="V154" s="1527" t="n">
        <f aca="false">+IFERROR(X154/$R154,"-")</f>
        <v>0</v>
      </c>
      <c r="W154" s="1357"/>
      <c r="X154" s="1357"/>
      <c r="Y154" s="1357"/>
      <c r="Z154" s="1357" t="n">
        <f aca="false">+IFERROR(AA154/$R154,"-")</f>
        <v>0</v>
      </c>
      <c r="AA154" s="1357"/>
      <c r="AB154" s="1358"/>
      <c r="AC154" s="1357" t="n">
        <f aca="false">+IFERROR(AD154/$R154,"-")</f>
        <v>0</v>
      </c>
      <c r="AD154" s="1357"/>
      <c r="AE154" s="1358"/>
      <c r="AF154" s="1357" t="n">
        <f aca="false">+IFERROR(AG154/$R154,"-")</f>
        <v>0</v>
      </c>
      <c r="AG154" s="1357"/>
      <c r="AH154" s="1358"/>
      <c r="AI154" s="1357" t="str">
        <f aca="false">+IFERROR(AJ154/#REF!,"-")</f>
        <v>-</v>
      </c>
      <c r="AJ154" s="1357"/>
      <c r="AK154" s="1357"/>
      <c r="AL154" s="1357"/>
      <c r="AM154" s="1357"/>
      <c r="AN154" s="1357"/>
      <c r="AO154" s="1359" t="n">
        <f aca="false">+R154</f>
        <v>8448000</v>
      </c>
      <c r="AP154" s="1359" t="n">
        <f aca="false">+AS154+AU154</f>
        <v>8448000</v>
      </c>
      <c r="AQ154" s="1509"/>
      <c r="AR154" s="1328"/>
      <c r="AS154" s="1361" t="n">
        <f aca="false">+$AO154*'ref.지급기준 (2)'!G198</f>
        <v>8448000</v>
      </c>
      <c r="AT154" s="1359" t="n">
        <f aca="false">+X154</f>
        <v>0</v>
      </c>
      <c r="AU154" s="1359" t="n">
        <f aca="false">+$AO154*'ref.지급기준 (2)'!I198</f>
        <v>0</v>
      </c>
      <c r="AV154" s="1359" t="n">
        <f aca="false">+AA154</f>
        <v>0</v>
      </c>
      <c r="AW154" s="1359" t="n">
        <f aca="false">+$AO154*'ref.지급기준 (2)'!K198</f>
        <v>0</v>
      </c>
      <c r="AX154" s="1359"/>
      <c r="AY154" s="1359" t="n">
        <f aca="false">+$AO154*'ref.지급기준 (2)'!M198</f>
        <v>0</v>
      </c>
      <c r="AZ154" s="1359"/>
      <c r="BA154" s="1359" t="n">
        <f aca="false">+$AO154*'ref.지급기준 (2)'!O198</f>
        <v>0</v>
      </c>
      <c r="BB154" s="1362"/>
      <c r="BC154" s="1441"/>
      <c r="BD154" s="1278"/>
      <c r="BE154" s="1278"/>
      <c r="BF154" s="1278"/>
      <c r="BG154" s="1278"/>
      <c r="BH154" s="1278"/>
      <c r="BI154" s="1278"/>
      <c r="BJ154" s="1278"/>
      <c r="BK154" s="1278"/>
      <c r="BL154" s="1278"/>
      <c r="BM154" s="1278"/>
      <c r="BN154" s="1278"/>
      <c r="BO154" s="1333"/>
      <c r="BP154" s="1333"/>
    </row>
    <row r="155" customFormat="false" ht="16.5" hidden="false" customHeight="true" outlineLevel="0" collapsed="false">
      <c r="A155" s="1486"/>
      <c r="B155" s="1487"/>
      <c r="C155" s="1488"/>
      <c r="D155" s="1489"/>
      <c r="E155" s="1489"/>
      <c r="F155" s="1490"/>
      <c r="G155" s="1489"/>
      <c r="H155" s="1489"/>
      <c r="I155" s="1310" t="s">
        <v>1524</v>
      </c>
      <c r="J155" s="1476" t="s">
        <v>852</v>
      </c>
      <c r="K155" s="1363" t="n">
        <f aca="false">+'ref.지급기준 (2)'!D204</f>
        <v>158.75</v>
      </c>
      <c r="L155" s="1376" t="n">
        <f aca="false">+'DG-PV Organic'!H12</f>
        <v>0.0999</v>
      </c>
      <c r="M155" s="1364" t="n">
        <f aca="false">+'DG-PV Organic'!J12</f>
        <v>0.093</v>
      </c>
      <c r="N155" s="1364" t="s">
        <v>1454</v>
      </c>
      <c r="O155" s="1364" t="s">
        <v>112</v>
      </c>
      <c r="P155" s="1528" t="n">
        <f aca="false">+'DG-PV Organic'!AL12</f>
        <v>166687500</v>
      </c>
      <c r="Q155" s="1529" t="n">
        <f aca="false">+P155*10%</f>
        <v>16668750</v>
      </c>
      <c r="R155" s="1528" t="n">
        <f aca="false">SUM(P155:Q155)</f>
        <v>183356250</v>
      </c>
      <c r="S155" s="1437" t="b">
        <f aca="false">+R155=AO155</f>
        <v>1</v>
      </c>
      <c r="T155" s="1323" t="n">
        <f aca="false">+IFERROR(U155/R155,"-")</f>
        <v>0</v>
      </c>
      <c r="U155" s="1368" t="n">
        <f aca="false">+IFERROR(X155+AA155+AD155+AG155+AJ155+AM155,"-")</f>
        <v>0</v>
      </c>
      <c r="V155" s="1345" t="n">
        <f aca="false">+IFERROR(X155/$R155,"-")</f>
        <v>0</v>
      </c>
      <c r="W155" s="1444" t="n">
        <f aca="false">AE156</f>
        <v>45838</v>
      </c>
      <c r="X155" s="1395"/>
      <c r="Y155" s="1345"/>
      <c r="Z155" s="1345" t="n">
        <f aca="false">+IFERROR(AA155/$R155,"-")</f>
        <v>0</v>
      </c>
      <c r="AA155" s="1345"/>
      <c r="AB155" s="1346" t="n">
        <f aca="false">+EDATE(W155,1)</f>
        <v>45868</v>
      </c>
      <c r="AC155" s="1345" t="n">
        <f aca="false">+IFERROR(AD155/$R155,"-")</f>
        <v>0</v>
      </c>
      <c r="AD155" s="1345"/>
      <c r="AE155" s="1346" t="n">
        <f aca="false">+EDATE(AB155,3)</f>
        <v>45960</v>
      </c>
      <c r="AF155" s="1345" t="n">
        <f aca="false">+IFERROR(AG155/$R155,"-")</f>
        <v>0</v>
      </c>
      <c r="AG155" s="1345"/>
      <c r="AH155" s="1346" t="n">
        <f aca="false">+EDATE(AB155,4)</f>
        <v>45991</v>
      </c>
      <c r="AI155" s="1345" t="str">
        <f aca="false">+IFERROR(AJ155/#REF!,"-")</f>
        <v>-</v>
      </c>
      <c r="AJ155" s="1345"/>
      <c r="AK155" s="1346" t="n">
        <f aca="false">+EDATE(AB155,6)</f>
        <v>46052</v>
      </c>
      <c r="AL155" s="1345" t="str">
        <f aca="false">+IFERROR(AM155/#REF!,"-")</f>
        <v>-</v>
      </c>
      <c r="AM155" s="1345"/>
      <c r="AN155" s="1345"/>
      <c r="AO155" s="1347" t="n">
        <f aca="false">+R155</f>
        <v>183356250</v>
      </c>
      <c r="AP155" s="1347" t="n">
        <f aca="false">+AO155*'ref.지급기준 (2)'!G204</f>
        <v>18335625</v>
      </c>
      <c r="AQ155" s="1508" t="n">
        <f aca="false">+W155</f>
        <v>45838</v>
      </c>
      <c r="AR155" s="1328"/>
      <c r="AS155" s="1349" t="n">
        <f aca="false">+$AO155*'ref.지급기준 (2)'!G204</f>
        <v>18335625</v>
      </c>
      <c r="AT155" s="1347" t="n">
        <f aca="false">+X155</f>
        <v>0</v>
      </c>
      <c r="AU155" s="1347" t="n">
        <f aca="false">+$AO155*'ref.지급기준 (2)'!I204</f>
        <v>36671250</v>
      </c>
      <c r="AV155" s="1347" t="n">
        <f aca="false">+AA155</f>
        <v>0</v>
      </c>
      <c r="AW155" s="1347" t="n">
        <f aca="false">+$AO155*'ref.지급기준 (2)'!K204</f>
        <v>73342500</v>
      </c>
      <c r="AX155" s="1347"/>
      <c r="AY155" s="1347" t="n">
        <f aca="false">+$AO155*'ref.지급기준 (2)'!M204</f>
        <v>45839062.5</v>
      </c>
      <c r="AZ155" s="1347"/>
      <c r="BA155" s="1347" t="n">
        <f aca="false">+$AO155*'ref.지급기준 (2)'!O204</f>
        <v>9167812.5</v>
      </c>
      <c r="BB155" s="1350"/>
      <c r="BC155" s="1441" t="s">
        <v>1509</v>
      </c>
      <c r="BD155" s="1278"/>
      <c r="BE155" s="1332" t="b">
        <f aca="false">+(BA155+AY155+AW155+AU155+AS155)=R155</f>
        <v>1</v>
      </c>
      <c r="BF155" s="1278"/>
      <c r="BG155" s="1278"/>
      <c r="BH155" s="1278"/>
      <c r="BI155" s="1278"/>
      <c r="BJ155" s="1278"/>
      <c r="BK155" s="1278"/>
      <c r="BL155" s="1278"/>
      <c r="BM155" s="1278"/>
      <c r="BN155" s="1278"/>
      <c r="BO155" s="1333"/>
      <c r="BP155" s="1333"/>
    </row>
    <row r="156" customFormat="false" ht="16.5" hidden="false" customHeight="false" outlineLevel="0" collapsed="false">
      <c r="A156" s="1486"/>
      <c r="B156" s="1487"/>
      <c r="C156" s="1488"/>
      <c r="D156" s="1489"/>
      <c r="E156" s="1489"/>
      <c r="F156" s="1490"/>
      <c r="G156" s="1489"/>
      <c r="H156" s="1489"/>
      <c r="I156" s="1310"/>
      <c r="J156" s="1476"/>
      <c r="K156" s="1363"/>
      <c r="L156" s="1376"/>
      <c r="M156" s="1364"/>
      <c r="N156" s="1364"/>
      <c r="O156" s="1364" t="s">
        <v>114</v>
      </c>
      <c r="P156" s="1528" t="n">
        <f aca="false">+'DG-PV Organic'!AK12</f>
        <v>47625000</v>
      </c>
      <c r="Q156" s="1529" t="n">
        <f aca="false">+P156*10%</f>
        <v>4762500</v>
      </c>
      <c r="R156" s="1528" t="n">
        <f aca="false">SUM(P156:Q156)</f>
        <v>52387500</v>
      </c>
      <c r="S156" s="1437" t="b">
        <f aca="false">+R156=AO156</f>
        <v>1</v>
      </c>
      <c r="T156" s="1337" t="n">
        <f aca="false">+IFERROR(U156/R156,"-")</f>
        <v>0.2</v>
      </c>
      <c r="U156" s="1338" t="n">
        <f aca="false">+IFERROR(X156+AA156+AD156+AG156+AJ156+AM156,"-")</f>
        <v>10477500</v>
      </c>
      <c r="V156" s="1343" t="n">
        <f aca="false">+IFERROR(X156/$R156,"-")</f>
        <v>0.2</v>
      </c>
      <c r="W156" s="1442" t="n">
        <v>45705</v>
      </c>
      <c r="X156" s="1341" t="n">
        <f aca="false">+R156*20%</f>
        <v>10477500</v>
      </c>
      <c r="Y156" s="1343"/>
      <c r="Z156" s="1345" t="n">
        <f aca="false">+IFERROR(AA156/$R156,"-")</f>
        <v>0</v>
      </c>
      <c r="AA156" s="1397"/>
      <c r="AB156" s="1346" t="n">
        <v>45777</v>
      </c>
      <c r="AC156" s="1345" t="n">
        <f aca="false">+IFERROR(AD156/$R156,"-")</f>
        <v>0</v>
      </c>
      <c r="AD156" s="1345"/>
      <c r="AE156" s="1346" t="n">
        <f aca="false">+EDATE(AB156,2)</f>
        <v>45838</v>
      </c>
      <c r="AF156" s="1345" t="n">
        <f aca="false">+IFERROR(AG156/$R156,"-")</f>
        <v>0</v>
      </c>
      <c r="AG156" s="1345"/>
      <c r="AH156" s="1346" t="n">
        <f aca="false">+EDATE(AB155,5)</f>
        <v>46021</v>
      </c>
      <c r="AI156" s="1345" t="str">
        <f aca="false">+IFERROR(AJ156/#REF!,"-")</f>
        <v>-</v>
      </c>
      <c r="AJ156" s="1345"/>
      <c r="AK156" s="1345"/>
      <c r="AL156" s="1345" t="str">
        <f aca="false">+IFERROR(AM156/#REF!,"-")</f>
        <v>-</v>
      </c>
      <c r="AM156" s="1345"/>
      <c r="AN156" s="1345"/>
      <c r="AO156" s="1347" t="n">
        <f aca="false">+R156</f>
        <v>52387500</v>
      </c>
      <c r="AP156" s="1347" t="n">
        <f aca="false">+AO156*'ref.지급기준 (2)'!G205</f>
        <v>10477500</v>
      </c>
      <c r="AQ156" s="1508" t="n">
        <f aca="false">+AB156</f>
        <v>45777</v>
      </c>
      <c r="AR156" s="1328"/>
      <c r="AS156" s="1349" t="n">
        <f aca="false">+$AO156*'ref.지급기준 (2)'!G205</f>
        <v>10477500</v>
      </c>
      <c r="AT156" s="1347" t="n">
        <f aca="false">+X156</f>
        <v>10477500</v>
      </c>
      <c r="AU156" s="1347" t="n">
        <f aca="false">+$AO156*'ref.지급기준 (2)'!I205</f>
        <v>10477500</v>
      </c>
      <c r="AV156" s="1347" t="n">
        <f aca="false">+AA156</f>
        <v>0</v>
      </c>
      <c r="AW156" s="1347" t="n">
        <f aca="false">+$AO156*'ref.지급기준 (2)'!K205</f>
        <v>26193750</v>
      </c>
      <c r="AX156" s="1347"/>
      <c r="AY156" s="1347" t="n">
        <f aca="false">+$AO156*'ref.지급기준 (2)'!M205</f>
        <v>5238750</v>
      </c>
      <c r="AZ156" s="1347"/>
      <c r="BA156" s="1347" t="n">
        <f aca="false">+$AO156*'ref.지급기준 (2)'!O205</f>
        <v>0</v>
      </c>
      <c r="BB156" s="1350"/>
      <c r="BC156" s="1441"/>
      <c r="BD156" s="1278"/>
      <c r="BE156" s="1332" t="b">
        <f aca="false">+(BA156+AY156+AW156+AU156+AS156)=R156</f>
        <v>1</v>
      </c>
      <c r="BF156" s="1278"/>
      <c r="BG156" s="1278"/>
      <c r="BH156" s="1278"/>
      <c r="BI156" s="1278"/>
      <c r="BJ156" s="1278"/>
      <c r="BK156" s="1278"/>
      <c r="BL156" s="1278"/>
      <c r="BM156" s="1278"/>
      <c r="BN156" s="1278"/>
      <c r="BO156" s="1333"/>
      <c r="BP156" s="1333"/>
    </row>
    <row r="157" customFormat="false" ht="16.5" hidden="false" customHeight="false" outlineLevel="0" collapsed="false">
      <c r="A157" s="1486"/>
      <c r="B157" s="1487"/>
      <c r="C157" s="1488"/>
      <c r="D157" s="1489"/>
      <c r="E157" s="1489"/>
      <c r="F157" s="1490"/>
      <c r="G157" s="1489"/>
      <c r="H157" s="1489"/>
      <c r="I157" s="1310"/>
      <c r="J157" s="1476"/>
      <c r="K157" s="1363"/>
      <c r="L157" s="1376"/>
      <c r="M157" s="1364"/>
      <c r="N157" s="1364"/>
      <c r="O157" s="1364" t="s">
        <v>404</v>
      </c>
      <c r="P157" s="1528" t="n">
        <f aca="false">+'ref.지급기준 (2)'!F206*'ref.지급기준 (2)'!D206/'ref.지급기준 (2)'!$Q$2</f>
        <v>0</v>
      </c>
      <c r="Q157" s="1529"/>
      <c r="R157" s="1528" t="n">
        <f aca="false">SUM(P157:Q157)</f>
        <v>0</v>
      </c>
      <c r="S157" s="1437" t="b">
        <f aca="false">+R157=AO157</f>
        <v>1</v>
      </c>
      <c r="T157" s="1337" t="str">
        <f aca="false">+IFERROR(U157/R157,"-")</f>
        <v>-</v>
      </c>
      <c r="U157" s="1338" t="n">
        <f aca="false">+IFERROR(X157+AA157+AD157+AG157+AJ157+AM157,"-")</f>
        <v>0</v>
      </c>
      <c r="V157" s="1345" t="str">
        <f aca="false">+IFERROR(X157/$R157,"-")</f>
        <v>-</v>
      </c>
      <c r="W157" s="1444"/>
      <c r="X157" s="1395"/>
      <c r="Y157" s="1345"/>
      <c r="Z157" s="1345" t="str">
        <f aca="false">+IFERROR(AA157/$R157,"-")</f>
        <v>-</v>
      </c>
      <c r="AA157" s="1345"/>
      <c r="AB157" s="1346"/>
      <c r="AC157" s="1345" t="str">
        <f aca="false">+IFERROR(AD157/$R157,"-")</f>
        <v>-</v>
      </c>
      <c r="AD157" s="1345"/>
      <c r="AE157" s="1346"/>
      <c r="AF157" s="1345" t="str">
        <f aca="false">+IFERROR(AG157/$R157,"-")</f>
        <v>-</v>
      </c>
      <c r="AG157" s="1345"/>
      <c r="AH157" s="1346"/>
      <c r="AI157" s="1345" t="str">
        <f aca="false">+IFERROR(AJ157/#REF!,"-")</f>
        <v>-</v>
      </c>
      <c r="AJ157" s="1345"/>
      <c r="AK157" s="1345"/>
      <c r="AL157" s="1345" t="str">
        <f aca="false">+IFERROR(AM157/#REF!,"-")</f>
        <v>-</v>
      </c>
      <c r="AM157" s="1345"/>
      <c r="AN157" s="1345"/>
      <c r="AO157" s="1347" t="n">
        <f aca="false">+R157</f>
        <v>0</v>
      </c>
      <c r="AP157" s="1347" t="n">
        <f aca="false">+AO157*'ref.지급기준 (2)'!G206</f>
        <v>0</v>
      </c>
      <c r="AQ157" s="1508"/>
      <c r="AR157" s="1328"/>
      <c r="AS157" s="1349" t="n">
        <f aca="false">+$AO157*'ref.지급기준 (2)'!G206</f>
        <v>0</v>
      </c>
      <c r="AT157" s="1347" t="n">
        <f aca="false">+X157</f>
        <v>0</v>
      </c>
      <c r="AU157" s="1347" t="n">
        <f aca="false">+$AO157*'ref.지급기준 (2)'!I206</f>
        <v>0</v>
      </c>
      <c r="AV157" s="1347" t="n">
        <f aca="false">+AA157</f>
        <v>0</v>
      </c>
      <c r="AW157" s="1347" t="n">
        <f aca="false">+$AO157*'ref.지급기준 (2)'!K206</f>
        <v>0</v>
      </c>
      <c r="AX157" s="1347"/>
      <c r="AY157" s="1347" t="n">
        <f aca="false">+$AO157*'ref.지급기준 (2)'!M206</f>
        <v>0</v>
      </c>
      <c r="AZ157" s="1347"/>
      <c r="BA157" s="1347" t="n">
        <f aca="false">+$AO157*'ref.지급기준 (2)'!O206</f>
        <v>0</v>
      </c>
      <c r="BB157" s="1350"/>
      <c r="BC157" s="1441"/>
      <c r="BD157" s="1278"/>
      <c r="BE157" s="1332" t="b">
        <f aca="false">+(BA157+AY157+AW157+AU157+AS157)=R157</f>
        <v>1</v>
      </c>
      <c r="BF157" s="1278"/>
      <c r="BG157" s="1278"/>
      <c r="BH157" s="1278"/>
      <c r="BI157" s="1278"/>
      <c r="BJ157" s="1278"/>
      <c r="BK157" s="1278"/>
      <c r="BL157" s="1278"/>
      <c r="BM157" s="1278"/>
      <c r="BN157" s="1278"/>
      <c r="BO157" s="1333"/>
      <c r="BP157" s="1333"/>
    </row>
    <row r="158" customFormat="false" ht="17.25" hidden="false" customHeight="true" outlineLevel="0" collapsed="false">
      <c r="A158" s="1486"/>
      <c r="B158" s="1487"/>
      <c r="C158" s="1488"/>
      <c r="D158" s="1489"/>
      <c r="E158" s="1489"/>
      <c r="F158" s="1490"/>
      <c r="G158" s="1489"/>
      <c r="H158" s="1489"/>
      <c r="I158" s="1310"/>
      <c r="J158" s="1476"/>
      <c r="K158" s="1363"/>
      <c r="L158" s="1376"/>
      <c r="M158" s="1364"/>
      <c r="N158" s="1364"/>
      <c r="O158" s="1364" t="s">
        <v>507</v>
      </c>
      <c r="P158" s="1528" t="n">
        <f aca="false">+'DG-PV Organic'!AJ12</f>
        <v>31750000</v>
      </c>
      <c r="Q158" s="1529" t="n">
        <f aca="false">+P158*10%</f>
        <v>3175000</v>
      </c>
      <c r="R158" s="1528" t="n">
        <f aca="false">SUM(P158:Q158)</f>
        <v>34925000</v>
      </c>
      <c r="S158" s="1437" t="b">
        <f aca="false">+R158=AO158</f>
        <v>1</v>
      </c>
      <c r="T158" s="1337" t="n">
        <f aca="false">+IFERROR(U158/R158,"-")</f>
        <v>0.2</v>
      </c>
      <c r="U158" s="1338" t="n">
        <f aca="false">+IFERROR(X158+AA158+AD158+AG158+AJ158+AM158,"-")</f>
        <v>6985000</v>
      </c>
      <c r="V158" s="1343" t="n">
        <f aca="false">+IFERROR(X158/$R158,"-")</f>
        <v>0.2</v>
      </c>
      <c r="W158" s="1442" t="n">
        <f aca="false">W156</f>
        <v>45705</v>
      </c>
      <c r="X158" s="1341" t="n">
        <f aca="false">+R158*20%</f>
        <v>6985000</v>
      </c>
      <c r="Y158" s="1343"/>
      <c r="Z158" s="1345" t="n">
        <v>0</v>
      </c>
      <c r="AA158" s="1345"/>
      <c r="AB158" s="1346" t="n">
        <f aca="false">AB156</f>
        <v>45777</v>
      </c>
      <c r="AC158" s="1345" t="n">
        <f aca="false">+IFERROR(AD158/$R158,"-")</f>
        <v>0</v>
      </c>
      <c r="AD158" s="1345"/>
      <c r="AE158" s="1346" t="n">
        <f aca="false">AE156</f>
        <v>45838</v>
      </c>
      <c r="AF158" s="1345" t="n">
        <f aca="false">+IFERROR(AG158/$R158,"-")</f>
        <v>0</v>
      </c>
      <c r="AG158" s="1345"/>
      <c r="AH158" s="1346" t="n">
        <f aca="false">AH156</f>
        <v>46021</v>
      </c>
      <c r="AI158" s="1345" t="str">
        <f aca="false">+IFERROR(AJ158/#REF!,"-")</f>
        <v>-</v>
      </c>
      <c r="AJ158" s="1345"/>
      <c r="AK158" s="1345"/>
      <c r="AL158" s="1345" t="str">
        <f aca="false">+IFERROR(AM158/#REF!,"-")</f>
        <v>-</v>
      </c>
      <c r="AM158" s="1345"/>
      <c r="AN158" s="1345"/>
      <c r="AO158" s="1347" t="n">
        <f aca="false">+R158</f>
        <v>34925000</v>
      </c>
      <c r="AP158" s="1347" t="n">
        <f aca="false">+AO158*'ref.지급기준 (2)'!G207</f>
        <v>6985000</v>
      </c>
      <c r="AQ158" s="1508" t="n">
        <f aca="false">+AB158</f>
        <v>45777</v>
      </c>
      <c r="AR158" s="1328"/>
      <c r="AS158" s="1349" t="n">
        <f aca="false">+$AO158*'ref.지급기준 (2)'!G207</f>
        <v>6985000</v>
      </c>
      <c r="AT158" s="1347" t="n">
        <f aca="false">+X158</f>
        <v>6985000</v>
      </c>
      <c r="AU158" s="1347" t="n">
        <f aca="false">+$AO158*'ref.지급기준 (2)'!I207</f>
        <v>6985000</v>
      </c>
      <c r="AV158" s="1347" t="n">
        <f aca="false">+AA158</f>
        <v>0</v>
      </c>
      <c r="AW158" s="1347" t="n">
        <f aca="false">+$AO158*'ref.지급기준 (2)'!K207</f>
        <v>17462500</v>
      </c>
      <c r="AX158" s="1347"/>
      <c r="AY158" s="1347" t="n">
        <f aca="false">+$AO158*'ref.지급기준 (2)'!M207</f>
        <v>3492500</v>
      </c>
      <c r="AZ158" s="1347"/>
      <c r="BA158" s="1347" t="n">
        <f aca="false">+$AO158*'ref.지급기준 (2)'!O207</f>
        <v>0</v>
      </c>
      <c r="BB158" s="1350"/>
      <c r="BC158" s="1441"/>
      <c r="BD158" s="1278"/>
      <c r="BE158" s="1332" t="b">
        <f aca="false">+(BA158+AY158+AW158+AU158+AS158)=R158</f>
        <v>1</v>
      </c>
      <c r="BF158" s="1278"/>
      <c r="BG158" s="1278"/>
      <c r="BH158" s="1278"/>
      <c r="BI158" s="1278"/>
      <c r="BJ158" s="1278"/>
      <c r="BK158" s="1278"/>
      <c r="BL158" s="1278"/>
      <c r="BM158" s="1278"/>
      <c r="BN158" s="1278"/>
      <c r="BO158" s="1333"/>
      <c r="BP158" s="1333"/>
    </row>
    <row r="159" customFormat="false" ht="17.25" hidden="false" customHeight="true" outlineLevel="0" collapsed="false">
      <c r="A159" s="1486"/>
      <c r="B159" s="1487"/>
      <c r="C159" s="1488"/>
      <c r="D159" s="1489"/>
      <c r="E159" s="1489"/>
      <c r="F159" s="1490"/>
      <c r="G159" s="1489"/>
      <c r="H159" s="1489"/>
      <c r="I159" s="1310"/>
      <c r="J159" s="1476"/>
      <c r="K159" s="1363"/>
      <c r="L159" s="1376"/>
      <c r="M159" s="1364"/>
      <c r="N159" s="1364"/>
      <c r="O159" s="1364" t="s">
        <v>508</v>
      </c>
      <c r="P159" s="1530" t="n">
        <f aca="false">+'DG-PV Organic'!AI12</f>
        <v>31750000</v>
      </c>
      <c r="Q159" s="1529" t="n">
        <f aca="false">+P159*0.1</f>
        <v>3175000</v>
      </c>
      <c r="R159" s="1528" t="n">
        <f aca="false">SUM(P159:Q159)</f>
        <v>34925000</v>
      </c>
      <c r="S159" s="1437" t="b">
        <f aca="false">+R159=AO159</f>
        <v>1</v>
      </c>
      <c r="T159" s="1527"/>
      <c r="U159" s="668"/>
      <c r="V159" s="1527" t="n">
        <f aca="false">+IFERROR(X159/$R159,"-")</f>
        <v>0</v>
      </c>
      <c r="W159" s="1357"/>
      <c r="X159" s="1357"/>
      <c r="Y159" s="1357"/>
      <c r="Z159" s="1357" t="n">
        <f aca="false">+IFERROR(AA159/$R159,"-")</f>
        <v>0</v>
      </c>
      <c r="AA159" s="1357"/>
      <c r="AB159" s="1358"/>
      <c r="AC159" s="1357" t="n">
        <f aca="false">+IFERROR(AD159/$R159,"-")</f>
        <v>0</v>
      </c>
      <c r="AD159" s="1357"/>
      <c r="AE159" s="1358"/>
      <c r="AF159" s="1357" t="n">
        <f aca="false">+IFERROR(AG159/$R159,"-")</f>
        <v>0</v>
      </c>
      <c r="AG159" s="1357"/>
      <c r="AH159" s="1358"/>
      <c r="AI159" s="1357" t="str">
        <f aca="false">+IFERROR(AJ159/#REF!,"-")</f>
        <v>-</v>
      </c>
      <c r="AJ159" s="1357"/>
      <c r="AK159" s="1357"/>
      <c r="AL159" s="1357"/>
      <c r="AM159" s="1357"/>
      <c r="AN159" s="1357"/>
      <c r="AO159" s="1359" t="n">
        <f aca="false">+R159</f>
        <v>34925000</v>
      </c>
      <c r="AP159" s="1359" t="n">
        <f aca="false">+AS159+AU159</f>
        <v>34925000</v>
      </c>
      <c r="AQ159" s="1509"/>
      <c r="AR159" s="1328"/>
      <c r="AS159" s="1361" t="n">
        <f aca="false">+$AO159*'ref.지급기준 (2)'!G203</f>
        <v>34925000</v>
      </c>
      <c r="AT159" s="1359" t="n">
        <f aca="false">+X159</f>
        <v>0</v>
      </c>
      <c r="AU159" s="1359" t="n">
        <f aca="false">+$AO159*'ref.지급기준 (2)'!I203</f>
        <v>0</v>
      </c>
      <c r="AV159" s="1359" t="n">
        <f aca="false">+AA159</f>
        <v>0</v>
      </c>
      <c r="AW159" s="1359" t="n">
        <f aca="false">+$AO159*'ref.지급기준 (2)'!K203</f>
        <v>0</v>
      </c>
      <c r="AX159" s="1359"/>
      <c r="AY159" s="1359" t="n">
        <f aca="false">+$AO159*'ref.지급기준 (2)'!M203</f>
        <v>0</v>
      </c>
      <c r="AZ159" s="1359"/>
      <c r="BA159" s="1359" t="n">
        <f aca="false">+$AO159*'ref.지급기준 (2)'!O203</f>
        <v>0</v>
      </c>
      <c r="BB159" s="1362"/>
      <c r="BC159" s="1441"/>
      <c r="BD159" s="1278"/>
      <c r="BE159" s="1278"/>
      <c r="BF159" s="1278"/>
      <c r="BG159" s="1278"/>
      <c r="BH159" s="1278"/>
      <c r="BI159" s="1278"/>
      <c r="BJ159" s="1278"/>
      <c r="BK159" s="1278"/>
      <c r="BL159" s="1278"/>
      <c r="BM159" s="1278"/>
      <c r="BN159" s="1278"/>
      <c r="BO159" s="1333"/>
      <c r="BP159" s="1333"/>
    </row>
    <row r="160" customFormat="false" ht="16.5" hidden="false" customHeight="true" outlineLevel="0" collapsed="false">
      <c r="A160" s="1486"/>
      <c r="B160" s="1487"/>
      <c r="C160" s="1488"/>
      <c r="D160" s="1489"/>
      <c r="E160" s="1489"/>
      <c r="F160" s="1490"/>
      <c r="G160" s="1489"/>
      <c r="H160" s="1489"/>
      <c r="I160" s="1310" t="s">
        <v>1525</v>
      </c>
      <c r="J160" s="1476" t="str">
        <f aca="false">+'DG-PV Organic'!B18</f>
        <v>Seun BNC</v>
      </c>
      <c r="K160" s="1531" t="n">
        <f aca="false">+'DG-PV Organic'!O18</f>
        <v>351.155</v>
      </c>
      <c r="L160" s="1376" t="n">
        <f aca="false">+'DG-PV Organic'!H18</f>
        <v>0.0879</v>
      </c>
      <c r="M160" s="1364" t="n">
        <v>0.093</v>
      </c>
      <c r="N160" s="1532" t="s">
        <v>1479</v>
      </c>
      <c r="O160" s="1364" t="s">
        <v>112</v>
      </c>
      <c r="P160" s="1528" t="n">
        <f aca="false">+'DG-PV Organic'!AL18</f>
        <v>368712750</v>
      </c>
      <c r="Q160" s="1529" t="n">
        <f aca="false">+P160*10%</f>
        <v>36871275</v>
      </c>
      <c r="R160" s="1528" t="n">
        <f aca="false">SUM(P160:Q160)</f>
        <v>405584025</v>
      </c>
      <c r="S160" s="1437" t="b">
        <f aca="false">+R160=AO160</f>
        <v>1</v>
      </c>
      <c r="T160" s="1323" t="n">
        <f aca="false">+IFERROR(U160/R160,"-")</f>
        <v>0</v>
      </c>
      <c r="U160" s="1368" t="n">
        <f aca="false">+IFERROR(X160+AA160+AD160+AG160+AJ160+AM160,"-")</f>
        <v>0</v>
      </c>
      <c r="V160" s="1345" t="n">
        <f aca="false">+IFERROR(X160/$R160,"-")</f>
        <v>0</v>
      </c>
      <c r="W160" s="1444" t="n">
        <f aca="false">AE161</f>
        <v>45930</v>
      </c>
      <c r="X160" s="1395"/>
      <c r="Y160" s="1345"/>
      <c r="Z160" s="1345" t="n">
        <f aca="false">+IFERROR(AA160/$R160,"-")</f>
        <v>0</v>
      </c>
      <c r="AA160" s="1345"/>
      <c r="AB160" s="1346" t="n">
        <f aca="false">+EDATE(W160,1)</f>
        <v>45960</v>
      </c>
      <c r="AC160" s="1345" t="n">
        <f aca="false">+IFERROR(AD160/$R160,"-")</f>
        <v>0</v>
      </c>
      <c r="AD160" s="1345"/>
      <c r="AE160" s="1346" t="n">
        <f aca="false">+EDATE(AB160,3)</f>
        <v>46052</v>
      </c>
      <c r="AF160" s="1345" t="n">
        <f aca="false">+IFERROR(AG160/$R160,"-")</f>
        <v>0</v>
      </c>
      <c r="AG160" s="1345"/>
      <c r="AH160" s="1346" t="n">
        <f aca="false">+EDATE(AB160,4)</f>
        <v>46081</v>
      </c>
      <c r="AI160" s="1345" t="str">
        <f aca="false">+IFERROR(AJ160/#REF!,"-")</f>
        <v>-</v>
      </c>
      <c r="AJ160" s="1345"/>
      <c r="AK160" s="1346" t="n">
        <f aca="false">+EDATE(AB160,6)</f>
        <v>46142</v>
      </c>
      <c r="AL160" s="1345" t="str">
        <f aca="false">+IFERROR(AM160/#REF!,"-")</f>
        <v>-</v>
      </c>
      <c r="AM160" s="1345"/>
      <c r="AN160" s="1345"/>
      <c r="AO160" s="1347" t="n">
        <f aca="false">+R160</f>
        <v>405584025</v>
      </c>
      <c r="AP160" s="1347" t="n">
        <f aca="false">+AO160*'ref.지급기준 (2)'!G209</f>
        <v>40558402.5</v>
      </c>
      <c r="AQ160" s="1508" t="n">
        <f aca="false">+W160</f>
        <v>45930</v>
      </c>
      <c r="AR160" s="1328"/>
      <c r="AS160" s="1349" t="n">
        <f aca="false">+$AO160*'ref.지급기준 (2)'!G209</f>
        <v>40558402.5</v>
      </c>
      <c r="AT160" s="1347" t="n">
        <f aca="false">+X160</f>
        <v>0</v>
      </c>
      <c r="AU160" s="1347" t="n">
        <f aca="false">+$AO160*'ref.지급기준 (2)'!I209</f>
        <v>81116805</v>
      </c>
      <c r="AV160" s="1347" t="n">
        <f aca="false">+AA160</f>
        <v>0</v>
      </c>
      <c r="AW160" s="1347" t="n">
        <f aca="false">+$AO160*'ref.지급기준 (2)'!K209</f>
        <v>162233610</v>
      </c>
      <c r="AX160" s="1347"/>
      <c r="AY160" s="1347" t="n">
        <f aca="false">+$AO160*'ref.지급기준 (2)'!M209</f>
        <v>101396006.25</v>
      </c>
      <c r="AZ160" s="1347"/>
      <c r="BA160" s="1347" t="n">
        <f aca="false">+$AO160*'ref.지급기준 (2)'!O209</f>
        <v>20279201.25</v>
      </c>
      <c r="BB160" s="1350"/>
      <c r="BC160" s="1533" t="s">
        <v>1509</v>
      </c>
      <c r="BD160" s="1278"/>
      <c r="BE160" s="1332" t="b">
        <f aca="false">+(BA160+AY160+AW160+AU160+AS160)=R160</f>
        <v>1</v>
      </c>
      <c r="BF160" s="1278"/>
      <c r="BG160" s="1278"/>
      <c r="BH160" s="1278"/>
      <c r="BI160" s="1278"/>
      <c r="BJ160" s="1278"/>
      <c r="BK160" s="1278"/>
      <c r="BL160" s="1278"/>
      <c r="BM160" s="1278"/>
      <c r="BN160" s="1278"/>
      <c r="BO160" s="1333"/>
      <c r="BP160" s="1333"/>
    </row>
    <row r="161" customFormat="false" ht="16.5" hidden="false" customHeight="false" outlineLevel="0" collapsed="false">
      <c r="A161" s="1486"/>
      <c r="B161" s="1487"/>
      <c r="C161" s="1488"/>
      <c r="D161" s="1489"/>
      <c r="E161" s="1489"/>
      <c r="F161" s="1490"/>
      <c r="G161" s="1489"/>
      <c r="H161" s="1489"/>
      <c r="I161" s="1310"/>
      <c r="J161" s="1476"/>
      <c r="K161" s="1531"/>
      <c r="L161" s="1376"/>
      <c r="M161" s="1364"/>
      <c r="N161" s="1532"/>
      <c r="O161" s="1364" t="s">
        <v>114</v>
      </c>
      <c r="P161" s="1528" t="n">
        <f aca="false">+'DG-PV Organic'!AK18</f>
        <v>105346500</v>
      </c>
      <c r="Q161" s="1529" t="n">
        <f aca="false">+P161*10%</f>
        <v>10534650</v>
      </c>
      <c r="R161" s="1528" t="n">
        <f aca="false">SUM(P161:Q161)</f>
        <v>115881150</v>
      </c>
      <c r="S161" s="1437" t="b">
        <f aca="false">+R161=AO161</f>
        <v>1</v>
      </c>
      <c r="T161" s="1337" t="n">
        <f aca="false">+IFERROR(U161/R161,"-")</f>
        <v>0</v>
      </c>
      <c r="U161" s="1338" t="n">
        <f aca="false">+IFERROR(X161+AA161+AD161+AG161+AJ161+AM161,"-")</f>
        <v>0</v>
      </c>
      <c r="V161" s="1345" t="n">
        <f aca="false">+IFERROR(X161/$R161,"-")</f>
        <v>0</v>
      </c>
      <c r="W161" s="1444" t="n">
        <v>45777</v>
      </c>
      <c r="X161" s="1395"/>
      <c r="Y161" s="1345"/>
      <c r="Z161" s="1345" t="n">
        <f aca="false">+IFERROR(AA161/$R161,"-")</f>
        <v>0</v>
      </c>
      <c r="AA161" s="1397"/>
      <c r="AB161" s="1346" t="n">
        <v>45869</v>
      </c>
      <c r="AC161" s="1345" t="n">
        <f aca="false">+IFERROR(AD161/$R161,"-")</f>
        <v>0</v>
      </c>
      <c r="AD161" s="1345"/>
      <c r="AE161" s="1346" t="n">
        <f aca="false">+EDATE(AB161,2)</f>
        <v>45930</v>
      </c>
      <c r="AF161" s="1345" t="n">
        <f aca="false">+IFERROR(AG161/$R161,"-")</f>
        <v>0</v>
      </c>
      <c r="AG161" s="1345"/>
      <c r="AH161" s="1346" t="n">
        <f aca="false">+EDATE(AB160,6)</f>
        <v>46142</v>
      </c>
      <c r="AI161" s="1345" t="str">
        <f aca="false">+IFERROR(AJ161/#REF!,"-")</f>
        <v>-</v>
      </c>
      <c r="AJ161" s="1345"/>
      <c r="AK161" s="1345"/>
      <c r="AL161" s="1345" t="str">
        <f aca="false">+IFERROR(AM161/#REF!,"-")</f>
        <v>-</v>
      </c>
      <c r="AM161" s="1345"/>
      <c r="AN161" s="1345"/>
      <c r="AO161" s="1347" t="n">
        <f aca="false">+R161</f>
        <v>115881150</v>
      </c>
      <c r="AP161" s="1347" t="n">
        <f aca="false">+AO161*'ref.지급기준 (2)'!G210</f>
        <v>23176230</v>
      </c>
      <c r="AQ161" s="1508" t="n">
        <f aca="false">+AB161</f>
        <v>45869</v>
      </c>
      <c r="AR161" s="1328"/>
      <c r="AS161" s="1349" t="n">
        <f aca="false">+$AO161*'ref.지급기준 (2)'!G210</f>
        <v>23176230</v>
      </c>
      <c r="AT161" s="1347" t="n">
        <f aca="false">+X161</f>
        <v>0</v>
      </c>
      <c r="AU161" s="1347" t="n">
        <f aca="false">+$AO161*'ref.지급기준 (2)'!I210</f>
        <v>23176230</v>
      </c>
      <c r="AV161" s="1347" t="n">
        <f aca="false">+AA161</f>
        <v>0</v>
      </c>
      <c r="AW161" s="1347" t="n">
        <f aca="false">+$AO161*'ref.지급기준 (2)'!K210</f>
        <v>57940575</v>
      </c>
      <c r="AX161" s="1347"/>
      <c r="AY161" s="1347" t="n">
        <f aca="false">+$AO161*'ref.지급기준 (2)'!M210</f>
        <v>11588115</v>
      </c>
      <c r="AZ161" s="1347"/>
      <c r="BA161" s="1347" t="n">
        <f aca="false">+$AO161*'ref.지급기준 (2)'!O210</f>
        <v>0</v>
      </c>
      <c r="BB161" s="1350"/>
      <c r="BC161" s="1533"/>
      <c r="BD161" s="1278"/>
      <c r="BE161" s="1332" t="b">
        <f aca="false">+(BA161+AY161+AW161+AU161+AS161)=R161</f>
        <v>1</v>
      </c>
      <c r="BF161" s="1278"/>
      <c r="BG161" s="1278"/>
      <c r="BH161" s="1278"/>
      <c r="BI161" s="1278"/>
      <c r="BJ161" s="1278"/>
      <c r="BK161" s="1278"/>
      <c r="BL161" s="1278"/>
      <c r="BM161" s="1278"/>
      <c r="BN161" s="1278"/>
      <c r="BO161" s="1333"/>
      <c r="BP161" s="1333"/>
    </row>
    <row r="162" customFormat="false" ht="16.5" hidden="false" customHeight="false" outlineLevel="0" collapsed="false">
      <c r="A162" s="1486"/>
      <c r="B162" s="1487"/>
      <c r="C162" s="1488"/>
      <c r="D162" s="1489"/>
      <c r="E162" s="1489"/>
      <c r="F162" s="1490"/>
      <c r="G162" s="1489"/>
      <c r="H162" s="1489"/>
      <c r="I162" s="1310"/>
      <c r="J162" s="1476"/>
      <c r="K162" s="1531"/>
      <c r="L162" s="1376"/>
      <c r="M162" s="1364"/>
      <c r="N162" s="1532"/>
      <c r="O162" s="1364" t="s">
        <v>404</v>
      </c>
      <c r="P162" s="1528" t="n">
        <f aca="false">+'ref.지급기준 (2)'!F211*'ref.지급기준 (2)'!D211/'ref.지급기준 (2)'!$Q$2</f>
        <v>0</v>
      </c>
      <c r="Q162" s="1529"/>
      <c r="R162" s="1528" t="n">
        <f aca="false">SUM(P162:Q162)</f>
        <v>0</v>
      </c>
      <c r="S162" s="1437" t="b">
        <f aca="false">+R162=AO162</f>
        <v>1</v>
      </c>
      <c r="T162" s="1337" t="str">
        <f aca="false">+IFERROR(U162/R162,"-")</f>
        <v>-</v>
      </c>
      <c r="U162" s="1338" t="n">
        <f aca="false">+IFERROR(X162+AA162+AD162+AG162+AJ162+AM162,"-")</f>
        <v>0</v>
      </c>
      <c r="V162" s="1345" t="str">
        <f aca="false">+IFERROR(X162/$R162,"-")</f>
        <v>-</v>
      </c>
      <c r="W162" s="1444"/>
      <c r="X162" s="1395"/>
      <c r="Y162" s="1345"/>
      <c r="Z162" s="1345" t="str">
        <f aca="false">+IFERROR(AA162/$R162,"-")</f>
        <v>-</v>
      </c>
      <c r="AA162" s="1345"/>
      <c r="AB162" s="1346"/>
      <c r="AC162" s="1345" t="str">
        <f aca="false">+IFERROR(AD162/$R162,"-")</f>
        <v>-</v>
      </c>
      <c r="AD162" s="1345"/>
      <c r="AE162" s="1346"/>
      <c r="AF162" s="1345" t="str">
        <f aca="false">+IFERROR(AG162/$R162,"-")</f>
        <v>-</v>
      </c>
      <c r="AG162" s="1345"/>
      <c r="AH162" s="1346"/>
      <c r="AI162" s="1345" t="str">
        <f aca="false">+IFERROR(AJ162/#REF!,"-")</f>
        <v>-</v>
      </c>
      <c r="AJ162" s="1345"/>
      <c r="AK162" s="1345"/>
      <c r="AL162" s="1345" t="str">
        <f aca="false">+IFERROR(AM162/#REF!,"-")</f>
        <v>-</v>
      </c>
      <c r="AM162" s="1345"/>
      <c r="AN162" s="1345"/>
      <c r="AO162" s="1347" t="n">
        <f aca="false">+R162</f>
        <v>0</v>
      </c>
      <c r="AP162" s="1347" t="n">
        <f aca="false">+AO162*'ref.지급기준 (2)'!G211</f>
        <v>0</v>
      </c>
      <c r="AQ162" s="1508"/>
      <c r="AR162" s="1328"/>
      <c r="AS162" s="1349" t="n">
        <f aca="false">+$AO162*'ref.지급기준 (2)'!G211</f>
        <v>0</v>
      </c>
      <c r="AT162" s="1347" t="n">
        <f aca="false">+X162</f>
        <v>0</v>
      </c>
      <c r="AU162" s="1347" t="n">
        <f aca="false">+$AO162*'ref.지급기준 (2)'!I211</f>
        <v>0</v>
      </c>
      <c r="AV162" s="1347" t="n">
        <f aca="false">+AA162</f>
        <v>0</v>
      </c>
      <c r="AW162" s="1347" t="n">
        <f aca="false">+$AO162*'ref.지급기준 (2)'!K211</f>
        <v>0</v>
      </c>
      <c r="AX162" s="1347"/>
      <c r="AY162" s="1347" t="n">
        <f aca="false">+$AO162*'ref.지급기준 (2)'!M211</f>
        <v>0</v>
      </c>
      <c r="AZ162" s="1347"/>
      <c r="BA162" s="1347" t="n">
        <f aca="false">+$AO162*'ref.지급기준 (2)'!O211</f>
        <v>0</v>
      </c>
      <c r="BB162" s="1350"/>
      <c r="BC162" s="1533"/>
      <c r="BD162" s="1278"/>
      <c r="BE162" s="1332" t="b">
        <f aca="false">+(BA162+AY162+AW162+AU162+AS162)=R162</f>
        <v>1</v>
      </c>
      <c r="BF162" s="1278"/>
      <c r="BG162" s="1278"/>
      <c r="BH162" s="1278"/>
      <c r="BI162" s="1278"/>
      <c r="BJ162" s="1278"/>
      <c r="BK162" s="1278"/>
      <c r="BL162" s="1278"/>
      <c r="BM162" s="1278"/>
      <c r="BN162" s="1278"/>
      <c r="BO162" s="1333"/>
      <c r="BP162" s="1333"/>
    </row>
    <row r="163" customFormat="false" ht="16.5" hidden="false" customHeight="false" outlineLevel="0" collapsed="false">
      <c r="A163" s="1486"/>
      <c r="B163" s="1487"/>
      <c r="C163" s="1488"/>
      <c r="D163" s="1489"/>
      <c r="E163" s="1489"/>
      <c r="F163" s="1490"/>
      <c r="G163" s="1489"/>
      <c r="H163" s="1489"/>
      <c r="I163" s="1310"/>
      <c r="J163" s="1476"/>
      <c r="K163" s="1531"/>
      <c r="L163" s="1376"/>
      <c r="M163" s="1364"/>
      <c r="N163" s="1532"/>
      <c r="O163" s="1364" t="s">
        <v>507</v>
      </c>
      <c r="P163" s="1528" t="n">
        <f aca="false">+'DG-PV Organic'!AJ18</f>
        <v>70231000</v>
      </c>
      <c r="Q163" s="1529" t="n">
        <f aca="false">+P163*10%</f>
        <v>7023100</v>
      </c>
      <c r="R163" s="1528" t="n">
        <f aca="false">SUM(P163:Q163)</f>
        <v>77254100</v>
      </c>
      <c r="S163" s="1437" t="b">
        <f aca="false">+R163=AO163</f>
        <v>1</v>
      </c>
      <c r="T163" s="1337" t="n">
        <f aca="false">+IFERROR(U163/R163,"-")</f>
        <v>0</v>
      </c>
      <c r="U163" s="1338" t="n">
        <f aca="false">+IFERROR(X163+AA163+AD163+AG163+AJ163+AM163,"-")</f>
        <v>0</v>
      </c>
      <c r="V163" s="1345" t="n">
        <f aca="false">+IFERROR(X163/$R163,"-")</f>
        <v>0</v>
      </c>
      <c r="W163" s="1444" t="n">
        <f aca="false">W161</f>
        <v>45777</v>
      </c>
      <c r="X163" s="1395"/>
      <c r="Y163" s="1345"/>
      <c r="Z163" s="1345" t="n">
        <f aca="false">+IFERROR(AA163/$R163,"-")</f>
        <v>0</v>
      </c>
      <c r="AA163" s="1345"/>
      <c r="AB163" s="1346" t="n">
        <f aca="false">AB161</f>
        <v>45869</v>
      </c>
      <c r="AC163" s="1345" t="n">
        <f aca="false">+IFERROR(AD163/$R163,"-")</f>
        <v>0</v>
      </c>
      <c r="AD163" s="1345"/>
      <c r="AE163" s="1346" t="n">
        <f aca="false">AE161</f>
        <v>45930</v>
      </c>
      <c r="AF163" s="1345" t="n">
        <f aca="false">+IFERROR(AG163/$R163,"-")</f>
        <v>0</v>
      </c>
      <c r="AG163" s="1345"/>
      <c r="AH163" s="1346" t="n">
        <f aca="false">AH161</f>
        <v>46142</v>
      </c>
      <c r="AI163" s="1345" t="str">
        <f aca="false">+IFERROR(AJ163/#REF!,"-")</f>
        <v>-</v>
      </c>
      <c r="AJ163" s="1345"/>
      <c r="AK163" s="1345"/>
      <c r="AL163" s="1345" t="str">
        <f aca="false">+IFERROR(AM163/#REF!,"-")</f>
        <v>-</v>
      </c>
      <c r="AM163" s="1345"/>
      <c r="AN163" s="1345"/>
      <c r="AO163" s="1347" t="n">
        <f aca="false">+R163</f>
        <v>77254100</v>
      </c>
      <c r="AP163" s="1347" t="n">
        <f aca="false">+AO163*'ref.지급기준 (2)'!G212</f>
        <v>15450820</v>
      </c>
      <c r="AQ163" s="1508" t="n">
        <f aca="false">+AB163</f>
        <v>45869</v>
      </c>
      <c r="AR163" s="1328"/>
      <c r="AS163" s="1349" t="n">
        <f aca="false">+$AO163*'ref.지급기준 (2)'!G212</f>
        <v>15450820</v>
      </c>
      <c r="AT163" s="1347" t="n">
        <f aca="false">+X163</f>
        <v>0</v>
      </c>
      <c r="AU163" s="1347" t="n">
        <f aca="false">+$AO163*'ref.지급기준 (2)'!I212</f>
        <v>15450820</v>
      </c>
      <c r="AV163" s="1347" t="n">
        <f aca="false">+AA163</f>
        <v>0</v>
      </c>
      <c r="AW163" s="1347" t="n">
        <f aca="false">+$AO163*'ref.지급기준 (2)'!K212</f>
        <v>38627050</v>
      </c>
      <c r="AX163" s="1347"/>
      <c r="AY163" s="1347" t="n">
        <f aca="false">+$AO163*'ref.지급기준 (2)'!M212</f>
        <v>7725410</v>
      </c>
      <c r="AZ163" s="1347"/>
      <c r="BA163" s="1347" t="n">
        <f aca="false">+$AO163*'ref.지급기준 (2)'!O212</f>
        <v>0</v>
      </c>
      <c r="BB163" s="1350"/>
      <c r="BC163" s="1533"/>
      <c r="BD163" s="1278"/>
      <c r="BE163" s="1332" t="b">
        <f aca="false">+(BA163+AY163+AW163+AU163+AS163)=R163</f>
        <v>1</v>
      </c>
      <c r="BF163" s="1278"/>
      <c r="BG163" s="1278"/>
      <c r="BH163" s="1278"/>
      <c r="BI163" s="1278"/>
      <c r="BJ163" s="1278"/>
      <c r="BK163" s="1278"/>
      <c r="BL163" s="1278"/>
      <c r="BM163" s="1278"/>
      <c r="BN163" s="1278"/>
      <c r="BO163" s="1333"/>
      <c r="BP163" s="1333"/>
    </row>
    <row r="164" customFormat="false" ht="16.5" hidden="false" customHeight="false" outlineLevel="0" collapsed="false">
      <c r="A164" s="1486"/>
      <c r="B164" s="1487"/>
      <c r="C164" s="1488"/>
      <c r="D164" s="1489"/>
      <c r="E164" s="1489"/>
      <c r="F164" s="1490"/>
      <c r="G164" s="1489"/>
      <c r="H164" s="1489"/>
      <c r="I164" s="1310"/>
      <c r="J164" s="1476"/>
      <c r="K164" s="1531"/>
      <c r="L164" s="1376"/>
      <c r="M164" s="1364"/>
      <c r="N164" s="1532"/>
      <c r="O164" s="1364" t="s">
        <v>508</v>
      </c>
      <c r="P164" s="1528" t="n">
        <f aca="false">+'DG-PV Organic'!AI18</f>
        <v>70231000</v>
      </c>
      <c r="Q164" s="1529" t="n">
        <f aca="false">+P164*0.1</f>
        <v>7023100</v>
      </c>
      <c r="R164" s="1528" t="n">
        <f aca="false">SUM(P164:Q164)</f>
        <v>77254100</v>
      </c>
      <c r="S164" s="1437" t="b">
        <f aca="false">+R164=AO164</f>
        <v>1</v>
      </c>
      <c r="T164" s="1527"/>
      <c r="U164" s="668"/>
      <c r="V164" s="1527" t="n">
        <f aca="false">+IFERROR(X164/$R164,"-")</f>
        <v>0</v>
      </c>
      <c r="W164" s="1357"/>
      <c r="X164" s="1357"/>
      <c r="Y164" s="1357"/>
      <c r="Z164" s="1357" t="n">
        <f aca="false">+IFERROR(AA164/$R164,"-")</f>
        <v>0</v>
      </c>
      <c r="AA164" s="1357"/>
      <c r="AB164" s="1358"/>
      <c r="AC164" s="1357" t="n">
        <f aca="false">+IFERROR(AD164/$R164,"-")</f>
        <v>0</v>
      </c>
      <c r="AD164" s="1357"/>
      <c r="AE164" s="1358"/>
      <c r="AF164" s="1357" t="n">
        <f aca="false">+IFERROR(AG164/$R164,"-")</f>
        <v>0</v>
      </c>
      <c r="AG164" s="1357"/>
      <c r="AH164" s="1358"/>
      <c r="AI164" s="1357" t="str">
        <f aca="false">+IFERROR(AJ164/#REF!,"-")</f>
        <v>-</v>
      </c>
      <c r="AJ164" s="1357"/>
      <c r="AK164" s="1357"/>
      <c r="AL164" s="1357"/>
      <c r="AM164" s="1357"/>
      <c r="AN164" s="1357"/>
      <c r="AO164" s="1359" t="n">
        <f aca="false">+R164</f>
        <v>77254100</v>
      </c>
      <c r="AP164" s="1359" t="e">
        <f aca="false">+AS164+AU164</f>
        <v>#VALUE!</v>
      </c>
      <c r="AQ164" s="1509"/>
      <c r="AR164" s="1328"/>
      <c r="AS164" s="1361" t="e">
        <f aca="false">+$AO164*'ref.지급기준 (2)'!#ref!</f>
        <v>#VALUE!</v>
      </c>
      <c r="AT164" s="1359" t="n">
        <f aca="false">+X164</f>
        <v>0</v>
      </c>
      <c r="AU164" s="1359" t="e">
        <f aca="false">+$AO164*'ref.지급기준 (2)'!#ref!</f>
        <v>#VALUE!</v>
      </c>
      <c r="AV164" s="1359" t="n">
        <f aca="false">+AA164</f>
        <v>0</v>
      </c>
      <c r="AW164" s="1359" t="e">
        <f aca="false">+$AO164*'ref.지급기준 (2)'!#ref!</f>
        <v>#VALUE!</v>
      </c>
      <c r="AX164" s="1359"/>
      <c r="AY164" s="1359" t="e">
        <f aca="false">+$AO164*'ref.지급기준 (2)'!#ref!</f>
        <v>#VALUE!</v>
      </c>
      <c r="AZ164" s="1359"/>
      <c r="BA164" s="1359" t="e">
        <f aca="false">+$AO164*'ref.지급기준 (2)'!#ref!</f>
        <v>#VALUE!</v>
      </c>
      <c r="BB164" s="1362"/>
      <c r="BC164" s="1533"/>
      <c r="BD164" s="1278"/>
      <c r="BE164" s="1278"/>
      <c r="BF164" s="1278"/>
      <c r="BG164" s="1278"/>
      <c r="BH164" s="1278"/>
      <c r="BI164" s="1278"/>
      <c r="BJ164" s="1278"/>
      <c r="BK164" s="1278"/>
      <c r="BL164" s="1278"/>
      <c r="BM164" s="1278"/>
      <c r="BN164" s="1278"/>
      <c r="BO164" s="1333"/>
      <c r="BP164" s="1333"/>
    </row>
    <row r="165" customFormat="false" ht="16.5" hidden="false" customHeight="true" outlineLevel="0" collapsed="false">
      <c r="A165" s="1486"/>
      <c r="B165" s="1487"/>
      <c r="C165" s="1488"/>
      <c r="D165" s="1489"/>
      <c r="E165" s="1489"/>
      <c r="F165" s="1490"/>
      <c r="G165" s="1489"/>
      <c r="H165" s="1489"/>
      <c r="I165" s="1534" t="s">
        <v>1526</v>
      </c>
      <c r="J165" s="1476" t="str">
        <f aca="false">+'DG-PV Organic'!B21</f>
        <v>MPM Trade</v>
      </c>
      <c r="K165" s="1535" t="n">
        <f aca="false">+'DG-PV Organic'!O21</f>
        <v>210.82</v>
      </c>
      <c r="L165" s="1521" t="n">
        <f aca="false">+'DG-PV Organic'!H21</f>
        <v>0.0934</v>
      </c>
      <c r="M165" s="669" t="n">
        <v>0.093</v>
      </c>
      <c r="N165" s="669" t="s">
        <v>1479</v>
      </c>
      <c r="O165" s="1365" t="s">
        <v>112</v>
      </c>
      <c r="P165" s="1366" t="n">
        <f aca="false">+'DG-PV Organic'!AL21</f>
        <v>221361000</v>
      </c>
      <c r="Q165" s="1436" t="n">
        <f aca="false">+P165*10%</f>
        <v>22136100</v>
      </c>
      <c r="R165" s="1366" t="n">
        <f aca="false">SUM(P165:Q165)</f>
        <v>243497100</v>
      </c>
      <c r="S165" s="1437" t="b">
        <f aca="false">+R165=AO165</f>
        <v>1</v>
      </c>
      <c r="T165" s="1314" t="n">
        <f aca="false">+IFERROR(U165/R165,"-")</f>
        <v>0</v>
      </c>
      <c r="U165" s="645" t="n">
        <f aca="false">+IFERROR(X165+AA165+AD165+AG165+AJ165+AM165,"-")</f>
        <v>0</v>
      </c>
      <c r="V165" s="1345" t="n">
        <f aca="false">+IFERROR(X165/$R165,"-")</f>
        <v>0</v>
      </c>
      <c r="W165" s="1444" t="n">
        <f aca="false">AE166</f>
        <v>45899</v>
      </c>
      <c r="X165" s="1395"/>
      <c r="Y165" s="1345"/>
      <c r="Z165" s="1345" t="n">
        <f aca="false">+IFERROR(AA165/$R165,"-")</f>
        <v>0</v>
      </c>
      <c r="AA165" s="1345"/>
      <c r="AB165" s="1346" t="n">
        <f aca="false">+EDATE(W165,1)</f>
        <v>45930</v>
      </c>
      <c r="AC165" s="1345" t="n">
        <f aca="false">+IFERROR(AD165/$R165,"-")</f>
        <v>0</v>
      </c>
      <c r="AD165" s="1345"/>
      <c r="AE165" s="1346" t="n">
        <f aca="false">+EDATE(AB165,3)</f>
        <v>46021</v>
      </c>
      <c r="AF165" s="1345" t="n">
        <f aca="false">+IFERROR(AG165/$R165,"-")</f>
        <v>0</v>
      </c>
      <c r="AG165" s="1345"/>
      <c r="AH165" s="1346" t="n">
        <f aca="false">+EDATE(AB165,4)</f>
        <v>46052</v>
      </c>
      <c r="AI165" s="1345" t="str">
        <f aca="false">+IFERROR(AJ165/#REF!,"-")</f>
        <v>-</v>
      </c>
      <c r="AJ165" s="1345"/>
      <c r="AK165" s="1346" t="n">
        <f aca="false">+EDATE(AB165,6)</f>
        <v>46111</v>
      </c>
      <c r="AL165" s="1345" t="str">
        <f aca="false">+IFERROR(AM165/#REF!,"-")</f>
        <v>-</v>
      </c>
      <c r="AM165" s="1345"/>
      <c r="AN165" s="1345"/>
      <c r="AO165" s="1347" t="n">
        <f aca="false">+R165</f>
        <v>243497100</v>
      </c>
      <c r="AP165" s="1347" t="n">
        <f aca="false">+AO165*'ref.지급기준 (2)'!G224</f>
        <v>24349710</v>
      </c>
      <c r="AQ165" s="1508" t="n">
        <f aca="false">+W165</f>
        <v>45899</v>
      </c>
      <c r="AR165" s="1328"/>
      <c r="AS165" s="1349" t="n">
        <f aca="false">+$AO165*'ref.지급기준 (2)'!G224</f>
        <v>24349710</v>
      </c>
      <c r="AT165" s="1347" t="n">
        <f aca="false">+X165</f>
        <v>0</v>
      </c>
      <c r="AU165" s="1347" t="n">
        <f aca="false">+$AO165*'ref.지급기준 (2)'!I224</f>
        <v>48699420</v>
      </c>
      <c r="AV165" s="1347" t="n">
        <f aca="false">+AA165</f>
        <v>0</v>
      </c>
      <c r="AW165" s="1347" t="n">
        <f aca="false">+$AO165*'ref.지급기준 (2)'!K224</f>
        <v>97398840</v>
      </c>
      <c r="AX165" s="1347"/>
      <c r="AY165" s="1347" t="n">
        <f aca="false">+$AO165*'ref.지급기준 (2)'!M224</f>
        <v>60874275</v>
      </c>
      <c r="AZ165" s="1347"/>
      <c r="BA165" s="1347" t="n">
        <f aca="false">+$AO165*'ref.지급기준 (2)'!O224</f>
        <v>12174855</v>
      </c>
      <c r="BB165" s="1350"/>
      <c r="BC165" s="1536" t="s">
        <v>1509</v>
      </c>
      <c r="BD165" s="1278"/>
      <c r="BE165" s="1332" t="b">
        <f aca="false">+(BA165+AY165+AW165+AU165+AS165)=R165</f>
        <v>1</v>
      </c>
      <c r="BF165" s="1278"/>
      <c r="BG165" s="1278"/>
      <c r="BH165" s="1278"/>
      <c r="BI165" s="1278"/>
      <c r="BJ165" s="1278"/>
      <c r="BK165" s="1278"/>
      <c r="BL165" s="1278"/>
      <c r="BM165" s="1278"/>
      <c r="BN165" s="1278"/>
      <c r="BO165" s="1333"/>
      <c r="BP165" s="1333"/>
    </row>
    <row r="166" customFormat="false" ht="16.5" hidden="false" customHeight="false" outlineLevel="0" collapsed="false">
      <c r="A166" s="1486"/>
      <c r="B166" s="1487"/>
      <c r="C166" s="1488"/>
      <c r="D166" s="1489"/>
      <c r="E166" s="1489"/>
      <c r="F166" s="1490"/>
      <c r="G166" s="1489"/>
      <c r="H166" s="1489"/>
      <c r="I166" s="1534"/>
      <c r="J166" s="1476"/>
      <c r="K166" s="1476"/>
      <c r="L166" s="1521"/>
      <c r="M166" s="669"/>
      <c r="N166" s="669"/>
      <c r="O166" s="1334" t="s">
        <v>114</v>
      </c>
      <c r="P166" s="1335" t="n">
        <f aca="false">+'DG-PV Organic'!AK21</f>
        <v>63246000</v>
      </c>
      <c r="Q166" s="1384" t="n">
        <f aca="false">+P166*10%</f>
        <v>6324600</v>
      </c>
      <c r="R166" s="1335" t="n">
        <f aca="false">SUM(P166:Q166)</f>
        <v>69570600</v>
      </c>
      <c r="S166" s="1437" t="b">
        <f aca="false">+R166=AO166</f>
        <v>1</v>
      </c>
      <c r="T166" s="1334" t="n">
        <f aca="false">+IFERROR(U166/R166,"-")</f>
        <v>0.2</v>
      </c>
      <c r="U166" s="1338" t="n">
        <f aca="false">+IFERROR(X166+AA166+AD166+AG166+AJ166+AM166,"-")</f>
        <v>13914120</v>
      </c>
      <c r="V166" s="1343" t="n">
        <f aca="false">+IFERROR(X166/$R166,"-")</f>
        <v>0.2</v>
      </c>
      <c r="W166" s="1442" t="n">
        <v>45737</v>
      </c>
      <c r="X166" s="1341" t="n">
        <f aca="false">+R166*'ref.지급기준 (2)'!G225</f>
        <v>13914120</v>
      </c>
      <c r="Y166" s="1343"/>
      <c r="Z166" s="1345" t="n">
        <f aca="false">+IFERROR(AA166/$R166,"-")</f>
        <v>0</v>
      </c>
      <c r="AA166" s="1397"/>
      <c r="AB166" s="1346" t="n">
        <v>45838</v>
      </c>
      <c r="AC166" s="1345" t="n">
        <f aca="false">+IFERROR(AD166/$R166,"-")</f>
        <v>0</v>
      </c>
      <c r="AD166" s="1345"/>
      <c r="AE166" s="1346" t="n">
        <f aca="false">+EDATE(AB166,2)</f>
        <v>45899</v>
      </c>
      <c r="AF166" s="1345" t="n">
        <f aca="false">+IFERROR(AG166/$R166,"-")</f>
        <v>0</v>
      </c>
      <c r="AG166" s="1345"/>
      <c r="AH166" s="1346" t="n">
        <f aca="false">+EDATE(AB165,5)</f>
        <v>46081</v>
      </c>
      <c r="AI166" s="1345" t="str">
        <f aca="false">+IFERROR(AJ166/#REF!,"-")</f>
        <v>-</v>
      </c>
      <c r="AJ166" s="1345"/>
      <c r="AK166" s="1345"/>
      <c r="AL166" s="1345" t="str">
        <f aca="false">+IFERROR(AM166/#REF!,"-")</f>
        <v>-</v>
      </c>
      <c r="AM166" s="1345"/>
      <c r="AN166" s="1345"/>
      <c r="AO166" s="1347" t="n">
        <f aca="false">+R166</f>
        <v>69570600</v>
      </c>
      <c r="AP166" s="1347" t="n">
        <f aca="false">+AO166*'ref.지급기준 (2)'!G225</f>
        <v>13914120</v>
      </c>
      <c r="AQ166" s="1508" t="n">
        <f aca="false">+AB166</f>
        <v>45838</v>
      </c>
      <c r="AR166" s="1328"/>
      <c r="AS166" s="1349" t="n">
        <f aca="false">+$AO166*'ref.지급기준 (2)'!G225</f>
        <v>13914120</v>
      </c>
      <c r="AT166" s="1347" t="n">
        <f aca="false">+X166</f>
        <v>13914120</v>
      </c>
      <c r="AU166" s="1347" t="n">
        <f aca="false">+$AO166*'ref.지급기준 (2)'!I225</f>
        <v>13914120</v>
      </c>
      <c r="AV166" s="1347" t="n">
        <f aca="false">+AA166</f>
        <v>0</v>
      </c>
      <c r="AW166" s="1347" t="n">
        <f aca="false">+$AO166*'ref.지급기준 (2)'!K225</f>
        <v>34785300</v>
      </c>
      <c r="AX166" s="1347"/>
      <c r="AY166" s="1347" t="n">
        <f aca="false">+$AO166*'ref.지급기준 (2)'!M225</f>
        <v>6957060</v>
      </c>
      <c r="AZ166" s="1347"/>
      <c r="BA166" s="1347" t="n">
        <f aca="false">+$AO166*'ref.지급기준 (2)'!O225</f>
        <v>0</v>
      </c>
      <c r="BB166" s="1350"/>
      <c r="BC166" s="1536"/>
      <c r="BD166" s="1278"/>
      <c r="BE166" s="1332" t="b">
        <f aca="false">+(BA166+AY166+AW166+AU166+AS166)=R166</f>
        <v>1</v>
      </c>
      <c r="BF166" s="1278"/>
      <c r="BG166" s="1278"/>
      <c r="BH166" s="1278"/>
      <c r="BI166" s="1278"/>
      <c r="BJ166" s="1278"/>
      <c r="BK166" s="1278"/>
      <c r="BL166" s="1278"/>
      <c r="BM166" s="1278"/>
      <c r="BN166" s="1278"/>
      <c r="BO166" s="1333"/>
      <c r="BP166" s="1333"/>
    </row>
    <row r="167" customFormat="false" ht="16.5" hidden="false" customHeight="false" outlineLevel="0" collapsed="false">
      <c r="A167" s="1486"/>
      <c r="B167" s="1487"/>
      <c r="C167" s="1488"/>
      <c r="D167" s="1489"/>
      <c r="E167" s="1489"/>
      <c r="F167" s="1490"/>
      <c r="G167" s="1489"/>
      <c r="H167" s="1489"/>
      <c r="I167" s="1534"/>
      <c r="J167" s="1476"/>
      <c r="K167" s="1476"/>
      <c r="L167" s="1521"/>
      <c r="M167" s="669"/>
      <c r="N167" s="669"/>
      <c r="O167" s="1334" t="s">
        <v>404</v>
      </c>
      <c r="P167" s="1335" t="n">
        <f aca="false">+'ref.지급기준 (2)'!F226*'ref.지급기준 (2)'!D226/'ref.지급기준 (2)'!$Q$2</f>
        <v>0</v>
      </c>
      <c r="Q167" s="1384"/>
      <c r="R167" s="1335" t="n">
        <f aca="false">SUM(P167:Q167)</f>
        <v>0</v>
      </c>
      <c r="S167" s="1437" t="b">
        <f aca="false">+R167=AO167</f>
        <v>1</v>
      </c>
      <c r="T167" s="1334" t="str">
        <f aca="false">+IFERROR(U167/R167,"-")</f>
        <v>-</v>
      </c>
      <c r="U167" s="1338" t="n">
        <f aca="false">+IFERROR(X167+AA167+AD167+AG167+AJ167+AM167,"-")</f>
        <v>0</v>
      </c>
      <c r="V167" s="1345" t="str">
        <f aca="false">+IFERROR(X167/$R167,"-")</f>
        <v>-</v>
      </c>
      <c r="W167" s="1444"/>
      <c r="X167" s="1395"/>
      <c r="Y167" s="1345"/>
      <c r="Z167" s="1345" t="str">
        <f aca="false">+IFERROR(AA167/$R167,"-")</f>
        <v>-</v>
      </c>
      <c r="AA167" s="1345"/>
      <c r="AB167" s="1346"/>
      <c r="AC167" s="1345" t="str">
        <f aca="false">+IFERROR(AD167/$R167,"-")</f>
        <v>-</v>
      </c>
      <c r="AD167" s="1345"/>
      <c r="AE167" s="1346"/>
      <c r="AF167" s="1345" t="str">
        <f aca="false">+IFERROR(AG167/$R167,"-")</f>
        <v>-</v>
      </c>
      <c r="AG167" s="1345"/>
      <c r="AH167" s="1346"/>
      <c r="AI167" s="1345" t="str">
        <f aca="false">+IFERROR(AJ167/#REF!,"-")</f>
        <v>-</v>
      </c>
      <c r="AJ167" s="1345"/>
      <c r="AK167" s="1345"/>
      <c r="AL167" s="1345" t="str">
        <f aca="false">+IFERROR(AM167/#REF!,"-")</f>
        <v>-</v>
      </c>
      <c r="AM167" s="1345"/>
      <c r="AN167" s="1345"/>
      <c r="AO167" s="1347" t="n">
        <f aca="false">+R167</f>
        <v>0</v>
      </c>
      <c r="AP167" s="1347" t="n">
        <f aca="false">+AO167*'ref.지급기준 (2)'!G226</f>
        <v>0</v>
      </c>
      <c r="AQ167" s="1508"/>
      <c r="AR167" s="1328"/>
      <c r="AS167" s="1349" t="n">
        <f aca="false">+$AO167*'ref.지급기준 (2)'!G226</f>
        <v>0</v>
      </c>
      <c r="AT167" s="1347" t="n">
        <f aca="false">+X167</f>
        <v>0</v>
      </c>
      <c r="AU167" s="1347" t="n">
        <f aca="false">+$AO167*'ref.지급기준 (2)'!I226</f>
        <v>0</v>
      </c>
      <c r="AV167" s="1347" t="n">
        <f aca="false">+AA167</f>
        <v>0</v>
      </c>
      <c r="AW167" s="1347" t="n">
        <f aca="false">+$AO167*'ref.지급기준 (2)'!K226</f>
        <v>0</v>
      </c>
      <c r="AX167" s="1347"/>
      <c r="AY167" s="1347" t="n">
        <f aca="false">+$AO167*'ref.지급기준 (2)'!M226</f>
        <v>0</v>
      </c>
      <c r="AZ167" s="1347"/>
      <c r="BA167" s="1347" t="n">
        <f aca="false">+$AO167*'ref.지급기준 (2)'!O226</f>
        <v>0</v>
      </c>
      <c r="BB167" s="1350"/>
      <c r="BC167" s="1536"/>
      <c r="BD167" s="1278"/>
      <c r="BE167" s="1332" t="b">
        <f aca="false">+(BA167+AY167+AW167+AU167+AS167)=R167</f>
        <v>1</v>
      </c>
      <c r="BF167" s="1278"/>
      <c r="BG167" s="1278"/>
      <c r="BH167" s="1278"/>
      <c r="BI167" s="1278"/>
      <c r="BJ167" s="1278"/>
      <c r="BK167" s="1278"/>
      <c r="BL167" s="1278"/>
      <c r="BM167" s="1278"/>
      <c r="BN167" s="1278"/>
      <c r="BO167" s="1333"/>
      <c r="BP167" s="1333"/>
    </row>
    <row r="168" customFormat="false" ht="16.5" hidden="false" customHeight="false" outlineLevel="0" collapsed="false">
      <c r="A168" s="1486"/>
      <c r="B168" s="1487"/>
      <c r="C168" s="1488"/>
      <c r="D168" s="1489"/>
      <c r="E168" s="1489"/>
      <c r="F168" s="1490"/>
      <c r="G168" s="1489"/>
      <c r="H168" s="1489"/>
      <c r="I168" s="1534"/>
      <c r="J168" s="1476"/>
      <c r="K168" s="1476"/>
      <c r="L168" s="1521"/>
      <c r="M168" s="669"/>
      <c r="N168" s="669"/>
      <c r="O168" s="1334" t="s">
        <v>507</v>
      </c>
      <c r="P168" s="1335" t="n">
        <f aca="false">+'DG-PV Organic'!AJ21</f>
        <v>42164000</v>
      </c>
      <c r="Q168" s="1384" t="n">
        <f aca="false">+P168*10%</f>
        <v>4216400</v>
      </c>
      <c r="R168" s="1335" t="n">
        <f aca="false">SUM(P168:Q168)</f>
        <v>46380400</v>
      </c>
      <c r="S168" s="1437" t="b">
        <f aca="false">+R168=AO168</f>
        <v>1</v>
      </c>
      <c r="T168" s="1334" t="n">
        <f aca="false">+IFERROR(U168/R168,"-")</f>
        <v>0.2</v>
      </c>
      <c r="U168" s="1338" t="n">
        <f aca="false">+IFERROR(X168+AA168+AD168+AG168+AJ168+AM168,"-")</f>
        <v>9276080</v>
      </c>
      <c r="V168" s="1343" t="n">
        <f aca="false">+IFERROR(X168/$R168,"-")</f>
        <v>0.2</v>
      </c>
      <c r="W168" s="1442" t="n">
        <f aca="false">W166</f>
        <v>45737</v>
      </c>
      <c r="X168" s="1341" t="n">
        <f aca="false">+R168*'ref.지급기준 (2)'!G232</f>
        <v>9276080</v>
      </c>
      <c r="Y168" s="1343"/>
      <c r="Z168" s="1345" t="n">
        <f aca="false">+IFERROR(AA168/$R168,"-")</f>
        <v>0</v>
      </c>
      <c r="AA168" s="1345"/>
      <c r="AB168" s="1346" t="n">
        <f aca="false">AB166</f>
        <v>45838</v>
      </c>
      <c r="AC168" s="1345" t="n">
        <f aca="false">+IFERROR(AD168/$R168,"-")</f>
        <v>0</v>
      </c>
      <c r="AD168" s="1345"/>
      <c r="AE168" s="1346" t="n">
        <f aca="false">AE166</f>
        <v>45899</v>
      </c>
      <c r="AF168" s="1345" t="n">
        <f aca="false">+IFERROR(AG168/$R168,"-")</f>
        <v>0</v>
      </c>
      <c r="AG168" s="1345"/>
      <c r="AH168" s="1346" t="n">
        <f aca="false">AH166</f>
        <v>46081</v>
      </c>
      <c r="AI168" s="1345" t="str">
        <f aca="false">+IFERROR(AJ168/#REF!,"-")</f>
        <v>-</v>
      </c>
      <c r="AJ168" s="1345"/>
      <c r="AK168" s="1345"/>
      <c r="AL168" s="1345" t="str">
        <f aca="false">+IFERROR(AM168/#REF!,"-")</f>
        <v>-</v>
      </c>
      <c r="AM168" s="1345"/>
      <c r="AN168" s="1345"/>
      <c r="AO168" s="1347" t="n">
        <f aca="false">+R168</f>
        <v>46380400</v>
      </c>
      <c r="AP168" s="1347" t="n">
        <f aca="false">+AO168*'ref.지급기준 (2)'!G227</f>
        <v>9276080</v>
      </c>
      <c r="AQ168" s="1508" t="n">
        <f aca="false">+AB168</f>
        <v>45838</v>
      </c>
      <c r="AR168" s="1328"/>
      <c r="AS168" s="1349" t="n">
        <f aca="false">+$AO168*'ref.지급기준 (2)'!G227</f>
        <v>9276080</v>
      </c>
      <c r="AT168" s="1347" t="n">
        <f aca="false">+X168</f>
        <v>9276080</v>
      </c>
      <c r="AU168" s="1347" t="n">
        <f aca="false">+$AO168*'ref.지급기준 (2)'!I227</f>
        <v>9276080</v>
      </c>
      <c r="AV168" s="1347" t="n">
        <f aca="false">+AA168</f>
        <v>0</v>
      </c>
      <c r="AW168" s="1347" t="n">
        <f aca="false">+$AO168*'ref.지급기준 (2)'!K227</f>
        <v>23190200</v>
      </c>
      <c r="AX168" s="1347"/>
      <c r="AY168" s="1347" t="n">
        <f aca="false">+$AO168*'ref.지급기준 (2)'!M227</f>
        <v>4638040</v>
      </c>
      <c r="AZ168" s="1347"/>
      <c r="BA168" s="1347" t="n">
        <f aca="false">+$AO168*'ref.지급기준 (2)'!O227</f>
        <v>0</v>
      </c>
      <c r="BB168" s="1350"/>
      <c r="BC168" s="1536"/>
      <c r="BD168" s="1278"/>
      <c r="BE168" s="1332" t="b">
        <f aca="false">+(BA168+AY168+AW168+AU168+AS168)=R168</f>
        <v>1</v>
      </c>
      <c r="BF168" s="1278"/>
      <c r="BG168" s="1278"/>
      <c r="BH168" s="1278"/>
      <c r="BI168" s="1278"/>
      <c r="BJ168" s="1278"/>
      <c r="BK168" s="1278"/>
      <c r="BL168" s="1278"/>
      <c r="BM168" s="1278"/>
      <c r="BN168" s="1278"/>
      <c r="BO168" s="1333"/>
      <c r="BP168" s="1333"/>
    </row>
    <row r="169" customFormat="false" ht="16.5" hidden="false" customHeight="false" outlineLevel="0" collapsed="false">
      <c r="A169" s="1486"/>
      <c r="B169" s="1487"/>
      <c r="C169" s="1488"/>
      <c r="D169" s="1489"/>
      <c r="E169" s="1489"/>
      <c r="F169" s="1490"/>
      <c r="G169" s="1489"/>
      <c r="H169" s="1489"/>
      <c r="I169" s="1534"/>
      <c r="J169" s="1476"/>
      <c r="K169" s="1476"/>
      <c r="L169" s="1521"/>
      <c r="M169" s="669"/>
      <c r="N169" s="669"/>
      <c r="O169" s="1351" t="s">
        <v>508</v>
      </c>
      <c r="P169" s="1352" t="n">
        <f aca="false">+'DG-PV Organic'!AI21</f>
        <v>42164000</v>
      </c>
      <c r="Q169" s="1457" t="n">
        <f aca="false">+P169*0.1</f>
        <v>4216400</v>
      </c>
      <c r="R169" s="1352" t="n">
        <f aca="false">SUM(P169:Q169)</f>
        <v>46380400</v>
      </c>
      <c r="S169" s="1458" t="b">
        <f aca="false">+R169=AO169</f>
        <v>1</v>
      </c>
      <c r="T169" s="1527" t="n">
        <f aca="false">+IFERROR(U169/R169,"-")</f>
        <v>0</v>
      </c>
      <c r="U169" s="1537" t="n">
        <f aca="false">+IFERROR(X169+AA169+AD169+AG169+AJ169+AM169,"-")</f>
        <v>0</v>
      </c>
      <c r="V169" s="1527" t="n">
        <f aca="false">+IFERROR(X169/$R169,"-")</f>
        <v>0</v>
      </c>
      <c r="W169" s="1357"/>
      <c r="X169" s="1357"/>
      <c r="Y169" s="1357"/>
      <c r="Z169" s="1357" t="n">
        <f aca="false">+IFERROR(AA169/$R169,"-")</f>
        <v>0</v>
      </c>
      <c r="AA169" s="1357"/>
      <c r="AB169" s="1358"/>
      <c r="AC169" s="1357" t="n">
        <f aca="false">+IFERROR(AD169/$R169,"-")</f>
        <v>0</v>
      </c>
      <c r="AD169" s="1357"/>
      <c r="AE169" s="1358"/>
      <c r="AF169" s="1357" t="n">
        <f aca="false">+IFERROR(AG169/$R169,"-")</f>
        <v>0</v>
      </c>
      <c r="AG169" s="1357"/>
      <c r="AH169" s="1358"/>
      <c r="AI169" s="1357" t="str">
        <f aca="false">+IFERROR(AJ169/#REF!,"-")</f>
        <v>-</v>
      </c>
      <c r="AJ169" s="1357"/>
      <c r="AK169" s="1357"/>
      <c r="AL169" s="1357"/>
      <c r="AM169" s="1357"/>
      <c r="AN169" s="1357"/>
      <c r="AO169" s="1359" t="n">
        <f aca="false">+R169</f>
        <v>46380400</v>
      </c>
      <c r="AP169" s="1359" t="n">
        <f aca="false">+AS169+AU169</f>
        <v>46380400</v>
      </c>
      <c r="AQ169" s="1509"/>
      <c r="AR169" s="1278"/>
      <c r="AS169" s="1538" t="n">
        <f aca="false">+$AO169*'ref.지급기준 (2)'!G223</f>
        <v>46380400</v>
      </c>
      <c r="AT169" s="1411" t="n">
        <f aca="false">+X169</f>
        <v>0</v>
      </c>
      <c r="AU169" s="1411" t="n">
        <f aca="false">+$AO169*'ref.지급기준 (2)'!I223</f>
        <v>0</v>
      </c>
      <c r="AV169" s="1411" t="n">
        <f aca="false">+AA169</f>
        <v>0</v>
      </c>
      <c r="AW169" s="1411" t="n">
        <f aca="false">+$AO169*'ref.지급기준 (2)'!K223</f>
        <v>0</v>
      </c>
      <c r="AX169" s="1411"/>
      <c r="AY169" s="1411" t="n">
        <f aca="false">+$AO169*'ref.지급기준 (2)'!M223</f>
        <v>0</v>
      </c>
      <c r="AZ169" s="1411"/>
      <c r="BA169" s="1411" t="n">
        <f aca="false">+$AO169*'ref.지급기준 (2)'!O223</f>
        <v>0</v>
      </c>
      <c r="BB169" s="1539"/>
      <c r="BC169" s="1536"/>
      <c r="BD169" s="1286"/>
      <c r="BE169" s="1286"/>
      <c r="BF169" s="1278"/>
      <c r="BG169" s="1278"/>
      <c r="BH169" s="1278"/>
      <c r="BI169" s="1278"/>
      <c r="BJ169" s="1278"/>
      <c r="BK169" s="1278"/>
      <c r="BL169" s="1278"/>
      <c r="BM169" s="1278"/>
      <c r="BN169" s="1278"/>
      <c r="BO169" s="1278"/>
      <c r="BP169" s="1278"/>
    </row>
    <row r="170" customFormat="false" ht="16.5" hidden="false" customHeight="true" outlineLevel="0" collapsed="false">
      <c r="A170" s="1486"/>
      <c r="B170" s="1487"/>
      <c r="C170" s="1488"/>
      <c r="D170" s="1489"/>
      <c r="E170" s="1489"/>
      <c r="F170" s="1490"/>
      <c r="G170" s="1489"/>
      <c r="H170" s="1489"/>
      <c r="I170" s="1540" t="s">
        <v>1527</v>
      </c>
      <c r="J170" s="1541" t="str">
        <f aca="false">+'DG-PV Organic'!B20</f>
        <v>Tyson Foods Korea </v>
      </c>
      <c r="K170" s="1542" t="n">
        <f aca="false">+'DG-PV Organic'!O20</f>
        <v>650.24</v>
      </c>
      <c r="L170" s="1543" t="n">
        <f aca="false">+'DG-PV Organic'!H20</f>
        <v>0.0916</v>
      </c>
      <c r="M170" s="1544" t="n">
        <v>0.093</v>
      </c>
      <c r="N170" s="1544" t="s">
        <v>1479</v>
      </c>
      <c r="O170" s="1314" t="s">
        <v>112</v>
      </c>
      <c r="P170" s="1315" t="n">
        <f aca="false">+'DG-PV Organic'!AL20</f>
        <v>682752000</v>
      </c>
      <c r="Q170" s="1383" t="n">
        <f aca="false">+P170*10%</f>
        <v>68275200</v>
      </c>
      <c r="R170" s="1315" t="n">
        <f aca="false">SUM(P170:Q170)</f>
        <v>751027200</v>
      </c>
      <c r="S170" s="1437" t="b">
        <f aca="false">+R170=AO170</f>
        <v>1</v>
      </c>
      <c r="T170" s="1314" t="n">
        <f aca="false">+IFERROR(U170/R170,"-")</f>
        <v>0</v>
      </c>
      <c r="U170" s="645" t="n">
        <f aca="false">+IFERROR(X170+AA170+AD170+AG170+AJ170+AM170,"-")</f>
        <v>0</v>
      </c>
      <c r="V170" s="1371" t="n">
        <f aca="false">+IFERROR(X170/$R170,"-")</f>
        <v>0</v>
      </c>
      <c r="W170" s="1545" t="n">
        <f aca="false">AE171</f>
        <v>45899</v>
      </c>
      <c r="X170" s="1438"/>
      <c r="Y170" s="1371"/>
      <c r="Z170" s="1371" t="n">
        <f aca="false">+IFERROR(AA170/$R170,"-")</f>
        <v>0</v>
      </c>
      <c r="AA170" s="1371"/>
      <c r="AB170" s="1372" t="n">
        <f aca="false">+EDATE(W170,1)</f>
        <v>45930</v>
      </c>
      <c r="AC170" s="1371" t="n">
        <f aca="false">+IFERROR(AD170/$R170,"-")</f>
        <v>0</v>
      </c>
      <c r="AD170" s="1371"/>
      <c r="AE170" s="1372" t="n">
        <f aca="false">+EDATE(AB170,3)</f>
        <v>46021</v>
      </c>
      <c r="AF170" s="1371" t="n">
        <f aca="false">+IFERROR(AG170/$R170,"-")</f>
        <v>0</v>
      </c>
      <c r="AG170" s="1371"/>
      <c r="AH170" s="1372" t="n">
        <f aca="false">+EDATE(AB170,4)</f>
        <v>46052</v>
      </c>
      <c r="AI170" s="1371" t="str">
        <f aca="false">+IFERROR(AJ170/#REF!,"-")</f>
        <v>-</v>
      </c>
      <c r="AJ170" s="1371"/>
      <c r="AK170" s="1372" t="n">
        <f aca="false">+EDATE(AB170,6)</f>
        <v>46111</v>
      </c>
      <c r="AL170" s="1371" t="str">
        <f aca="false">+IFERROR(AM170/#REF!,"-")</f>
        <v>-</v>
      </c>
      <c r="AM170" s="1371"/>
      <c r="AN170" s="1371"/>
      <c r="AO170" s="1373" t="n">
        <f aca="false">+R170</f>
        <v>751027200</v>
      </c>
      <c r="AP170" s="1373" t="n">
        <f aca="false">+AO170*'ref.지급기준 (2)'!G229</f>
        <v>75102720</v>
      </c>
      <c r="AQ170" s="1546" t="n">
        <f aca="false">+W170</f>
        <v>45899</v>
      </c>
      <c r="AR170" s="1328"/>
      <c r="AS170" s="1349" t="n">
        <f aca="false">+$AO170*'ref.지급기준 (2)'!G229</f>
        <v>75102720</v>
      </c>
      <c r="AT170" s="1347" t="n">
        <f aca="false">+X170</f>
        <v>0</v>
      </c>
      <c r="AU170" s="1347" t="n">
        <f aca="false">+$AO170*'ref.지급기준 (2)'!I229</f>
        <v>150205440</v>
      </c>
      <c r="AV170" s="1347" t="n">
        <f aca="false">+AA170</f>
        <v>0</v>
      </c>
      <c r="AW170" s="1347" t="n">
        <f aca="false">+$AO170*'ref.지급기준 (2)'!K229</f>
        <v>300410880</v>
      </c>
      <c r="AX170" s="1347"/>
      <c r="AY170" s="1347" t="n">
        <f aca="false">+$AO170*'ref.지급기준 (2)'!M229</f>
        <v>187756800</v>
      </c>
      <c r="AZ170" s="1347"/>
      <c r="BA170" s="1347" t="n">
        <f aca="false">+$AO170*'ref.지급기준 (2)'!O229</f>
        <v>37551360</v>
      </c>
      <c r="BB170" s="1350"/>
      <c r="BC170" s="1536" t="s">
        <v>1509</v>
      </c>
      <c r="BD170" s="1278"/>
      <c r="BE170" s="1332" t="b">
        <f aca="false">+(BA170+AY170+AW170+AU170+AS170)=R170</f>
        <v>1</v>
      </c>
      <c r="BF170" s="1278"/>
      <c r="BG170" s="1278"/>
      <c r="BH170" s="1278"/>
      <c r="BI170" s="1278"/>
      <c r="BJ170" s="1278"/>
      <c r="BK170" s="1278"/>
      <c r="BL170" s="1278"/>
      <c r="BM170" s="1278"/>
      <c r="BN170" s="1278"/>
      <c r="BO170" s="1278"/>
      <c r="BP170" s="1278"/>
    </row>
    <row r="171" customFormat="false" ht="16.5" hidden="false" customHeight="false" outlineLevel="0" collapsed="false">
      <c r="A171" s="1486"/>
      <c r="B171" s="1487"/>
      <c r="C171" s="1488"/>
      <c r="D171" s="1489"/>
      <c r="E171" s="1489"/>
      <c r="F171" s="1490"/>
      <c r="G171" s="1489"/>
      <c r="H171" s="1489"/>
      <c r="I171" s="1540"/>
      <c r="J171" s="1541"/>
      <c r="K171" s="1541"/>
      <c r="L171" s="1543"/>
      <c r="M171" s="1544"/>
      <c r="N171" s="1544"/>
      <c r="O171" s="1334" t="s">
        <v>114</v>
      </c>
      <c r="P171" s="1335" t="n">
        <f aca="false">+'DG-PV Organic'!AK20</f>
        <v>195072000</v>
      </c>
      <c r="Q171" s="1384" t="n">
        <f aca="false">+P171*10%</f>
        <v>19507200</v>
      </c>
      <c r="R171" s="1335" t="n">
        <f aca="false">SUM(P171:Q171)</f>
        <v>214579200</v>
      </c>
      <c r="S171" s="1437" t="b">
        <f aca="false">+R171=AO171</f>
        <v>1</v>
      </c>
      <c r="T171" s="1334" t="n">
        <f aca="false">+IFERROR(U171/R171,"-")</f>
        <v>0</v>
      </c>
      <c r="U171" s="1338" t="n">
        <f aca="false">+IFERROR(X171+AA171+AD171+AG171+AJ171+AM171,"-")</f>
        <v>0</v>
      </c>
      <c r="V171" s="1345" t="n">
        <f aca="false">+IFERROR(X171/$R171,"-")</f>
        <v>0</v>
      </c>
      <c r="W171" s="1444" t="n">
        <v>45777</v>
      </c>
      <c r="X171" s="1395"/>
      <c r="Y171" s="1345"/>
      <c r="Z171" s="1345" t="n">
        <f aca="false">+IFERROR(AA171/$R171,"-")</f>
        <v>0</v>
      </c>
      <c r="AA171" s="1397"/>
      <c r="AB171" s="1346" t="n">
        <v>45838</v>
      </c>
      <c r="AC171" s="1345" t="n">
        <f aca="false">+IFERROR(AD171/$R171,"-")</f>
        <v>0</v>
      </c>
      <c r="AD171" s="1345"/>
      <c r="AE171" s="1346" t="n">
        <f aca="false">+EDATE(AB171,2)</f>
        <v>45899</v>
      </c>
      <c r="AF171" s="1345" t="n">
        <f aca="false">+IFERROR(AG171/$R171,"-")</f>
        <v>0</v>
      </c>
      <c r="AG171" s="1345"/>
      <c r="AH171" s="1346" t="n">
        <f aca="false">+EDATE(AB170,5)</f>
        <v>46081</v>
      </c>
      <c r="AI171" s="1345" t="str">
        <f aca="false">+IFERROR(AJ171/#REF!,"-")</f>
        <v>-</v>
      </c>
      <c r="AJ171" s="1345"/>
      <c r="AK171" s="1345"/>
      <c r="AL171" s="1345" t="str">
        <f aca="false">+IFERROR(AM171/#REF!,"-")</f>
        <v>-</v>
      </c>
      <c r="AM171" s="1345"/>
      <c r="AN171" s="1345"/>
      <c r="AO171" s="1347" t="n">
        <f aca="false">+R171</f>
        <v>214579200</v>
      </c>
      <c r="AP171" s="1347" t="n">
        <f aca="false">+AO171*'ref.지급기준 (2)'!G230</f>
        <v>42915840</v>
      </c>
      <c r="AQ171" s="1508" t="n">
        <f aca="false">+AB171</f>
        <v>45838</v>
      </c>
      <c r="AR171" s="1328"/>
      <c r="AS171" s="1349" t="n">
        <f aca="false">+$AO171*'ref.지급기준 (2)'!G230</f>
        <v>42915840</v>
      </c>
      <c r="AT171" s="1347" t="n">
        <f aca="false">+X171</f>
        <v>0</v>
      </c>
      <c r="AU171" s="1347" t="n">
        <f aca="false">+$AO171*'ref.지급기준 (2)'!I230</f>
        <v>42915840</v>
      </c>
      <c r="AV171" s="1347" t="n">
        <f aca="false">+AA171</f>
        <v>0</v>
      </c>
      <c r="AW171" s="1347" t="n">
        <f aca="false">+$AO171*'ref.지급기준 (2)'!K230</f>
        <v>107289600</v>
      </c>
      <c r="AX171" s="1347"/>
      <c r="AY171" s="1347" t="n">
        <f aca="false">+$AO171*'ref.지급기준 (2)'!M230</f>
        <v>21457920</v>
      </c>
      <c r="AZ171" s="1347"/>
      <c r="BA171" s="1347" t="n">
        <f aca="false">+$AO171*'ref.지급기준 (2)'!O230</f>
        <v>0</v>
      </c>
      <c r="BB171" s="1350"/>
      <c r="BC171" s="1536"/>
      <c r="BD171" s="1278"/>
      <c r="BE171" s="1332" t="b">
        <f aca="false">+(BA171+AY171+AW171+AU171+AS171)=R171</f>
        <v>1</v>
      </c>
      <c r="BF171" s="1278"/>
      <c r="BG171" s="1278"/>
      <c r="BH171" s="1278"/>
      <c r="BI171" s="1278"/>
      <c r="BJ171" s="1278"/>
      <c r="BK171" s="1278"/>
      <c r="BL171" s="1278"/>
      <c r="BM171" s="1278"/>
      <c r="BN171" s="1278"/>
      <c r="BO171" s="1278"/>
      <c r="BP171" s="1278"/>
    </row>
    <row r="172" customFormat="false" ht="16.5" hidden="false" customHeight="false" outlineLevel="0" collapsed="false">
      <c r="A172" s="1486"/>
      <c r="B172" s="1487"/>
      <c r="C172" s="1488"/>
      <c r="D172" s="1489"/>
      <c r="E172" s="1489"/>
      <c r="F172" s="1490"/>
      <c r="G172" s="1489"/>
      <c r="H172" s="1489"/>
      <c r="I172" s="1540"/>
      <c r="J172" s="1541"/>
      <c r="K172" s="1541"/>
      <c r="L172" s="1543"/>
      <c r="M172" s="1544"/>
      <c r="N172" s="1544"/>
      <c r="O172" s="1334" t="s">
        <v>404</v>
      </c>
      <c r="P172" s="1335" t="n">
        <v>0</v>
      </c>
      <c r="Q172" s="1384"/>
      <c r="R172" s="1335" t="n">
        <f aca="false">SUM(P172:Q172)</f>
        <v>0</v>
      </c>
      <c r="S172" s="1437" t="b">
        <f aca="false">+R172=AO172</f>
        <v>1</v>
      </c>
      <c r="T172" s="1334" t="str">
        <f aca="false">+IFERROR(U172/R172,"-")</f>
        <v>-</v>
      </c>
      <c r="U172" s="1338" t="n">
        <f aca="false">+IFERROR(X172+AA172+AD172+AG172+AJ172+AM172,"-")</f>
        <v>0</v>
      </c>
      <c r="V172" s="1345" t="str">
        <f aca="false">+IFERROR(X172/$R172,"-")</f>
        <v>-</v>
      </c>
      <c r="W172" s="1444"/>
      <c r="X172" s="1395"/>
      <c r="Y172" s="1345"/>
      <c r="Z172" s="1345" t="str">
        <f aca="false">+IFERROR(AA172/$R172,"-")</f>
        <v>-</v>
      </c>
      <c r="AA172" s="1345"/>
      <c r="AB172" s="1346"/>
      <c r="AC172" s="1345" t="str">
        <f aca="false">+IFERROR(AD172/$R172,"-")</f>
        <v>-</v>
      </c>
      <c r="AD172" s="1345"/>
      <c r="AE172" s="1346"/>
      <c r="AF172" s="1345" t="str">
        <f aca="false">+IFERROR(AG172/$R172,"-")</f>
        <v>-</v>
      </c>
      <c r="AG172" s="1345"/>
      <c r="AH172" s="1346"/>
      <c r="AI172" s="1345" t="str">
        <f aca="false">+IFERROR(AJ172/#REF!,"-")</f>
        <v>-</v>
      </c>
      <c r="AJ172" s="1345"/>
      <c r="AK172" s="1345"/>
      <c r="AL172" s="1345" t="str">
        <f aca="false">+IFERROR(AM172/#REF!,"-")</f>
        <v>-</v>
      </c>
      <c r="AM172" s="1345"/>
      <c r="AN172" s="1345"/>
      <c r="AO172" s="1347" t="n">
        <f aca="false">+R172</f>
        <v>0</v>
      </c>
      <c r="AP172" s="1347" t="n">
        <f aca="false">+AO172*'ref.지급기준 (2)'!G231</f>
        <v>0</v>
      </c>
      <c r="AQ172" s="1508"/>
      <c r="AR172" s="1328"/>
      <c r="AS172" s="1349" t="n">
        <f aca="false">+$AO172*'ref.지급기준 (2)'!G231</f>
        <v>0</v>
      </c>
      <c r="AT172" s="1347" t="n">
        <f aca="false">+X172</f>
        <v>0</v>
      </c>
      <c r="AU172" s="1347" t="n">
        <f aca="false">+$AO172*'ref.지급기준 (2)'!I231</f>
        <v>0</v>
      </c>
      <c r="AV172" s="1347" t="n">
        <f aca="false">+AA172</f>
        <v>0</v>
      </c>
      <c r="AW172" s="1347" t="n">
        <f aca="false">+$AO172*'ref.지급기준 (2)'!K231</f>
        <v>0</v>
      </c>
      <c r="AX172" s="1347"/>
      <c r="AY172" s="1347" t="n">
        <f aca="false">+$AO172*'ref.지급기준 (2)'!M231</f>
        <v>0</v>
      </c>
      <c r="AZ172" s="1347"/>
      <c r="BA172" s="1347" t="n">
        <f aca="false">+$AO172*'ref.지급기준 (2)'!O231</f>
        <v>0</v>
      </c>
      <c r="BB172" s="1350"/>
      <c r="BC172" s="1536"/>
      <c r="BD172" s="1278"/>
      <c r="BE172" s="1332" t="b">
        <f aca="false">+(BA172+AY172+AW172+AU172+AS172)=R172</f>
        <v>1</v>
      </c>
      <c r="BF172" s="1278"/>
      <c r="BG172" s="1278"/>
      <c r="BH172" s="1278"/>
      <c r="BI172" s="1278"/>
      <c r="BJ172" s="1278"/>
      <c r="BK172" s="1278"/>
      <c r="BL172" s="1278"/>
      <c r="BM172" s="1278"/>
      <c r="BN172" s="1278"/>
      <c r="BO172" s="1278"/>
      <c r="BP172" s="1278"/>
    </row>
    <row r="173" customFormat="false" ht="16.5" hidden="false" customHeight="false" outlineLevel="0" collapsed="false">
      <c r="A173" s="1486"/>
      <c r="B173" s="1487"/>
      <c r="C173" s="1488"/>
      <c r="D173" s="1489"/>
      <c r="E173" s="1489"/>
      <c r="F173" s="1490"/>
      <c r="G173" s="1489"/>
      <c r="H173" s="1489"/>
      <c r="I173" s="1540"/>
      <c r="J173" s="1541"/>
      <c r="K173" s="1541"/>
      <c r="L173" s="1543"/>
      <c r="M173" s="1544"/>
      <c r="N173" s="1544"/>
      <c r="O173" s="1334" t="s">
        <v>507</v>
      </c>
      <c r="P173" s="1335" t="n">
        <f aca="false">+'DG-PV Organic'!AJ20</f>
        <v>130048000</v>
      </c>
      <c r="Q173" s="1384" t="n">
        <f aca="false">+P173*10%</f>
        <v>13004800</v>
      </c>
      <c r="R173" s="1335" t="n">
        <f aca="false">SUM(P173:Q173)</f>
        <v>143052800</v>
      </c>
      <c r="S173" s="1437" t="b">
        <f aca="false">+R173=AO173</f>
        <v>1</v>
      </c>
      <c r="T173" s="1334" t="n">
        <f aca="false">+IFERROR(U173/R173,"-")</f>
        <v>0</v>
      </c>
      <c r="U173" s="1338" t="n">
        <f aca="false">+IFERROR(X173+AA173+AD173+AG173+AJ173+AM173,"-")</f>
        <v>0</v>
      </c>
      <c r="V173" s="1345" t="n">
        <f aca="false">+IFERROR(X173/$R173,"-")</f>
        <v>0</v>
      </c>
      <c r="W173" s="1444" t="n">
        <f aca="false">W171</f>
        <v>45777</v>
      </c>
      <c r="X173" s="1395"/>
      <c r="Y173" s="1345"/>
      <c r="Z173" s="1345" t="n">
        <f aca="false">+IFERROR(AA173/$R173,"-")</f>
        <v>0</v>
      </c>
      <c r="AA173" s="1345"/>
      <c r="AB173" s="1346" t="n">
        <f aca="false">AB171</f>
        <v>45838</v>
      </c>
      <c r="AC173" s="1345" t="n">
        <f aca="false">+IFERROR(AD173/$R173,"-")</f>
        <v>0</v>
      </c>
      <c r="AD173" s="1345"/>
      <c r="AE173" s="1346" t="n">
        <f aca="false">AE171</f>
        <v>45899</v>
      </c>
      <c r="AF173" s="1345" t="n">
        <f aca="false">+IFERROR(AG173/$R173,"-")</f>
        <v>0</v>
      </c>
      <c r="AG173" s="1345"/>
      <c r="AH173" s="1346" t="n">
        <f aca="false">AH171</f>
        <v>46081</v>
      </c>
      <c r="AI173" s="1345" t="str">
        <f aca="false">+IFERROR(AJ173/#REF!,"-")</f>
        <v>-</v>
      </c>
      <c r="AJ173" s="1345"/>
      <c r="AK173" s="1345"/>
      <c r="AL173" s="1345" t="str">
        <f aca="false">+IFERROR(AM173/#REF!,"-")</f>
        <v>-</v>
      </c>
      <c r="AM173" s="1345"/>
      <c r="AN173" s="1345"/>
      <c r="AO173" s="1347" t="n">
        <f aca="false">+R173</f>
        <v>143052800</v>
      </c>
      <c r="AP173" s="1347" t="n">
        <f aca="false">+AO173*'ref.지급기준 (2)'!G232</f>
        <v>28610560</v>
      </c>
      <c r="AQ173" s="1508" t="n">
        <f aca="false">+AB173</f>
        <v>45838</v>
      </c>
      <c r="AR173" s="1328"/>
      <c r="AS173" s="1349" t="n">
        <f aca="false">+$AO173*'ref.지급기준 (2)'!G232</f>
        <v>28610560</v>
      </c>
      <c r="AT173" s="1347" t="n">
        <f aca="false">+X173</f>
        <v>0</v>
      </c>
      <c r="AU173" s="1347" t="n">
        <f aca="false">+$AO173*'ref.지급기준 (2)'!I232</f>
        <v>28610560</v>
      </c>
      <c r="AV173" s="1347" t="n">
        <f aca="false">+AA173</f>
        <v>0</v>
      </c>
      <c r="AW173" s="1347" t="n">
        <f aca="false">+$AO173*'ref.지급기준 (2)'!K232</f>
        <v>71526400</v>
      </c>
      <c r="AX173" s="1347"/>
      <c r="AY173" s="1347" t="n">
        <f aca="false">+$AO173*'ref.지급기준 (2)'!M232</f>
        <v>14305280</v>
      </c>
      <c r="AZ173" s="1347"/>
      <c r="BA173" s="1347" t="n">
        <f aca="false">+$AO173*'ref.지급기준 (2)'!O232</f>
        <v>0</v>
      </c>
      <c r="BB173" s="1350"/>
      <c r="BC173" s="1536"/>
      <c r="BD173" s="1278"/>
      <c r="BE173" s="1332" t="b">
        <f aca="false">+(BA173+AY173+AW173+AU173+AS173)=R173</f>
        <v>1</v>
      </c>
      <c r="BF173" s="1278"/>
      <c r="BG173" s="1278"/>
      <c r="BH173" s="1278"/>
      <c r="BI173" s="1278"/>
      <c r="BJ173" s="1278"/>
      <c r="BK173" s="1278"/>
      <c r="BL173" s="1278"/>
      <c r="BM173" s="1278"/>
      <c r="BN173" s="1278"/>
      <c r="BO173" s="1278"/>
      <c r="BP173" s="1278"/>
    </row>
    <row r="174" customFormat="false" ht="16.5" hidden="false" customHeight="false" outlineLevel="0" collapsed="false">
      <c r="A174" s="1486"/>
      <c r="B174" s="1487"/>
      <c r="C174" s="1488"/>
      <c r="D174" s="1489"/>
      <c r="E174" s="1489"/>
      <c r="F174" s="1490"/>
      <c r="G174" s="1489"/>
      <c r="H174" s="1489"/>
      <c r="I174" s="1540"/>
      <c r="J174" s="1541"/>
      <c r="K174" s="1541"/>
      <c r="L174" s="1543"/>
      <c r="M174" s="1544"/>
      <c r="N174" s="1544"/>
      <c r="O174" s="1547" t="s">
        <v>508</v>
      </c>
      <c r="P174" s="1548" t="n">
        <f aca="false">+'DG-PV Organic'!AI20</f>
        <v>130048000</v>
      </c>
      <c r="Q174" s="1549" t="n">
        <f aca="false">+P174*0.1</f>
        <v>13004800</v>
      </c>
      <c r="R174" s="1548" t="n">
        <f aca="false">SUM(P174:Q174)</f>
        <v>143052800</v>
      </c>
      <c r="S174" s="1485" t="b">
        <f aca="false">+R174=AO174</f>
        <v>1</v>
      </c>
      <c r="T174" s="1406" t="n">
        <f aca="false">+IFERROR(U174/R174,"-")</f>
        <v>0</v>
      </c>
      <c r="U174" s="1550" t="n">
        <f aca="false">+IFERROR(X174+AA174+AD174+AG174+AJ174+AM174,"-")</f>
        <v>0</v>
      </c>
      <c r="V174" s="1406" t="n">
        <f aca="false">+IFERROR(X174/$R174,"-")</f>
        <v>0</v>
      </c>
      <c r="W174" s="1551" t="n">
        <v>45737</v>
      </c>
      <c r="X174" s="1550"/>
      <c r="Y174" s="1409"/>
      <c r="Z174" s="1409" t="n">
        <f aca="false">+IFERROR(AA174/$R174,"-")</f>
        <v>0</v>
      </c>
      <c r="AA174" s="1409"/>
      <c r="AB174" s="1410"/>
      <c r="AC174" s="1409" t="n">
        <f aca="false">+IFERROR(AD174/$R174,"-")</f>
        <v>0</v>
      </c>
      <c r="AD174" s="1409"/>
      <c r="AE174" s="1410"/>
      <c r="AF174" s="1409" t="n">
        <f aca="false">+IFERROR(AG174/$R174,"-")</f>
        <v>0</v>
      </c>
      <c r="AG174" s="1409"/>
      <c r="AH174" s="1410"/>
      <c r="AI174" s="1409" t="str">
        <f aca="false">+IFERROR(AJ174/#REF!,"-")</f>
        <v>-</v>
      </c>
      <c r="AJ174" s="1409"/>
      <c r="AK174" s="1409"/>
      <c r="AL174" s="1409"/>
      <c r="AM174" s="1409"/>
      <c r="AN174" s="1409"/>
      <c r="AO174" s="1411" t="n">
        <f aca="false">+R174</f>
        <v>143052800</v>
      </c>
      <c r="AP174" s="1411" t="n">
        <f aca="false">+AS174+AU174</f>
        <v>143052800</v>
      </c>
      <c r="AQ174" s="1552"/>
      <c r="AR174" s="1278"/>
      <c r="AS174" s="1538" t="n">
        <f aca="false">+$AO174*'ref.지급기준 (2)'!G228</f>
        <v>143052800</v>
      </c>
      <c r="AT174" s="1411" t="n">
        <f aca="false">+X174</f>
        <v>0</v>
      </c>
      <c r="AU174" s="1411" t="n">
        <f aca="false">+$AO174*'ref.지급기준 (2)'!I228</f>
        <v>0</v>
      </c>
      <c r="AV174" s="1411" t="n">
        <f aca="false">+AA174</f>
        <v>0</v>
      </c>
      <c r="AW174" s="1411" t="n">
        <f aca="false">+$AO174*'ref.지급기준 (2)'!K228</f>
        <v>0</v>
      </c>
      <c r="AX174" s="1411"/>
      <c r="AY174" s="1411" t="n">
        <f aca="false">+$AO174*'ref.지급기준 (2)'!M228</f>
        <v>0</v>
      </c>
      <c r="AZ174" s="1411"/>
      <c r="BA174" s="1411" t="n">
        <f aca="false">+$AO174*'ref.지급기준 (2)'!O228</f>
        <v>0</v>
      </c>
      <c r="BB174" s="1539"/>
      <c r="BC174" s="1536"/>
      <c r="BD174" s="1286"/>
      <c r="BE174" s="1286"/>
      <c r="BF174" s="1278"/>
      <c r="BG174" s="1278"/>
      <c r="BH174" s="1278"/>
      <c r="BI174" s="1278"/>
      <c r="BJ174" s="1278"/>
      <c r="BK174" s="1278"/>
      <c r="BL174" s="1278"/>
      <c r="BM174" s="1278"/>
      <c r="BN174" s="1278"/>
      <c r="BO174" s="1278"/>
      <c r="BP174" s="1278"/>
    </row>
    <row r="175" customFormat="false" ht="16.5" hidden="false" customHeight="true" outlineLevel="1" collapsed="false">
      <c r="A175" s="1486"/>
      <c r="B175" s="1487"/>
      <c r="C175" s="1488"/>
      <c r="D175" s="1489"/>
      <c r="E175" s="1489"/>
      <c r="F175" s="1490"/>
      <c r="G175" s="1489"/>
      <c r="H175" s="1489"/>
      <c r="I175" s="1553"/>
      <c r="J175" s="1554"/>
      <c r="K175" s="1555" t="n">
        <f aca="false">+'DG-PV Organic'!O26</f>
        <v>355.6</v>
      </c>
      <c r="L175" s="1556" t="n">
        <f aca="false">+'DG-PV Organic'!H26</f>
        <v>0.0878</v>
      </c>
      <c r="M175" s="803" t="n">
        <v>0.093</v>
      </c>
      <c r="N175" s="803" t="s">
        <v>1479</v>
      </c>
      <c r="O175" s="1365" t="s">
        <v>112</v>
      </c>
      <c r="P175" s="1366" t="n">
        <f aca="false">+'ref.지급기준 (2)'!F234*'ref.지급기준 (2)'!D234/'ref.지급기준 (2)'!$Q$2</f>
        <v>682752000</v>
      </c>
      <c r="Q175" s="1436" t="n">
        <f aca="false">+P175*10%</f>
        <v>68275200</v>
      </c>
      <c r="R175" s="1366" t="n">
        <f aca="false">SUM(P175:Q175)</f>
        <v>751027200</v>
      </c>
      <c r="S175" s="1437" t="b">
        <f aca="false">+R175=AO175</f>
        <v>1</v>
      </c>
      <c r="T175" s="1314" t="n">
        <f aca="false">+IFERROR(U175/R175,"-")</f>
        <v>0</v>
      </c>
      <c r="U175" s="645" t="n">
        <f aca="false">+IFERROR(X175+AA175+AD175+AG175+AJ175+AM175,"-")</f>
        <v>0</v>
      </c>
      <c r="V175" s="1345" t="n">
        <f aca="false">+IFERROR(X175/$R175,"-")</f>
        <v>0</v>
      </c>
      <c r="W175" s="1444" t="n">
        <f aca="false">AE176</f>
        <v>45838</v>
      </c>
      <c r="X175" s="1395"/>
      <c r="Y175" s="1345"/>
      <c r="Z175" s="1345" t="n">
        <f aca="false">+IFERROR(AA175/$R175,"-")</f>
        <v>0</v>
      </c>
      <c r="AA175" s="1345"/>
      <c r="AB175" s="1346" t="n">
        <f aca="false">+EDATE(W175,1)</f>
        <v>45868</v>
      </c>
      <c r="AC175" s="1345" t="n">
        <f aca="false">+IFERROR(AD175/$R175,"-")</f>
        <v>0</v>
      </c>
      <c r="AD175" s="1345"/>
      <c r="AE175" s="1346" t="n">
        <f aca="false">+EDATE(AB175,3)</f>
        <v>45960</v>
      </c>
      <c r="AF175" s="1345" t="n">
        <f aca="false">+IFERROR(AG175/$R175,"-")</f>
        <v>0</v>
      </c>
      <c r="AG175" s="1345"/>
      <c r="AH175" s="1346" t="n">
        <f aca="false">+EDATE(AB175,4)</f>
        <v>45991</v>
      </c>
      <c r="AI175" s="1345" t="str">
        <f aca="false">+IFERROR(AJ175/#REF!,"-")</f>
        <v>-</v>
      </c>
      <c r="AJ175" s="1345"/>
      <c r="AK175" s="1346" t="n">
        <f aca="false">+EDATE(AB175,6)</f>
        <v>46052</v>
      </c>
      <c r="AL175" s="1345" t="str">
        <f aca="false">+IFERROR(AM175/#REF!,"-")</f>
        <v>-</v>
      </c>
      <c r="AM175" s="1345"/>
      <c r="AN175" s="1345"/>
      <c r="AO175" s="1347" t="n">
        <f aca="false">+R175</f>
        <v>751027200</v>
      </c>
      <c r="AP175" s="1347" t="n">
        <f aca="false">+AO175*'ref.지급기준 (2)'!G234</f>
        <v>75102720</v>
      </c>
      <c r="AQ175" s="1508" t="n">
        <f aca="false">+W175</f>
        <v>45838</v>
      </c>
      <c r="AR175" s="1328"/>
      <c r="AS175" s="1349" t="n">
        <f aca="false">+$AO175*'ref.지급기준 (2)'!G234</f>
        <v>75102720</v>
      </c>
      <c r="AT175" s="1347" t="n">
        <f aca="false">+X175</f>
        <v>0</v>
      </c>
      <c r="AU175" s="1347" t="n">
        <f aca="false">+$AO175*'ref.지급기준 (2)'!I234</f>
        <v>150205440</v>
      </c>
      <c r="AV175" s="1347" t="n">
        <f aca="false">+AA175</f>
        <v>0</v>
      </c>
      <c r="AW175" s="1347" t="n">
        <f aca="false">+$AO175*'ref.지급기준 (2)'!K234</f>
        <v>300410880</v>
      </c>
      <c r="AX175" s="1347"/>
      <c r="AY175" s="1347" t="n">
        <f aca="false">+$AO175*'ref.지급기준 (2)'!M234</f>
        <v>187756800</v>
      </c>
      <c r="AZ175" s="1347"/>
      <c r="BA175" s="1347" t="n">
        <f aca="false">+$AO175*'ref.지급기준 (2)'!O234</f>
        <v>37551360</v>
      </c>
      <c r="BB175" s="1350"/>
      <c r="BC175" s="1536" t="s">
        <v>1509</v>
      </c>
      <c r="BD175" s="1278"/>
      <c r="BE175" s="1332" t="b">
        <f aca="false">+(BA175+AY175+AW175+AU175+AS175)=R175</f>
        <v>1</v>
      </c>
      <c r="BF175" s="1278"/>
      <c r="BG175" s="1278"/>
      <c r="BH175" s="1278"/>
      <c r="BI175" s="1278"/>
      <c r="BJ175" s="1278"/>
      <c r="BK175" s="1278"/>
      <c r="BL175" s="1278"/>
      <c r="BM175" s="1278"/>
      <c r="BN175" s="1278"/>
      <c r="BO175" s="1333"/>
      <c r="BP175" s="1333"/>
    </row>
    <row r="176" customFormat="false" ht="16.5" hidden="false" customHeight="false" outlineLevel="1" collapsed="false">
      <c r="A176" s="1486"/>
      <c r="B176" s="1487"/>
      <c r="C176" s="1488"/>
      <c r="D176" s="1489"/>
      <c r="E176" s="1489"/>
      <c r="F176" s="1490"/>
      <c r="G176" s="1489"/>
      <c r="H176" s="1489"/>
      <c r="I176" s="1553"/>
      <c r="J176" s="1554"/>
      <c r="K176" s="1554"/>
      <c r="L176" s="1556"/>
      <c r="M176" s="803"/>
      <c r="N176" s="803"/>
      <c r="O176" s="1334" t="s">
        <v>114</v>
      </c>
      <c r="P176" s="1335" t="n">
        <f aca="false">+'ref.지급기준 (2)'!F235*'ref.지급기준 (2)'!D235/'ref.지급기준 (2)'!$Q$2</f>
        <v>195072000</v>
      </c>
      <c r="Q176" s="1384" t="n">
        <f aca="false">+P176*10%</f>
        <v>19507200</v>
      </c>
      <c r="R176" s="1335" t="n">
        <f aca="false">SUM(P176:Q176)</f>
        <v>214579200</v>
      </c>
      <c r="S176" s="1437" t="b">
        <f aca="false">+R176=AO176</f>
        <v>1</v>
      </c>
      <c r="T176" s="1334" t="n">
        <f aca="false">+IFERROR(U176/R176,"-")</f>
        <v>0</v>
      </c>
      <c r="U176" s="1338" t="n">
        <f aca="false">+IFERROR(X176+AA176+AD176+AG176+AJ176+AM176,"-")</f>
        <v>0</v>
      </c>
      <c r="V176" s="1345" t="n">
        <f aca="false">+IFERROR(X176/$R176,"-")</f>
        <v>0</v>
      </c>
      <c r="W176" s="1444" t="n">
        <v>45747</v>
      </c>
      <c r="X176" s="1395"/>
      <c r="Y176" s="1345"/>
      <c r="Z176" s="1345" t="n">
        <f aca="false">+IFERROR(AA176/$R176,"-")</f>
        <v>0</v>
      </c>
      <c r="AA176" s="1397"/>
      <c r="AB176" s="1346" t="n">
        <v>45808</v>
      </c>
      <c r="AC176" s="1345" t="n">
        <f aca="false">+IFERROR(AD176/$R176,"-")</f>
        <v>0</v>
      </c>
      <c r="AD176" s="1345"/>
      <c r="AE176" s="1346" t="n">
        <f aca="false">+EDATE(AB176,1)</f>
        <v>45838</v>
      </c>
      <c r="AF176" s="1345" t="n">
        <f aca="false">+IFERROR(AG176/$R176,"-")</f>
        <v>0</v>
      </c>
      <c r="AG176" s="1345"/>
      <c r="AH176" s="1346" t="n">
        <f aca="false">+EDATE(AB175,6)</f>
        <v>46052</v>
      </c>
      <c r="AI176" s="1345" t="str">
        <f aca="false">+IFERROR(AJ176/#REF!,"-")</f>
        <v>-</v>
      </c>
      <c r="AJ176" s="1345"/>
      <c r="AK176" s="1345"/>
      <c r="AL176" s="1345" t="str">
        <f aca="false">+IFERROR(AM176/#REF!,"-")</f>
        <v>-</v>
      </c>
      <c r="AM176" s="1345"/>
      <c r="AN176" s="1345"/>
      <c r="AO176" s="1347" t="n">
        <f aca="false">+R176</f>
        <v>214579200</v>
      </c>
      <c r="AP176" s="1347" t="n">
        <f aca="false">+AO176*'ref.지급기준 (2)'!G235</f>
        <v>42915840</v>
      </c>
      <c r="AQ176" s="1508" t="n">
        <f aca="false">+AB176</f>
        <v>45808</v>
      </c>
      <c r="AR176" s="1328"/>
      <c r="AS176" s="1349" t="n">
        <f aca="false">+$AO176*'ref.지급기준 (2)'!G235</f>
        <v>42915840</v>
      </c>
      <c r="AT176" s="1347" t="n">
        <f aca="false">+X176</f>
        <v>0</v>
      </c>
      <c r="AU176" s="1347" t="n">
        <f aca="false">+$AO176*'ref.지급기준 (2)'!I235</f>
        <v>42915840</v>
      </c>
      <c r="AV176" s="1347" t="n">
        <f aca="false">+AA176</f>
        <v>0</v>
      </c>
      <c r="AW176" s="1347" t="n">
        <f aca="false">+$AO176*'ref.지급기준 (2)'!K235</f>
        <v>107289600</v>
      </c>
      <c r="AX176" s="1347"/>
      <c r="AY176" s="1347" t="n">
        <f aca="false">+$AO176*'ref.지급기준 (2)'!M235</f>
        <v>21457920</v>
      </c>
      <c r="AZ176" s="1347"/>
      <c r="BA176" s="1347" t="n">
        <f aca="false">+$AO176*'ref.지급기준 (2)'!O235</f>
        <v>0</v>
      </c>
      <c r="BB176" s="1350"/>
      <c r="BC176" s="1536"/>
      <c r="BD176" s="1278"/>
      <c r="BE176" s="1332" t="b">
        <f aca="false">+(BA176+AY176+AW176+AU176+AS176)=R176</f>
        <v>1</v>
      </c>
      <c r="BF176" s="1278"/>
      <c r="BG176" s="1278"/>
      <c r="BH176" s="1278"/>
      <c r="BI176" s="1278"/>
      <c r="BJ176" s="1278"/>
      <c r="BK176" s="1278"/>
      <c r="BL176" s="1278"/>
      <c r="BM176" s="1278"/>
      <c r="BN176" s="1278"/>
      <c r="BO176" s="1333"/>
      <c r="BP176" s="1333"/>
    </row>
    <row r="177" customFormat="false" ht="16.5" hidden="false" customHeight="false" outlineLevel="1" collapsed="false">
      <c r="A177" s="1486"/>
      <c r="B177" s="1487"/>
      <c r="C177" s="1488"/>
      <c r="D177" s="1489"/>
      <c r="E177" s="1489"/>
      <c r="F177" s="1490"/>
      <c r="G177" s="1489"/>
      <c r="H177" s="1489"/>
      <c r="I177" s="1553"/>
      <c r="J177" s="1554"/>
      <c r="K177" s="1554"/>
      <c r="L177" s="1556"/>
      <c r="M177" s="803"/>
      <c r="N177" s="803"/>
      <c r="O177" s="1334" t="s">
        <v>404</v>
      </c>
      <c r="P177" s="1335" t="n">
        <f aca="false">+'ref.지급기준 (2)'!F236*'ref.지급기준 (2)'!D236/'ref.지급기준 (2)'!$Q$2</f>
        <v>0</v>
      </c>
      <c r="Q177" s="1384"/>
      <c r="R177" s="1335" t="n">
        <f aca="false">SUM(P177:Q177)</f>
        <v>0</v>
      </c>
      <c r="S177" s="1437" t="b">
        <f aca="false">+R177=AO177</f>
        <v>1</v>
      </c>
      <c r="T177" s="1334" t="str">
        <f aca="false">+IFERROR(U177/R177,"-")</f>
        <v>-</v>
      </c>
      <c r="U177" s="1338" t="n">
        <f aca="false">+IFERROR(X177+AA177+AD177+AG177+AJ177+AM177,"-")</f>
        <v>0</v>
      </c>
      <c r="V177" s="1345" t="str">
        <f aca="false">+IFERROR(X177/$R177,"-")</f>
        <v>-</v>
      </c>
      <c r="W177" s="1444"/>
      <c r="X177" s="1395"/>
      <c r="Y177" s="1345"/>
      <c r="Z177" s="1345" t="str">
        <f aca="false">+IFERROR(AA177/$R177,"-")</f>
        <v>-</v>
      </c>
      <c r="AA177" s="1345"/>
      <c r="AB177" s="1346"/>
      <c r="AC177" s="1345" t="str">
        <f aca="false">+IFERROR(AD177/$R177,"-")</f>
        <v>-</v>
      </c>
      <c r="AD177" s="1345"/>
      <c r="AE177" s="1346"/>
      <c r="AF177" s="1345" t="str">
        <f aca="false">+IFERROR(AG177/$R177,"-")</f>
        <v>-</v>
      </c>
      <c r="AG177" s="1345"/>
      <c r="AH177" s="1346"/>
      <c r="AI177" s="1345" t="str">
        <f aca="false">+IFERROR(AJ177/#REF!,"-")</f>
        <v>-</v>
      </c>
      <c r="AJ177" s="1345"/>
      <c r="AK177" s="1345"/>
      <c r="AL177" s="1345" t="str">
        <f aca="false">+IFERROR(AM177/#REF!,"-")</f>
        <v>-</v>
      </c>
      <c r="AM177" s="1345"/>
      <c r="AN177" s="1345"/>
      <c r="AO177" s="1347" t="n">
        <f aca="false">+R177</f>
        <v>0</v>
      </c>
      <c r="AP177" s="1347" t="n">
        <f aca="false">+AO177*'ref.지급기준 (2)'!G236</f>
        <v>0</v>
      </c>
      <c r="AQ177" s="1508"/>
      <c r="AR177" s="1328"/>
      <c r="AS177" s="1349" t="n">
        <f aca="false">+$AO177*'ref.지급기준 (2)'!G236</f>
        <v>0</v>
      </c>
      <c r="AT177" s="1347" t="n">
        <f aca="false">+X177</f>
        <v>0</v>
      </c>
      <c r="AU177" s="1347" t="n">
        <f aca="false">+$AO177*'ref.지급기준 (2)'!I236</f>
        <v>0</v>
      </c>
      <c r="AV177" s="1347" t="n">
        <f aca="false">+AA177</f>
        <v>0</v>
      </c>
      <c r="AW177" s="1347" t="n">
        <f aca="false">+$AO177*'ref.지급기준 (2)'!K236</f>
        <v>0</v>
      </c>
      <c r="AX177" s="1347"/>
      <c r="AY177" s="1347" t="n">
        <f aca="false">+$AO177*'ref.지급기준 (2)'!M236</f>
        <v>0</v>
      </c>
      <c r="AZ177" s="1347"/>
      <c r="BA177" s="1347" t="n">
        <f aca="false">+$AO177*'ref.지급기준 (2)'!O236</f>
        <v>0</v>
      </c>
      <c r="BB177" s="1350"/>
      <c r="BC177" s="1536"/>
      <c r="BD177" s="1278"/>
      <c r="BE177" s="1332" t="b">
        <f aca="false">+(BA177+AY177+AW177+AU177+AS177)=R177</f>
        <v>1</v>
      </c>
      <c r="BF177" s="1278"/>
      <c r="BG177" s="1278"/>
      <c r="BH177" s="1278"/>
      <c r="BI177" s="1278"/>
      <c r="BJ177" s="1278"/>
      <c r="BK177" s="1278"/>
      <c r="BL177" s="1278"/>
      <c r="BM177" s="1278"/>
      <c r="BN177" s="1278"/>
      <c r="BO177" s="1333"/>
      <c r="BP177" s="1333"/>
    </row>
    <row r="178" customFormat="false" ht="16.5" hidden="false" customHeight="false" outlineLevel="1" collapsed="false">
      <c r="A178" s="1486"/>
      <c r="B178" s="1487"/>
      <c r="C178" s="1488"/>
      <c r="D178" s="1489"/>
      <c r="E178" s="1489"/>
      <c r="F178" s="1490"/>
      <c r="G178" s="1489"/>
      <c r="H178" s="1489"/>
      <c r="I178" s="1553"/>
      <c r="J178" s="1554"/>
      <c r="K178" s="1554"/>
      <c r="L178" s="1556"/>
      <c r="M178" s="803"/>
      <c r="N178" s="803"/>
      <c r="O178" s="1334" t="s">
        <v>507</v>
      </c>
      <c r="P178" s="1335" t="n">
        <f aca="false">+'ref.지급기준 (2)'!F237*'ref.지급기준 (2)'!D237/'ref.지급기준 (2)'!$Q$2</f>
        <v>130048000</v>
      </c>
      <c r="Q178" s="1384" t="n">
        <f aca="false">+P178*10%</f>
        <v>13004800</v>
      </c>
      <c r="R178" s="1335" t="n">
        <f aca="false">SUM(P178:Q178)</f>
        <v>143052800</v>
      </c>
      <c r="S178" s="1437" t="b">
        <f aca="false">+R178=AO178</f>
        <v>1</v>
      </c>
      <c r="T178" s="1334" t="n">
        <f aca="false">+IFERROR(U178/R178,"-")</f>
        <v>0</v>
      </c>
      <c r="U178" s="1338" t="n">
        <f aca="false">+IFERROR(X178+AA178+AD178+AG178+AJ178+AM178,"-")</f>
        <v>0</v>
      </c>
      <c r="V178" s="1345" t="n">
        <f aca="false">+IFERROR(X178/$R178,"-")</f>
        <v>0</v>
      </c>
      <c r="W178" s="1444" t="n">
        <f aca="false">W176</f>
        <v>45747</v>
      </c>
      <c r="X178" s="1395"/>
      <c r="Y178" s="1345"/>
      <c r="Z178" s="1345" t="n">
        <f aca="false">+IFERROR(AA178/$R178,"-")</f>
        <v>0</v>
      </c>
      <c r="AA178" s="1345"/>
      <c r="AB178" s="1346" t="n">
        <f aca="false">AB176</f>
        <v>45808</v>
      </c>
      <c r="AC178" s="1345" t="n">
        <f aca="false">+IFERROR(AD178/$R178,"-")</f>
        <v>0</v>
      </c>
      <c r="AD178" s="1345"/>
      <c r="AE178" s="1346" t="n">
        <f aca="false">AE176</f>
        <v>45838</v>
      </c>
      <c r="AF178" s="1345" t="n">
        <f aca="false">+IFERROR(AG178/$R178,"-")</f>
        <v>0</v>
      </c>
      <c r="AG178" s="1345"/>
      <c r="AH178" s="1346" t="n">
        <f aca="false">AH176</f>
        <v>46052</v>
      </c>
      <c r="AI178" s="1345" t="str">
        <f aca="false">+IFERROR(AJ178/#REF!,"-")</f>
        <v>-</v>
      </c>
      <c r="AJ178" s="1345"/>
      <c r="AK178" s="1345"/>
      <c r="AL178" s="1345" t="str">
        <f aca="false">+IFERROR(AM178/#REF!,"-")</f>
        <v>-</v>
      </c>
      <c r="AM178" s="1345"/>
      <c r="AN178" s="1345"/>
      <c r="AO178" s="1347" t="n">
        <f aca="false">+R178</f>
        <v>143052800</v>
      </c>
      <c r="AP178" s="1347" t="n">
        <f aca="false">+AO178*'ref.지급기준 (2)'!G237</f>
        <v>28610560</v>
      </c>
      <c r="AQ178" s="1508" t="n">
        <f aca="false">+AB178</f>
        <v>45808</v>
      </c>
      <c r="AR178" s="1328"/>
      <c r="AS178" s="1349" t="n">
        <f aca="false">+$AO178*'ref.지급기준 (2)'!G237</f>
        <v>28610560</v>
      </c>
      <c r="AT178" s="1347" t="n">
        <f aca="false">+X178</f>
        <v>0</v>
      </c>
      <c r="AU178" s="1347" t="n">
        <f aca="false">+$AO178*'ref.지급기준 (2)'!I237</f>
        <v>28610560</v>
      </c>
      <c r="AV178" s="1347" t="n">
        <f aca="false">+AA178</f>
        <v>0</v>
      </c>
      <c r="AW178" s="1347" t="n">
        <f aca="false">+$AO178*'ref.지급기준 (2)'!K237</f>
        <v>71526400</v>
      </c>
      <c r="AX178" s="1347"/>
      <c r="AY178" s="1347" t="n">
        <f aca="false">+$AO178*'ref.지급기준 (2)'!M237</f>
        <v>14305280</v>
      </c>
      <c r="AZ178" s="1347"/>
      <c r="BA178" s="1347" t="n">
        <f aca="false">+$AO178*'ref.지급기준 (2)'!O237</f>
        <v>0</v>
      </c>
      <c r="BB178" s="1350"/>
      <c r="BC178" s="1536"/>
      <c r="BD178" s="1278"/>
      <c r="BE178" s="1332" t="b">
        <f aca="false">+(BA178+AY178+AW178+AU178+AS178)=R178</f>
        <v>1</v>
      </c>
      <c r="BF178" s="1278"/>
      <c r="BG178" s="1278"/>
      <c r="BH178" s="1278"/>
      <c r="BI178" s="1278"/>
      <c r="BJ178" s="1278"/>
      <c r="BK178" s="1278"/>
      <c r="BL178" s="1278"/>
      <c r="BM178" s="1278"/>
      <c r="BN178" s="1278"/>
      <c r="BO178" s="1333"/>
      <c r="BP178" s="1333"/>
    </row>
    <row r="179" customFormat="false" ht="16.5" hidden="false" customHeight="false" outlineLevel="1" collapsed="false">
      <c r="A179" s="1486"/>
      <c r="B179" s="1487"/>
      <c r="C179" s="1488"/>
      <c r="D179" s="1489"/>
      <c r="E179" s="1489"/>
      <c r="F179" s="1490"/>
      <c r="G179" s="1489"/>
      <c r="H179" s="1489"/>
      <c r="I179" s="1553"/>
      <c r="J179" s="1554"/>
      <c r="K179" s="1554"/>
      <c r="L179" s="1556"/>
      <c r="M179" s="803"/>
      <c r="N179" s="803"/>
      <c r="O179" s="1557" t="s">
        <v>508</v>
      </c>
      <c r="P179" s="1558" t="n">
        <f aca="false">+'ref.지급기준 (2)'!F238</f>
        <v>0</v>
      </c>
      <c r="Q179" s="1559" t="n">
        <f aca="false">+P179*0.1</f>
        <v>0</v>
      </c>
      <c r="R179" s="1558" t="n">
        <f aca="false">SUM(P179:Q179)</f>
        <v>0</v>
      </c>
      <c r="S179" s="1560" t="b">
        <f aca="false">+R179=AO179</f>
        <v>1</v>
      </c>
      <c r="T179" s="1561"/>
      <c r="U179" s="1562"/>
      <c r="V179" s="1563" t="str">
        <f aca="false">+IFERROR(X179/$R179,"-")</f>
        <v>-</v>
      </c>
      <c r="W179" s="1551" t="n">
        <v>45737</v>
      </c>
      <c r="X179" s="1564" t="n">
        <v>0</v>
      </c>
      <c r="Y179" s="1565"/>
      <c r="Z179" s="1565" t="str">
        <f aca="false">+IFERROR(AA179/$R179,"-")</f>
        <v>-</v>
      </c>
      <c r="AA179" s="1565"/>
      <c r="AB179" s="1566"/>
      <c r="AC179" s="1565" t="str">
        <f aca="false">+IFERROR(AD179/$R179,"-")</f>
        <v>-</v>
      </c>
      <c r="AD179" s="1565"/>
      <c r="AE179" s="1566"/>
      <c r="AF179" s="1565" t="str">
        <f aca="false">+IFERROR(AG179/$R179,"-")</f>
        <v>-</v>
      </c>
      <c r="AG179" s="1565"/>
      <c r="AH179" s="1566"/>
      <c r="AI179" s="1565" t="str">
        <f aca="false">+IFERROR(AJ179/#REF!,"-")</f>
        <v>-</v>
      </c>
      <c r="AJ179" s="1565"/>
      <c r="AK179" s="1565"/>
      <c r="AL179" s="1565"/>
      <c r="AM179" s="1565"/>
      <c r="AN179" s="1565"/>
      <c r="AO179" s="1567" t="n">
        <f aca="false">+R179</f>
        <v>0</v>
      </c>
      <c r="AP179" s="1567" t="n">
        <f aca="false">+AS179+AU179</f>
        <v>0</v>
      </c>
      <c r="AQ179" s="1568"/>
      <c r="AR179" s="1278"/>
      <c r="AS179" s="1538" t="n">
        <f aca="false">+$AO179*'ref.지급기준 (2)'!G228</f>
        <v>0</v>
      </c>
      <c r="AT179" s="1411" t="n">
        <f aca="false">+X179</f>
        <v>0</v>
      </c>
      <c r="AU179" s="1411" t="n">
        <f aca="false">+$AO179*'ref.지급기준 (2)'!I228</f>
        <v>0</v>
      </c>
      <c r="AV179" s="1411" t="n">
        <f aca="false">+AA179</f>
        <v>0</v>
      </c>
      <c r="AW179" s="1411" t="n">
        <f aca="false">+$AO179*'ref.지급기준 (2)'!K228</f>
        <v>0</v>
      </c>
      <c r="AX179" s="1411"/>
      <c r="AY179" s="1411" t="n">
        <f aca="false">+$AO179*'ref.지급기준 (2)'!M228</f>
        <v>0</v>
      </c>
      <c r="AZ179" s="1411"/>
      <c r="BA179" s="1411" t="n">
        <f aca="false">+$AO179*'ref.지급기준 (2)'!O228</f>
        <v>0</v>
      </c>
      <c r="BB179" s="1539"/>
      <c r="BC179" s="1536"/>
      <c r="BD179" s="1286"/>
      <c r="BE179" s="1286"/>
      <c r="BF179" s="1278"/>
      <c r="BG179" s="1278"/>
      <c r="BH179" s="1278"/>
      <c r="BI179" s="1278"/>
      <c r="BJ179" s="1278"/>
      <c r="BK179" s="1278"/>
      <c r="BL179" s="1278"/>
      <c r="BM179" s="1278"/>
      <c r="BN179" s="1278"/>
      <c r="BO179" s="1278"/>
      <c r="BP179" s="1278"/>
    </row>
    <row r="180" customFormat="false" ht="16.5" hidden="false" customHeight="false" outlineLevel="0" collapsed="false">
      <c r="X180" s="1569"/>
      <c r="AA180" s="1569"/>
    </row>
    <row r="181" customFormat="false" ht="16.5" hidden="false" customHeight="false" outlineLevel="0" collapsed="false">
      <c r="X181" s="1570"/>
    </row>
    <row r="182" customFormat="false" ht="16.5" hidden="false" customHeight="false" outlineLevel="0" collapsed="false">
      <c r="W182" s="1569"/>
      <c r="X182" s="1570"/>
      <c r="AA182" s="1569"/>
    </row>
    <row r="183" customFormat="false" ht="16.5" hidden="false" customHeight="false" outlineLevel="0" collapsed="false">
      <c r="AA183" s="1570"/>
    </row>
    <row r="184" customFormat="false" ht="16.5" hidden="false" customHeight="false" outlineLevel="0" collapsed="false">
      <c r="X184" s="1570"/>
      <c r="AA184" s="1569"/>
    </row>
    <row r="185" customFormat="false" ht="16.5" hidden="false" customHeight="false" outlineLevel="0" collapsed="false">
      <c r="X185" s="1571"/>
    </row>
    <row r="186" customFormat="false" ht="16.5" hidden="false" customHeight="false" outlineLevel="0" collapsed="false">
      <c r="X186" s="1570"/>
    </row>
    <row r="187" customFormat="false" ht="16.5" hidden="false" customHeight="false" outlineLevel="0" collapsed="false">
      <c r="X187" s="1570"/>
    </row>
    <row r="196" customFormat="false" ht="16.5" hidden="false" customHeight="false" outlineLevel="0" collapsed="false">
      <c r="X196" s="1570"/>
    </row>
  </sheetData>
  <mergeCells count="308">
    <mergeCell ref="B2:C2"/>
    <mergeCell ref="BD2:BE2"/>
    <mergeCell ref="B3:B4"/>
    <mergeCell ref="C3:C4"/>
    <mergeCell ref="D3:D4"/>
    <mergeCell ref="E3:E4"/>
    <mergeCell ref="F3:F4"/>
    <mergeCell ref="G3:G4"/>
    <mergeCell ref="H3:H4"/>
    <mergeCell ref="I3:J4"/>
    <mergeCell ref="K3:K4"/>
    <mergeCell ref="L3:L4"/>
    <mergeCell ref="M3:M4"/>
    <mergeCell ref="N3:N4"/>
    <mergeCell ref="O3:O4"/>
    <mergeCell ref="P3:P4"/>
    <mergeCell ref="Q3:Q4"/>
    <mergeCell ref="R3:R4"/>
    <mergeCell ref="T3:U3"/>
    <mergeCell ref="Z3:AB3"/>
    <mergeCell ref="AC3:AE3"/>
    <mergeCell ref="AF3:AH3"/>
    <mergeCell ref="AI3:AK3"/>
    <mergeCell ref="AL3:AN3"/>
    <mergeCell ref="AO3:AO4"/>
    <mergeCell ref="AP3:AP4"/>
    <mergeCell ref="AQ3:AQ4"/>
    <mergeCell ref="AS3:AT3"/>
    <mergeCell ref="AU3:AV3"/>
    <mergeCell ref="AW3:AX3"/>
    <mergeCell ref="AY3:AZ3"/>
    <mergeCell ref="BA3:BB3"/>
    <mergeCell ref="BC3:BC4"/>
    <mergeCell ref="BD3:BE3"/>
    <mergeCell ref="B5:B64"/>
    <mergeCell ref="C5:C64"/>
    <mergeCell ref="D5:D64"/>
    <mergeCell ref="E5:E64"/>
    <mergeCell ref="F5:F64"/>
    <mergeCell ref="G5:G64"/>
    <mergeCell ref="H5:H64"/>
    <mergeCell ref="I5:I9"/>
    <mergeCell ref="J5:J9"/>
    <mergeCell ref="K5:K9"/>
    <mergeCell ref="L5:L6"/>
    <mergeCell ref="M5:M9"/>
    <mergeCell ref="N5:N9"/>
    <mergeCell ref="BC5:BC9"/>
    <mergeCell ref="L7:L9"/>
    <mergeCell ref="I10:I14"/>
    <mergeCell ref="J10:J14"/>
    <mergeCell ref="K10:K14"/>
    <mergeCell ref="L10:L14"/>
    <mergeCell ref="M10:M14"/>
    <mergeCell ref="N10:N14"/>
    <mergeCell ref="BC10:BC14"/>
    <mergeCell ref="I15:I19"/>
    <mergeCell ref="J15:J19"/>
    <mergeCell ref="K15:K19"/>
    <mergeCell ref="L15:L19"/>
    <mergeCell ref="M15:M19"/>
    <mergeCell ref="N15:N19"/>
    <mergeCell ref="BC15:BC19"/>
    <mergeCell ref="I20:I24"/>
    <mergeCell ref="J20:J24"/>
    <mergeCell ref="K20:K24"/>
    <mergeCell ref="L20:L24"/>
    <mergeCell ref="M20:M24"/>
    <mergeCell ref="N20:N24"/>
    <mergeCell ref="BC20:BC24"/>
    <mergeCell ref="I25:I29"/>
    <mergeCell ref="J25:J29"/>
    <mergeCell ref="K25:K29"/>
    <mergeCell ref="L25:L29"/>
    <mergeCell ref="M25:M29"/>
    <mergeCell ref="N25:N29"/>
    <mergeCell ref="BC25:BC29"/>
    <mergeCell ref="I30:I34"/>
    <mergeCell ref="J30:J34"/>
    <mergeCell ref="K30:K34"/>
    <mergeCell ref="L30:L34"/>
    <mergeCell ref="M30:M34"/>
    <mergeCell ref="N30:N34"/>
    <mergeCell ref="BC30:BC34"/>
    <mergeCell ref="I35:I39"/>
    <mergeCell ref="J35:J39"/>
    <mergeCell ref="K35:K39"/>
    <mergeCell ref="L35:L39"/>
    <mergeCell ref="M35:M39"/>
    <mergeCell ref="N35:N39"/>
    <mergeCell ref="BC35:BC39"/>
    <mergeCell ref="I40:I44"/>
    <mergeCell ref="J40:J44"/>
    <mergeCell ref="K40:K44"/>
    <mergeCell ref="L40:L44"/>
    <mergeCell ref="M40:M44"/>
    <mergeCell ref="N40:N44"/>
    <mergeCell ref="BC40:BC44"/>
    <mergeCell ref="I45:I49"/>
    <mergeCell ref="J45:J49"/>
    <mergeCell ref="K45:K49"/>
    <mergeCell ref="L45:L49"/>
    <mergeCell ref="M45:M49"/>
    <mergeCell ref="N45:N49"/>
    <mergeCell ref="BC45:BC49"/>
    <mergeCell ref="I50:I54"/>
    <mergeCell ref="J50:J54"/>
    <mergeCell ref="K50:K54"/>
    <mergeCell ref="L50:L54"/>
    <mergeCell ref="M50:M54"/>
    <mergeCell ref="N50:N54"/>
    <mergeCell ref="BC50:BC54"/>
    <mergeCell ref="I55:I59"/>
    <mergeCell ref="J55:J59"/>
    <mergeCell ref="K55:K59"/>
    <mergeCell ref="L55:L59"/>
    <mergeCell ref="M55:M59"/>
    <mergeCell ref="N55:N59"/>
    <mergeCell ref="BC55:BC59"/>
    <mergeCell ref="I60:I64"/>
    <mergeCell ref="J60:J64"/>
    <mergeCell ref="K60:K64"/>
    <mergeCell ref="L60:L64"/>
    <mergeCell ref="M60:M64"/>
    <mergeCell ref="N60:N64"/>
    <mergeCell ref="BC60:BC64"/>
    <mergeCell ref="B65:B109"/>
    <mergeCell ref="C65:C109"/>
    <mergeCell ref="D65:D109"/>
    <mergeCell ref="E65:E109"/>
    <mergeCell ref="F65:F109"/>
    <mergeCell ref="G65:G109"/>
    <mergeCell ref="H65:H109"/>
    <mergeCell ref="I65:I69"/>
    <mergeCell ref="J65:J69"/>
    <mergeCell ref="K65:K69"/>
    <mergeCell ref="L65:L69"/>
    <mergeCell ref="M65:M69"/>
    <mergeCell ref="N65:N69"/>
    <mergeCell ref="BC65:BC69"/>
    <mergeCell ref="I70:I74"/>
    <mergeCell ref="J70:J74"/>
    <mergeCell ref="K70:K74"/>
    <mergeCell ref="L70:L74"/>
    <mergeCell ref="M70:M74"/>
    <mergeCell ref="N70:N74"/>
    <mergeCell ref="BC70:BC74"/>
    <mergeCell ref="I75:I79"/>
    <mergeCell ref="J75:J79"/>
    <mergeCell ref="K75:K79"/>
    <mergeCell ref="L75:L79"/>
    <mergeCell ref="M75:M79"/>
    <mergeCell ref="N75:N79"/>
    <mergeCell ref="BC75:BC79"/>
    <mergeCell ref="I80:I84"/>
    <mergeCell ref="J80:J84"/>
    <mergeCell ref="K80:K84"/>
    <mergeCell ref="L80:L84"/>
    <mergeCell ref="M80:M84"/>
    <mergeCell ref="N80:N84"/>
    <mergeCell ref="BC80:BC84"/>
    <mergeCell ref="I85:I89"/>
    <mergeCell ref="J85:J89"/>
    <mergeCell ref="K85:K89"/>
    <mergeCell ref="L85:L89"/>
    <mergeCell ref="M85:M89"/>
    <mergeCell ref="N85:N89"/>
    <mergeCell ref="BC85:BC89"/>
    <mergeCell ref="I90:I94"/>
    <mergeCell ref="J90:J94"/>
    <mergeCell ref="K90:K94"/>
    <mergeCell ref="L90:L94"/>
    <mergeCell ref="M90:M94"/>
    <mergeCell ref="N90:N94"/>
    <mergeCell ref="BC90:BC94"/>
    <mergeCell ref="I95:I99"/>
    <mergeCell ref="J95:J99"/>
    <mergeCell ref="K95:K99"/>
    <mergeCell ref="L95:L99"/>
    <mergeCell ref="M95:M99"/>
    <mergeCell ref="N95:N99"/>
    <mergeCell ref="BC95:BC99"/>
    <mergeCell ref="I100:I104"/>
    <mergeCell ref="J100:J104"/>
    <mergeCell ref="K100:K104"/>
    <mergeCell ref="L100:L104"/>
    <mergeCell ref="M100:M104"/>
    <mergeCell ref="N100:N104"/>
    <mergeCell ref="BC100:BC104"/>
    <mergeCell ref="I105:I109"/>
    <mergeCell ref="J105:J109"/>
    <mergeCell ref="K105:K109"/>
    <mergeCell ref="L105:L109"/>
    <mergeCell ref="M105:M109"/>
    <mergeCell ref="N105:N109"/>
    <mergeCell ref="BC105:BC109"/>
    <mergeCell ref="B110:B129"/>
    <mergeCell ref="C110:C129"/>
    <mergeCell ref="D110:D129"/>
    <mergeCell ref="E110:E129"/>
    <mergeCell ref="F110:F129"/>
    <mergeCell ref="G110:G129"/>
    <mergeCell ref="H110:H129"/>
    <mergeCell ref="I110:I114"/>
    <mergeCell ref="J110:J114"/>
    <mergeCell ref="K110:K114"/>
    <mergeCell ref="L110:L114"/>
    <mergeCell ref="M110:M114"/>
    <mergeCell ref="N110:N114"/>
    <mergeCell ref="BC110:BC114"/>
    <mergeCell ref="I115:I119"/>
    <mergeCell ref="J115:J119"/>
    <mergeCell ref="K115:K119"/>
    <mergeCell ref="L115:L119"/>
    <mergeCell ref="M115:M119"/>
    <mergeCell ref="N115:N119"/>
    <mergeCell ref="BC115:BC119"/>
    <mergeCell ref="I120:I124"/>
    <mergeCell ref="J120:J124"/>
    <mergeCell ref="K120:K124"/>
    <mergeCell ref="L120:L124"/>
    <mergeCell ref="M120:M124"/>
    <mergeCell ref="N120:N124"/>
    <mergeCell ref="BC120:BC124"/>
    <mergeCell ref="I125:I129"/>
    <mergeCell ref="J125:J129"/>
    <mergeCell ref="K125:K129"/>
    <mergeCell ref="L125:L129"/>
    <mergeCell ref="M125:M129"/>
    <mergeCell ref="N125:N129"/>
    <mergeCell ref="BC125:BC129"/>
    <mergeCell ref="B130:B179"/>
    <mergeCell ref="C130:C179"/>
    <mergeCell ref="D130:D179"/>
    <mergeCell ref="E130:E179"/>
    <mergeCell ref="F130:F179"/>
    <mergeCell ref="G130:G179"/>
    <mergeCell ref="H130:H179"/>
    <mergeCell ref="I130:I134"/>
    <mergeCell ref="J130:J134"/>
    <mergeCell ref="K130:K134"/>
    <mergeCell ref="L130:L134"/>
    <mergeCell ref="M130:M134"/>
    <mergeCell ref="N130:N134"/>
    <mergeCell ref="BC130:BC134"/>
    <mergeCell ref="I135:I139"/>
    <mergeCell ref="J135:J139"/>
    <mergeCell ref="K135:K139"/>
    <mergeCell ref="L135:L139"/>
    <mergeCell ref="M135:M139"/>
    <mergeCell ref="N135:N139"/>
    <mergeCell ref="BC135:BC139"/>
    <mergeCell ref="I140:I144"/>
    <mergeCell ref="J140:J144"/>
    <mergeCell ref="K140:K144"/>
    <mergeCell ref="L140:L144"/>
    <mergeCell ref="M140:M144"/>
    <mergeCell ref="N140:N144"/>
    <mergeCell ref="BC140:BC144"/>
    <mergeCell ref="I145:I154"/>
    <mergeCell ref="J145:J149"/>
    <mergeCell ref="K145:K149"/>
    <mergeCell ref="L145:L154"/>
    <mergeCell ref="M145:M154"/>
    <mergeCell ref="N145:N149"/>
    <mergeCell ref="BC145:BC149"/>
    <mergeCell ref="J150:J154"/>
    <mergeCell ref="K150:K154"/>
    <mergeCell ref="N150:N154"/>
    <mergeCell ref="BC150:BC154"/>
    <mergeCell ref="I155:I159"/>
    <mergeCell ref="J155:J159"/>
    <mergeCell ref="K155:K159"/>
    <mergeCell ref="L155:L159"/>
    <mergeCell ref="M155:M159"/>
    <mergeCell ref="N155:N159"/>
    <mergeCell ref="BC155:BC159"/>
    <mergeCell ref="I160:I164"/>
    <mergeCell ref="J160:J164"/>
    <mergeCell ref="K160:K164"/>
    <mergeCell ref="L160:L164"/>
    <mergeCell ref="M160:M164"/>
    <mergeCell ref="N160:N164"/>
    <mergeCell ref="BC160:BC164"/>
    <mergeCell ref="I165:I169"/>
    <mergeCell ref="J165:J169"/>
    <mergeCell ref="K165:K169"/>
    <mergeCell ref="L165:L169"/>
    <mergeCell ref="M165:M169"/>
    <mergeCell ref="N165:N169"/>
    <mergeCell ref="BC165:BC169"/>
    <mergeCell ref="BD169:BE169"/>
    <mergeCell ref="I170:I174"/>
    <mergeCell ref="J170:J174"/>
    <mergeCell ref="K170:K174"/>
    <mergeCell ref="L170:L174"/>
    <mergeCell ref="M170:M174"/>
    <mergeCell ref="N170:N174"/>
    <mergeCell ref="BC170:BC174"/>
    <mergeCell ref="BD174:BE174"/>
    <mergeCell ref="I175:I179"/>
    <mergeCell ref="J175:J179"/>
    <mergeCell ref="K175:K179"/>
    <mergeCell ref="L175:L179"/>
    <mergeCell ref="M175:M179"/>
    <mergeCell ref="N175:N179"/>
    <mergeCell ref="BC175:BC179"/>
    <mergeCell ref="BD179:BE179"/>
  </mergeCells>
  <printOptions headings="false" gridLines="false" gridLinesSet="true" horizontalCentered="true" verticalCentered="false"/>
  <pageMargins left="0" right="0" top="0.39375"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18E"/>
    <pageSetUpPr fitToPage="false"/>
  </sheetPr>
  <dimension ref="B1:AK25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I14" activeCellId="0" sqref="I14"/>
    </sheetView>
  </sheetViews>
  <sheetFormatPr defaultColWidth="9" defaultRowHeight="16.5" zeroHeight="false" outlineLevelRow="0" outlineLevelCol="1"/>
  <cols>
    <col collapsed="false" customWidth="true" hidden="false" outlineLevel="0" max="1" min="1" style="39" width="4.63"/>
    <col collapsed="false" customWidth="true" hidden="false" outlineLevel="0" max="2" min="2" style="39" width="12.62"/>
    <col collapsed="false" customWidth="true" hidden="false" outlineLevel="0" max="3" min="3" style="40" width="41.75"/>
    <col collapsed="false" customWidth="true" hidden="false" outlineLevel="0" max="4" min="4" style="40" width="7.63"/>
    <col collapsed="false" customWidth="true" hidden="false" outlineLevel="0" max="5" min="5" style="40" width="16.51"/>
    <col collapsed="false" customWidth="true" hidden="false" outlineLevel="0" max="6" min="6" style="1572" width="16.88"/>
    <col collapsed="false" customWidth="true" hidden="false" outlineLevel="1" max="7" min="7" style="69" width="16.88"/>
    <col collapsed="false" customWidth="true" hidden="false" outlineLevel="1" max="8" min="8" style="69" width="6.12"/>
    <col collapsed="false" customWidth="true" hidden="false" outlineLevel="1" max="9" min="9" style="69" width="16.88"/>
    <col collapsed="false" customWidth="true" hidden="false" outlineLevel="1" max="10" min="10" style="69" width="6.12"/>
    <col collapsed="false" customWidth="true" hidden="false" outlineLevel="1" max="11" min="11" style="69" width="16.88"/>
    <col collapsed="false" customWidth="true" hidden="false" outlineLevel="1" max="12" min="12" style="69" width="6.12"/>
    <col collapsed="false" customWidth="true" hidden="false" outlineLevel="1" max="13" min="13" style="69" width="16.88"/>
    <col collapsed="false" customWidth="true" hidden="false" outlineLevel="1" max="14" min="14" style="69" width="6.12"/>
    <col collapsed="false" customWidth="true" hidden="false" outlineLevel="1" max="16" min="15" style="69" width="16.88"/>
    <col collapsed="false" customWidth="true" hidden="false" outlineLevel="0" max="21" min="17" style="39" width="16.88"/>
    <col collapsed="false" customWidth="false" hidden="false" outlineLevel="0" max="23" min="22" style="39" width="9"/>
    <col collapsed="false" customWidth="true" hidden="true" outlineLevel="0" max="25" min="24" style="39" width="9.77"/>
    <col collapsed="false" customWidth="false" hidden="false" outlineLevel="0" max="16384" min="26" style="39" width="9"/>
  </cols>
  <sheetData>
    <row r="1" customFormat="false" ht="16.5" hidden="false" customHeight="false" outlineLevel="0" collapsed="false">
      <c r="C1" s="41"/>
      <c r="D1" s="41"/>
      <c r="E1" s="41"/>
    </row>
    <row r="2" customFormat="false" ht="16.5" hidden="false" customHeight="false" outlineLevel="0" collapsed="false">
      <c r="C2" s="41"/>
      <c r="D2" s="41"/>
      <c r="E2" s="41"/>
      <c r="Q2" s="72" t="n">
        <v>1000</v>
      </c>
    </row>
    <row r="3" customFormat="false" ht="16.5" hidden="false" customHeight="false" outlineLevel="0" collapsed="false">
      <c r="B3" s="773" t="s">
        <v>48</v>
      </c>
      <c r="C3" s="773"/>
      <c r="D3" s="773"/>
      <c r="E3" s="773"/>
      <c r="F3" s="1573" t="s">
        <v>1528</v>
      </c>
      <c r="G3" s="1574" t="s">
        <v>1529</v>
      </c>
      <c r="H3" s="1574"/>
      <c r="I3" s="1574" t="s">
        <v>1530</v>
      </c>
      <c r="J3" s="1574"/>
      <c r="K3" s="1574" t="s">
        <v>1531</v>
      </c>
      <c r="L3" s="1574"/>
      <c r="M3" s="1574" t="s">
        <v>1532</v>
      </c>
      <c r="N3" s="1574"/>
      <c r="O3" s="1574" t="s">
        <v>1533</v>
      </c>
      <c r="P3" s="1575" t="s">
        <v>58</v>
      </c>
      <c r="AA3" s="1576"/>
    </row>
    <row r="4" customFormat="false" ht="16.5" hidden="false" customHeight="false" outlineLevel="0" collapsed="false">
      <c r="B4" s="1577" t="s">
        <v>1534</v>
      </c>
      <c r="C4" s="1476" t="s">
        <v>170</v>
      </c>
      <c r="D4" s="1476" t="n">
        <v>999.58</v>
      </c>
      <c r="E4" s="669" t="s">
        <v>112</v>
      </c>
      <c r="F4" s="1578" t="n">
        <v>1050000000</v>
      </c>
      <c r="G4" s="1579" t="n">
        <v>0.1</v>
      </c>
      <c r="H4" s="1579"/>
      <c r="I4" s="1579" t="n">
        <v>0.2</v>
      </c>
      <c r="J4" s="1579"/>
      <c r="K4" s="1579" t="n">
        <v>0.4</v>
      </c>
      <c r="L4" s="1579"/>
      <c r="M4" s="1579" t="n">
        <v>0.25</v>
      </c>
      <c r="N4" s="1579"/>
      <c r="O4" s="1579" t="n">
        <v>0.05</v>
      </c>
      <c r="P4" s="1580" t="n">
        <f aca="false">SUM(G4:O4)</f>
        <v>1</v>
      </c>
      <c r="AA4" s="1576"/>
    </row>
    <row r="5" customFormat="false" ht="16.5" hidden="false" customHeight="false" outlineLevel="0" collapsed="false">
      <c r="B5" s="1577"/>
      <c r="C5" s="1476"/>
      <c r="D5" s="1476" t="n">
        <v>999.58</v>
      </c>
      <c r="E5" s="669" t="s">
        <v>114</v>
      </c>
      <c r="F5" s="1578" t="n">
        <v>550000000</v>
      </c>
      <c r="G5" s="1579" t="n">
        <v>0.55</v>
      </c>
      <c r="H5" s="1579"/>
      <c r="I5" s="1579" t="n">
        <v>0.15</v>
      </c>
      <c r="J5" s="1579"/>
      <c r="K5" s="1579" t="n">
        <v>0.3</v>
      </c>
      <c r="L5" s="1579"/>
      <c r="M5" s="1581"/>
      <c r="N5" s="1579"/>
      <c r="O5" s="1581"/>
      <c r="P5" s="1580" t="n">
        <f aca="false">SUM(G5:O5)</f>
        <v>1</v>
      </c>
      <c r="AA5" s="1576"/>
    </row>
    <row r="6" customFormat="false" ht="16.5" hidden="false" customHeight="false" outlineLevel="0" collapsed="false">
      <c r="B6" s="1577"/>
      <c r="C6" s="1476"/>
      <c r="D6" s="1476" t="n">
        <v>999.58</v>
      </c>
      <c r="E6" s="669" t="s">
        <v>404</v>
      </c>
      <c r="F6" s="1582"/>
      <c r="G6" s="1581"/>
      <c r="H6" s="1581"/>
      <c r="I6" s="1581"/>
      <c r="J6" s="1581"/>
      <c r="K6" s="1581"/>
      <c r="L6" s="1581"/>
      <c r="M6" s="1581"/>
      <c r="N6" s="1581"/>
      <c r="O6" s="1581"/>
      <c r="P6" s="1580" t="n">
        <f aca="false">SUM(G6:O6)</f>
        <v>0</v>
      </c>
      <c r="AA6" s="1576"/>
      <c r="AK6" s="1583" t="n">
        <v>45473</v>
      </c>
    </row>
    <row r="7" customFormat="false" ht="16.5" hidden="false" customHeight="false" outlineLevel="0" collapsed="false">
      <c r="B7" s="1577"/>
      <c r="C7" s="1476"/>
      <c r="D7" s="1476" t="n">
        <v>999.58</v>
      </c>
      <c r="E7" s="669" t="s">
        <v>507</v>
      </c>
      <c r="F7" s="1582"/>
      <c r="G7" s="1581"/>
      <c r="H7" s="1581"/>
      <c r="I7" s="1581"/>
      <c r="J7" s="1581"/>
      <c r="K7" s="1581"/>
      <c r="L7" s="1581"/>
      <c r="M7" s="1581"/>
      <c r="N7" s="1581"/>
      <c r="O7" s="1581"/>
      <c r="P7" s="1580" t="n">
        <f aca="false">SUM(G7:O7)</f>
        <v>0</v>
      </c>
      <c r="AA7" s="1576"/>
    </row>
    <row r="8" customFormat="false" ht="16.5" hidden="false" customHeight="false" outlineLevel="0" collapsed="false">
      <c r="B8" s="1577"/>
      <c r="C8" s="1476"/>
      <c r="D8" s="684" t="n">
        <f aca="false">+D7</f>
        <v>999.58</v>
      </c>
      <c r="E8" s="669" t="s">
        <v>508</v>
      </c>
      <c r="F8" s="1584"/>
      <c r="G8" s="1585" t="n">
        <v>1</v>
      </c>
      <c r="H8" s="1585"/>
      <c r="I8" s="1585"/>
      <c r="J8" s="1585"/>
      <c r="K8" s="1585"/>
      <c r="L8" s="1585"/>
      <c r="M8" s="1585"/>
      <c r="N8" s="1579"/>
      <c r="O8" s="1579"/>
      <c r="P8" s="1580" t="n">
        <f aca="false">SUM(G8:O8)</f>
        <v>1</v>
      </c>
      <c r="AA8" s="1576"/>
    </row>
    <row r="9" customFormat="false" ht="16.5" hidden="false" customHeight="false" outlineLevel="0" collapsed="false">
      <c r="B9" s="1577"/>
      <c r="C9" s="1476" t="s">
        <v>171</v>
      </c>
      <c r="D9" s="1476" t="n">
        <v>999.58</v>
      </c>
      <c r="E9" s="669" t="s">
        <v>112</v>
      </c>
      <c r="F9" s="1578" t="n">
        <v>1050000000</v>
      </c>
      <c r="G9" s="1579" t="n">
        <v>0.1</v>
      </c>
      <c r="H9" s="1579"/>
      <c r="I9" s="1579" t="n">
        <v>0.2</v>
      </c>
      <c r="J9" s="1579"/>
      <c r="K9" s="1579" t="n">
        <v>0.4</v>
      </c>
      <c r="L9" s="1579"/>
      <c r="M9" s="1579" t="n">
        <v>0.25</v>
      </c>
      <c r="N9" s="1579"/>
      <c r="O9" s="1579" t="n">
        <v>0.05</v>
      </c>
      <c r="P9" s="1580" t="n">
        <f aca="false">SUM(G9:O9)</f>
        <v>1</v>
      </c>
      <c r="AA9" s="1576"/>
    </row>
    <row r="10" customFormat="false" ht="16.5" hidden="false" customHeight="false" outlineLevel="0" collapsed="false">
      <c r="B10" s="1577"/>
      <c r="C10" s="1476"/>
      <c r="D10" s="1476" t="n">
        <v>999.58</v>
      </c>
      <c r="E10" s="669" t="s">
        <v>114</v>
      </c>
      <c r="F10" s="1578" t="n">
        <v>550000000</v>
      </c>
      <c r="G10" s="1579" t="n">
        <v>0.55</v>
      </c>
      <c r="H10" s="1579"/>
      <c r="I10" s="1579" t="n">
        <v>0.15</v>
      </c>
      <c r="J10" s="1579"/>
      <c r="K10" s="1579" t="n">
        <v>0.3</v>
      </c>
      <c r="L10" s="1579"/>
      <c r="M10" s="1581"/>
      <c r="N10" s="1579"/>
      <c r="O10" s="1581"/>
      <c r="P10" s="1580" t="n">
        <f aca="false">SUM(G10:O10)</f>
        <v>1</v>
      </c>
      <c r="AA10" s="1576"/>
    </row>
    <row r="11" customFormat="false" ht="16.5" hidden="false" customHeight="false" outlineLevel="0" collapsed="false">
      <c r="B11" s="1577"/>
      <c r="C11" s="1476"/>
      <c r="D11" s="1476" t="n">
        <v>999.58</v>
      </c>
      <c r="E11" s="669" t="s">
        <v>404</v>
      </c>
      <c r="F11" s="1582"/>
      <c r="G11" s="1581"/>
      <c r="H11" s="1581"/>
      <c r="I11" s="1581"/>
      <c r="J11" s="1581"/>
      <c r="K11" s="1581"/>
      <c r="L11" s="1581"/>
      <c r="M11" s="1581"/>
      <c r="N11" s="1581"/>
      <c r="O11" s="1581"/>
      <c r="P11" s="1580" t="n">
        <f aca="false">SUM(G11:O11)</f>
        <v>0</v>
      </c>
      <c r="AA11" s="1576"/>
      <c r="AK11" s="1583" t="n">
        <v>45838</v>
      </c>
    </row>
    <row r="12" customFormat="false" ht="16.5" hidden="false" customHeight="false" outlineLevel="0" collapsed="false">
      <c r="B12" s="1577"/>
      <c r="C12" s="1476"/>
      <c r="D12" s="1476" t="n">
        <v>999.58</v>
      </c>
      <c r="E12" s="669" t="s">
        <v>507</v>
      </c>
      <c r="F12" s="1582"/>
      <c r="G12" s="1581"/>
      <c r="H12" s="1581"/>
      <c r="I12" s="1581"/>
      <c r="J12" s="1581"/>
      <c r="K12" s="1581"/>
      <c r="L12" s="1581"/>
      <c r="M12" s="1581"/>
      <c r="N12" s="1581"/>
      <c r="O12" s="1581"/>
      <c r="P12" s="1580" t="n">
        <f aca="false">SUM(G12:O12)</f>
        <v>0</v>
      </c>
      <c r="AA12" s="1576"/>
    </row>
    <row r="13" customFormat="false" ht="16.5" hidden="false" customHeight="false" outlineLevel="0" collapsed="false">
      <c r="B13" s="1577"/>
      <c r="C13" s="1476"/>
      <c r="D13" s="684" t="n">
        <f aca="false">+D12</f>
        <v>999.58</v>
      </c>
      <c r="E13" s="669" t="s">
        <v>508</v>
      </c>
      <c r="F13" s="1584"/>
      <c r="G13" s="1585"/>
      <c r="H13" s="1585"/>
      <c r="I13" s="1585"/>
      <c r="J13" s="1585"/>
      <c r="K13" s="1585"/>
      <c r="L13" s="1585"/>
      <c r="M13" s="1585"/>
      <c r="N13" s="1579"/>
      <c r="O13" s="1579"/>
      <c r="P13" s="1580" t="n">
        <f aca="false">SUM(G13:O13)</f>
        <v>0</v>
      </c>
      <c r="AA13" s="1576"/>
    </row>
    <row r="14" customFormat="false" ht="16.5" hidden="false" customHeight="false" outlineLevel="0" collapsed="false">
      <c r="B14" s="1577"/>
      <c r="C14" s="1476" t="s">
        <v>172</v>
      </c>
      <c r="D14" s="1476" t="n">
        <v>999.6</v>
      </c>
      <c r="E14" s="669" t="s">
        <v>112</v>
      </c>
      <c r="F14" s="1578" t="n">
        <v>1050000000</v>
      </c>
      <c r="G14" s="1579" t="n">
        <v>0.1</v>
      </c>
      <c r="H14" s="1579"/>
      <c r="I14" s="1579" t="n">
        <v>0.2</v>
      </c>
      <c r="J14" s="1579"/>
      <c r="K14" s="1579" t="n">
        <v>0.4</v>
      </c>
      <c r="L14" s="1579"/>
      <c r="M14" s="1579" t="n">
        <v>0.25</v>
      </c>
      <c r="N14" s="1579"/>
      <c r="O14" s="1579" t="n">
        <v>0.05</v>
      </c>
      <c r="P14" s="1580" t="n">
        <f aca="false">SUM(G14:O14)</f>
        <v>1</v>
      </c>
      <c r="AA14" s="1576"/>
    </row>
    <row r="15" customFormat="false" ht="16.5" hidden="false" customHeight="false" outlineLevel="0" collapsed="false">
      <c r="B15" s="1577"/>
      <c r="C15" s="1476"/>
      <c r="D15" s="1476" t="n">
        <v>999.6</v>
      </c>
      <c r="E15" s="669" t="s">
        <v>114</v>
      </c>
      <c r="F15" s="1578" t="n">
        <v>550000000</v>
      </c>
      <c r="G15" s="1579" t="n">
        <v>0.55</v>
      </c>
      <c r="H15" s="1579"/>
      <c r="I15" s="1579" t="n">
        <v>0.15</v>
      </c>
      <c r="J15" s="1579"/>
      <c r="K15" s="1579" t="n">
        <v>0.3</v>
      </c>
      <c r="L15" s="1579"/>
      <c r="M15" s="1579"/>
      <c r="N15" s="1579"/>
      <c r="O15" s="1579"/>
      <c r="P15" s="1580" t="n">
        <f aca="false">SUM(G15:O15)</f>
        <v>1</v>
      </c>
      <c r="AA15" s="1576"/>
    </row>
    <row r="16" customFormat="false" ht="16.5" hidden="false" customHeight="false" outlineLevel="0" collapsed="false">
      <c r="B16" s="1577"/>
      <c r="C16" s="1476"/>
      <c r="D16" s="1476" t="n">
        <v>999.6</v>
      </c>
      <c r="E16" s="669" t="s">
        <v>404</v>
      </c>
      <c r="F16" s="1586"/>
      <c r="G16" s="1579"/>
      <c r="H16" s="1579"/>
      <c r="I16" s="1579"/>
      <c r="J16" s="1579"/>
      <c r="K16" s="1579"/>
      <c r="L16" s="1579"/>
      <c r="M16" s="1579"/>
      <c r="N16" s="1579"/>
      <c r="O16" s="1579"/>
      <c r="P16" s="1580" t="n">
        <f aca="false">SUM(G16:O16)</f>
        <v>0</v>
      </c>
      <c r="AA16" s="1576"/>
      <c r="AK16" s="1583" t="n">
        <v>45838</v>
      </c>
    </row>
    <row r="17" customFormat="false" ht="16.5" hidden="false" customHeight="false" outlineLevel="0" collapsed="false">
      <c r="B17" s="1577"/>
      <c r="C17" s="1476"/>
      <c r="D17" s="1476" t="n">
        <v>999.6</v>
      </c>
      <c r="E17" s="669" t="s">
        <v>507</v>
      </c>
      <c r="F17" s="1586"/>
      <c r="G17" s="1579"/>
      <c r="H17" s="1579"/>
      <c r="I17" s="1579"/>
      <c r="J17" s="1579"/>
      <c r="K17" s="1579"/>
      <c r="L17" s="1579"/>
      <c r="M17" s="1579"/>
      <c r="N17" s="1579"/>
      <c r="O17" s="1579"/>
      <c r="P17" s="1580" t="n">
        <f aca="false">SUM(G17:O17)</f>
        <v>0</v>
      </c>
      <c r="AA17" s="1576"/>
    </row>
    <row r="18" customFormat="false" ht="16.5" hidden="false" customHeight="false" outlineLevel="0" collapsed="false">
      <c r="B18" s="1577"/>
      <c r="C18" s="1476"/>
      <c r="D18" s="684" t="n">
        <f aca="false">+D17</f>
        <v>999.6</v>
      </c>
      <c r="E18" s="669" t="s">
        <v>508</v>
      </c>
      <c r="F18" s="1584"/>
      <c r="G18" s="1585"/>
      <c r="H18" s="1585"/>
      <c r="I18" s="1585"/>
      <c r="J18" s="1585"/>
      <c r="K18" s="1585"/>
      <c r="L18" s="1585"/>
      <c r="M18" s="1585"/>
      <c r="N18" s="1579"/>
      <c r="O18" s="1579"/>
      <c r="P18" s="1580" t="n">
        <f aca="false">SUM(G18:O18)</f>
        <v>0</v>
      </c>
      <c r="AA18" s="1576"/>
    </row>
    <row r="19" customFormat="false" ht="16.5" hidden="false" customHeight="false" outlineLevel="0" collapsed="false">
      <c r="B19" s="1577"/>
      <c r="C19" s="1476" t="s">
        <v>173</v>
      </c>
      <c r="D19" s="1476" t="n">
        <v>999.6</v>
      </c>
      <c r="E19" s="669" t="s">
        <v>112</v>
      </c>
      <c r="F19" s="1578" t="n">
        <v>1050000000</v>
      </c>
      <c r="G19" s="1579" t="n">
        <v>0.1</v>
      </c>
      <c r="H19" s="1579"/>
      <c r="I19" s="1579" t="n">
        <v>0.2</v>
      </c>
      <c r="J19" s="1579"/>
      <c r="K19" s="1579" t="n">
        <v>0.4</v>
      </c>
      <c r="L19" s="1579"/>
      <c r="M19" s="1579" t="n">
        <v>0.25</v>
      </c>
      <c r="N19" s="1579"/>
      <c r="O19" s="1579" t="n">
        <v>0.05</v>
      </c>
      <c r="P19" s="1580" t="n">
        <f aca="false">SUM(G19:O19)</f>
        <v>1</v>
      </c>
      <c r="AA19" s="1576"/>
    </row>
    <row r="20" customFormat="false" ht="16.5" hidden="false" customHeight="false" outlineLevel="0" collapsed="false">
      <c r="B20" s="1577"/>
      <c r="C20" s="1476"/>
      <c r="D20" s="1476" t="n">
        <v>999.6</v>
      </c>
      <c r="E20" s="669" t="s">
        <v>114</v>
      </c>
      <c r="F20" s="1578" t="n">
        <v>550000000</v>
      </c>
      <c r="G20" s="1579" t="n">
        <v>0.55</v>
      </c>
      <c r="H20" s="1579"/>
      <c r="I20" s="1579" t="n">
        <v>0.15</v>
      </c>
      <c r="J20" s="1579"/>
      <c r="K20" s="1579" t="n">
        <v>0.3</v>
      </c>
      <c r="L20" s="1579"/>
      <c r="M20" s="1579"/>
      <c r="N20" s="1579"/>
      <c r="O20" s="1579"/>
      <c r="P20" s="1580" t="n">
        <f aca="false">SUM(G20:O20)</f>
        <v>1</v>
      </c>
      <c r="AA20" s="1576"/>
    </row>
    <row r="21" customFormat="false" ht="16.5" hidden="false" customHeight="false" outlineLevel="0" collapsed="false">
      <c r="B21" s="1577"/>
      <c r="C21" s="1476"/>
      <c r="D21" s="1476" t="n">
        <v>999.6</v>
      </c>
      <c r="E21" s="669" t="s">
        <v>404</v>
      </c>
      <c r="F21" s="1586"/>
      <c r="G21" s="1579"/>
      <c r="H21" s="1579"/>
      <c r="I21" s="1579"/>
      <c r="J21" s="1579"/>
      <c r="K21" s="1579"/>
      <c r="L21" s="1579"/>
      <c r="M21" s="1579"/>
      <c r="N21" s="1579"/>
      <c r="O21" s="1579"/>
      <c r="P21" s="1580" t="n">
        <f aca="false">SUM(G21:O21)</f>
        <v>0</v>
      </c>
      <c r="AA21" s="1576"/>
      <c r="AK21" s="1583" t="n">
        <v>45838</v>
      </c>
    </row>
    <row r="22" customFormat="false" ht="16.5" hidden="false" customHeight="false" outlineLevel="0" collapsed="false">
      <c r="B22" s="1577"/>
      <c r="C22" s="1476"/>
      <c r="D22" s="1476" t="n">
        <v>999.6</v>
      </c>
      <c r="E22" s="669" t="s">
        <v>507</v>
      </c>
      <c r="F22" s="1586"/>
      <c r="G22" s="1579"/>
      <c r="H22" s="1579"/>
      <c r="I22" s="1579"/>
      <c r="J22" s="1579"/>
      <c r="K22" s="1579"/>
      <c r="L22" s="1579"/>
      <c r="M22" s="1579"/>
      <c r="N22" s="1579"/>
      <c r="O22" s="1579"/>
      <c r="P22" s="1580" t="n">
        <f aca="false">SUM(G22:O22)</f>
        <v>0</v>
      </c>
      <c r="AA22" s="1576"/>
    </row>
    <row r="23" customFormat="false" ht="16.5" hidden="false" customHeight="false" outlineLevel="0" collapsed="false">
      <c r="B23" s="1577"/>
      <c r="C23" s="1476"/>
      <c r="D23" s="684" t="n">
        <f aca="false">+D22</f>
        <v>999.6</v>
      </c>
      <c r="E23" s="669" t="s">
        <v>508</v>
      </c>
      <c r="F23" s="1584"/>
      <c r="G23" s="1585"/>
      <c r="H23" s="1585"/>
      <c r="I23" s="1585"/>
      <c r="J23" s="1585"/>
      <c r="K23" s="1585"/>
      <c r="L23" s="1585"/>
      <c r="M23" s="1585"/>
      <c r="N23" s="1579"/>
      <c r="O23" s="1579"/>
      <c r="P23" s="1580" t="n">
        <f aca="false">SUM(G23:O23)</f>
        <v>0</v>
      </c>
      <c r="AA23" s="1576"/>
    </row>
    <row r="24" customFormat="false" ht="16.5" hidden="false" customHeight="false" outlineLevel="0" collapsed="false">
      <c r="B24" s="1577"/>
      <c r="C24" s="1476" t="s">
        <v>174</v>
      </c>
      <c r="D24" s="1476" t="n">
        <v>999.24</v>
      </c>
      <c r="E24" s="669" t="s">
        <v>112</v>
      </c>
      <c r="F24" s="1578" t="n">
        <v>1050000000</v>
      </c>
      <c r="G24" s="1579" t="n">
        <v>0.1</v>
      </c>
      <c r="H24" s="1579"/>
      <c r="I24" s="1579" t="n">
        <v>0.2</v>
      </c>
      <c r="J24" s="1579"/>
      <c r="K24" s="1579" t="n">
        <v>0.4</v>
      </c>
      <c r="L24" s="1579"/>
      <c r="M24" s="1579" t="n">
        <v>0.25</v>
      </c>
      <c r="N24" s="1579"/>
      <c r="O24" s="1579" t="n">
        <v>0.05</v>
      </c>
      <c r="P24" s="1580" t="n">
        <f aca="false">SUM(G24:O24)</f>
        <v>1</v>
      </c>
      <c r="AA24" s="1576"/>
    </row>
    <row r="25" customFormat="false" ht="16.5" hidden="false" customHeight="false" outlineLevel="0" collapsed="false">
      <c r="B25" s="1577"/>
      <c r="C25" s="1476"/>
      <c r="D25" s="1476" t="n">
        <v>999.24</v>
      </c>
      <c r="E25" s="669" t="s">
        <v>114</v>
      </c>
      <c r="F25" s="1578" t="n">
        <v>550000000</v>
      </c>
      <c r="G25" s="1579" t="n">
        <v>0.55</v>
      </c>
      <c r="H25" s="1579"/>
      <c r="I25" s="1579" t="n">
        <v>0.15</v>
      </c>
      <c r="J25" s="1579"/>
      <c r="K25" s="1579" t="n">
        <v>0.3</v>
      </c>
      <c r="L25" s="1579"/>
      <c r="M25" s="1579"/>
      <c r="N25" s="1579"/>
      <c r="O25" s="1579"/>
      <c r="P25" s="1580" t="n">
        <f aca="false">SUM(G25:O25)</f>
        <v>1</v>
      </c>
      <c r="AA25" s="1576"/>
    </row>
    <row r="26" customFormat="false" ht="16.5" hidden="false" customHeight="false" outlineLevel="0" collapsed="false">
      <c r="B26" s="1577"/>
      <c r="C26" s="1476"/>
      <c r="D26" s="1476" t="n">
        <v>999.24</v>
      </c>
      <c r="E26" s="669" t="s">
        <v>404</v>
      </c>
      <c r="F26" s="1586"/>
      <c r="G26" s="1579"/>
      <c r="H26" s="1579"/>
      <c r="I26" s="1579"/>
      <c r="J26" s="1579"/>
      <c r="K26" s="1579"/>
      <c r="L26" s="1579"/>
      <c r="M26" s="1579"/>
      <c r="N26" s="1579"/>
      <c r="O26" s="1579"/>
      <c r="P26" s="1580" t="n">
        <f aca="false">SUM(G26:O26)</f>
        <v>0</v>
      </c>
      <c r="AA26" s="1576"/>
      <c r="AK26" s="1583" t="n">
        <v>45838</v>
      </c>
    </row>
    <row r="27" customFormat="false" ht="16.5" hidden="false" customHeight="false" outlineLevel="0" collapsed="false">
      <c r="B27" s="1577"/>
      <c r="C27" s="1476"/>
      <c r="D27" s="1476" t="n">
        <v>999.24</v>
      </c>
      <c r="E27" s="669" t="s">
        <v>507</v>
      </c>
      <c r="F27" s="1586"/>
      <c r="G27" s="1579"/>
      <c r="H27" s="1579"/>
      <c r="I27" s="1579"/>
      <c r="J27" s="1579"/>
      <c r="K27" s="1579"/>
      <c r="L27" s="1579"/>
      <c r="M27" s="1579"/>
      <c r="N27" s="1579"/>
      <c r="O27" s="1579"/>
      <c r="P27" s="1580" t="n">
        <f aca="false">SUM(G27:O27)</f>
        <v>0</v>
      </c>
      <c r="AA27" s="1576"/>
    </row>
    <row r="28" customFormat="false" ht="16.5" hidden="false" customHeight="false" outlineLevel="0" collapsed="false">
      <c r="B28" s="1577"/>
      <c r="C28" s="1476"/>
      <c r="D28" s="684" t="n">
        <f aca="false">+D27</f>
        <v>999.24</v>
      </c>
      <c r="E28" s="669" t="s">
        <v>508</v>
      </c>
      <c r="F28" s="1584"/>
      <c r="G28" s="1585"/>
      <c r="H28" s="1585"/>
      <c r="I28" s="1585"/>
      <c r="J28" s="1585"/>
      <c r="K28" s="1585"/>
      <c r="L28" s="1585"/>
      <c r="M28" s="1585"/>
      <c r="N28" s="1579"/>
      <c r="O28" s="1579"/>
      <c r="P28" s="1580" t="n">
        <f aca="false">SUM(G28:O28)</f>
        <v>0</v>
      </c>
      <c r="AA28" s="1576"/>
    </row>
    <row r="29" customFormat="false" ht="16.5" hidden="false" customHeight="false" outlineLevel="0" collapsed="false">
      <c r="B29" s="1577"/>
      <c r="C29" s="1476" t="s">
        <v>175</v>
      </c>
      <c r="D29" s="1476" t="n">
        <v>999.24</v>
      </c>
      <c r="E29" s="669" t="s">
        <v>112</v>
      </c>
      <c r="F29" s="1578" t="n">
        <v>1050000000</v>
      </c>
      <c r="G29" s="1579" t="n">
        <v>0.1</v>
      </c>
      <c r="H29" s="1579"/>
      <c r="I29" s="1579" t="n">
        <v>0.2</v>
      </c>
      <c r="J29" s="1579"/>
      <c r="K29" s="1579" t="n">
        <v>0.4</v>
      </c>
      <c r="L29" s="1579"/>
      <c r="M29" s="1579" t="n">
        <v>0.25</v>
      </c>
      <c r="N29" s="1579"/>
      <c r="O29" s="1579" t="n">
        <v>0.05</v>
      </c>
      <c r="P29" s="1580" t="n">
        <f aca="false">SUM(G29:O29)</f>
        <v>1</v>
      </c>
      <c r="AA29" s="1576"/>
    </row>
    <row r="30" customFormat="false" ht="16.5" hidden="false" customHeight="false" outlineLevel="0" collapsed="false">
      <c r="B30" s="1577"/>
      <c r="C30" s="1476"/>
      <c r="D30" s="1476" t="n">
        <v>999.24</v>
      </c>
      <c r="E30" s="669" t="s">
        <v>114</v>
      </c>
      <c r="F30" s="1578" t="n">
        <v>550000000</v>
      </c>
      <c r="G30" s="1579" t="n">
        <v>0.55</v>
      </c>
      <c r="H30" s="1579"/>
      <c r="I30" s="1579" t="n">
        <v>0.15</v>
      </c>
      <c r="J30" s="1579"/>
      <c r="K30" s="1579" t="n">
        <v>0.3</v>
      </c>
      <c r="L30" s="1579"/>
      <c r="M30" s="1579"/>
      <c r="N30" s="1579"/>
      <c r="O30" s="1579"/>
      <c r="P30" s="1580" t="n">
        <f aca="false">SUM(G30:O30)</f>
        <v>1</v>
      </c>
      <c r="AA30" s="1576"/>
    </row>
    <row r="31" customFormat="false" ht="16.5" hidden="false" customHeight="false" outlineLevel="0" collapsed="false">
      <c r="B31" s="1577"/>
      <c r="C31" s="1476"/>
      <c r="D31" s="1476" t="n">
        <v>999.24</v>
      </c>
      <c r="E31" s="669" t="s">
        <v>404</v>
      </c>
      <c r="F31" s="1586"/>
      <c r="G31" s="1579"/>
      <c r="H31" s="1579"/>
      <c r="I31" s="1579"/>
      <c r="J31" s="1579"/>
      <c r="K31" s="1579"/>
      <c r="L31" s="1579"/>
      <c r="M31" s="1579"/>
      <c r="N31" s="1579"/>
      <c r="O31" s="1579"/>
      <c r="P31" s="1580" t="n">
        <f aca="false">SUM(G31:O31)</f>
        <v>0</v>
      </c>
      <c r="AA31" s="1576"/>
      <c r="AK31" s="1583" t="n">
        <v>45838</v>
      </c>
    </row>
    <row r="32" customFormat="false" ht="16.5" hidden="false" customHeight="false" outlineLevel="0" collapsed="false">
      <c r="B32" s="1577"/>
      <c r="C32" s="1476"/>
      <c r="D32" s="1476" t="n">
        <v>999.24</v>
      </c>
      <c r="E32" s="669" t="s">
        <v>507</v>
      </c>
      <c r="F32" s="1586"/>
      <c r="G32" s="1579"/>
      <c r="H32" s="1579"/>
      <c r="I32" s="1579"/>
      <c r="J32" s="1579"/>
      <c r="K32" s="1579"/>
      <c r="L32" s="1579"/>
      <c r="M32" s="1579"/>
      <c r="N32" s="1579"/>
      <c r="O32" s="1579"/>
      <c r="P32" s="1580" t="n">
        <f aca="false">SUM(G32:O32)</f>
        <v>0</v>
      </c>
      <c r="AA32" s="1576"/>
    </row>
    <row r="33" customFormat="false" ht="16.5" hidden="false" customHeight="false" outlineLevel="0" collapsed="false">
      <c r="B33" s="1577"/>
      <c r="C33" s="1476"/>
      <c r="D33" s="684" t="n">
        <f aca="false">+D32</f>
        <v>999.24</v>
      </c>
      <c r="E33" s="669" t="s">
        <v>508</v>
      </c>
      <c r="F33" s="1584"/>
      <c r="G33" s="1585"/>
      <c r="H33" s="1585"/>
      <c r="I33" s="1585"/>
      <c r="J33" s="1585"/>
      <c r="K33" s="1585"/>
      <c r="L33" s="1585"/>
      <c r="M33" s="1585"/>
      <c r="N33" s="1579"/>
      <c r="O33" s="1579"/>
      <c r="P33" s="1580" t="n">
        <f aca="false">SUM(G33:O33)</f>
        <v>0</v>
      </c>
      <c r="AA33" s="1576"/>
    </row>
    <row r="34" customFormat="false" ht="16.5" hidden="false" customHeight="false" outlineLevel="0" collapsed="false">
      <c r="B34" s="1577"/>
      <c r="C34" s="1587" t="s">
        <v>176</v>
      </c>
      <c r="D34" s="1587" t="n">
        <v>999.44</v>
      </c>
      <c r="E34" s="669" t="s">
        <v>112</v>
      </c>
      <c r="F34" s="1578" t="n">
        <v>1050000000</v>
      </c>
      <c r="G34" s="1579" t="n">
        <v>0.1</v>
      </c>
      <c r="H34" s="1579"/>
      <c r="I34" s="1579" t="n">
        <v>0.2</v>
      </c>
      <c r="J34" s="1579"/>
      <c r="K34" s="1579" t="n">
        <v>0.4</v>
      </c>
      <c r="L34" s="1579"/>
      <c r="M34" s="1579" t="n">
        <v>0.25</v>
      </c>
      <c r="N34" s="1579"/>
      <c r="O34" s="1579" t="n">
        <v>0.05</v>
      </c>
      <c r="P34" s="1580" t="n">
        <f aca="false">SUM(G34:O34)</f>
        <v>1</v>
      </c>
      <c r="AA34" s="1576"/>
    </row>
    <row r="35" customFormat="false" ht="16.5" hidden="false" customHeight="false" outlineLevel="0" collapsed="false">
      <c r="B35" s="1577"/>
      <c r="C35" s="1587"/>
      <c r="D35" s="1476" t="n">
        <v>999.44</v>
      </c>
      <c r="E35" s="669" t="s">
        <v>114</v>
      </c>
      <c r="F35" s="1578" t="n">
        <v>550000000</v>
      </c>
      <c r="G35" s="1579" t="n">
        <v>0.55</v>
      </c>
      <c r="H35" s="1579"/>
      <c r="I35" s="1579" t="n">
        <v>0.15</v>
      </c>
      <c r="J35" s="1579"/>
      <c r="K35" s="1579" t="n">
        <v>0.3</v>
      </c>
      <c r="L35" s="1579"/>
      <c r="M35" s="1579"/>
      <c r="N35" s="1579"/>
      <c r="O35" s="1579"/>
      <c r="P35" s="1580" t="n">
        <f aca="false">SUM(G35:O35)</f>
        <v>1</v>
      </c>
      <c r="AA35" s="1576"/>
    </row>
    <row r="36" customFormat="false" ht="16.5" hidden="false" customHeight="false" outlineLevel="0" collapsed="false">
      <c r="B36" s="1577"/>
      <c r="C36" s="1587"/>
      <c r="D36" s="1476" t="n">
        <v>999.44</v>
      </c>
      <c r="E36" s="669" t="s">
        <v>404</v>
      </c>
      <c r="F36" s="1586"/>
      <c r="G36" s="1579"/>
      <c r="H36" s="1579"/>
      <c r="I36" s="1579"/>
      <c r="J36" s="1579"/>
      <c r="K36" s="1579"/>
      <c r="L36" s="1579"/>
      <c r="M36" s="1579"/>
      <c r="N36" s="1579"/>
      <c r="O36" s="1579"/>
      <c r="P36" s="1580" t="n">
        <f aca="false">SUM(G36:O36)</f>
        <v>0</v>
      </c>
      <c r="AA36" s="1576"/>
      <c r="AK36" s="1583" t="n">
        <v>45838</v>
      </c>
    </row>
    <row r="37" customFormat="false" ht="16.5" hidden="false" customHeight="false" outlineLevel="0" collapsed="false">
      <c r="B37" s="1577"/>
      <c r="C37" s="1587"/>
      <c r="D37" s="1476" t="n">
        <v>999.44</v>
      </c>
      <c r="E37" s="669" t="s">
        <v>507</v>
      </c>
      <c r="F37" s="1586"/>
      <c r="G37" s="1579"/>
      <c r="H37" s="1579"/>
      <c r="I37" s="1579"/>
      <c r="J37" s="1579"/>
      <c r="K37" s="1579"/>
      <c r="L37" s="1579"/>
      <c r="M37" s="1579"/>
      <c r="N37" s="1579"/>
      <c r="O37" s="1579"/>
      <c r="P37" s="1580" t="n">
        <f aca="false">SUM(G37:O37)</f>
        <v>0</v>
      </c>
      <c r="AA37" s="1576"/>
    </row>
    <row r="38" customFormat="false" ht="16.5" hidden="false" customHeight="false" outlineLevel="0" collapsed="false">
      <c r="B38" s="1577"/>
      <c r="C38" s="1587"/>
      <c r="D38" s="684" t="n">
        <f aca="false">+D37</f>
        <v>999.44</v>
      </c>
      <c r="E38" s="669" t="s">
        <v>508</v>
      </c>
      <c r="F38" s="1584"/>
      <c r="G38" s="1585"/>
      <c r="H38" s="1585"/>
      <c r="I38" s="1585"/>
      <c r="J38" s="1585"/>
      <c r="K38" s="1585"/>
      <c r="L38" s="1585"/>
      <c r="M38" s="1585"/>
      <c r="N38" s="1579"/>
      <c r="O38" s="1579"/>
      <c r="P38" s="1580" t="n">
        <f aca="false">SUM(G38:O38)</f>
        <v>0</v>
      </c>
      <c r="AA38" s="1576"/>
    </row>
    <row r="39" customFormat="false" ht="16.5" hidden="false" customHeight="false" outlineLevel="0" collapsed="false">
      <c r="B39" s="1577"/>
      <c r="C39" s="1554" t="s">
        <v>177</v>
      </c>
      <c r="D39" s="1587" t="n">
        <v>999.44</v>
      </c>
      <c r="E39" s="669" t="s">
        <v>112</v>
      </c>
      <c r="F39" s="1578" t="n">
        <v>1050000000</v>
      </c>
      <c r="G39" s="1579" t="n">
        <v>0.1</v>
      </c>
      <c r="H39" s="1579"/>
      <c r="I39" s="1579" t="n">
        <v>0.2</v>
      </c>
      <c r="J39" s="1579"/>
      <c r="K39" s="1579" t="n">
        <v>0.4</v>
      </c>
      <c r="L39" s="1579"/>
      <c r="M39" s="1579" t="n">
        <v>0.25</v>
      </c>
      <c r="N39" s="1579"/>
      <c r="O39" s="1579" t="n">
        <v>0.05</v>
      </c>
      <c r="P39" s="1580" t="n">
        <f aca="false">SUM(G39:O39)</f>
        <v>1</v>
      </c>
      <c r="AA39" s="1576"/>
    </row>
    <row r="40" customFormat="false" ht="16.5" hidden="false" customHeight="false" outlineLevel="0" collapsed="false">
      <c r="B40" s="1577"/>
      <c r="C40" s="1554"/>
      <c r="D40" s="1476" t="n">
        <v>999.44</v>
      </c>
      <c r="E40" s="669" t="s">
        <v>114</v>
      </c>
      <c r="F40" s="1578" t="n">
        <v>550000000</v>
      </c>
      <c r="G40" s="1579" t="n">
        <v>0.55</v>
      </c>
      <c r="H40" s="1579"/>
      <c r="I40" s="1579" t="n">
        <v>0.15</v>
      </c>
      <c r="J40" s="1579"/>
      <c r="K40" s="1579" t="n">
        <v>0.3</v>
      </c>
      <c r="L40" s="1579"/>
      <c r="M40" s="1579"/>
      <c r="N40" s="1579"/>
      <c r="O40" s="1579"/>
      <c r="P40" s="1580" t="n">
        <f aca="false">SUM(G40:O40)</f>
        <v>1</v>
      </c>
      <c r="AA40" s="1576"/>
    </row>
    <row r="41" customFormat="false" ht="16.5" hidden="false" customHeight="false" outlineLevel="0" collapsed="false">
      <c r="B41" s="1577"/>
      <c r="C41" s="1554"/>
      <c r="D41" s="1476" t="n">
        <v>999.44</v>
      </c>
      <c r="E41" s="669" t="s">
        <v>404</v>
      </c>
      <c r="F41" s="1586"/>
      <c r="G41" s="1579"/>
      <c r="H41" s="1579"/>
      <c r="I41" s="1579"/>
      <c r="J41" s="1579"/>
      <c r="K41" s="1579"/>
      <c r="L41" s="1579"/>
      <c r="M41" s="1579"/>
      <c r="N41" s="1579"/>
      <c r="O41" s="1579"/>
      <c r="P41" s="1580" t="n">
        <f aca="false">SUM(G41:O41)</f>
        <v>0</v>
      </c>
      <c r="AA41" s="1576"/>
      <c r="AK41" s="1583" t="n">
        <v>45838</v>
      </c>
    </row>
    <row r="42" customFormat="false" ht="16.5" hidden="false" customHeight="false" outlineLevel="0" collapsed="false">
      <c r="B42" s="1577"/>
      <c r="C42" s="1554"/>
      <c r="D42" s="1476" t="n">
        <v>999.44</v>
      </c>
      <c r="E42" s="669" t="s">
        <v>507</v>
      </c>
      <c r="F42" s="1586"/>
      <c r="G42" s="1579"/>
      <c r="H42" s="1579"/>
      <c r="I42" s="1579"/>
      <c r="J42" s="1579"/>
      <c r="K42" s="1579"/>
      <c r="L42" s="1579"/>
      <c r="M42" s="1579"/>
      <c r="N42" s="1579"/>
      <c r="O42" s="1579"/>
      <c r="P42" s="1580" t="n">
        <f aca="false">SUM(G42:O42)</f>
        <v>0</v>
      </c>
      <c r="AA42" s="1576"/>
    </row>
    <row r="43" customFormat="false" ht="16.5" hidden="false" customHeight="false" outlineLevel="0" collapsed="false">
      <c r="B43" s="1577"/>
      <c r="C43" s="1554"/>
      <c r="D43" s="1588" t="n">
        <f aca="false">+D42</f>
        <v>999.44</v>
      </c>
      <c r="E43" s="803" t="s">
        <v>508</v>
      </c>
      <c r="F43" s="1589"/>
      <c r="G43" s="1590"/>
      <c r="H43" s="1590"/>
      <c r="I43" s="1590"/>
      <c r="J43" s="1590"/>
      <c r="K43" s="1590"/>
      <c r="L43" s="1590"/>
      <c r="M43" s="1590"/>
      <c r="N43" s="1591"/>
      <c r="O43" s="1591"/>
      <c r="P43" s="1592" t="n">
        <f aca="false">SUM(G43:O43)</f>
        <v>0</v>
      </c>
      <c r="AA43" s="1576"/>
    </row>
    <row r="44" customFormat="false" ht="16.5" hidden="false" customHeight="false" outlineLevel="0" collapsed="false">
      <c r="B44" s="1593" t="s">
        <v>1535</v>
      </c>
      <c r="C44" s="1594" t="s">
        <v>178</v>
      </c>
      <c r="D44" s="1594" t="n">
        <v>999.24</v>
      </c>
      <c r="E44" s="798" t="s">
        <v>112</v>
      </c>
      <c r="F44" s="1595" t="n">
        <v>1050000000</v>
      </c>
      <c r="G44" s="1596" t="n">
        <v>0.1</v>
      </c>
      <c r="H44" s="1596"/>
      <c r="I44" s="1596" t="n">
        <v>0.2</v>
      </c>
      <c r="J44" s="1596"/>
      <c r="K44" s="1596" t="n">
        <v>0.4</v>
      </c>
      <c r="L44" s="1596"/>
      <c r="M44" s="1596" t="n">
        <v>0.25</v>
      </c>
      <c r="N44" s="1596"/>
      <c r="O44" s="1596" t="n">
        <v>0.05</v>
      </c>
      <c r="P44" s="1597" t="n">
        <f aca="false">SUM(G44:O44)</f>
        <v>1</v>
      </c>
      <c r="AA44" s="1576"/>
    </row>
    <row r="45" customFormat="false" ht="16.5" hidden="false" customHeight="false" outlineLevel="0" collapsed="false">
      <c r="B45" s="1593"/>
      <c r="C45" s="1594"/>
      <c r="D45" s="1476" t="n">
        <v>999.24</v>
      </c>
      <c r="E45" s="669" t="s">
        <v>114</v>
      </c>
      <c r="F45" s="1578" t="n">
        <v>350000000</v>
      </c>
      <c r="G45" s="1579" t="n">
        <v>0.4</v>
      </c>
      <c r="H45" s="1579"/>
      <c r="I45" s="1579" t="n">
        <v>0.2</v>
      </c>
      <c r="J45" s="1579"/>
      <c r="K45" s="1579" t="n">
        <v>0.3</v>
      </c>
      <c r="L45" s="1579"/>
      <c r="M45" s="1579" t="n">
        <v>0.1</v>
      </c>
      <c r="N45" s="1579"/>
      <c r="O45" s="1579"/>
      <c r="P45" s="1580" t="n">
        <f aca="false">SUM(G45:O45)</f>
        <v>1</v>
      </c>
      <c r="AA45" s="1576"/>
      <c r="AE45" s="1583" t="n">
        <v>45747</v>
      </c>
    </row>
    <row r="46" customFormat="false" ht="16.5" hidden="false" customHeight="false" outlineLevel="0" collapsed="false">
      <c r="B46" s="1593"/>
      <c r="C46" s="1594"/>
      <c r="D46" s="1476" t="n">
        <v>999.24</v>
      </c>
      <c r="E46" s="669" t="s">
        <v>404</v>
      </c>
      <c r="F46" s="1578" t="n">
        <v>300000000</v>
      </c>
      <c r="G46" s="1579" t="n">
        <v>0.4</v>
      </c>
      <c r="H46" s="1579"/>
      <c r="I46" s="1579" t="n">
        <v>0.2</v>
      </c>
      <c r="J46" s="1579"/>
      <c r="K46" s="1579" t="n">
        <v>0.3</v>
      </c>
      <c r="L46" s="1579"/>
      <c r="M46" s="1579" t="n">
        <v>0.1</v>
      </c>
      <c r="N46" s="1579"/>
      <c r="O46" s="1579"/>
      <c r="P46" s="1580" t="n">
        <f aca="false">SUM(G46:O46)</f>
        <v>1</v>
      </c>
      <c r="AA46" s="1576"/>
      <c r="AE46" s="1583" t="n">
        <v>45698</v>
      </c>
    </row>
    <row r="47" customFormat="false" ht="16.5" hidden="false" customHeight="false" outlineLevel="0" collapsed="false">
      <c r="B47" s="1593"/>
      <c r="C47" s="1594"/>
      <c r="D47" s="1476" t="n">
        <v>999.24</v>
      </c>
      <c r="E47" s="669" t="s">
        <v>507</v>
      </c>
      <c r="F47" s="1578" t="n">
        <v>200000000</v>
      </c>
      <c r="G47" s="1579" t="n">
        <v>0.4</v>
      </c>
      <c r="H47" s="1579"/>
      <c r="I47" s="1579" t="n">
        <v>0.2</v>
      </c>
      <c r="J47" s="1579"/>
      <c r="K47" s="1579" t="n">
        <v>0.3</v>
      </c>
      <c r="L47" s="1579"/>
      <c r="M47" s="1579" t="n">
        <v>0.1</v>
      </c>
      <c r="N47" s="1579"/>
      <c r="O47" s="1579"/>
      <c r="P47" s="1580" t="n">
        <f aca="false">SUM(G47:O47)</f>
        <v>1</v>
      </c>
      <c r="AA47" s="1576"/>
    </row>
    <row r="48" customFormat="false" ht="16.5" hidden="false" customHeight="false" outlineLevel="0" collapsed="false">
      <c r="B48" s="1593"/>
      <c r="C48" s="1594"/>
      <c r="D48" s="1598" t="n">
        <f aca="false">+D47</f>
        <v>999.24</v>
      </c>
      <c r="E48" s="1599" t="s">
        <v>508</v>
      </c>
      <c r="F48" s="1600"/>
      <c r="G48" s="1601"/>
      <c r="H48" s="1601"/>
      <c r="I48" s="1601"/>
      <c r="J48" s="1601"/>
      <c r="K48" s="1601"/>
      <c r="L48" s="1601"/>
      <c r="M48" s="1601"/>
      <c r="N48" s="1602"/>
      <c r="O48" s="1602"/>
      <c r="P48" s="1603" t="n">
        <f aca="false">SUM(G48:O48)</f>
        <v>0</v>
      </c>
      <c r="AA48" s="1576"/>
    </row>
    <row r="49" customFormat="false" ht="16.5" hidden="false" customHeight="false" outlineLevel="0" collapsed="false">
      <c r="B49" s="1593"/>
      <c r="C49" s="1587" t="s">
        <v>179</v>
      </c>
      <c r="D49" s="1587" t="n">
        <v>399.04</v>
      </c>
      <c r="E49" s="669" t="s">
        <v>112</v>
      </c>
      <c r="F49" s="1578" t="n">
        <v>1050000000</v>
      </c>
      <c r="G49" s="1579" t="n">
        <v>0.1</v>
      </c>
      <c r="H49" s="1579"/>
      <c r="I49" s="1579" t="n">
        <v>0.2</v>
      </c>
      <c r="J49" s="1579"/>
      <c r="K49" s="1579" t="n">
        <v>0.4</v>
      </c>
      <c r="L49" s="1579"/>
      <c r="M49" s="1579" t="n">
        <v>0.25</v>
      </c>
      <c r="N49" s="1579"/>
      <c r="O49" s="1579" t="n">
        <v>0.05</v>
      </c>
      <c r="P49" s="1580" t="n">
        <f aca="false">SUM(G49:O49)</f>
        <v>1</v>
      </c>
      <c r="AA49" s="1576"/>
    </row>
    <row r="50" customFormat="false" ht="16.5" hidden="false" customHeight="false" outlineLevel="0" collapsed="false">
      <c r="B50" s="1593"/>
      <c r="C50" s="1587"/>
      <c r="D50" s="1476" t="n">
        <v>399.04</v>
      </c>
      <c r="E50" s="669" t="s">
        <v>114</v>
      </c>
      <c r="F50" s="1578" t="n">
        <v>350000000</v>
      </c>
      <c r="G50" s="1579" t="n">
        <v>0.4</v>
      </c>
      <c r="H50" s="1579"/>
      <c r="I50" s="1579" t="n">
        <v>0.2</v>
      </c>
      <c r="J50" s="1579"/>
      <c r="K50" s="1579" t="n">
        <v>0.3</v>
      </c>
      <c r="L50" s="1579"/>
      <c r="M50" s="1579" t="n">
        <v>0.1</v>
      </c>
      <c r="N50" s="1579"/>
      <c r="O50" s="1579"/>
      <c r="P50" s="1580" t="n">
        <f aca="false">SUM(G50:O50)</f>
        <v>1</v>
      </c>
      <c r="AA50" s="1576"/>
    </row>
    <row r="51" customFormat="false" ht="16.5" hidden="false" customHeight="false" outlineLevel="0" collapsed="false">
      <c r="B51" s="1593"/>
      <c r="C51" s="1587"/>
      <c r="D51" s="1476" t="n">
        <v>399.04</v>
      </c>
      <c r="E51" s="669" t="s">
        <v>404</v>
      </c>
      <c r="F51" s="1578" t="n">
        <v>300000000</v>
      </c>
      <c r="G51" s="1579" t="n">
        <v>0.4</v>
      </c>
      <c r="H51" s="1579"/>
      <c r="I51" s="1579" t="n">
        <v>0.2</v>
      </c>
      <c r="J51" s="1579"/>
      <c r="K51" s="1579" t="n">
        <v>0.3</v>
      </c>
      <c r="L51" s="1579"/>
      <c r="M51" s="1579" t="n">
        <v>0.1</v>
      </c>
      <c r="N51" s="1579"/>
      <c r="O51" s="1579"/>
      <c r="P51" s="1580" t="n">
        <f aca="false">SUM(G51:O51)</f>
        <v>1</v>
      </c>
      <c r="AA51" s="1576"/>
    </row>
    <row r="52" customFormat="false" ht="16.5" hidden="false" customHeight="false" outlineLevel="0" collapsed="false">
      <c r="B52" s="1593"/>
      <c r="C52" s="1587"/>
      <c r="D52" s="1476" t="n">
        <v>399.04</v>
      </c>
      <c r="E52" s="669" t="s">
        <v>507</v>
      </c>
      <c r="F52" s="1578" t="n">
        <v>200000000</v>
      </c>
      <c r="G52" s="1579" t="n">
        <v>0.4</v>
      </c>
      <c r="H52" s="1579"/>
      <c r="I52" s="1579" t="n">
        <v>0.2</v>
      </c>
      <c r="J52" s="1579"/>
      <c r="K52" s="1579" t="n">
        <v>0.3</v>
      </c>
      <c r="L52" s="1579"/>
      <c r="M52" s="1579" t="n">
        <v>0.1</v>
      </c>
      <c r="N52" s="1579"/>
      <c r="O52" s="1579"/>
      <c r="P52" s="1580" t="n">
        <f aca="false">SUM(G52:O52)</f>
        <v>1</v>
      </c>
      <c r="AA52" s="1576"/>
    </row>
    <row r="53" customFormat="false" ht="16.5" hidden="false" customHeight="false" outlineLevel="0" collapsed="false">
      <c r="B53" s="1593"/>
      <c r="C53" s="1587"/>
      <c r="D53" s="1598" t="n">
        <f aca="false">+D52</f>
        <v>399.04</v>
      </c>
      <c r="E53" s="1599" t="s">
        <v>508</v>
      </c>
      <c r="F53" s="1600"/>
      <c r="G53" s="1601"/>
      <c r="H53" s="1601"/>
      <c r="I53" s="1601"/>
      <c r="J53" s="1601"/>
      <c r="K53" s="1601"/>
      <c r="L53" s="1601"/>
      <c r="M53" s="1601"/>
      <c r="N53" s="1602"/>
      <c r="O53" s="1602"/>
      <c r="P53" s="1603" t="n">
        <f aca="false">SUM(G53:O53)</f>
        <v>0</v>
      </c>
      <c r="AA53" s="1576"/>
    </row>
    <row r="54" customFormat="false" ht="16.5" hidden="false" customHeight="false" outlineLevel="0" collapsed="false">
      <c r="B54" s="1593"/>
      <c r="C54" s="1587" t="s">
        <v>180</v>
      </c>
      <c r="D54" s="1587" t="n">
        <v>499.96</v>
      </c>
      <c r="E54" s="669" t="s">
        <v>112</v>
      </c>
      <c r="F54" s="1578" t="n">
        <v>1050000000</v>
      </c>
      <c r="G54" s="1579" t="n">
        <v>0.1</v>
      </c>
      <c r="H54" s="1579"/>
      <c r="I54" s="1579" t="n">
        <v>0.2</v>
      </c>
      <c r="J54" s="1579"/>
      <c r="K54" s="1579" t="n">
        <v>0.4</v>
      </c>
      <c r="L54" s="1579"/>
      <c r="M54" s="1579" t="n">
        <v>0.25</v>
      </c>
      <c r="N54" s="1579"/>
      <c r="O54" s="1579" t="n">
        <v>0.05</v>
      </c>
      <c r="P54" s="1580" t="n">
        <f aca="false">SUM(G54:O54)</f>
        <v>1</v>
      </c>
      <c r="AA54" s="1576"/>
    </row>
    <row r="55" customFormat="false" ht="16.5" hidden="false" customHeight="false" outlineLevel="0" collapsed="false">
      <c r="B55" s="1593"/>
      <c r="C55" s="1587"/>
      <c r="D55" s="1476" t="n">
        <v>499.96</v>
      </c>
      <c r="E55" s="669" t="s">
        <v>114</v>
      </c>
      <c r="F55" s="1578" t="n">
        <v>350000000</v>
      </c>
      <c r="G55" s="1579" t="n">
        <v>0.4</v>
      </c>
      <c r="H55" s="1579"/>
      <c r="I55" s="1579" t="n">
        <v>0.2</v>
      </c>
      <c r="J55" s="1579"/>
      <c r="K55" s="1579" t="n">
        <v>0.3</v>
      </c>
      <c r="L55" s="1579"/>
      <c r="M55" s="1579" t="n">
        <v>0.1</v>
      </c>
      <c r="N55" s="1579"/>
      <c r="O55" s="1579"/>
      <c r="P55" s="1580" t="n">
        <f aca="false">SUM(G55:O55)</f>
        <v>1</v>
      </c>
      <c r="AA55" s="1576"/>
    </row>
    <row r="56" customFormat="false" ht="16.5" hidden="false" customHeight="false" outlineLevel="0" collapsed="false">
      <c r="B56" s="1593"/>
      <c r="C56" s="1587"/>
      <c r="D56" s="1476" t="n">
        <v>499.96</v>
      </c>
      <c r="E56" s="669" t="s">
        <v>404</v>
      </c>
      <c r="F56" s="1578" t="n">
        <v>300000000</v>
      </c>
      <c r="G56" s="1579" t="n">
        <v>0.4</v>
      </c>
      <c r="H56" s="1579"/>
      <c r="I56" s="1579" t="n">
        <v>0.2</v>
      </c>
      <c r="J56" s="1579"/>
      <c r="K56" s="1579" t="n">
        <v>0.3</v>
      </c>
      <c r="L56" s="1579"/>
      <c r="M56" s="1579" t="n">
        <v>0.1</v>
      </c>
      <c r="N56" s="1579"/>
      <c r="O56" s="1579"/>
      <c r="P56" s="1580" t="n">
        <f aca="false">SUM(G56:O56)</f>
        <v>1</v>
      </c>
      <c r="AA56" s="1576"/>
    </row>
    <row r="57" customFormat="false" ht="16.5" hidden="false" customHeight="false" outlineLevel="0" collapsed="false">
      <c r="B57" s="1593"/>
      <c r="C57" s="1587"/>
      <c r="D57" s="1476" t="n">
        <v>499.96</v>
      </c>
      <c r="E57" s="669" t="s">
        <v>507</v>
      </c>
      <c r="F57" s="1578" t="n">
        <v>200000000</v>
      </c>
      <c r="G57" s="1579" t="n">
        <v>0.4</v>
      </c>
      <c r="H57" s="1579"/>
      <c r="I57" s="1579" t="n">
        <v>0.2</v>
      </c>
      <c r="J57" s="1579"/>
      <c r="K57" s="1579" t="n">
        <v>0.3</v>
      </c>
      <c r="L57" s="1579"/>
      <c r="M57" s="1579" t="n">
        <v>0.1</v>
      </c>
      <c r="N57" s="1579"/>
      <c r="O57" s="1579"/>
      <c r="P57" s="1580" t="n">
        <f aca="false">SUM(G57:O57)</f>
        <v>1</v>
      </c>
      <c r="AA57" s="1576"/>
    </row>
    <row r="58" customFormat="false" ht="16.5" hidden="false" customHeight="false" outlineLevel="0" collapsed="false">
      <c r="B58" s="1593"/>
      <c r="C58" s="1587"/>
      <c r="D58" s="1598" t="n">
        <f aca="false">+D57</f>
        <v>499.96</v>
      </c>
      <c r="E58" s="1599" t="s">
        <v>508</v>
      </c>
      <c r="F58" s="1600"/>
      <c r="G58" s="1601"/>
      <c r="H58" s="1601"/>
      <c r="I58" s="1601"/>
      <c r="J58" s="1601"/>
      <c r="K58" s="1601"/>
      <c r="L58" s="1601"/>
      <c r="M58" s="1601"/>
      <c r="N58" s="1602"/>
      <c r="O58" s="1602"/>
      <c r="P58" s="1603" t="n">
        <f aca="false">SUM(G58:O58)</f>
        <v>0</v>
      </c>
      <c r="AA58" s="1576"/>
    </row>
    <row r="59" customFormat="false" ht="16.5" hidden="false" customHeight="false" outlineLevel="0" collapsed="false">
      <c r="B59" s="1593"/>
      <c r="C59" s="1587" t="s">
        <v>181</v>
      </c>
      <c r="D59" s="1587" t="n">
        <v>499.96</v>
      </c>
      <c r="E59" s="669" t="s">
        <v>112</v>
      </c>
      <c r="F59" s="1578" t="n">
        <v>1050000000</v>
      </c>
      <c r="G59" s="1579" t="n">
        <v>0.1</v>
      </c>
      <c r="H59" s="1579"/>
      <c r="I59" s="1579" t="n">
        <v>0.2</v>
      </c>
      <c r="J59" s="1579"/>
      <c r="K59" s="1579" t="n">
        <v>0.4</v>
      </c>
      <c r="L59" s="1579"/>
      <c r="M59" s="1579" t="n">
        <v>0.25</v>
      </c>
      <c r="N59" s="1579"/>
      <c r="O59" s="1579" t="n">
        <v>0.05</v>
      </c>
      <c r="P59" s="1580" t="n">
        <f aca="false">SUM(G59:O59)</f>
        <v>1</v>
      </c>
      <c r="AA59" s="1576"/>
    </row>
    <row r="60" customFormat="false" ht="16.5" hidden="false" customHeight="false" outlineLevel="0" collapsed="false">
      <c r="B60" s="1593"/>
      <c r="C60" s="1587"/>
      <c r="D60" s="1476" t="n">
        <v>499.96</v>
      </c>
      <c r="E60" s="669" t="s">
        <v>114</v>
      </c>
      <c r="F60" s="1578" t="n">
        <v>350000000</v>
      </c>
      <c r="G60" s="1579" t="n">
        <v>0.4</v>
      </c>
      <c r="H60" s="1579"/>
      <c r="I60" s="1579" t="n">
        <v>0.2</v>
      </c>
      <c r="J60" s="1579"/>
      <c r="K60" s="1579" t="n">
        <v>0.3</v>
      </c>
      <c r="L60" s="1579"/>
      <c r="M60" s="1579" t="n">
        <v>0.1</v>
      </c>
      <c r="N60" s="1579"/>
      <c r="O60" s="1579"/>
      <c r="P60" s="1580" t="n">
        <f aca="false">SUM(G60:O60)</f>
        <v>1</v>
      </c>
      <c r="AA60" s="1576"/>
    </row>
    <row r="61" customFormat="false" ht="16.5" hidden="false" customHeight="false" outlineLevel="0" collapsed="false">
      <c r="B61" s="1593"/>
      <c r="C61" s="1587"/>
      <c r="D61" s="1476" t="n">
        <v>499.96</v>
      </c>
      <c r="E61" s="669" t="s">
        <v>404</v>
      </c>
      <c r="F61" s="1578" t="n">
        <v>300000000</v>
      </c>
      <c r="G61" s="1579" t="n">
        <v>0.4</v>
      </c>
      <c r="H61" s="1579"/>
      <c r="I61" s="1579" t="n">
        <v>0.2</v>
      </c>
      <c r="J61" s="1579"/>
      <c r="K61" s="1579" t="n">
        <v>0.3</v>
      </c>
      <c r="L61" s="1579"/>
      <c r="M61" s="1579" t="n">
        <v>0.1</v>
      </c>
      <c r="N61" s="1579"/>
      <c r="O61" s="1579"/>
      <c r="P61" s="1580" t="n">
        <f aca="false">SUM(G61:O61)</f>
        <v>1</v>
      </c>
      <c r="AA61" s="1576"/>
    </row>
    <row r="62" customFormat="false" ht="16.5" hidden="false" customHeight="false" outlineLevel="0" collapsed="false">
      <c r="B62" s="1593"/>
      <c r="C62" s="1587"/>
      <c r="D62" s="1476" t="n">
        <v>499.96</v>
      </c>
      <c r="E62" s="669" t="s">
        <v>507</v>
      </c>
      <c r="F62" s="1578" t="n">
        <v>200000000</v>
      </c>
      <c r="G62" s="1579" t="n">
        <v>0.4</v>
      </c>
      <c r="H62" s="1579"/>
      <c r="I62" s="1579" t="n">
        <v>0.2</v>
      </c>
      <c r="J62" s="1579"/>
      <c r="K62" s="1579" t="n">
        <v>0.3</v>
      </c>
      <c r="L62" s="1579"/>
      <c r="M62" s="1579" t="n">
        <v>0.1</v>
      </c>
      <c r="N62" s="1579"/>
      <c r="O62" s="1579"/>
      <c r="P62" s="1580" t="n">
        <f aca="false">SUM(G62:O62)</f>
        <v>1</v>
      </c>
      <c r="AA62" s="1576"/>
    </row>
    <row r="63" customFormat="false" ht="16.5" hidden="false" customHeight="false" outlineLevel="0" collapsed="false">
      <c r="B63" s="1593"/>
      <c r="C63" s="1587"/>
      <c r="D63" s="1598" t="n">
        <f aca="false">+D62</f>
        <v>499.96</v>
      </c>
      <c r="E63" s="1599" t="s">
        <v>508</v>
      </c>
      <c r="F63" s="1600"/>
      <c r="G63" s="1601"/>
      <c r="H63" s="1601"/>
      <c r="I63" s="1601"/>
      <c r="J63" s="1601"/>
      <c r="K63" s="1601"/>
      <c r="L63" s="1601"/>
      <c r="M63" s="1601"/>
      <c r="N63" s="1602"/>
      <c r="O63" s="1602"/>
      <c r="P63" s="1603" t="n">
        <f aca="false">SUM(G63:O63)</f>
        <v>0</v>
      </c>
      <c r="AA63" s="1576"/>
    </row>
    <row r="64" customFormat="false" ht="16.5" hidden="false" customHeight="false" outlineLevel="0" collapsed="false">
      <c r="B64" s="1593"/>
      <c r="C64" s="1587" t="s">
        <v>182</v>
      </c>
      <c r="D64" s="1587" t="n">
        <v>149.64</v>
      </c>
      <c r="E64" s="669" t="s">
        <v>112</v>
      </c>
      <c r="F64" s="1578" t="n">
        <v>1050000000</v>
      </c>
      <c r="G64" s="1579" t="n">
        <v>0.1</v>
      </c>
      <c r="H64" s="1579"/>
      <c r="I64" s="1579" t="n">
        <v>0.2</v>
      </c>
      <c r="J64" s="1579"/>
      <c r="K64" s="1579" t="n">
        <v>0.4</v>
      </c>
      <c r="L64" s="1579"/>
      <c r="M64" s="1579" t="n">
        <v>0.25</v>
      </c>
      <c r="N64" s="1579"/>
      <c r="O64" s="1579" t="n">
        <v>0.05</v>
      </c>
      <c r="P64" s="1580" t="n">
        <f aca="false">SUM(G64:O64)</f>
        <v>1</v>
      </c>
      <c r="AA64" s="1576"/>
    </row>
    <row r="65" customFormat="false" ht="16.5" hidden="false" customHeight="false" outlineLevel="0" collapsed="false">
      <c r="B65" s="1593"/>
      <c r="C65" s="1587"/>
      <c r="D65" s="1476" t="n">
        <v>149.64</v>
      </c>
      <c r="E65" s="669" t="s">
        <v>114</v>
      </c>
      <c r="F65" s="1578" t="n">
        <v>350000000</v>
      </c>
      <c r="G65" s="1579" t="n">
        <v>0.4</v>
      </c>
      <c r="H65" s="1579"/>
      <c r="I65" s="1579" t="n">
        <v>0.2</v>
      </c>
      <c r="J65" s="1579"/>
      <c r="K65" s="1579" t="n">
        <v>0.3</v>
      </c>
      <c r="L65" s="1579"/>
      <c r="M65" s="1579" t="n">
        <v>0.1</v>
      </c>
      <c r="N65" s="1579"/>
      <c r="O65" s="1579"/>
      <c r="P65" s="1580" t="n">
        <f aca="false">SUM(G65:O65)</f>
        <v>1</v>
      </c>
      <c r="AA65" s="1576"/>
    </row>
    <row r="66" customFormat="false" ht="16.5" hidden="false" customHeight="false" outlineLevel="0" collapsed="false">
      <c r="B66" s="1593"/>
      <c r="C66" s="1587"/>
      <c r="D66" s="1476" t="n">
        <v>149.64</v>
      </c>
      <c r="E66" s="669" t="s">
        <v>404</v>
      </c>
      <c r="F66" s="1578" t="n">
        <v>300000000</v>
      </c>
      <c r="G66" s="1579" t="n">
        <v>0.4</v>
      </c>
      <c r="H66" s="1579"/>
      <c r="I66" s="1579" t="n">
        <v>0.2</v>
      </c>
      <c r="J66" s="1579"/>
      <c r="K66" s="1579" t="n">
        <v>0.3</v>
      </c>
      <c r="L66" s="1579"/>
      <c r="M66" s="1579" t="n">
        <v>0.1</v>
      </c>
      <c r="N66" s="1579"/>
      <c r="O66" s="1579"/>
      <c r="P66" s="1580" t="n">
        <f aca="false">SUM(G66:O66)</f>
        <v>1</v>
      </c>
      <c r="AA66" s="1576"/>
    </row>
    <row r="67" customFormat="false" ht="16.5" hidden="false" customHeight="false" outlineLevel="0" collapsed="false">
      <c r="B67" s="1593"/>
      <c r="C67" s="1587"/>
      <c r="D67" s="1476" t="n">
        <v>149.64</v>
      </c>
      <c r="E67" s="669" t="s">
        <v>507</v>
      </c>
      <c r="F67" s="1578" t="n">
        <v>200000000</v>
      </c>
      <c r="G67" s="1579" t="n">
        <v>0.4</v>
      </c>
      <c r="H67" s="1579"/>
      <c r="I67" s="1579" t="n">
        <v>0.2</v>
      </c>
      <c r="J67" s="1579"/>
      <c r="K67" s="1579" t="n">
        <v>0.3</v>
      </c>
      <c r="L67" s="1579"/>
      <c r="M67" s="1579" t="n">
        <v>0.1</v>
      </c>
      <c r="N67" s="1579"/>
      <c r="O67" s="1579"/>
      <c r="P67" s="1580" t="n">
        <f aca="false">SUM(G67:O67)</f>
        <v>1</v>
      </c>
      <c r="AA67" s="1576"/>
    </row>
    <row r="68" customFormat="false" ht="16.5" hidden="false" customHeight="false" outlineLevel="0" collapsed="false">
      <c r="B68" s="1593"/>
      <c r="C68" s="1587"/>
      <c r="D68" s="1598" t="n">
        <f aca="false">+D67</f>
        <v>149.64</v>
      </c>
      <c r="E68" s="1599" t="s">
        <v>508</v>
      </c>
      <c r="F68" s="1600"/>
      <c r="G68" s="1601"/>
      <c r="H68" s="1601"/>
      <c r="I68" s="1601"/>
      <c r="J68" s="1601"/>
      <c r="K68" s="1601"/>
      <c r="L68" s="1601"/>
      <c r="M68" s="1601"/>
      <c r="N68" s="1602"/>
      <c r="O68" s="1602"/>
      <c r="P68" s="1603" t="n">
        <f aca="false">SUM(G68:O68)</f>
        <v>0</v>
      </c>
      <c r="AA68" s="1576"/>
    </row>
    <row r="69" customFormat="false" ht="16.5" hidden="false" customHeight="false" outlineLevel="0" collapsed="false">
      <c r="B69" s="1593"/>
      <c r="C69" s="1554" t="s">
        <v>183</v>
      </c>
      <c r="D69" s="1587" t="n">
        <v>299.28</v>
      </c>
      <c r="E69" s="669" t="s">
        <v>112</v>
      </c>
      <c r="F69" s="1578" t="n">
        <v>1050000000</v>
      </c>
      <c r="G69" s="1579" t="n">
        <v>0.1</v>
      </c>
      <c r="H69" s="1579"/>
      <c r="I69" s="1579" t="n">
        <v>0.2</v>
      </c>
      <c r="J69" s="1579"/>
      <c r="K69" s="1579" t="n">
        <v>0.4</v>
      </c>
      <c r="L69" s="1579"/>
      <c r="M69" s="1579" t="n">
        <v>0.25</v>
      </c>
      <c r="N69" s="1579"/>
      <c r="O69" s="1579" t="n">
        <v>0.05</v>
      </c>
      <c r="P69" s="1580" t="n">
        <f aca="false">SUM(G69:O69)</f>
        <v>1</v>
      </c>
      <c r="AA69" s="1576"/>
    </row>
    <row r="70" customFormat="false" ht="16.5" hidden="false" customHeight="false" outlineLevel="0" collapsed="false">
      <c r="B70" s="1593"/>
      <c r="C70" s="1554"/>
      <c r="D70" s="1476" t="n">
        <v>299.28</v>
      </c>
      <c r="E70" s="669" t="s">
        <v>114</v>
      </c>
      <c r="F70" s="1578" t="n">
        <v>350000000</v>
      </c>
      <c r="G70" s="1579" t="n">
        <v>0.4</v>
      </c>
      <c r="H70" s="1579"/>
      <c r="I70" s="1579" t="n">
        <v>0.2</v>
      </c>
      <c r="J70" s="1579"/>
      <c r="K70" s="1579" t="n">
        <v>0.3</v>
      </c>
      <c r="L70" s="1579"/>
      <c r="M70" s="1579" t="n">
        <v>0.1</v>
      </c>
      <c r="N70" s="1579"/>
      <c r="O70" s="1579"/>
      <c r="P70" s="1580" t="n">
        <f aca="false">SUM(G70:O70)</f>
        <v>1</v>
      </c>
      <c r="AA70" s="1576"/>
    </row>
    <row r="71" customFormat="false" ht="16.5" hidden="false" customHeight="false" outlineLevel="0" collapsed="false">
      <c r="B71" s="1593"/>
      <c r="C71" s="1554"/>
      <c r="D71" s="1476" t="n">
        <v>299.28</v>
      </c>
      <c r="E71" s="669" t="s">
        <v>404</v>
      </c>
      <c r="F71" s="1578" t="n">
        <v>300000000</v>
      </c>
      <c r="G71" s="1579" t="n">
        <v>0.4</v>
      </c>
      <c r="H71" s="1579"/>
      <c r="I71" s="1579" t="n">
        <v>0.2</v>
      </c>
      <c r="J71" s="1579"/>
      <c r="K71" s="1579" t="n">
        <v>0.3</v>
      </c>
      <c r="L71" s="1579"/>
      <c r="M71" s="1579" t="n">
        <v>0.1</v>
      </c>
      <c r="N71" s="1579"/>
      <c r="O71" s="1579"/>
      <c r="P71" s="1580" t="n">
        <f aca="false">SUM(G71:O71)</f>
        <v>1</v>
      </c>
      <c r="AA71" s="1576"/>
    </row>
    <row r="72" customFormat="false" ht="16.5" hidden="false" customHeight="false" outlineLevel="0" collapsed="false">
      <c r="B72" s="1593"/>
      <c r="C72" s="1554"/>
      <c r="D72" s="1472" t="n">
        <v>299.28</v>
      </c>
      <c r="E72" s="1599" t="s">
        <v>507</v>
      </c>
      <c r="F72" s="1604" t="n">
        <v>200000000</v>
      </c>
      <c r="G72" s="1602" t="n">
        <v>0.4</v>
      </c>
      <c r="H72" s="1602"/>
      <c r="I72" s="1602" t="n">
        <v>0.2</v>
      </c>
      <c r="J72" s="1602"/>
      <c r="K72" s="1602" t="n">
        <v>0.3</v>
      </c>
      <c r="L72" s="1602"/>
      <c r="M72" s="1602" t="n">
        <v>0.1</v>
      </c>
      <c r="N72" s="1602"/>
      <c r="O72" s="1602"/>
      <c r="P72" s="1603" t="n">
        <f aca="false">SUM(G72:O72)</f>
        <v>1</v>
      </c>
      <c r="AA72" s="1576"/>
    </row>
    <row r="73" customFormat="false" ht="16.5" hidden="false" customHeight="false" outlineLevel="0" collapsed="false">
      <c r="B73" s="1593"/>
      <c r="C73" s="1554"/>
      <c r="D73" s="1588" t="n">
        <f aca="false">+D72</f>
        <v>299.28</v>
      </c>
      <c r="E73" s="803" t="s">
        <v>508</v>
      </c>
      <c r="F73" s="1589"/>
      <c r="G73" s="1590"/>
      <c r="H73" s="1590"/>
      <c r="I73" s="1590"/>
      <c r="J73" s="1590"/>
      <c r="K73" s="1590"/>
      <c r="L73" s="1590"/>
      <c r="M73" s="1590"/>
      <c r="N73" s="1591"/>
      <c r="O73" s="1591"/>
      <c r="P73" s="1592" t="n">
        <f aca="false">SUM(G73:O73)</f>
        <v>0</v>
      </c>
      <c r="AA73" s="1576"/>
    </row>
    <row r="74" customFormat="false" ht="16.5" hidden="false" customHeight="false" outlineLevel="0" collapsed="false">
      <c r="B74" s="1593"/>
      <c r="C74" s="1605" t="str">
        <f aca="false">+'Solar M&amp;A'!B17</f>
        <v>Galsan (SPA)</v>
      </c>
      <c r="D74" s="1606" t="n">
        <f aca="false">+'Solar M&amp;A'!M17</f>
        <v>993.6</v>
      </c>
      <c r="E74" s="1607" t="s">
        <v>112</v>
      </c>
      <c r="F74" s="1608" t="n">
        <v>1050000000</v>
      </c>
      <c r="G74" s="1609" t="n">
        <v>0.1</v>
      </c>
      <c r="H74" s="1609"/>
      <c r="I74" s="1609" t="n">
        <v>0.2</v>
      </c>
      <c r="J74" s="1609"/>
      <c r="K74" s="1609" t="n">
        <v>0.4</v>
      </c>
      <c r="L74" s="1609"/>
      <c r="M74" s="1609" t="n">
        <v>0.25</v>
      </c>
      <c r="N74" s="1609"/>
      <c r="O74" s="1609" t="n">
        <v>0.05</v>
      </c>
      <c r="P74" s="1610" t="n">
        <f aca="false">SUM(G74:O74)</f>
        <v>1</v>
      </c>
      <c r="AA74" s="1576"/>
    </row>
    <row r="75" customFormat="false" ht="16.5" hidden="false" customHeight="false" outlineLevel="0" collapsed="false">
      <c r="B75" s="1593"/>
      <c r="C75" s="1605"/>
      <c r="D75" s="684" t="n">
        <f aca="false">+D74</f>
        <v>993.6</v>
      </c>
      <c r="E75" s="669" t="s">
        <v>114</v>
      </c>
      <c r="F75" s="1578" t="n">
        <v>150000000</v>
      </c>
      <c r="G75" s="1579" t="n">
        <v>0.8</v>
      </c>
      <c r="H75" s="1579"/>
      <c r="I75" s="1579"/>
      <c r="J75" s="1579"/>
      <c r="K75" s="1579"/>
      <c r="L75" s="1579"/>
      <c r="M75" s="1579" t="n">
        <v>0.2</v>
      </c>
      <c r="N75" s="1579"/>
      <c r="O75" s="1579"/>
      <c r="P75" s="1580" t="n">
        <f aca="false">SUM(G75:O75)</f>
        <v>1</v>
      </c>
      <c r="AA75" s="1576"/>
    </row>
    <row r="76" customFormat="false" ht="16.5" hidden="false" customHeight="false" outlineLevel="0" collapsed="false">
      <c r="B76" s="1593"/>
      <c r="C76" s="1605"/>
      <c r="D76" s="684" t="n">
        <f aca="false">+D75</f>
        <v>993.6</v>
      </c>
      <c r="E76" s="669" t="s">
        <v>404</v>
      </c>
      <c r="F76" s="1578" t="n">
        <v>300000000</v>
      </c>
      <c r="G76" s="1579" t="n">
        <v>0.8</v>
      </c>
      <c r="H76" s="1579"/>
      <c r="I76" s="1579"/>
      <c r="J76" s="1579"/>
      <c r="K76" s="1579"/>
      <c r="L76" s="1579"/>
      <c r="M76" s="1579" t="n">
        <v>0.2</v>
      </c>
      <c r="N76" s="1579"/>
      <c r="O76" s="1579"/>
      <c r="P76" s="1580" t="n">
        <f aca="false">SUM(G76:O76)</f>
        <v>1</v>
      </c>
      <c r="AA76" s="1576"/>
    </row>
    <row r="77" customFormat="false" ht="16.5" hidden="false" customHeight="false" outlineLevel="0" collapsed="false">
      <c r="B77" s="1593"/>
      <c r="C77" s="1605"/>
      <c r="D77" s="684" t="n">
        <f aca="false">+D76</f>
        <v>993.6</v>
      </c>
      <c r="E77" s="669" t="s">
        <v>507</v>
      </c>
      <c r="F77" s="1578" t="n">
        <v>200000000</v>
      </c>
      <c r="G77" s="1579" t="n">
        <v>0.8</v>
      </c>
      <c r="H77" s="1579"/>
      <c r="I77" s="1579"/>
      <c r="J77" s="1579"/>
      <c r="K77" s="1579"/>
      <c r="L77" s="1579"/>
      <c r="M77" s="1579" t="n">
        <v>0.2</v>
      </c>
      <c r="N77" s="1579"/>
      <c r="O77" s="1579"/>
      <c r="P77" s="1580" t="n">
        <f aca="false">SUM(G77:O77)</f>
        <v>1</v>
      </c>
      <c r="AA77" s="1576"/>
    </row>
    <row r="78" customFormat="false" ht="16.5" hidden="false" customHeight="false" outlineLevel="0" collapsed="false">
      <c r="B78" s="1593"/>
      <c r="C78" s="1605"/>
      <c r="D78" s="684" t="n">
        <f aca="false">+D77</f>
        <v>993.6</v>
      </c>
      <c r="E78" s="669" t="s">
        <v>508</v>
      </c>
      <c r="F78" s="1584"/>
      <c r="G78" s="1585"/>
      <c r="H78" s="1585"/>
      <c r="I78" s="1585"/>
      <c r="J78" s="1585"/>
      <c r="K78" s="1585"/>
      <c r="L78" s="1585"/>
      <c r="M78" s="1585"/>
      <c r="N78" s="1579"/>
      <c r="O78" s="1579"/>
      <c r="P78" s="1580" t="n">
        <f aca="false">SUM(G78:O78)</f>
        <v>0</v>
      </c>
      <c r="AA78" s="1576"/>
    </row>
    <row r="79" customFormat="false" ht="16.5" hidden="false" customHeight="false" outlineLevel="0" collapsed="false">
      <c r="B79" s="1593"/>
      <c r="C79" s="1587" t="str">
        <f aca="false">+'Solar M&amp;A'!B18</f>
        <v>Mineuri (SPA)</v>
      </c>
      <c r="D79" s="1611" t="n">
        <f aca="false">+'Solar M&amp;A'!M18</f>
        <v>993.6</v>
      </c>
      <c r="E79" s="669" t="s">
        <v>112</v>
      </c>
      <c r="F79" s="1578" t="n">
        <v>1050000000</v>
      </c>
      <c r="G79" s="1579" t="n">
        <v>0.1</v>
      </c>
      <c r="H79" s="1579"/>
      <c r="I79" s="1579" t="n">
        <v>0.2</v>
      </c>
      <c r="J79" s="1579"/>
      <c r="K79" s="1579" t="n">
        <v>0.4</v>
      </c>
      <c r="L79" s="1579"/>
      <c r="M79" s="1579" t="n">
        <v>0.25</v>
      </c>
      <c r="N79" s="1579"/>
      <c r="O79" s="1579" t="n">
        <v>0.05</v>
      </c>
      <c r="P79" s="1580" t="n">
        <f aca="false">SUM(G79:O79)</f>
        <v>1</v>
      </c>
      <c r="AA79" s="1576"/>
    </row>
    <row r="80" customFormat="false" ht="16.5" hidden="false" customHeight="false" outlineLevel="0" collapsed="false">
      <c r="B80" s="1593"/>
      <c r="C80" s="1587"/>
      <c r="D80" s="684" t="n">
        <f aca="false">+D79</f>
        <v>993.6</v>
      </c>
      <c r="E80" s="669" t="s">
        <v>114</v>
      </c>
      <c r="F80" s="1578" t="n">
        <v>150000000</v>
      </c>
      <c r="G80" s="1579" t="n">
        <v>0.8</v>
      </c>
      <c r="H80" s="1579"/>
      <c r="I80" s="1579"/>
      <c r="J80" s="1579"/>
      <c r="K80" s="1579"/>
      <c r="L80" s="1579"/>
      <c r="M80" s="1579" t="n">
        <v>0.2</v>
      </c>
      <c r="N80" s="1579"/>
      <c r="O80" s="1579"/>
      <c r="P80" s="1580" t="n">
        <f aca="false">SUM(G80:O80)</f>
        <v>1</v>
      </c>
      <c r="AA80" s="1576"/>
    </row>
    <row r="81" customFormat="false" ht="16.5" hidden="false" customHeight="false" outlineLevel="0" collapsed="false">
      <c r="B81" s="1593"/>
      <c r="C81" s="1587"/>
      <c r="D81" s="684" t="n">
        <f aca="false">+D80</f>
        <v>993.6</v>
      </c>
      <c r="E81" s="669" t="s">
        <v>404</v>
      </c>
      <c r="F81" s="1578" t="n">
        <v>300000000</v>
      </c>
      <c r="G81" s="1579" t="n">
        <v>0.8</v>
      </c>
      <c r="H81" s="1579"/>
      <c r="I81" s="1579"/>
      <c r="J81" s="1579"/>
      <c r="K81" s="1579"/>
      <c r="L81" s="1579"/>
      <c r="M81" s="1579" t="n">
        <v>0.2</v>
      </c>
      <c r="N81" s="1579"/>
      <c r="O81" s="1579"/>
      <c r="P81" s="1580" t="n">
        <f aca="false">SUM(G81:O81)</f>
        <v>1</v>
      </c>
      <c r="AA81" s="1576"/>
    </row>
    <row r="82" customFormat="false" ht="16.5" hidden="false" customHeight="false" outlineLevel="0" collapsed="false">
      <c r="B82" s="1593"/>
      <c r="C82" s="1587"/>
      <c r="D82" s="684" t="n">
        <f aca="false">+D81</f>
        <v>993.6</v>
      </c>
      <c r="E82" s="669" t="s">
        <v>507</v>
      </c>
      <c r="F82" s="1578" t="n">
        <v>200000000</v>
      </c>
      <c r="G82" s="1579" t="n">
        <v>0.8</v>
      </c>
      <c r="H82" s="1579"/>
      <c r="I82" s="1579"/>
      <c r="J82" s="1579"/>
      <c r="K82" s="1579"/>
      <c r="L82" s="1579"/>
      <c r="M82" s="1579" t="n">
        <v>0.2</v>
      </c>
      <c r="N82" s="1579"/>
      <c r="O82" s="1579"/>
      <c r="P82" s="1580" t="n">
        <f aca="false">SUM(G82:O82)</f>
        <v>1</v>
      </c>
      <c r="AA82" s="1576"/>
    </row>
    <row r="83" customFormat="false" ht="16.5" hidden="false" customHeight="false" outlineLevel="0" collapsed="false">
      <c r="B83" s="1593"/>
      <c r="C83" s="1587"/>
      <c r="D83" s="684" t="n">
        <f aca="false">+D82</f>
        <v>993.6</v>
      </c>
      <c r="E83" s="669" t="s">
        <v>508</v>
      </c>
      <c r="F83" s="1584"/>
      <c r="G83" s="1585"/>
      <c r="H83" s="1585"/>
      <c r="I83" s="1585"/>
      <c r="J83" s="1585"/>
      <c r="K83" s="1585"/>
      <c r="L83" s="1585"/>
      <c r="M83" s="1585"/>
      <c r="N83" s="1579"/>
      <c r="O83" s="1579"/>
      <c r="P83" s="1580" t="n">
        <f aca="false">SUM(G83:O83)</f>
        <v>0</v>
      </c>
      <c r="AA83" s="1576"/>
    </row>
    <row r="84" customFormat="false" ht="16.5" hidden="false" customHeight="false" outlineLevel="0" collapsed="false">
      <c r="B84" s="1593"/>
      <c r="C84" s="1587" t="str">
        <f aca="false">+'Solar M&amp;A'!B19</f>
        <v>Saegol (SPA)</v>
      </c>
      <c r="D84" s="1611" t="n">
        <f aca="false">+'Solar M&amp;A'!M19</f>
        <v>993.6</v>
      </c>
      <c r="E84" s="669" t="s">
        <v>112</v>
      </c>
      <c r="F84" s="1578" t="n">
        <v>1050000000</v>
      </c>
      <c r="G84" s="1579" t="n">
        <v>0.1</v>
      </c>
      <c r="H84" s="1579"/>
      <c r="I84" s="1579" t="n">
        <v>0.2</v>
      </c>
      <c r="J84" s="1579"/>
      <c r="K84" s="1579" t="n">
        <v>0.4</v>
      </c>
      <c r="L84" s="1579"/>
      <c r="M84" s="1579" t="n">
        <v>0.25</v>
      </c>
      <c r="N84" s="1579"/>
      <c r="O84" s="1579" t="n">
        <v>0.05</v>
      </c>
      <c r="P84" s="1580" t="n">
        <f aca="false">SUM(G84:O84)</f>
        <v>1</v>
      </c>
      <c r="AA84" s="1576"/>
    </row>
    <row r="85" customFormat="false" ht="16.5" hidden="false" customHeight="false" outlineLevel="0" collapsed="false">
      <c r="B85" s="1593"/>
      <c r="C85" s="1587"/>
      <c r="D85" s="684" t="n">
        <f aca="false">+D84</f>
        <v>993.6</v>
      </c>
      <c r="E85" s="669" t="s">
        <v>114</v>
      </c>
      <c r="F85" s="1578" t="n">
        <v>150000000</v>
      </c>
      <c r="G85" s="1579" t="n">
        <v>0.8</v>
      </c>
      <c r="H85" s="1579"/>
      <c r="I85" s="1579"/>
      <c r="J85" s="1579"/>
      <c r="K85" s="1579"/>
      <c r="L85" s="1579"/>
      <c r="M85" s="1579" t="n">
        <v>0.2</v>
      </c>
      <c r="N85" s="1579"/>
      <c r="O85" s="1579"/>
      <c r="P85" s="1580" t="n">
        <f aca="false">SUM(G85:O85)</f>
        <v>1</v>
      </c>
      <c r="AA85" s="1576"/>
    </row>
    <row r="86" customFormat="false" ht="16.5" hidden="false" customHeight="false" outlineLevel="0" collapsed="false">
      <c r="B86" s="1593"/>
      <c r="C86" s="1587"/>
      <c r="D86" s="684" t="n">
        <f aca="false">+D85</f>
        <v>993.6</v>
      </c>
      <c r="E86" s="669" t="s">
        <v>404</v>
      </c>
      <c r="F86" s="1578" t="n">
        <v>300000000</v>
      </c>
      <c r="G86" s="1579" t="n">
        <v>0.8</v>
      </c>
      <c r="H86" s="1579"/>
      <c r="I86" s="1579"/>
      <c r="J86" s="1579"/>
      <c r="K86" s="1579"/>
      <c r="L86" s="1579"/>
      <c r="M86" s="1579" t="n">
        <v>0.2</v>
      </c>
      <c r="N86" s="1579"/>
      <c r="O86" s="1579"/>
      <c r="P86" s="1580" t="n">
        <f aca="false">SUM(G86:O86)</f>
        <v>1</v>
      </c>
      <c r="AA86" s="1576"/>
    </row>
    <row r="87" customFormat="false" ht="16.5" hidden="false" customHeight="false" outlineLevel="0" collapsed="false">
      <c r="B87" s="1593"/>
      <c r="C87" s="1587"/>
      <c r="D87" s="684" t="n">
        <f aca="false">+D86</f>
        <v>993.6</v>
      </c>
      <c r="E87" s="669" t="s">
        <v>507</v>
      </c>
      <c r="F87" s="1578" t="n">
        <v>200000000</v>
      </c>
      <c r="G87" s="1579" t="n">
        <v>0.8</v>
      </c>
      <c r="H87" s="1579"/>
      <c r="I87" s="1579"/>
      <c r="J87" s="1579"/>
      <c r="K87" s="1579"/>
      <c r="L87" s="1579"/>
      <c r="M87" s="1579" t="n">
        <v>0.2</v>
      </c>
      <c r="N87" s="1579"/>
      <c r="O87" s="1579"/>
      <c r="P87" s="1580" t="n">
        <f aca="false">SUM(G87:O87)</f>
        <v>1</v>
      </c>
      <c r="AA87" s="1576"/>
    </row>
    <row r="88" customFormat="false" ht="16.5" hidden="false" customHeight="false" outlineLevel="0" collapsed="false">
      <c r="B88" s="1593"/>
      <c r="C88" s="1587"/>
      <c r="D88" s="684" t="n">
        <f aca="false">+D87</f>
        <v>993.6</v>
      </c>
      <c r="E88" s="669" t="s">
        <v>508</v>
      </c>
      <c r="F88" s="1584"/>
      <c r="G88" s="1585"/>
      <c r="H88" s="1585"/>
      <c r="I88" s="1585"/>
      <c r="J88" s="1585"/>
      <c r="K88" s="1585"/>
      <c r="L88" s="1585"/>
      <c r="M88" s="1585"/>
      <c r="N88" s="1579"/>
      <c r="O88" s="1579"/>
      <c r="P88" s="1580" t="n">
        <f aca="false">SUM(G88:O88)</f>
        <v>0</v>
      </c>
      <c r="AA88" s="1576"/>
    </row>
    <row r="89" customFormat="false" ht="16.5" hidden="false" customHeight="false" outlineLevel="0" collapsed="false">
      <c r="B89" s="1593"/>
      <c r="C89" s="1554" t="str">
        <f aca="false">+'Solar M&amp;A'!B20</f>
        <v>Jaesan (SPA)</v>
      </c>
      <c r="D89" s="1611" t="n">
        <f aca="false">+'Solar M&amp;A'!M20</f>
        <v>993.6</v>
      </c>
      <c r="E89" s="669" t="s">
        <v>112</v>
      </c>
      <c r="F89" s="1578" t="n">
        <v>1050000000</v>
      </c>
      <c r="G89" s="1579" t="n">
        <v>0.1</v>
      </c>
      <c r="H89" s="1579"/>
      <c r="I89" s="1579" t="n">
        <v>0.2</v>
      </c>
      <c r="J89" s="1579"/>
      <c r="K89" s="1579" t="n">
        <v>0.4</v>
      </c>
      <c r="L89" s="1579"/>
      <c r="M89" s="1579" t="n">
        <v>0.25</v>
      </c>
      <c r="N89" s="1579"/>
      <c r="O89" s="1579" t="n">
        <v>0.05</v>
      </c>
      <c r="P89" s="1580" t="n">
        <f aca="false">SUM(G89:O89)</f>
        <v>1</v>
      </c>
      <c r="AA89" s="1576"/>
    </row>
    <row r="90" customFormat="false" ht="16.5" hidden="false" customHeight="false" outlineLevel="0" collapsed="false">
      <c r="B90" s="1593"/>
      <c r="C90" s="1554"/>
      <c r="D90" s="684" t="n">
        <f aca="false">+D89</f>
        <v>993.6</v>
      </c>
      <c r="E90" s="669" t="s">
        <v>114</v>
      </c>
      <c r="F90" s="1578" t="n">
        <v>150000000</v>
      </c>
      <c r="G90" s="1579" t="n">
        <v>0.8</v>
      </c>
      <c r="H90" s="1579"/>
      <c r="I90" s="1579"/>
      <c r="J90" s="1579"/>
      <c r="K90" s="1579"/>
      <c r="L90" s="1579"/>
      <c r="M90" s="1579" t="n">
        <v>0.2</v>
      </c>
      <c r="N90" s="1579"/>
      <c r="O90" s="1579"/>
      <c r="P90" s="1580" t="n">
        <f aca="false">SUM(G90:O90)</f>
        <v>1</v>
      </c>
      <c r="AA90" s="1576"/>
    </row>
    <row r="91" customFormat="false" ht="16.5" hidden="false" customHeight="false" outlineLevel="0" collapsed="false">
      <c r="B91" s="1593"/>
      <c r="C91" s="1554"/>
      <c r="D91" s="684" t="n">
        <f aca="false">+D90</f>
        <v>993.6</v>
      </c>
      <c r="E91" s="669" t="s">
        <v>404</v>
      </c>
      <c r="F91" s="1578" t="n">
        <v>300000000</v>
      </c>
      <c r="G91" s="1579" t="n">
        <v>0.8</v>
      </c>
      <c r="H91" s="1579"/>
      <c r="I91" s="1579"/>
      <c r="J91" s="1579"/>
      <c r="K91" s="1579"/>
      <c r="L91" s="1579"/>
      <c r="M91" s="1579" t="n">
        <v>0.2</v>
      </c>
      <c r="N91" s="1579"/>
      <c r="O91" s="1579"/>
      <c r="P91" s="1580" t="n">
        <f aca="false">SUM(G91:O91)</f>
        <v>1</v>
      </c>
      <c r="AA91" s="1576"/>
    </row>
    <row r="92" customFormat="false" ht="16.5" hidden="false" customHeight="false" outlineLevel="0" collapsed="false">
      <c r="B92" s="1593"/>
      <c r="C92" s="1554"/>
      <c r="D92" s="684" t="n">
        <f aca="false">+D91</f>
        <v>993.6</v>
      </c>
      <c r="E92" s="669" t="s">
        <v>507</v>
      </c>
      <c r="F92" s="1578" t="n">
        <v>200000000</v>
      </c>
      <c r="G92" s="1579" t="n">
        <v>0.8</v>
      </c>
      <c r="H92" s="1579"/>
      <c r="I92" s="1579"/>
      <c r="J92" s="1579"/>
      <c r="K92" s="1579"/>
      <c r="L92" s="1579"/>
      <c r="M92" s="1579" t="n">
        <v>0.2</v>
      </c>
      <c r="N92" s="1579"/>
      <c r="O92" s="1579"/>
      <c r="P92" s="1580" t="n">
        <f aca="false">SUM(G92:O92)</f>
        <v>1</v>
      </c>
      <c r="AA92" s="1576"/>
    </row>
    <row r="93" customFormat="false" ht="16.5" hidden="false" customHeight="false" outlineLevel="0" collapsed="false">
      <c r="B93" s="1593"/>
      <c r="C93" s="1554"/>
      <c r="D93" s="1588" t="n">
        <f aca="false">+D92</f>
        <v>993.6</v>
      </c>
      <c r="E93" s="803" t="s">
        <v>508</v>
      </c>
      <c r="F93" s="1589"/>
      <c r="G93" s="1590"/>
      <c r="H93" s="1590"/>
      <c r="I93" s="1590"/>
      <c r="J93" s="1590"/>
      <c r="K93" s="1590"/>
      <c r="L93" s="1590"/>
      <c r="M93" s="1590"/>
      <c r="N93" s="1591"/>
      <c r="O93" s="1591"/>
      <c r="P93" s="1592" t="n">
        <f aca="false">SUM(G93:O93)</f>
        <v>0</v>
      </c>
      <c r="AA93" s="1576"/>
    </row>
    <row r="94" customFormat="false" ht="16.5" hidden="false" customHeight="true" outlineLevel="0" collapsed="false">
      <c r="B94" s="1612" t="s">
        <v>1536</v>
      </c>
      <c r="C94" s="1613" t="s">
        <v>1474</v>
      </c>
      <c r="D94" s="1606" t="n">
        <f aca="false">+'DG-PV Organic'!O9</f>
        <v>1041</v>
      </c>
      <c r="E94" s="1607" t="s">
        <v>112</v>
      </c>
      <c r="F94" s="1608" t="n">
        <v>1050000000</v>
      </c>
      <c r="G94" s="1609" t="n">
        <v>0.1</v>
      </c>
      <c r="H94" s="1609"/>
      <c r="I94" s="1609" t="n">
        <v>0.2</v>
      </c>
      <c r="J94" s="1609"/>
      <c r="K94" s="1609" t="n">
        <v>0.4</v>
      </c>
      <c r="L94" s="1609"/>
      <c r="M94" s="1609" t="n">
        <v>0.25</v>
      </c>
      <c r="N94" s="1609"/>
      <c r="O94" s="1609" t="n">
        <v>0.05</v>
      </c>
      <c r="P94" s="1610" t="n">
        <f aca="false">SUM(G94:O94)</f>
        <v>1</v>
      </c>
      <c r="AA94" s="1576"/>
    </row>
    <row r="95" customFormat="false" ht="16.5" hidden="false" customHeight="false" outlineLevel="0" collapsed="false">
      <c r="B95" s="1612"/>
      <c r="C95" s="1613"/>
      <c r="D95" s="1611" t="n">
        <f aca="false">+D94</f>
        <v>1041</v>
      </c>
      <c r="E95" s="669" t="s">
        <v>114</v>
      </c>
      <c r="F95" s="1578" t="n">
        <v>300000000</v>
      </c>
      <c r="G95" s="1585" t="n">
        <v>0.3</v>
      </c>
      <c r="H95" s="1585"/>
      <c r="I95" s="1585" t="n">
        <v>0.1</v>
      </c>
      <c r="J95" s="1585"/>
      <c r="K95" s="1585" t="n">
        <v>0.5</v>
      </c>
      <c r="L95" s="1585"/>
      <c r="M95" s="1585" t="n">
        <v>0.1</v>
      </c>
      <c r="N95" s="1579"/>
      <c r="O95" s="1579"/>
      <c r="P95" s="1580" t="n">
        <f aca="false">SUM(G95:O95)</f>
        <v>1</v>
      </c>
      <c r="AA95" s="1576"/>
    </row>
    <row r="96" customFormat="false" ht="16.5" hidden="false" customHeight="false" outlineLevel="0" collapsed="false">
      <c r="B96" s="1612"/>
      <c r="C96" s="1613"/>
      <c r="D96" s="1611" t="n">
        <f aca="false">+D95</f>
        <v>1041</v>
      </c>
      <c r="E96" s="669" t="s">
        <v>404</v>
      </c>
      <c r="F96" s="1578"/>
      <c r="G96" s="1579"/>
      <c r="H96" s="1579"/>
      <c r="I96" s="1579"/>
      <c r="J96" s="1579"/>
      <c r="K96" s="1579"/>
      <c r="L96" s="1579"/>
      <c r="M96" s="1579"/>
      <c r="N96" s="1579"/>
      <c r="O96" s="1579"/>
      <c r="P96" s="1580" t="n">
        <f aca="false">SUM(G96:O96)</f>
        <v>0</v>
      </c>
      <c r="AA96" s="1576"/>
    </row>
    <row r="97" customFormat="false" ht="16.5" hidden="false" customHeight="false" outlineLevel="0" collapsed="false">
      <c r="B97" s="1612"/>
      <c r="C97" s="1613"/>
      <c r="D97" s="684" t="n">
        <f aca="false">+D96</f>
        <v>1041</v>
      </c>
      <c r="E97" s="669" t="s">
        <v>507</v>
      </c>
      <c r="F97" s="1584" t="n">
        <v>50000000</v>
      </c>
      <c r="G97" s="1585" t="n">
        <v>0.3</v>
      </c>
      <c r="H97" s="1585"/>
      <c r="I97" s="1585" t="n">
        <v>0.1</v>
      </c>
      <c r="J97" s="1585"/>
      <c r="K97" s="1585" t="n">
        <v>0.5</v>
      </c>
      <c r="L97" s="1585"/>
      <c r="M97" s="1585" t="n">
        <v>0.1</v>
      </c>
      <c r="N97" s="1579"/>
      <c r="O97" s="1579"/>
      <c r="P97" s="1580" t="n">
        <f aca="false">SUM(G97:O97)</f>
        <v>1</v>
      </c>
      <c r="AA97" s="1576"/>
    </row>
    <row r="98" customFormat="false" ht="16.5" hidden="false" customHeight="false" outlineLevel="0" collapsed="false">
      <c r="B98" s="1612"/>
      <c r="C98" s="1613"/>
      <c r="D98" s="684" t="n">
        <f aca="false">+D97</f>
        <v>1041</v>
      </c>
      <c r="E98" s="669" t="s">
        <v>508</v>
      </c>
      <c r="F98" s="1584" t="n">
        <f aca="false">+'DG-PV Organic'!AI9</f>
        <v>182175000</v>
      </c>
      <c r="G98" s="1585" t="n">
        <v>1</v>
      </c>
      <c r="H98" s="1585"/>
      <c r="I98" s="1585"/>
      <c r="J98" s="1585"/>
      <c r="K98" s="1585"/>
      <c r="L98" s="1585"/>
      <c r="M98" s="1585"/>
      <c r="N98" s="1579"/>
      <c r="O98" s="1579"/>
      <c r="P98" s="1580" t="n">
        <f aca="false">SUM(G98:O98)</f>
        <v>1</v>
      </c>
      <c r="R98" s="1570" t="n">
        <f aca="false">35000*D94*5=F98</f>
        <v>1</v>
      </c>
      <c r="AA98" s="1576"/>
    </row>
    <row r="99" s="1614" customFormat="true" ht="16.5" hidden="true" customHeight="true" outlineLevel="0" collapsed="false">
      <c r="B99" s="1612"/>
      <c r="C99" s="1615" t="s">
        <v>1537</v>
      </c>
      <c r="D99" s="1616" t="n">
        <v>523</v>
      </c>
      <c r="E99" s="1617" t="s">
        <v>112</v>
      </c>
      <c r="F99" s="1618" t="n">
        <v>1050000000</v>
      </c>
      <c r="G99" s="1619" t="n">
        <v>0.1</v>
      </c>
      <c r="H99" s="1619"/>
      <c r="I99" s="1619" t="n">
        <v>0.2</v>
      </c>
      <c r="J99" s="1619"/>
      <c r="K99" s="1619" t="n">
        <v>0.4</v>
      </c>
      <c r="L99" s="1619"/>
      <c r="M99" s="1619" t="n">
        <v>0.25</v>
      </c>
      <c r="N99" s="1619"/>
      <c r="O99" s="1619" t="n">
        <v>0.05</v>
      </c>
      <c r="P99" s="1620" t="n">
        <f aca="false">SUM(G99:O99)</f>
        <v>1</v>
      </c>
      <c r="AA99" s="1621"/>
    </row>
    <row r="100" s="1614" customFormat="true" ht="16.5" hidden="true" customHeight="false" outlineLevel="0" collapsed="false">
      <c r="B100" s="1612"/>
      <c r="C100" s="1615"/>
      <c r="D100" s="1616" t="n">
        <v>523</v>
      </c>
      <c r="E100" s="1617" t="s">
        <v>114</v>
      </c>
      <c r="F100" s="1618" t="n">
        <v>300000000</v>
      </c>
      <c r="G100" s="1622" t="n">
        <v>0.3</v>
      </c>
      <c r="H100" s="1622"/>
      <c r="I100" s="1622" t="n">
        <v>0.1</v>
      </c>
      <c r="J100" s="1622"/>
      <c r="K100" s="1622" t="n">
        <v>0.5</v>
      </c>
      <c r="L100" s="1622"/>
      <c r="M100" s="1622" t="n">
        <v>0.1</v>
      </c>
      <c r="N100" s="1619"/>
      <c r="O100" s="1619"/>
      <c r="P100" s="1620" t="n">
        <f aca="false">SUM(G100:O100)</f>
        <v>1</v>
      </c>
      <c r="AA100" s="1621"/>
    </row>
    <row r="101" s="1614" customFormat="true" ht="16.5" hidden="true" customHeight="false" outlineLevel="0" collapsed="false">
      <c r="B101" s="1612"/>
      <c r="C101" s="1615"/>
      <c r="D101" s="1616" t="n">
        <v>523</v>
      </c>
      <c r="E101" s="1617" t="s">
        <v>404</v>
      </c>
      <c r="F101" s="1618"/>
      <c r="G101" s="1619"/>
      <c r="H101" s="1619"/>
      <c r="I101" s="1619"/>
      <c r="J101" s="1619"/>
      <c r="K101" s="1619"/>
      <c r="L101" s="1619"/>
      <c r="M101" s="1619"/>
      <c r="N101" s="1619"/>
      <c r="O101" s="1619"/>
      <c r="P101" s="1620" t="n">
        <f aca="false">SUM(G101:O101)</f>
        <v>0</v>
      </c>
      <c r="AA101" s="1621"/>
    </row>
    <row r="102" s="1614" customFormat="true" ht="16.5" hidden="true" customHeight="false" outlineLevel="0" collapsed="false">
      <c r="B102" s="1612"/>
      <c r="C102" s="1615"/>
      <c r="D102" s="1623" t="n">
        <v>523</v>
      </c>
      <c r="E102" s="1617" t="s">
        <v>507</v>
      </c>
      <c r="F102" s="1624" t="n">
        <v>100000000</v>
      </c>
      <c r="G102" s="1622" t="n">
        <v>0.3</v>
      </c>
      <c r="H102" s="1622"/>
      <c r="I102" s="1622" t="n">
        <v>0.1</v>
      </c>
      <c r="J102" s="1622"/>
      <c r="K102" s="1622" t="n">
        <v>0.5</v>
      </c>
      <c r="L102" s="1622"/>
      <c r="M102" s="1622" t="n">
        <v>0.1</v>
      </c>
      <c r="N102" s="1619"/>
      <c r="O102" s="1619"/>
      <c r="P102" s="1620" t="n">
        <f aca="false">SUM(G102:O102)</f>
        <v>1</v>
      </c>
      <c r="AA102" s="1621"/>
    </row>
    <row r="103" s="1614" customFormat="true" ht="16.5" hidden="true" customHeight="false" outlineLevel="0" collapsed="false">
      <c r="B103" s="1612"/>
      <c r="C103" s="1615"/>
      <c r="D103" s="1623" t="n">
        <f aca="false">+D102</f>
        <v>523</v>
      </c>
      <c r="E103" s="1617" t="s">
        <v>508</v>
      </c>
      <c r="F103" s="1624"/>
      <c r="G103" s="1622" t="n">
        <v>1</v>
      </c>
      <c r="H103" s="1622"/>
      <c r="I103" s="1622"/>
      <c r="J103" s="1622"/>
      <c r="K103" s="1622"/>
      <c r="L103" s="1622"/>
      <c r="M103" s="1622"/>
      <c r="N103" s="1619"/>
      <c r="O103" s="1619"/>
      <c r="P103" s="1620" t="n">
        <f aca="false">SUM(G103:O103)</f>
        <v>1</v>
      </c>
      <c r="AA103" s="1621"/>
    </row>
    <row r="104" customFormat="false" ht="16.5" hidden="false" customHeight="true" outlineLevel="0" collapsed="false">
      <c r="B104" s="1612"/>
      <c r="C104" s="1625" t="s">
        <v>848</v>
      </c>
      <c r="D104" s="1611" t="n">
        <f aca="false">+'DG-PV Organic'!O11</f>
        <v>406</v>
      </c>
      <c r="E104" s="669" t="s">
        <v>112</v>
      </c>
      <c r="F104" s="1578" t="n">
        <v>1050000000</v>
      </c>
      <c r="G104" s="1579" t="n">
        <v>0.1</v>
      </c>
      <c r="H104" s="1579"/>
      <c r="I104" s="1579" t="n">
        <v>0.2</v>
      </c>
      <c r="J104" s="1579"/>
      <c r="K104" s="1579" t="n">
        <v>0.4</v>
      </c>
      <c r="L104" s="1579"/>
      <c r="M104" s="1579" t="n">
        <v>0.25</v>
      </c>
      <c r="N104" s="1579"/>
      <c r="O104" s="1579" t="n">
        <v>0.05</v>
      </c>
      <c r="P104" s="1580" t="n">
        <f aca="false">SUM(G104:O104)</f>
        <v>1</v>
      </c>
      <c r="AA104" s="1576"/>
    </row>
    <row r="105" customFormat="false" ht="16.5" hidden="false" customHeight="false" outlineLevel="0" collapsed="false">
      <c r="B105" s="1612"/>
      <c r="C105" s="1625"/>
      <c r="D105" s="1611" t="n">
        <f aca="false">+D104</f>
        <v>406</v>
      </c>
      <c r="E105" s="669" t="s">
        <v>114</v>
      </c>
      <c r="F105" s="1578" t="n">
        <v>300000000</v>
      </c>
      <c r="G105" s="1585" t="n">
        <v>0.3</v>
      </c>
      <c r="H105" s="1585"/>
      <c r="I105" s="1585" t="n">
        <v>0.1</v>
      </c>
      <c r="J105" s="1585"/>
      <c r="K105" s="1585" t="n">
        <v>0.5</v>
      </c>
      <c r="L105" s="1585"/>
      <c r="M105" s="1585" t="n">
        <v>0.1</v>
      </c>
      <c r="N105" s="1579"/>
      <c r="O105" s="1579"/>
      <c r="P105" s="1580" t="n">
        <f aca="false">SUM(G105:O105)</f>
        <v>1</v>
      </c>
      <c r="AA105" s="1576"/>
    </row>
    <row r="106" customFormat="false" ht="16.5" hidden="false" customHeight="false" outlineLevel="0" collapsed="false">
      <c r="B106" s="1612"/>
      <c r="C106" s="1625"/>
      <c r="D106" s="1611" t="n">
        <f aca="false">+D105</f>
        <v>406</v>
      </c>
      <c r="E106" s="669" t="s">
        <v>404</v>
      </c>
      <c r="F106" s="1578"/>
      <c r="G106" s="1579"/>
      <c r="H106" s="1579"/>
      <c r="I106" s="1579"/>
      <c r="J106" s="1579"/>
      <c r="K106" s="1579"/>
      <c r="L106" s="1579"/>
      <c r="M106" s="1579"/>
      <c r="N106" s="1579"/>
      <c r="O106" s="1579"/>
      <c r="P106" s="1580" t="n">
        <f aca="false">SUM(G106:O106)</f>
        <v>0</v>
      </c>
      <c r="AA106" s="1576"/>
    </row>
    <row r="107" customFormat="false" ht="16.5" hidden="false" customHeight="false" outlineLevel="0" collapsed="false">
      <c r="B107" s="1612"/>
      <c r="C107" s="1625"/>
      <c r="D107" s="684" t="n">
        <f aca="false">+D106</f>
        <v>406</v>
      </c>
      <c r="E107" s="669" t="s">
        <v>507</v>
      </c>
      <c r="F107" s="1584" t="n">
        <v>50000000</v>
      </c>
      <c r="G107" s="1585" t="n">
        <v>0.3</v>
      </c>
      <c r="H107" s="1585"/>
      <c r="I107" s="1585" t="n">
        <v>0.1</v>
      </c>
      <c r="J107" s="1585"/>
      <c r="K107" s="1585" t="n">
        <v>0.5</v>
      </c>
      <c r="L107" s="1585"/>
      <c r="M107" s="1585" t="n">
        <v>0.1</v>
      </c>
      <c r="N107" s="1579"/>
      <c r="O107" s="1579"/>
      <c r="P107" s="1580" t="n">
        <f aca="false">SUM(G107:O107)</f>
        <v>1</v>
      </c>
      <c r="AA107" s="1576"/>
    </row>
    <row r="108" customFormat="false" ht="16.5" hidden="false" customHeight="false" outlineLevel="0" collapsed="false">
      <c r="B108" s="1612"/>
      <c r="C108" s="1625"/>
      <c r="D108" s="684" t="n">
        <f aca="false">+D107</f>
        <v>406</v>
      </c>
      <c r="E108" s="669" t="s">
        <v>508</v>
      </c>
      <c r="F108" s="1584" t="n">
        <f aca="false">+'DG-PV Organic'!AI11</f>
        <v>71050000</v>
      </c>
      <c r="G108" s="1585" t="n">
        <v>1</v>
      </c>
      <c r="H108" s="1585"/>
      <c r="I108" s="1585"/>
      <c r="J108" s="1585"/>
      <c r="K108" s="1585"/>
      <c r="L108" s="1585"/>
      <c r="M108" s="1585"/>
      <c r="N108" s="1579"/>
      <c r="O108" s="1579"/>
      <c r="P108" s="1580" t="n">
        <f aca="false">SUM(G108:O108)</f>
        <v>1</v>
      </c>
      <c r="AA108" s="1576"/>
    </row>
    <row r="109" customFormat="false" ht="16.5" hidden="false" customHeight="true" outlineLevel="0" collapsed="false">
      <c r="B109" s="1612"/>
      <c r="C109" s="1625" t="s">
        <v>946</v>
      </c>
      <c r="D109" s="1611" t="n">
        <f aca="false">+'DG-PV Organic'!O29</f>
        <v>210</v>
      </c>
      <c r="E109" s="669" t="s">
        <v>112</v>
      </c>
      <c r="F109" s="1578" t="n">
        <v>1050000000</v>
      </c>
      <c r="G109" s="1579" t="n">
        <v>0.1</v>
      </c>
      <c r="H109" s="1579"/>
      <c r="I109" s="1579" t="n">
        <v>0.2</v>
      </c>
      <c r="J109" s="1579"/>
      <c r="K109" s="1579" t="n">
        <v>0.4</v>
      </c>
      <c r="L109" s="1579"/>
      <c r="M109" s="1579" t="n">
        <v>0.25</v>
      </c>
      <c r="N109" s="1579"/>
      <c r="O109" s="1579" t="n">
        <v>0.05</v>
      </c>
      <c r="P109" s="1580" t="n">
        <f aca="false">SUM(G109:O109)</f>
        <v>1</v>
      </c>
      <c r="AA109" s="1576"/>
    </row>
    <row r="110" customFormat="false" ht="16.5" hidden="false" customHeight="false" outlineLevel="0" collapsed="false">
      <c r="B110" s="1612"/>
      <c r="C110" s="1625"/>
      <c r="D110" s="1611" t="n">
        <f aca="false">+D109</f>
        <v>210</v>
      </c>
      <c r="E110" s="669" t="s">
        <v>114</v>
      </c>
      <c r="F110" s="1578" t="n">
        <v>300000000</v>
      </c>
      <c r="G110" s="1585" t="n">
        <v>0.3</v>
      </c>
      <c r="H110" s="1585"/>
      <c r="I110" s="1585" t="n">
        <v>0.1</v>
      </c>
      <c r="J110" s="1585"/>
      <c r="K110" s="1585" t="n">
        <v>0.5</v>
      </c>
      <c r="L110" s="1585"/>
      <c r="M110" s="1585" t="n">
        <v>0.1</v>
      </c>
      <c r="N110" s="1579"/>
      <c r="O110" s="1579"/>
      <c r="P110" s="1580" t="n">
        <f aca="false">SUM(G110:O110)</f>
        <v>1</v>
      </c>
      <c r="AA110" s="1576"/>
    </row>
    <row r="111" customFormat="false" ht="16.5" hidden="false" customHeight="false" outlineLevel="0" collapsed="false">
      <c r="B111" s="1612"/>
      <c r="C111" s="1625"/>
      <c r="D111" s="1611" t="n">
        <f aca="false">+D110</f>
        <v>210</v>
      </c>
      <c r="E111" s="669" t="s">
        <v>404</v>
      </c>
      <c r="F111" s="1578"/>
      <c r="G111" s="1579"/>
      <c r="H111" s="1579"/>
      <c r="I111" s="1579"/>
      <c r="J111" s="1579"/>
      <c r="K111" s="1579"/>
      <c r="L111" s="1579"/>
      <c r="M111" s="1579"/>
      <c r="N111" s="1579"/>
      <c r="O111" s="1579"/>
      <c r="P111" s="1580" t="n">
        <f aca="false">SUM(G111:O111)</f>
        <v>0</v>
      </c>
      <c r="AA111" s="1576"/>
    </row>
    <row r="112" customFormat="false" ht="16.5" hidden="false" customHeight="false" outlineLevel="0" collapsed="false">
      <c r="B112" s="1612"/>
      <c r="C112" s="1625"/>
      <c r="D112" s="684" t="n">
        <f aca="false">+D111</f>
        <v>210</v>
      </c>
      <c r="E112" s="669" t="s">
        <v>507</v>
      </c>
      <c r="F112" s="1584" t="n">
        <v>150000000</v>
      </c>
      <c r="G112" s="1585" t="n">
        <v>0.3</v>
      </c>
      <c r="H112" s="1585"/>
      <c r="I112" s="1585" t="n">
        <v>0.1</v>
      </c>
      <c r="J112" s="1585"/>
      <c r="K112" s="1585" t="n">
        <v>0.5</v>
      </c>
      <c r="L112" s="1585"/>
      <c r="M112" s="1585" t="n">
        <v>0.1</v>
      </c>
      <c r="N112" s="1579"/>
      <c r="O112" s="1579"/>
      <c r="P112" s="1580" t="n">
        <f aca="false">SUM(G112:O112)</f>
        <v>1</v>
      </c>
      <c r="R112" s="39" t="n">
        <f aca="false">+F112*D112/1000</f>
        <v>31500000</v>
      </c>
      <c r="AA112" s="1576"/>
    </row>
    <row r="113" customFormat="false" ht="16.5" hidden="false" customHeight="false" outlineLevel="0" collapsed="false">
      <c r="B113" s="1612"/>
      <c r="C113" s="1625"/>
      <c r="D113" s="684" t="n">
        <f aca="false">+D112</f>
        <v>210</v>
      </c>
      <c r="E113" s="669" t="s">
        <v>508</v>
      </c>
      <c r="F113" s="1584" t="n">
        <f aca="false">40000000*D109/1000*5</f>
        <v>42000000</v>
      </c>
      <c r="G113" s="1585" t="n">
        <v>1</v>
      </c>
      <c r="H113" s="1585"/>
      <c r="I113" s="1585"/>
      <c r="J113" s="1585"/>
      <c r="K113" s="1585"/>
      <c r="L113" s="1585"/>
      <c r="M113" s="1585"/>
      <c r="N113" s="1579"/>
      <c r="O113" s="1579"/>
      <c r="P113" s="1580" t="n">
        <f aca="false">SUM(G113:O113)</f>
        <v>1</v>
      </c>
      <c r="AA113" s="1576"/>
    </row>
    <row r="114" customFormat="false" ht="16.5" hidden="false" customHeight="true" outlineLevel="0" collapsed="false">
      <c r="B114" s="1612"/>
      <c r="C114" s="1625" t="str">
        <f aca="false">+'DG-PV Organic'!B30</f>
        <v>Gyeongju Hyosung Energy farm</v>
      </c>
      <c r="D114" s="1611" t="n">
        <f aca="false">+'DG-PV Organic'!O30</f>
        <v>249.6</v>
      </c>
      <c r="E114" s="669" t="s">
        <v>112</v>
      </c>
      <c r="F114" s="1578" t="n">
        <v>1050000000</v>
      </c>
      <c r="G114" s="1579" t="n">
        <v>0.1</v>
      </c>
      <c r="H114" s="1579"/>
      <c r="I114" s="1579" t="n">
        <v>0.2</v>
      </c>
      <c r="J114" s="1579"/>
      <c r="K114" s="1579" t="n">
        <v>0.4</v>
      </c>
      <c r="L114" s="1579"/>
      <c r="M114" s="1579" t="n">
        <v>0.25</v>
      </c>
      <c r="N114" s="1579"/>
      <c r="O114" s="1579" t="n">
        <v>0.05</v>
      </c>
      <c r="P114" s="1580" t="n">
        <f aca="false">SUM(G114:O114)</f>
        <v>1</v>
      </c>
      <c r="AA114" s="1576"/>
    </row>
    <row r="115" customFormat="false" ht="16.5" hidden="false" customHeight="false" outlineLevel="0" collapsed="false">
      <c r="B115" s="1612"/>
      <c r="C115" s="1625"/>
      <c r="D115" s="1611" t="n">
        <f aca="false">+D114</f>
        <v>249.6</v>
      </c>
      <c r="E115" s="669" t="s">
        <v>114</v>
      </c>
      <c r="F115" s="1578" t="n">
        <v>300000000</v>
      </c>
      <c r="G115" s="1585" t="n">
        <v>0.3</v>
      </c>
      <c r="H115" s="1585"/>
      <c r="I115" s="1585" t="n">
        <v>0.1</v>
      </c>
      <c r="J115" s="1585"/>
      <c r="K115" s="1585" t="n">
        <v>0.5</v>
      </c>
      <c r="L115" s="1585"/>
      <c r="M115" s="1585" t="n">
        <v>0.1</v>
      </c>
      <c r="N115" s="1579"/>
      <c r="O115" s="1579"/>
      <c r="P115" s="1580" t="n">
        <f aca="false">SUM(G115:O115)</f>
        <v>1</v>
      </c>
      <c r="AA115" s="1576"/>
    </row>
    <row r="116" customFormat="false" ht="16.5" hidden="false" customHeight="false" outlineLevel="0" collapsed="false">
      <c r="B116" s="1612"/>
      <c r="C116" s="1625"/>
      <c r="D116" s="1611" t="n">
        <f aca="false">+D115</f>
        <v>249.6</v>
      </c>
      <c r="E116" s="669" t="s">
        <v>404</v>
      </c>
      <c r="F116" s="1578"/>
      <c r="G116" s="1579"/>
      <c r="H116" s="1579"/>
      <c r="I116" s="1579"/>
      <c r="J116" s="1579"/>
      <c r="K116" s="1579"/>
      <c r="L116" s="1579"/>
      <c r="M116" s="1579"/>
      <c r="N116" s="1579"/>
      <c r="O116" s="1579"/>
      <c r="P116" s="1580" t="n">
        <f aca="false">SUM(G116:O116)</f>
        <v>0</v>
      </c>
      <c r="AA116" s="1576"/>
    </row>
    <row r="117" customFormat="false" ht="16.5" hidden="false" customHeight="false" outlineLevel="0" collapsed="false">
      <c r="B117" s="1612"/>
      <c r="C117" s="1625"/>
      <c r="D117" s="684" t="n">
        <f aca="false">+D116</f>
        <v>249.6</v>
      </c>
      <c r="E117" s="669" t="s">
        <v>507</v>
      </c>
      <c r="F117" s="1584" t="n">
        <v>150000000</v>
      </c>
      <c r="G117" s="1585" t="n">
        <v>0.3</v>
      </c>
      <c r="H117" s="1585"/>
      <c r="I117" s="1585" t="n">
        <v>0.1</v>
      </c>
      <c r="J117" s="1585"/>
      <c r="K117" s="1585" t="n">
        <v>0.5</v>
      </c>
      <c r="L117" s="1585"/>
      <c r="M117" s="1585" t="n">
        <v>0.1</v>
      </c>
      <c r="N117" s="1579"/>
      <c r="O117" s="1579"/>
      <c r="P117" s="1580" t="n">
        <f aca="false">SUM(G117:O117)</f>
        <v>1</v>
      </c>
      <c r="AA117" s="1576"/>
    </row>
    <row r="118" customFormat="false" ht="16.5" hidden="false" customHeight="false" outlineLevel="0" collapsed="false">
      <c r="B118" s="1612"/>
      <c r="C118" s="1625"/>
      <c r="D118" s="684" t="n">
        <f aca="false">+D117</f>
        <v>249.6</v>
      </c>
      <c r="E118" s="669" t="s">
        <v>508</v>
      </c>
      <c r="F118" s="1584" t="n">
        <f aca="false">+'DG-PV Organic'!AI30</f>
        <v>43680000</v>
      </c>
      <c r="G118" s="1585" t="n">
        <v>1</v>
      </c>
      <c r="H118" s="1585"/>
      <c r="I118" s="1585"/>
      <c r="J118" s="1585"/>
      <c r="K118" s="1585"/>
      <c r="L118" s="1585"/>
      <c r="M118" s="1585"/>
      <c r="N118" s="1579"/>
      <c r="O118" s="1579"/>
      <c r="P118" s="1580" t="n">
        <f aca="false">SUM(G118:O118)</f>
        <v>1</v>
      </c>
      <c r="AA118" s="1576"/>
    </row>
    <row r="119" customFormat="false" ht="16.5" hidden="false" customHeight="true" outlineLevel="0" collapsed="false">
      <c r="B119" s="1612"/>
      <c r="C119" s="1625" t="str">
        <f aca="false">+'DG-PV Organic'!B31</f>
        <v>Kojimom Bio</v>
      </c>
      <c r="D119" s="1611" t="n">
        <f aca="false">+'DG-PV Organic'!O31</f>
        <v>264.32</v>
      </c>
      <c r="E119" s="669" t="s">
        <v>112</v>
      </c>
      <c r="F119" s="1578" t="n">
        <v>1050000000</v>
      </c>
      <c r="G119" s="1579" t="n">
        <v>0.1</v>
      </c>
      <c r="H119" s="1579"/>
      <c r="I119" s="1579" t="n">
        <v>0.2</v>
      </c>
      <c r="J119" s="1579"/>
      <c r="K119" s="1579" t="n">
        <v>0.4</v>
      </c>
      <c r="L119" s="1579"/>
      <c r="M119" s="1579" t="n">
        <v>0.25</v>
      </c>
      <c r="N119" s="1579"/>
      <c r="O119" s="1579" t="n">
        <v>0.05</v>
      </c>
      <c r="P119" s="1580" t="n">
        <f aca="false">SUM(G119:O119)</f>
        <v>1</v>
      </c>
      <c r="AA119" s="1576"/>
    </row>
    <row r="120" customFormat="false" ht="16.5" hidden="false" customHeight="false" outlineLevel="0" collapsed="false">
      <c r="B120" s="1612"/>
      <c r="C120" s="1625"/>
      <c r="D120" s="1611" t="n">
        <f aca="false">+D119</f>
        <v>264.32</v>
      </c>
      <c r="E120" s="669" t="s">
        <v>114</v>
      </c>
      <c r="F120" s="1578" t="n">
        <v>300000000</v>
      </c>
      <c r="G120" s="1585" t="n">
        <v>0.3</v>
      </c>
      <c r="H120" s="1585"/>
      <c r="I120" s="1585" t="n">
        <v>0.1</v>
      </c>
      <c r="J120" s="1585"/>
      <c r="K120" s="1585" t="n">
        <v>0.5</v>
      </c>
      <c r="L120" s="1585"/>
      <c r="M120" s="1585" t="n">
        <v>0.1</v>
      </c>
      <c r="N120" s="1579"/>
      <c r="O120" s="1579"/>
      <c r="P120" s="1580" t="n">
        <f aca="false">SUM(G120:O120)</f>
        <v>1</v>
      </c>
      <c r="AA120" s="1576"/>
    </row>
    <row r="121" customFormat="false" ht="16.5" hidden="false" customHeight="false" outlineLevel="0" collapsed="false">
      <c r="B121" s="1612"/>
      <c r="C121" s="1625"/>
      <c r="D121" s="1611" t="n">
        <f aca="false">+D120</f>
        <v>264.32</v>
      </c>
      <c r="E121" s="669" t="s">
        <v>404</v>
      </c>
      <c r="F121" s="1578"/>
      <c r="G121" s="1579"/>
      <c r="H121" s="1579"/>
      <c r="I121" s="1579"/>
      <c r="J121" s="1579"/>
      <c r="K121" s="1579"/>
      <c r="L121" s="1579"/>
      <c r="M121" s="1579"/>
      <c r="N121" s="1579"/>
      <c r="O121" s="1579"/>
      <c r="P121" s="1580" t="n">
        <f aca="false">SUM(G121:O121)</f>
        <v>0</v>
      </c>
      <c r="AA121" s="1576"/>
    </row>
    <row r="122" customFormat="false" ht="16.5" hidden="false" customHeight="false" outlineLevel="0" collapsed="false">
      <c r="B122" s="1612"/>
      <c r="C122" s="1625"/>
      <c r="D122" s="684" t="n">
        <f aca="false">+D121</f>
        <v>264.32</v>
      </c>
      <c r="E122" s="669" t="s">
        <v>507</v>
      </c>
      <c r="F122" s="1584" t="n">
        <v>150000000</v>
      </c>
      <c r="G122" s="1585" t="n">
        <v>0.3</v>
      </c>
      <c r="H122" s="1585"/>
      <c r="I122" s="1585" t="n">
        <v>0.1</v>
      </c>
      <c r="J122" s="1585"/>
      <c r="K122" s="1585" t="n">
        <v>0.5</v>
      </c>
      <c r="L122" s="1585"/>
      <c r="M122" s="1585" t="n">
        <v>0.1</v>
      </c>
      <c r="N122" s="1579"/>
      <c r="O122" s="1579"/>
      <c r="P122" s="1580" t="n">
        <f aca="false">SUM(G122:O122)</f>
        <v>1</v>
      </c>
      <c r="AA122" s="1576"/>
    </row>
    <row r="123" customFormat="false" ht="16.5" hidden="false" customHeight="false" outlineLevel="0" collapsed="false">
      <c r="B123" s="1612"/>
      <c r="C123" s="1625"/>
      <c r="D123" s="684" t="n">
        <f aca="false">+D122</f>
        <v>264.32</v>
      </c>
      <c r="E123" s="669" t="s">
        <v>508</v>
      </c>
      <c r="F123" s="1584" t="n">
        <f aca="false">+'DG-PV Organic'!AI31</f>
        <v>46256000</v>
      </c>
      <c r="G123" s="1585" t="n">
        <v>1</v>
      </c>
      <c r="H123" s="1585"/>
      <c r="I123" s="1585"/>
      <c r="J123" s="1585"/>
      <c r="K123" s="1585"/>
      <c r="L123" s="1585"/>
      <c r="M123" s="1585"/>
      <c r="N123" s="1579"/>
      <c r="O123" s="1579"/>
      <c r="P123" s="1580" t="n">
        <f aca="false">SUM(G123:O123)</f>
        <v>1</v>
      </c>
      <c r="AA123" s="1576"/>
    </row>
    <row r="124" customFormat="false" ht="16.5" hidden="false" customHeight="true" outlineLevel="0" collapsed="false">
      <c r="B124" s="1612"/>
      <c r="C124" s="1625" t="str">
        <f aca="false">+'DG-PV Organic'!B32</f>
        <v>Dongshin Motek</v>
      </c>
      <c r="D124" s="1611" t="n">
        <f aca="false">+'DG-PV Organic'!O32</f>
        <v>380.8</v>
      </c>
      <c r="E124" s="669" t="s">
        <v>112</v>
      </c>
      <c r="F124" s="1578" t="n">
        <v>1050000000</v>
      </c>
      <c r="G124" s="1579" t="n">
        <v>0.1</v>
      </c>
      <c r="H124" s="1579"/>
      <c r="I124" s="1579" t="n">
        <v>0.2</v>
      </c>
      <c r="J124" s="1579"/>
      <c r="K124" s="1579" t="n">
        <v>0.4</v>
      </c>
      <c r="L124" s="1579"/>
      <c r="M124" s="1579" t="n">
        <v>0.25</v>
      </c>
      <c r="N124" s="1579"/>
      <c r="O124" s="1579" t="n">
        <v>0.05</v>
      </c>
      <c r="P124" s="1580" t="n">
        <f aca="false">SUM(G124:O124)</f>
        <v>1</v>
      </c>
      <c r="AA124" s="1576"/>
    </row>
    <row r="125" customFormat="false" ht="16.5" hidden="false" customHeight="false" outlineLevel="0" collapsed="false">
      <c r="B125" s="1612"/>
      <c r="C125" s="1625"/>
      <c r="D125" s="1611" t="n">
        <f aca="false">+D124</f>
        <v>380.8</v>
      </c>
      <c r="E125" s="669" t="s">
        <v>114</v>
      </c>
      <c r="F125" s="1578" t="n">
        <v>300000000</v>
      </c>
      <c r="G125" s="1585" t="n">
        <v>0.3</v>
      </c>
      <c r="H125" s="1585"/>
      <c r="I125" s="1585" t="n">
        <v>0.1</v>
      </c>
      <c r="J125" s="1585"/>
      <c r="K125" s="1585" t="n">
        <v>0.5</v>
      </c>
      <c r="L125" s="1585"/>
      <c r="M125" s="1585" t="n">
        <v>0.1</v>
      </c>
      <c r="N125" s="1579"/>
      <c r="O125" s="1579"/>
      <c r="P125" s="1580" t="n">
        <f aca="false">SUM(G125:O125)</f>
        <v>1</v>
      </c>
      <c r="AA125" s="1576"/>
    </row>
    <row r="126" customFormat="false" ht="16.5" hidden="false" customHeight="false" outlineLevel="0" collapsed="false">
      <c r="B126" s="1612"/>
      <c r="C126" s="1625"/>
      <c r="D126" s="1611" t="n">
        <f aca="false">+D125</f>
        <v>380.8</v>
      </c>
      <c r="E126" s="669" t="s">
        <v>404</v>
      </c>
      <c r="F126" s="1584"/>
      <c r="G126" s="1579"/>
      <c r="H126" s="1579"/>
      <c r="I126" s="1579"/>
      <c r="J126" s="1579"/>
      <c r="K126" s="1579"/>
      <c r="L126" s="1579"/>
      <c r="M126" s="1579"/>
      <c r="N126" s="1579"/>
      <c r="O126" s="1579"/>
      <c r="P126" s="1580" t="n">
        <f aca="false">SUM(G126:O126)</f>
        <v>0</v>
      </c>
      <c r="AA126" s="1576"/>
    </row>
    <row r="127" customFormat="false" ht="16.5" hidden="false" customHeight="false" outlineLevel="0" collapsed="false">
      <c r="B127" s="1612"/>
      <c r="C127" s="1625"/>
      <c r="D127" s="684" t="n">
        <f aca="false">+D126</f>
        <v>380.8</v>
      </c>
      <c r="E127" s="669" t="s">
        <v>507</v>
      </c>
      <c r="F127" s="1584" t="n">
        <v>150000000</v>
      </c>
      <c r="G127" s="1585" t="n">
        <v>0.3</v>
      </c>
      <c r="H127" s="1585"/>
      <c r="I127" s="1585" t="n">
        <v>0.1</v>
      </c>
      <c r="J127" s="1585"/>
      <c r="K127" s="1585" t="n">
        <v>0.5</v>
      </c>
      <c r="L127" s="1585"/>
      <c r="M127" s="1585" t="n">
        <v>0.1</v>
      </c>
      <c r="N127" s="1579"/>
      <c r="O127" s="1579"/>
      <c r="P127" s="1580" t="n">
        <f aca="false">SUM(G127:O127)</f>
        <v>1</v>
      </c>
      <c r="AA127" s="1576"/>
    </row>
    <row r="128" customFormat="false" ht="16.5" hidden="false" customHeight="false" outlineLevel="0" collapsed="false">
      <c r="B128" s="1612"/>
      <c r="C128" s="1625"/>
      <c r="D128" s="684" t="n">
        <f aca="false">+D127</f>
        <v>380.8</v>
      </c>
      <c r="E128" s="669" t="s">
        <v>508</v>
      </c>
      <c r="F128" s="1584" t="n">
        <f aca="false">+'DG-PV Organic'!AI32</f>
        <v>66640000</v>
      </c>
      <c r="G128" s="1585" t="n">
        <v>1</v>
      </c>
      <c r="H128" s="1585"/>
      <c r="I128" s="1585"/>
      <c r="J128" s="1585"/>
      <c r="K128" s="1585"/>
      <c r="L128" s="1585"/>
      <c r="M128" s="1585"/>
      <c r="N128" s="1579"/>
      <c r="O128" s="1579"/>
      <c r="P128" s="1580" t="n">
        <f aca="false">SUM(G128:O128)</f>
        <v>1</v>
      </c>
      <c r="AA128" s="1576"/>
    </row>
    <row r="129" customFormat="false" ht="16.5" hidden="false" customHeight="true" outlineLevel="0" collapsed="false">
      <c r="B129" s="1612"/>
      <c r="C129" s="1625" t="str">
        <f aca="false">+'DG-PV Organic'!B33</f>
        <v>Vega</v>
      </c>
      <c r="D129" s="1611" t="n">
        <f aca="false">+'DG-PV Organic'!O33</f>
        <v>560</v>
      </c>
      <c r="E129" s="669" t="s">
        <v>112</v>
      </c>
      <c r="F129" s="1578" t="n">
        <v>1050000000</v>
      </c>
      <c r="G129" s="1579" t="n">
        <v>0.1</v>
      </c>
      <c r="H129" s="1579"/>
      <c r="I129" s="1579" t="n">
        <v>0.2</v>
      </c>
      <c r="J129" s="1579"/>
      <c r="K129" s="1579" t="n">
        <v>0.4</v>
      </c>
      <c r="L129" s="1579"/>
      <c r="M129" s="1579" t="n">
        <v>0.25</v>
      </c>
      <c r="N129" s="1579"/>
      <c r="O129" s="1579" t="n">
        <v>0.05</v>
      </c>
      <c r="P129" s="1580" t="n">
        <f aca="false">SUM(G129:O129)</f>
        <v>1</v>
      </c>
      <c r="AA129" s="1576"/>
    </row>
    <row r="130" customFormat="false" ht="16.5" hidden="false" customHeight="false" outlineLevel="0" collapsed="false">
      <c r="B130" s="1612"/>
      <c r="C130" s="1625"/>
      <c r="D130" s="1611" t="n">
        <f aca="false">+D129</f>
        <v>560</v>
      </c>
      <c r="E130" s="669" t="s">
        <v>114</v>
      </c>
      <c r="F130" s="1578" t="n">
        <v>300000000</v>
      </c>
      <c r="G130" s="1585" t="n">
        <v>0.3</v>
      </c>
      <c r="H130" s="1585"/>
      <c r="I130" s="1585" t="n">
        <v>0.1</v>
      </c>
      <c r="J130" s="1585"/>
      <c r="K130" s="1585" t="n">
        <v>0.5</v>
      </c>
      <c r="L130" s="1585"/>
      <c r="M130" s="1585" t="n">
        <v>0.1</v>
      </c>
      <c r="N130" s="1579"/>
      <c r="O130" s="1579"/>
      <c r="P130" s="1580" t="n">
        <f aca="false">SUM(G130:O130)</f>
        <v>1</v>
      </c>
      <c r="AA130" s="1576"/>
    </row>
    <row r="131" customFormat="false" ht="16.5" hidden="false" customHeight="false" outlineLevel="0" collapsed="false">
      <c r="B131" s="1612"/>
      <c r="C131" s="1625"/>
      <c r="D131" s="1611" t="n">
        <f aca="false">+D130</f>
        <v>560</v>
      </c>
      <c r="E131" s="669" t="s">
        <v>404</v>
      </c>
      <c r="F131" s="1584"/>
      <c r="G131" s="1579"/>
      <c r="H131" s="1579"/>
      <c r="I131" s="1579"/>
      <c r="J131" s="1579"/>
      <c r="K131" s="1579"/>
      <c r="L131" s="1579"/>
      <c r="M131" s="1579"/>
      <c r="N131" s="1579"/>
      <c r="O131" s="1579"/>
      <c r="P131" s="1580" t="n">
        <f aca="false">SUM(G131:O131)</f>
        <v>0</v>
      </c>
      <c r="AA131" s="1576"/>
    </row>
    <row r="132" customFormat="false" ht="16.5" hidden="false" customHeight="false" outlineLevel="0" collapsed="false">
      <c r="B132" s="1612"/>
      <c r="C132" s="1625"/>
      <c r="D132" s="684" t="n">
        <f aca="false">+D131</f>
        <v>560</v>
      </c>
      <c r="E132" s="669" t="s">
        <v>507</v>
      </c>
      <c r="F132" s="1584" t="n">
        <v>150000000</v>
      </c>
      <c r="G132" s="1585" t="n">
        <v>0.3</v>
      </c>
      <c r="H132" s="1585"/>
      <c r="I132" s="1585" t="n">
        <v>0.1</v>
      </c>
      <c r="J132" s="1585"/>
      <c r="K132" s="1585" t="n">
        <v>0.5</v>
      </c>
      <c r="L132" s="1585"/>
      <c r="M132" s="1585" t="n">
        <v>0.1</v>
      </c>
      <c r="N132" s="1579"/>
      <c r="O132" s="1579"/>
      <c r="P132" s="1580" t="n">
        <f aca="false">SUM(G132:O132)</f>
        <v>1</v>
      </c>
      <c r="AA132" s="1576"/>
    </row>
    <row r="133" customFormat="false" ht="16.5" hidden="false" customHeight="false" outlineLevel="0" collapsed="false">
      <c r="B133" s="1612"/>
      <c r="C133" s="1625"/>
      <c r="D133" s="684" t="n">
        <f aca="false">+D132</f>
        <v>560</v>
      </c>
      <c r="E133" s="669" t="s">
        <v>508</v>
      </c>
      <c r="F133" s="1584" t="n">
        <f aca="false">+'DG-PV Organic'!AI33</f>
        <v>98000000</v>
      </c>
      <c r="G133" s="1585" t="n">
        <v>1</v>
      </c>
      <c r="H133" s="1585"/>
      <c r="I133" s="1585"/>
      <c r="J133" s="1585"/>
      <c r="K133" s="1585"/>
      <c r="L133" s="1585"/>
      <c r="M133" s="1585"/>
      <c r="N133" s="1579"/>
      <c r="O133" s="1579"/>
      <c r="P133" s="1580" t="n">
        <f aca="false">SUM(G133:O133)</f>
        <v>1</v>
      </c>
      <c r="AA133" s="1576"/>
    </row>
    <row r="134" customFormat="false" ht="16.5" hidden="false" customHeight="true" outlineLevel="0" collapsed="false">
      <c r="B134" s="1612"/>
      <c r="C134" s="1625" t="str">
        <f aca="false">+'DG-PV Organic'!B34</f>
        <v>Korea Kospack</v>
      </c>
      <c r="D134" s="1611" t="n">
        <f aca="false">+'DG-PV Organic'!O34</f>
        <v>556.16</v>
      </c>
      <c r="E134" s="669" t="s">
        <v>112</v>
      </c>
      <c r="F134" s="1578" t="n">
        <v>1050000000</v>
      </c>
      <c r="G134" s="1579" t="n">
        <v>0.1</v>
      </c>
      <c r="H134" s="1579"/>
      <c r="I134" s="1579" t="n">
        <v>0.2</v>
      </c>
      <c r="J134" s="1579"/>
      <c r="K134" s="1579" t="n">
        <v>0.4</v>
      </c>
      <c r="L134" s="1579"/>
      <c r="M134" s="1579" t="n">
        <v>0.25</v>
      </c>
      <c r="N134" s="1579"/>
      <c r="O134" s="1579" t="n">
        <v>0.05</v>
      </c>
      <c r="P134" s="1580" t="n">
        <f aca="false">SUM(G134:O134)</f>
        <v>1</v>
      </c>
      <c r="AA134" s="1576"/>
    </row>
    <row r="135" customFormat="false" ht="16.5" hidden="false" customHeight="false" outlineLevel="0" collapsed="false">
      <c r="B135" s="1612"/>
      <c r="C135" s="1625"/>
      <c r="D135" s="1611" t="n">
        <f aca="false">+D134</f>
        <v>556.16</v>
      </c>
      <c r="E135" s="669" t="s">
        <v>114</v>
      </c>
      <c r="F135" s="1578" t="n">
        <v>300000000</v>
      </c>
      <c r="G135" s="1585" t="n">
        <v>0.3</v>
      </c>
      <c r="H135" s="1585"/>
      <c r="I135" s="1585" t="n">
        <v>0.1</v>
      </c>
      <c r="J135" s="1585"/>
      <c r="K135" s="1585" t="n">
        <v>0.5</v>
      </c>
      <c r="L135" s="1585"/>
      <c r="M135" s="1585" t="n">
        <v>0.1</v>
      </c>
      <c r="N135" s="1579"/>
      <c r="O135" s="1579"/>
      <c r="P135" s="1580" t="n">
        <f aca="false">SUM(G135:O135)</f>
        <v>1</v>
      </c>
      <c r="AA135" s="1576"/>
    </row>
    <row r="136" customFormat="false" ht="16.5" hidden="false" customHeight="false" outlineLevel="0" collapsed="false">
      <c r="B136" s="1612"/>
      <c r="C136" s="1625"/>
      <c r="D136" s="1611" t="n">
        <f aca="false">+D135</f>
        <v>556.16</v>
      </c>
      <c r="E136" s="669" t="s">
        <v>404</v>
      </c>
      <c r="F136" s="1584"/>
      <c r="G136" s="1579"/>
      <c r="H136" s="1579"/>
      <c r="I136" s="1579"/>
      <c r="J136" s="1579"/>
      <c r="K136" s="1579"/>
      <c r="L136" s="1579"/>
      <c r="M136" s="1579"/>
      <c r="N136" s="1579"/>
      <c r="O136" s="1579"/>
      <c r="P136" s="1580" t="n">
        <f aca="false">SUM(G136:O136)</f>
        <v>0</v>
      </c>
      <c r="AA136" s="1576"/>
    </row>
    <row r="137" customFormat="false" ht="16.5" hidden="false" customHeight="false" outlineLevel="0" collapsed="false">
      <c r="B137" s="1612"/>
      <c r="C137" s="1625"/>
      <c r="D137" s="684" t="n">
        <f aca="false">+D136</f>
        <v>556.16</v>
      </c>
      <c r="E137" s="669" t="s">
        <v>507</v>
      </c>
      <c r="F137" s="1584" t="n">
        <v>150000000</v>
      </c>
      <c r="G137" s="1585" t="n">
        <v>0.3</v>
      </c>
      <c r="H137" s="1585"/>
      <c r="I137" s="1585" t="n">
        <v>0.1</v>
      </c>
      <c r="J137" s="1585"/>
      <c r="K137" s="1585" t="n">
        <v>0.5</v>
      </c>
      <c r="L137" s="1585"/>
      <c r="M137" s="1585" t="n">
        <v>0.1</v>
      </c>
      <c r="N137" s="1579"/>
      <c r="O137" s="1579"/>
      <c r="P137" s="1580" t="n">
        <f aca="false">SUM(G137:O137)</f>
        <v>1</v>
      </c>
      <c r="AA137" s="1576"/>
    </row>
    <row r="138" customFormat="false" ht="16.5" hidden="false" customHeight="false" outlineLevel="0" collapsed="false">
      <c r="B138" s="1612"/>
      <c r="C138" s="1625"/>
      <c r="D138" s="684" t="n">
        <f aca="false">+D137</f>
        <v>556.16</v>
      </c>
      <c r="E138" s="669" t="s">
        <v>508</v>
      </c>
      <c r="F138" s="1584" t="n">
        <f aca="false">+'DG-PV Organic'!AI34</f>
        <v>97328000</v>
      </c>
      <c r="G138" s="1585" t="n">
        <v>1</v>
      </c>
      <c r="H138" s="1585"/>
      <c r="I138" s="1585"/>
      <c r="J138" s="1585"/>
      <c r="K138" s="1585"/>
      <c r="L138" s="1585"/>
      <c r="M138" s="1585"/>
      <c r="N138" s="1579"/>
      <c r="O138" s="1579"/>
      <c r="P138" s="1580" t="n">
        <f aca="false">SUM(G138:O138)</f>
        <v>1</v>
      </c>
      <c r="AA138" s="1576"/>
    </row>
    <row r="139" customFormat="false" ht="16.5" hidden="false" customHeight="true" outlineLevel="0" collapsed="false">
      <c r="B139" s="1612"/>
      <c r="C139" s="1625" t="str">
        <f aca="false">+'DG-PV Organic'!B35</f>
        <v>Pungcheon Im clan</v>
      </c>
      <c r="D139" s="1611" t="n">
        <f aca="false">+'DG-PV Organic'!O35</f>
        <v>188.16</v>
      </c>
      <c r="E139" s="669" t="s">
        <v>112</v>
      </c>
      <c r="F139" s="1578" t="n">
        <v>1050000000</v>
      </c>
      <c r="G139" s="1579" t="n">
        <v>0.1</v>
      </c>
      <c r="H139" s="1579"/>
      <c r="I139" s="1579" t="n">
        <v>0.2</v>
      </c>
      <c r="J139" s="1579"/>
      <c r="K139" s="1579" t="n">
        <v>0.4</v>
      </c>
      <c r="L139" s="1579"/>
      <c r="M139" s="1579" t="n">
        <v>0.25</v>
      </c>
      <c r="N139" s="1579"/>
      <c r="O139" s="1579" t="n">
        <v>0.05</v>
      </c>
      <c r="P139" s="1580" t="n">
        <f aca="false">SUM(G139:O139)</f>
        <v>1</v>
      </c>
      <c r="AA139" s="1576"/>
    </row>
    <row r="140" customFormat="false" ht="16.5" hidden="false" customHeight="false" outlineLevel="0" collapsed="false">
      <c r="B140" s="1612"/>
      <c r="C140" s="1625"/>
      <c r="D140" s="1611" t="n">
        <f aca="false">+D139</f>
        <v>188.16</v>
      </c>
      <c r="E140" s="669" t="s">
        <v>114</v>
      </c>
      <c r="F140" s="1578" t="n">
        <v>300000000</v>
      </c>
      <c r="G140" s="1585" t="n">
        <v>0.3</v>
      </c>
      <c r="H140" s="1585"/>
      <c r="I140" s="1585" t="n">
        <v>0.1</v>
      </c>
      <c r="J140" s="1585"/>
      <c r="K140" s="1585" t="n">
        <v>0.5</v>
      </c>
      <c r="L140" s="1585"/>
      <c r="M140" s="1585" t="n">
        <v>0.1</v>
      </c>
      <c r="N140" s="1579"/>
      <c r="O140" s="1579"/>
      <c r="P140" s="1580" t="n">
        <f aca="false">SUM(G140:O140)</f>
        <v>1</v>
      </c>
      <c r="AA140" s="1576"/>
    </row>
    <row r="141" customFormat="false" ht="16.5" hidden="false" customHeight="false" outlineLevel="0" collapsed="false">
      <c r="B141" s="1612"/>
      <c r="C141" s="1625"/>
      <c r="D141" s="1611" t="n">
        <f aca="false">+D140</f>
        <v>188.16</v>
      </c>
      <c r="E141" s="669" t="s">
        <v>404</v>
      </c>
      <c r="F141" s="1584"/>
      <c r="G141" s="1579"/>
      <c r="H141" s="1579"/>
      <c r="I141" s="1579"/>
      <c r="J141" s="1579"/>
      <c r="K141" s="1579"/>
      <c r="L141" s="1579"/>
      <c r="M141" s="1579"/>
      <c r="N141" s="1579"/>
      <c r="O141" s="1579"/>
      <c r="P141" s="1580" t="n">
        <f aca="false">SUM(G141:O141)</f>
        <v>0</v>
      </c>
      <c r="AA141" s="1576"/>
    </row>
    <row r="142" customFormat="false" ht="16.5" hidden="false" customHeight="false" outlineLevel="0" collapsed="false">
      <c r="B142" s="1612"/>
      <c r="C142" s="1625"/>
      <c r="D142" s="684" t="n">
        <f aca="false">+D141</f>
        <v>188.16</v>
      </c>
      <c r="E142" s="669" t="s">
        <v>507</v>
      </c>
      <c r="F142" s="1584" t="n">
        <v>150000000</v>
      </c>
      <c r="G142" s="1585" t="n">
        <v>0.3</v>
      </c>
      <c r="H142" s="1585"/>
      <c r="I142" s="1585" t="n">
        <v>0.1</v>
      </c>
      <c r="J142" s="1585"/>
      <c r="K142" s="1585" t="n">
        <v>0.5</v>
      </c>
      <c r="L142" s="1585"/>
      <c r="M142" s="1585" t="n">
        <v>0.1</v>
      </c>
      <c r="N142" s="1579"/>
      <c r="O142" s="1579"/>
      <c r="P142" s="1580" t="n">
        <f aca="false">SUM(G142:O142)</f>
        <v>1</v>
      </c>
      <c r="AA142" s="1576"/>
    </row>
    <row r="143" customFormat="false" ht="16.5" hidden="false" customHeight="false" outlineLevel="0" collapsed="false">
      <c r="B143" s="1612"/>
      <c r="C143" s="1625"/>
      <c r="D143" s="684" t="n">
        <f aca="false">+D142</f>
        <v>188.16</v>
      </c>
      <c r="E143" s="669" t="s">
        <v>508</v>
      </c>
      <c r="F143" s="1584" t="n">
        <f aca="false">+'DG-PV Organic'!AI35</f>
        <v>32928000</v>
      </c>
      <c r="G143" s="1585" t="n">
        <v>1</v>
      </c>
      <c r="H143" s="1585"/>
      <c r="I143" s="1585"/>
      <c r="J143" s="1585"/>
      <c r="K143" s="1585"/>
      <c r="L143" s="1585"/>
      <c r="M143" s="1585"/>
      <c r="N143" s="1579"/>
      <c r="O143" s="1579"/>
      <c r="P143" s="1580" t="n">
        <f aca="false">SUM(G143:O143)</f>
        <v>1</v>
      </c>
      <c r="AA143" s="1576"/>
    </row>
    <row r="144" customFormat="false" ht="16.5" hidden="false" customHeight="false" outlineLevel="0" collapsed="false">
      <c r="B144" s="1612"/>
      <c r="C144" s="1626" t="str">
        <f aca="false">+'DG-PV Organic'!B38</f>
        <v>Guemjeong Techno</v>
      </c>
      <c r="D144" s="1627" t="n">
        <f aca="false">+'DG-PV Organic'!O38</f>
        <v>122</v>
      </c>
      <c r="E144" s="669" t="s">
        <v>112</v>
      </c>
      <c r="F144" s="1578" t="n">
        <v>1050000000</v>
      </c>
      <c r="G144" s="1628" t="n">
        <v>0.1</v>
      </c>
      <c r="H144" s="1628"/>
      <c r="I144" s="1628" t="n">
        <v>0.2</v>
      </c>
      <c r="J144" s="1628"/>
      <c r="K144" s="1628" t="n">
        <v>0.4</v>
      </c>
      <c r="L144" s="1628"/>
      <c r="M144" s="1628" t="n">
        <v>0.25</v>
      </c>
      <c r="N144" s="1628"/>
      <c r="O144" s="1628" t="n">
        <v>0.05</v>
      </c>
      <c r="P144" s="1629" t="n">
        <f aca="false">SUM(G144:O144)</f>
        <v>1</v>
      </c>
      <c r="AA144" s="1576"/>
    </row>
    <row r="145" customFormat="false" ht="16.5" hidden="false" customHeight="false" outlineLevel="0" collapsed="false">
      <c r="B145" s="1612"/>
      <c r="C145" s="1626"/>
      <c r="D145" s="1627" t="n">
        <f aca="false">+D144</f>
        <v>122</v>
      </c>
      <c r="E145" s="669" t="s">
        <v>114</v>
      </c>
      <c r="F145" s="1578" t="n">
        <v>300000000</v>
      </c>
      <c r="G145" s="1585" t="n">
        <v>0.3</v>
      </c>
      <c r="H145" s="1585"/>
      <c r="I145" s="1585" t="n">
        <v>0.1</v>
      </c>
      <c r="J145" s="1585"/>
      <c r="K145" s="1585" t="n">
        <v>0.5</v>
      </c>
      <c r="L145" s="1585"/>
      <c r="M145" s="1585" t="n">
        <v>0.1</v>
      </c>
      <c r="N145" s="1628"/>
      <c r="O145" s="1628"/>
      <c r="P145" s="1629" t="n">
        <f aca="false">SUM(G145:O145)</f>
        <v>1</v>
      </c>
      <c r="AA145" s="1576"/>
    </row>
    <row r="146" customFormat="false" ht="16.5" hidden="false" customHeight="false" outlineLevel="0" collapsed="false">
      <c r="B146" s="1612"/>
      <c r="C146" s="1626"/>
      <c r="D146" s="1627" t="n">
        <f aca="false">+D145</f>
        <v>122</v>
      </c>
      <c r="E146" s="669" t="s">
        <v>404</v>
      </c>
      <c r="F146" s="1584"/>
      <c r="G146" s="1628"/>
      <c r="H146" s="1628"/>
      <c r="I146" s="1628"/>
      <c r="J146" s="1628"/>
      <c r="K146" s="1628"/>
      <c r="L146" s="1628"/>
      <c r="M146" s="1628"/>
      <c r="N146" s="1628"/>
      <c r="O146" s="1628"/>
      <c r="P146" s="1629" t="n">
        <f aca="false">SUM(G146:O146)</f>
        <v>0</v>
      </c>
      <c r="AA146" s="1576"/>
    </row>
    <row r="147" customFormat="false" ht="16.5" hidden="false" customHeight="false" outlineLevel="0" collapsed="false">
      <c r="B147" s="1612"/>
      <c r="C147" s="1626"/>
      <c r="D147" s="684" t="n">
        <f aca="false">+D146</f>
        <v>122</v>
      </c>
      <c r="E147" s="669" t="s">
        <v>507</v>
      </c>
      <c r="F147" s="1584" t="n">
        <v>150000000</v>
      </c>
      <c r="G147" s="1585" t="n">
        <v>0.3</v>
      </c>
      <c r="H147" s="1585"/>
      <c r="I147" s="1585" t="n">
        <v>0.1</v>
      </c>
      <c r="J147" s="1585"/>
      <c r="K147" s="1585" t="n">
        <v>0.5</v>
      </c>
      <c r="L147" s="1585"/>
      <c r="M147" s="1585" t="n">
        <v>0.1</v>
      </c>
      <c r="N147" s="1628"/>
      <c r="O147" s="1628"/>
      <c r="P147" s="1629" t="n">
        <f aca="false">SUM(G147:O147)</f>
        <v>1</v>
      </c>
      <c r="AA147" s="1576"/>
    </row>
    <row r="148" customFormat="false" ht="16.5" hidden="false" customHeight="false" outlineLevel="0" collapsed="false">
      <c r="B148" s="1612"/>
      <c r="C148" s="1626"/>
      <c r="D148" s="684" t="n">
        <f aca="false">+D147</f>
        <v>122</v>
      </c>
      <c r="E148" s="669" t="s">
        <v>508</v>
      </c>
      <c r="F148" s="1584" t="n">
        <f aca="false">+'DG-PV Organic'!AI38</f>
        <v>21350000</v>
      </c>
      <c r="G148" s="1585" t="n">
        <v>1</v>
      </c>
      <c r="H148" s="1585"/>
      <c r="I148" s="1585"/>
      <c r="J148" s="1585"/>
      <c r="K148" s="1585"/>
      <c r="L148" s="1585"/>
      <c r="M148" s="1585"/>
      <c r="N148" s="1628"/>
      <c r="O148" s="1628"/>
      <c r="P148" s="1629" t="n">
        <f aca="false">SUM(G148:O148)</f>
        <v>1</v>
      </c>
      <c r="AA148" s="1576"/>
    </row>
    <row r="149" customFormat="false" ht="16.5" hidden="false" customHeight="false" outlineLevel="0" collapsed="false">
      <c r="B149" s="1612"/>
      <c r="C149" s="1626" t="str">
        <f aca="false">+'DG-PV Organic'!B39</f>
        <v>Epyeonan nursing home</v>
      </c>
      <c r="D149" s="1627" t="n">
        <f aca="false">+'DG-PV Organic'!O39</f>
        <v>172</v>
      </c>
      <c r="E149" s="669" t="s">
        <v>112</v>
      </c>
      <c r="F149" s="1578" t="n">
        <v>1050000000</v>
      </c>
      <c r="G149" s="1628" t="n">
        <v>0.1</v>
      </c>
      <c r="H149" s="1628"/>
      <c r="I149" s="1628" t="n">
        <v>0.2</v>
      </c>
      <c r="J149" s="1628"/>
      <c r="K149" s="1628" t="n">
        <v>0.4</v>
      </c>
      <c r="L149" s="1628"/>
      <c r="M149" s="1628" t="n">
        <v>0.25</v>
      </c>
      <c r="N149" s="1628"/>
      <c r="O149" s="1628" t="n">
        <v>0.05</v>
      </c>
      <c r="P149" s="1629" t="n">
        <f aca="false">SUM(G149:O149)</f>
        <v>1</v>
      </c>
      <c r="AA149" s="1576"/>
    </row>
    <row r="150" customFormat="false" ht="16.5" hidden="false" customHeight="false" outlineLevel="0" collapsed="false">
      <c r="B150" s="1612"/>
      <c r="C150" s="1626"/>
      <c r="D150" s="1627" t="n">
        <f aca="false">+D149</f>
        <v>172</v>
      </c>
      <c r="E150" s="669" t="s">
        <v>114</v>
      </c>
      <c r="F150" s="1578" t="n">
        <v>300000000</v>
      </c>
      <c r="G150" s="1585" t="n">
        <v>0.3</v>
      </c>
      <c r="H150" s="1585"/>
      <c r="I150" s="1585" t="n">
        <v>0.1</v>
      </c>
      <c r="J150" s="1585"/>
      <c r="K150" s="1585" t="n">
        <v>0.5</v>
      </c>
      <c r="L150" s="1585"/>
      <c r="M150" s="1585" t="n">
        <v>0.1</v>
      </c>
      <c r="N150" s="1628"/>
      <c r="O150" s="1628"/>
      <c r="P150" s="1629" t="n">
        <f aca="false">SUM(G150:O150)</f>
        <v>1</v>
      </c>
      <c r="AA150" s="1576"/>
    </row>
    <row r="151" customFormat="false" ht="16.5" hidden="false" customHeight="false" outlineLevel="0" collapsed="false">
      <c r="B151" s="1612"/>
      <c r="C151" s="1626"/>
      <c r="D151" s="1627" t="n">
        <f aca="false">+D150</f>
        <v>172</v>
      </c>
      <c r="E151" s="669" t="s">
        <v>404</v>
      </c>
      <c r="F151" s="1584"/>
      <c r="G151" s="1628"/>
      <c r="H151" s="1628"/>
      <c r="I151" s="1628"/>
      <c r="J151" s="1628"/>
      <c r="K151" s="1628"/>
      <c r="L151" s="1628"/>
      <c r="M151" s="1628"/>
      <c r="N151" s="1628"/>
      <c r="O151" s="1628"/>
      <c r="P151" s="1629" t="n">
        <f aca="false">SUM(G151:O151)</f>
        <v>0</v>
      </c>
      <c r="AA151" s="1576"/>
    </row>
    <row r="152" customFormat="false" ht="16.5" hidden="false" customHeight="false" outlineLevel="0" collapsed="false">
      <c r="B152" s="1612"/>
      <c r="C152" s="1626"/>
      <c r="D152" s="684" t="n">
        <f aca="false">+D151</f>
        <v>172</v>
      </c>
      <c r="E152" s="669" t="s">
        <v>507</v>
      </c>
      <c r="F152" s="1584" t="n">
        <v>150000000</v>
      </c>
      <c r="G152" s="1585" t="n">
        <v>0.3</v>
      </c>
      <c r="H152" s="1585"/>
      <c r="I152" s="1585" t="n">
        <v>0.1</v>
      </c>
      <c r="J152" s="1585"/>
      <c r="K152" s="1585" t="n">
        <v>0.5</v>
      </c>
      <c r="L152" s="1585"/>
      <c r="M152" s="1585" t="n">
        <v>0.1</v>
      </c>
      <c r="N152" s="1628"/>
      <c r="O152" s="1628"/>
      <c r="P152" s="1629" t="n">
        <f aca="false">SUM(G152:O152)</f>
        <v>1</v>
      </c>
      <c r="AA152" s="1576"/>
    </row>
    <row r="153" customFormat="false" ht="16.5" hidden="false" customHeight="false" outlineLevel="0" collapsed="false">
      <c r="B153" s="1612"/>
      <c r="C153" s="1626"/>
      <c r="D153" s="684" t="n">
        <f aca="false">+D152</f>
        <v>172</v>
      </c>
      <c r="E153" s="669" t="s">
        <v>508</v>
      </c>
      <c r="F153" s="1584" t="n">
        <f aca="false">+'DG-PV Organic'!AI39</f>
        <v>30100000</v>
      </c>
      <c r="G153" s="1585" t="n">
        <v>1</v>
      </c>
      <c r="H153" s="1585"/>
      <c r="I153" s="1585"/>
      <c r="J153" s="1585"/>
      <c r="K153" s="1585"/>
      <c r="L153" s="1585"/>
      <c r="M153" s="1585"/>
      <c r="N153" s="1628"/>
      <c r="O153" s="1628"/>
      <c r="P153" s="1629" t="n">
        <f aca="false">SUM(G153:O153)</f>
        <v>1</v>
      </c>
      <c r="AA153" s="1576"/>
    </row>
    <row r="154" customFormat="false" ht="16.5" hidden="false" customHeight="false" outlineLevel="0" collapsed="false">
      <c r="B154" s="1612"/>
      <c r="C154" s="1630"/>
      <c r="D154" s="1611"/>
      <c r="E154" s="669" t="s">
        <v>112</v>
      </c>
      <c r="F154" s="1578" t="n">
        <v>1050000000</v>
      </c>
      <c r="G154" s="1579" t="n">
        <v>0.1</v>
      </c>
      <c r="H154" s="1579"/>
      <c r="I154" s="1579" t="n">
        <v>0.2</v>
      </c>
      <c r="J154" s="1579"/>
      <c r="K154" s="1579" t="n">
        <v>0.4</v>
      </c>
      <c r="L154" s="1579"/>
      <c r="M154" s="1579" t="n">
        <v>0.25</v>
      </c>
      <c r="N154" s="1579"/>
      <c r="O154" s="1579" t="n">
        <v>0.05</v>
      </c>
      <c r="P154" s="1580" t="n">
        <f aca="false">SUM(G154:O154)</f>
        <v>1</v>
      </c>
      <c r="AA154" s="1576"/>
    </row>
    <row r="155" customFormat="false" ht="16.5" hidden="false" customHeight="false" outlineLevel="0" collapsed="false">
      <c r="B155" s="1612"/>
      <c r="C155" s="1630"/>
      <c r="D155" s="1611" t="n">
        <f aca="false">+D154</f>
        <v>0</v>
      </c>
      <c r="E155" s="669" t="s">
        <v>114</v>
      </c>
      <c r="F155" s="1578" t="n">
        <v>300000000</v>
      </c>
      <c r="G155" s="1585" t="n">
        <v>0.3</v>
      </c>
      <c r="H155" s="1585"/>
      <c r="I155" s="1585" t="n">
        <v>0.1</v>
      </c>
      <c r="J155" s="1585"/>
      <c r="K155" s="1585" t="n">
        <v>0.5</v>
      </c>
      <c r="L155" s="1585"/>
      <c r="M155" s="1585" t="n">
        <v>0.1</v>
      </c>
      <c r="N155" s="1579"/>
      <c r="O155" s="1579"/>
      <c r="P155" s="1580" t="n">
        <f aca="false">SUM(G155:O155)</f>
        <v>1</v>
      </c>
      <c r="AA155" s="1576"/>
    </row>
    <row r="156" customFormat="false" ht="16.5" hidden="false" customHeight="false" outlineLevel="0" collapsed="false">
      <c r="B156" s="1612"/>
      <c r="C156" s="1630"/>
      <c r="D156" s="1611" t="n">
        <f aca="false">+D155</f>
        <v>0</v>
      </c>
      <c r="E156" s="669" t="s">
        <v>404</v>
      </c>
      <c r="F156" s="1584" t="n">
        <v>150000000</v>
      </c>
      <c r="G156" s="1579"/>
      <c r="H156" s="1579"/>
      <c r="I156" s="1579"/>
      <c r="J156" s="1579"/>
      <c r="K156" s="1579"/>
      <c r="L156" s="1579"/>
      <c r="M156" s="1579"/>
      <c r="N156" s="1579"/>
      <c r="O156" s="1579"/>
      <c r="P156" s="1580" t="n">
        <f aca="false">SUM(G156:O156)</f>
        <v>0</v>
      </c>
      <c r="AA156" s="1576"/>
    </row>
    <row r="157" customFormat="false" ht="16.5" hidden="false" customHeight="false" outlineLevel="0" collapsed="false">
      <c r="B157" s="1612"/>
      <c r="C157" s="1630"/>
      <c r="D157" s="684" t="n">
        <f aca="false">+D156</f>
        <v>0</v>
      </c>
      <c r="E157" s="669" t="s">
        <v>507</v>
      </c>
      <c r="F157" s="1586"/>
      <c r="G157" s="1585" t="n">
        <v>0.3</v>
      </c>
      <c r="H157" s="1585"/>
      <c r="I157" s="1585" t="n">
        <v>0.1</v>
      </c>
      <c r="J157" s="1585"/>
      <c r="K157" s="1585" t="n">
        <v>0.5</v>
      </c>
      <c r="L157" s="1585"/>
      <c r="M157" s="1585" t="n">
        <v>0.1</v>
      </c>
      <c r="N157" s="1579"/>
      <c r="O157" s="1579"/>
      <c r="P157" s="1580" t="n">
        <f aca="false">SUM(G157:O157)</f>
        <v>1</v>
      </c>
      <c r="AA157" s="1576"/>
    </row>
    <row r="158" customFormat="false" ht="16.5" hidden="false" customHeight="false" outlineLevel="0" collapsed="false">
      <c r="B158" s="1612"/>
      <c r="C158" s="1630"/>
      <c r="D158" s="1588" t="n">
        <f aca="false">+D157</f>
        <v>0</v>
      </c>
      <c r="E158" s="803" t="s">
        <v>508</v>
      </c>
      <c r="F158" s="1589"/>
      <c r="G158" s="1590" t="n">
        <v>1</v>
      </c>
      <c r="H158" s="1590"/>
      <c r="I158" s="1590"/>
      <c r="J158" s="1590"/>
      <c r="K158" s="1590"/>
      <c r="L158" s="1590"/>
      <c r="M158" s="1590"/>
      <c r="N158" s="1591"/>
      <c r="O158" s="1591"/>
      <c r="P158" s="1592" t="n">
        <f aca="false">SUM(G158:O158)</f>
        <v>1</v>
      </c>
      <c r="AA158" s="1576"/>
    </row>
    <row r="159" customFormat="false" ht="16.5" hidden="false" customHeight="false" outlineLevel="0" collapsed="false">
      <c r="B159" s="1631" t="s">
        <v>560</v>
      </c>
      <c r="C159" s="1613" t="s">
        <v>1492</v>
      </c>
      <c r="D159" s="1632" t="n">
        <f aca="false">+'DG-PV Organic'!O13</f>
        <v>3065.3</v>
      </c>
      <c r="E159" s="1607" t="s">
        <v>112</v>
      </c>
      <c r="F159" s="1608" t="n">
        <v>1050000000</v>
      </c>
      <c r="G159" s="1609" t="n">
        <v>0.1</v>
      </c>
      <c r="H159" s="1609"/>
      <c r="I159" s="1609" t="n">
        <v>0.2</v>
      </c>
      <c r="J159" s="1609"/>
      <c r="K159" s="1609" t="n">
        <v>0.4</v>
      </c>
      <c r="L159" s="1609"/>
      <c r="M159" s="1609" t="n">
        <v>0.25</v>
      </c>
      <c r="N159" s="1609"/>
      <c r="O159" s="1609" t="n">
        <v>0.05</v>
      </c>
      <c r="P159" s="1610" t="n">
        <f aca="false">SUM(G159:O159)</f>
        <v>1</v>
      </c>
      <c r="AA159" s="1576"/>
    </row>
    <row r="160" customFormat="false" ht="16.5" hidden="false" customHeight="false" outlineLevel="0" collapsed="false">
      <c r="B160" s="1631"/>
      <c r="C160" s="1613"/>
      <c r="D160" s="631" t="n">
        <f aca="false">+D159</f>
        <v>3065.3</v>
      </c>
      <c r="E160" s="669" t="s">
        <v>114</v>
      </c>
      <c r="F160" s="1578" t="n">
        <v>300000000</v>
      </c>
      <c r="G160" s="1579" t="n">
        <v>0.2</v>
      </c>
      <c r="H160" s="1579"/>
      <c r="I160" s="1579" t="n">
        <v>0.2</v>
      </c>
      <c r="J160" s="1579"/>
      <c r="K160" s="1579" t="n">
        <v>0.5</v>
      </c>
      <c r="L160" s="1579"/>
      <c r="M160" s="1579" t="n">
        <v>0.1</v>
      </c>
      <c r="N160" s="1579"/>
      <c r="O160" s="1579"/>
      <c r="P160" s="1580" t="n">
        <f aca="false">SUM(G160:O160)</f>
        <v>1</v>
      </c>
      <c r="AA160" s="1576"/>
    </row>
    <row r="161" customFormat="false" ht="16.5" hidden="false" customHeight="false" outlineLevel="0" collapsed="false">
      <c r="B161" s="1631"/>
      <c r="C161" s="1613"/>
      <c r="D161" s="631" t="n">
        <f aca="false">+D160</f>
        <v>3065.3</v>
      </c>
      <c r="E161" s="669" t="s">
        <v>404</v>
      </c>
      <c r="F161" s="1578"/>
      <c r="G161" s="1579"/>
      <c r="H161" s="1579"/>
      <c r="I161" s="1579"/>
      <c r="J161" s="1579"/>
      <c r="K161" s="1579"/>
      <c r="L161" s="1579"/>
      <c r="M161" s="1579"/>
      <c r="N161" s="1579"/>
      <c r="O161" s="1579"/>
      <c r="P161" s="1580" t="n">
        <f aca="false">SUM(G161:O161)</f>
        <v>0</v>
      </c>
      <c r="AA161" s="1576"/>
    </row>
    <row r="162" customFormat="false" ht="17.25" hidden="false" customHeight="true" outlineLevel="0" collapsed="false">
      <c r="B162" s="1631"/>
      <c r="C162" s="1613"/>
      <c r="D162" s="631" t="n">
        <f aca="false">+D161</f>
        <v>3065.3</v>
      </c>
      <c r="E162" s="669" t="s">
        <v>507</v>
      </c>
      <c r="F162" s="1578" t="n">
        <v>200000000</v>
      </c>
      <c r="G162" s="1579" t="n">
        <v>0.2</v>
      </c>
      <c r="H162" s="1579"/>
      <c r="I162" s="1579" t="n">
        <v>0.2</v>
      </c>
      <c r="J162" s="1579"/>
      <c r="K162" s="1579" t="n">
        <v>0.5</v>
      </c>
      <c r="L162" s="1579"/>
      <c r="M162" s="1579" t="n">
        <v>0.1</v>
      </c>
      <c r="N162" s="1579"/>
      <c r="O162" s="1579"/>
      <c r="P162" s="1580" t="n">
        <f aca="false">SUM(G162:O162)</f>
        <v>1</v>
      </c>
      <c r="AA162" s="1576"/>
    </row>
    <row r="163" customFormat="false" ht="17.25" hidden="false" customHeight="true" outlineLevel="0" collapsed="false">
      <c r="B163" s="1631"/>
      <c r="C163" s="1613"/>
      <c r="D163" s="631" t="n">
        <f aca="false">+D162</f>
        <v>3065.3</v>
      </c>
      <c r="E163" s="669" t="s">
        <v>508</v>
      </c>
      <c r="F163" s="1584" t="n">
        <f aca="false">+'DG-PV Organic'!AI13</f>
        <v>613060000</v>
      </c>
      <c r="G163" s="1585" t="n">
        <v>1</v>
      </c>
      <c r="H163" s="1585"/>
      <c r="I163" s="1585"/>
      <c r="J163" s="1585"/>
      <c r="K163" s="1585"/>
      <c r="L163" s="1585"/>
      <c r="M163" s="1585"/>
      <c r="N163" s="1579"/>
      <c r="O163" s="1579"/>
      <c r="P163" s="1580" t="n">
        <f aca="false">SUM(G163:O163)</f>
        <v>1</v>
      </c>
      <c r="AA163" s="1576"/>
    </row>
    <row r="164" customFormat="false" ht="16.5" hidden="false" customHeight="false" outlineLevel="0" collapsed="false">
      <c r="B164" s="1631"/>
      <c r="C164" s="1625" t="s">
        <v>460</v>
      </c>
      <c r="D164" s="1611" t="n">
        <v>150</v>
      </c>
      <c r="E164" s="669" t="s">
        <v>112</v>
      </c>
      <c r="F164" s="1578" t="n">
        <v>1050000000</v>
      </c>
      <c r="G164" s="1579" t="n">
        <v>0.1</v>
      </c>
      <c r="H164" s="1579"/>
      <c r="I164" s="1579" t="n">
        <v>0.2</v>
      </c>
      <c r="J164" s="1579"/>
      <c r="K164" s="1579" t="n">
        <v>0.4</v>
      </c>
      <c r="L164" s="1579"/>
      <c r="M164" s="1579" t="n">
        <v>0.25</v>
      </c>
      <c r="N164" s="1579"/>
      <c r="O164" s="1579" t="n">
        <v>0.05</v>
      </c>
      <c r="P164" s="1580" t="n">
        <f aca="false">SUM(G164:O164)</f>
        <v>1</v>
      </c>
      <c r="AA164" s="1576"/>
    </row>
    <row r="165" customFormat="false" ht="16.5" hidden="false" customHeight="false" outlineLevel="0" collapsed="false">
      <c r="B165" s="1631"/>
      <c r="C165" s="1625"/>
      <c r="D165" s="684" t="n">
        <v>150</v>
      </c>
      <c r="E165" s="669" t="s">
        <v>114</v>
      </c>
      <c r="F165" s="1578" t="n">
        <v>300000000</v>
      </c>
      <c r="G165" s="1579" t="n">
        <v>0.2</v>
      </c>
      <c r="H165" s="1579"/>
      <c r="I165" s="1579" t="n">
        <v>0.2</v>
      </c>
      <c r="J165" s="1579"/>
      <c r="K165" s="1579" t="n">
        <v>0.5</v>
      </c>
      <c r="L165" s="1579"/>
      <c r="M165" s="1579" t="n">
        <v>0.1</v>
      </c>
      <c r="N165" s="1579"/>
      <c r="O165" s="1579"/>
      <c r="P165" s="1580" t="n">
        <f aca="false">SUM(G165:O165)</f>
        <v>1</v>
      </c>
      <c r="AA165" s="1576"/>
    </row>
    <row r="166" customFormat="false" ht="16.5" hidden="false" customHeight="false" outlineLevel="0" collapsed="false">
      <c r="B166" s="1631"/>
      <c r="C166" s="1625"/>
      <c r="D166" s="684" t="n">
        <v>150</v>
      </c>
      <c r="E166" s="669" t="s">
        <v>404</v>
      </c>
      <c r="F166" s="1578"/>
      <c r="G166" s="1579"/>
      <c r="H166" s="1579"/>
      <c r="I166" s="1579"/>
      <c r="J166" s="1579"/>
      <c r="K166" s="1579"/>
      <c r="L166" s="1579"/>
      <c r="M166" s="1579"/>
      <c r="N166" s="1579"/>
      <c r="O166" s="1579"/>
      <c r="P166" s="1580" t="n">
        <f aca="false">SUM(G166:O166)</f>
        <v>0</v>
      </c>
      <c r="AA166" s="1576"/>
    </row>
    <row r="167" customFormat="false" ht="17.25" hidden="false" customHeight="true" outlineLevel="0" collapsed="false">
      <c r="B167" s="1631"/>
      <c r="C167" s="1625"/>
      <c r="D167" s="684" t="n">
        <v>150</v>
      </c>
      <c r="E167" s="669" t="s">
        <v>507</v>
      </c>
      <c r="F167" s="1578" t="n">
        <v>200000000</v>
      </c>
      <c r="G167" s="1579" t="n">
        <v>0.2</v>
      </c>
      <c r="H167" s="1579"/>
      <c r="I167" s="1579" t="n">
        <v>0.2</v>
      </c>
      <c r="J167" s="1579"/>
      <c r="K167" s="1579" t="n">
        <v>0.5</v>
      </c>
      <c r="L167" s="1579"/>
      <c r="M167" s="1579" t="n">
        <v>0.1</v>
      </c>
      <c r="N167" s="1579"/>
      <c r="O167" s="1579"/>
      <c r="P167" s="1580" t="n">
        <f aca="false">SUM(G167:O167)</f>
        <v>1</v>
      </c>
      <c r="AA167" s="1576"/>
    </row>
    <row r="168" customFormat="false" ht="17.25" hidden="false" customHeight="true" outlineLevel="0" collapsed="false">
      <c r="B168" s="1631"/>
      <c r="C168" s="1625"/>
      <c r="D168" s="684" t="n">
        <f aca="false">+D167</f>
        <v>150</v>
      </c>
      <c r="E168" s="669" t="s">
        <v>508</v>
      </c>
      <c r="F168" s="1584" t="n">
        <f aca="false">+'DG-PV Organic'!AI17</f>
        <v>30000000</v>
      </c>
      <c r="G168" s="1585" t="n">
        <v>1</v>
      </c>
      <c r="H168" s="1585"/>
      <c r="I168" s="1585"/>
      <c r="J168" s="1585"/>
      <c r="K168" s="1585"/>
      <c r="L168" s="1585"/>
      <c r="M168" s="1585"/>
      <c r="N168" s="1579"/>
      <c r="O168" s="1579"/>
      <c r="P168" s="1580" t="n">
        <f aca="false">SUM(G168:O168)</f>
        <v>1</v>
      </c>
      <c r="AA168" s="1576"/>
    </row>
    <row r="169" customFormat="false" ht="16.5" hidden="false" customHeight="false" outlineLevel="0" collapsed="false">
      <c r="B169" s="1631"/>
      <c r="C169" s="1625" t="s">
        <v>1538</v>
      </c>
      <c r="D169" s="1587" t="n">
        <v>144.15</v>
      </c>
      <c r="E169" s="669" t="s">
        <v>112</v>
      </c>
      <c r="F169" s="1578" t="n">
        <v>1050000000</v>
      </c>
      <c r="G169" s="1579" t="n">
        <v>0.1</v>
      </c>
      <c r="H169" s="1579"/>
      <c r="I169" s="1579" t="n">
        <v>0.2</v>
      </c>
      <c r="J169" s="1579"/>
      <c r="K169" s="1579" t="n">
        <v>0.4</v>
      </c>
      <c r="L169" s="1579"/>
      <c r="M169" s="1579" t="n">
        <v>0.25</v>
      </c>
      <c r="N169" s="1579"/>
      <c r="O169" s="1579" t="n">
        <v>0.05</v>
      </c>
      <c r="P169" s="1580" t="n">
        <f aca="false">SUM(G169:O169)</f>
        <v>1</v>
      </c>
      <c r="AA169" s="1576"/>
    </row>
    <row r="170" customFormat="false" ht="16.5" hidden="false" customHeight="false" outlineLevel="0" collapsed="false">
      <c r="B170" s="1631"/>
      <c r="C170" s="1625"/>
      <c r="D170" s="1476" t="n">
        <v>144.15</v>
      </c>
      <c r="E170" s="669" t="s">
        <v>114</v>
      </c>
      <c r="F170" s="1578" t="n">
        <v>300000000</v>
      </c>
      <c r="G170" s="1579" t="n">
        <v>0.2</v>
      </c>
      <c r="H170" s="1579"/>
      <c r="I170" s="1579" t="n">
        <v>0.2</v>
      </c>
      <c r="J170" s="1579"/>
      <c r="K170" s="1579" t="n">
        <v>0.5</v>
      </c>
      <c r="L170" s="1579"/>
      <c r="M170" s="1579" t="n">
        <v>0.1</v>
      </c>
      <c r="N170" s="1579"/>
      <c r="O170" s="1579"/>
      <c r="P170" s="1580" t="n">
        <f aca="false">SUM(G170:O170)</f>
        <v>1</v>
      </c>
      <c r="AA170" s="1576"/>
    </row>
    <row r="171" customFormat="false" ht="16.5" hidden="false" customHeight="false" outlineLevel="0" collapsed="false">
      <c r="B171" s="1631"/>
      <c r="C171" s="1625"/>
      <c r="D171" s="1476" t="n">
        <v>144.15</v>
      </c>
      <c r="E171" s="669" t="s">
        <v>404</v>
      </c>
      <c r="F171" s="1578"/>
      <c r="G171" s="1579"/>
      <c r="H171" s="1579"/>
      <c r="I171" s="1579"/>
      <c r="J171" s="1579"/>
      <c r="K171" s="1579"/>
      <c r="L171" s="1579"/>
      <c r="M171" s="1579"/>
      <c r="N171" s="1579"/>
      <c r="O171" s="1579"/>
      <c r="P171" s="1580" t="n">
        <f aca="false">SUM(G171:O171)</f>
        <v>0</v>
      </c>
      <c r="AA171" s="1576"/>
    </row>
    <row r="172" customFormat="false" ht="17.25" hidden="false" customHeight="true" outlineLevel="0" collapsed="false">
      <c r="B172" s="1631"/>
      <c r="C172" s="1625"/>
      <c r="D172" s="1476" t="n">
        <v>144.15</v>
      </c>
      <c r="E172" s="669" t="s">
        <v>507</v>
      </c>
      <c r="F172" s="1578" t="n">
        <v>200000000</v>
      </c>
      <c r="G172" s="1579" t="n">
        <v>0.2</v>
      </c>
      <c r="H172" s="1579"/>
      <c r="I172" s="1579" t="n">
        <v>0.2</v>
      </c>
      <c r="J172" s="1579"/>
      <c r="K172" s="1579" t="n">
        <v>0.5</v>
      </c>
      <c r="L172" s="1579"/>
      <c r="M172" s="1579" t="n">
        <v>0.1</v>
      </c>
      <c r="N172" s="1579"/>
      <c r="O172" s="1579"/>
      <c r="P172" s="1580" t="n">
        <f aca="false">SUM(G172:O172)</f>
        <v>1</v>
      </c>
      <c r="AA172" s="1576"/>
    </row>
    <row r="173" customFormat="false" ht="17.25" hidden="false" customHeight="true" outlineLevel="0" collapsed="false">
      <c r="B173" s="1631"/>
      <c r="C173" s="1625"/>
      <c r="D173" s="684" t="n">
        <f aca="false">+D172</f>
        <v>144.15</v>
      </c>
      <c r="E173" s="669" t="s">
        <v>508</v>
      </c>
      <c r="F173" s="1584" t="n">
        <f aca="false">+'DG-PV Organic'!AI7</f>
        <v>28830000</v>
      </c>
      <c r="G173" s="1585" t="n">
        <v>1</v>
      </c>
      <c r="H173" s="1585"/>
      <c r="I173" s="1585"/>
      <c r="J173" s="1585"/>
      <c r="K173" s="1585"/>
      <c r="L173" s="1585"/>
      <c r="M173" s="1585"/>
      <c r="N173" s="1579"/>
      <c r="O173" s="1579"/>
      <c r="P173" s="1580" t="n">
        <f aca="false">SUM(G173:O173)</f>
        <v>1</v>
      </c>
      <c r="AA173" s="1576"/>
    </row>
    <row r="174" customFormat="false" ht="16.5" hidden="false" customHeight="false" outlineLevel="0" collapsed="false">
      <c r="B174" s="1631"/>
      <c r="C174" s="1625" t="s">
        <v>829</v>
      </c>
      <c r="D174" s="1587" t="n">
        <v>138.43</v>
      </c>
      <c r="E174" s="669" t="s">
        <v>112</v>
      </c>
      <c r="F174" s="1578" t="n">
        <v>1050000000</v>
      </c>
      <c r="G174" s="1579" t="n">
        <v>0.1</v>
      </c>
      <c r="H174" s="1579"/>
      <c r="I174" s="1579" t="n">
        <v>0.2</v>
      </c>
      <c r="J174" s="1579"/>
      <c r="K174" s="1579" t="n">
        <v>0.4</v>
      </c>
      <c r="L174" s="1579"/>
      <c r="M174" s="1579" t="n">
        <v>0.25</v>
      </c>
      <c r="N174" s="1579"/>
      <c r="O174" s="1579" t="n">
        <v>0.05</v>
      </c>
      <c r="P174" s="1580" t="n">
        <f aca="false">SUM(G174:O174)</f>
        <v>1</v>
      </c>
      <c r="AA174" s="1576"/>
    </row>
    <row r="175" customFormat="false" ht="16.5" hidden="false" customHeight="false" outlineLevel="0" collapsed="false">
      <c r="B175" s="1631"/>
      <c r="C175" s="1625"/>
      <c r="D175" s="1476" t="n">
        <v>138.43</v>
      </c>
      <c r="E175" s="669" t="s">
        <v>114</v>
      </c>
      <c r="F175" s="1578" t="n">
        <v>300000000</v>
      </c>
      <c r="G175" s="1579" t="n">
        <v>0.2</v>
      </c>
      <c r="H175" s="1579"/>
      <c r="I175" s="1579" t="n">
        <v>0.2</v>
      </c>
      <c r="J175" s="1579"/>
      <c r="K175" s="1579" t="n">
        <v>0.5</v>
      </c>
      <c r="L175" s="1579"/>
      <c r="M175" s="1579" t="n">
        <v>0.1</v>
      </c>
      <c r="N175" s="1579"/>
      <c r="O175" s="1579"/>
      <c r="P175" s="1580" t="n">
        <f aca="false">SUM(G175:O175)</f>
        <v>1</v>
      </c>
      <c r="AA175" s="1576"/>
    </row>
    <row r="176" customFormat="false" ht="16.5" hidden="false" customHeight="false" outlineLevel="0" collapsed="false">
      <c r="B176" s="1631"/>
      <c r="C176" s="1625"/>
      <c r="D176" s="1476" t="n">
        <v>138.43</v>
      </c>
      <c r="E176" s="669" t="s">
        <v>404</v>
      </c>
      <c r="F176" s="1578"/>
      <c r="G176" s="1579"/>
      <c r="H176" s="1579"/>
      <c r="I176" s="1579"/>
      <c r="J176" s="1579"/>
      <c r="K176" s="1579"/>
      <c r="L176" s="1579"/>
      <c r="M176" s="1579"/>
      <c r="N176" s="1579"/>
      <c r="O176" s="1579"/>
      <c r="P176" s="1580" t="n">
        <f aca="false">SUM(G176:O176)</f>
        <v>0</v>
      </c>
      <c r="AA176" s="1576"/>
    </row>
    <row r="177" customFormat="false" ht="17.25" hidden="false" customHeight="true" outlineLevel="0" collapsed="false">
      <c r="B177" s="1631"/>
      <c r="C177" s="1625"/>
      <c r="D177" s="1476" t="n">
        <v>138.43</v>
      </c>
      <c r="E177" s="669" t="s">
        <v>507</v>
      </c>
      <c r="F177" s="1578" t="n">
        <v>200000000</v>
      </c>
      <c r="G177" s="1579" t="n">
        <v>0.2</v>
      </c>
      <c r="H177" s="1579"/>
      <c r="I177" s="1579" t="n">
        <v>0.2</v>
      </c>
      <c r="J177" s="1579"/>
      <c r="K177" s="1579" t="n">
        <v>0.5</v>
      </c>
      <c r="L177" s="1579"/>
      <c r="M177" s="1579" t="n">
        <v>0.1</v>
      </c>
      <c r="N177" s="1579"/>
      <c r="O177" s="1579"/>
      <c r="P177" s="1580" t="n">
        <f aca="false">SUM(G177:O177)</f>
        <v>1</v>
      </c>
      <c r="AA177" s="1576"/>
    </row>
    <row r="178" customFormat="false" ht="17.25" hidden="false" customHeight="true" outlineLevel="0" collapsed="false">
      <c r="B178" s="1631"/>
      <c r="C178" s="1625"/>
      <c r="D178" s="684" t="n">
        <f aca="false">+D177</f>
        <v>138.43</v>
      </c>
      <c r="E178" s="669" t="s">
        <v>508</v>
      </c>
      <c r="F178" s="1584" t="n">
        <f aca="false">+'DG-PV Organic'!AI8</f>
        <v>27686000</v>
      </c>
      <c r="G178" s="1585" t="n">
        <v>1</v>
      </c>
      <c r="H178" s="1585"/>
      <c r="I178" s="1585"/>
      <c r="J178" s="1585"/>
      <c r="K178" s="1585"/>
      <c r="L178" s="1585"/>
      <c r="M178" s="1585"/>
      <c r="N178" s="1579"/>
      <c r="O178" s="1579"/>
      <c r="P178" s="1580" t="n">
        <f aca="false">SUM(G178:O178)</f>
        <v>1</v>
      </c>
      <c r="AA178" s="1576"/>
    </row>
    <row r="179" customFormat="false" ht="16.5" hidden="false" customHeight="false" outlineLevel="0" collapsed="false">
      <c r="B179" s="1631"/>
      <c r="C179" s="1625" t="s">
        <v>1517</v>
      </c>
      <c r="D179" s="1581" t="n">
        <v>319.2</v>
      </c>
      <c r="E179" s="669" t="s">
        <v>112</v>
      </c>
      <c r="F179" s="1578" t="n">
        <v>1050000000</v>
      </c>
      <c r="G179" s="1579" t="n">
        <v>0.1</v>
      </c>
      <c r="H179" s="1579"/>
      <c r="I179" s="1579" t="n">
        <v>0.2</v>
      </c>
      <c r="J179" s="1579"/>
      <c r="K179" s="1579" t="n">
        <v>0.4</v>
      </c>
      <c r="L179" s="1579"/>
      <c r="M179" s="1579" t="n">
        <v>0.25</v>
      </c>
      <c r="N179" s="1579"/>
      <c r="O179" s="1579" t="n">
        <v>0.05</v>
      </c>
      <c r="P179" s="1580" t="n">
        <f aca="false">SUM(G179:O179)</f>
        <v>1</v>
      </c>
      <c r="AA179" s="1576"/>
    </row>
    <row r="180" customFormat="false" ht="16.5" hidden="false" customHeight="false" outlineLevel="0" collapsed="false">
      <c r="B180" s="1631"/>
      <c r="C180" s="1625"/>
      <c r="D180" s="1581" t="n">
        <v>319.2</v>
      </c>
      <c r="E180" s="669" t="s">
        <v>114</v>
      </c>
      <c r="F180" s="1578" t="n">
        <v>300000000</v>
      </c>
      <c r="G180" s="1579" t="n">
        <v>0.2</v>
      </c>
      <c r="H180" s="1579"/>
      <c r="I180" s="1579" t="n">
        <v>0.2</v>
      </c>
      <c r="J180" s="1579"/>
      <c r="K180" s="1579" t="n">
        <v>0.5</v>
      </c>
      <c r="L180" s="1579"/>
      <c r="M180" s="1579" t="n">
        <v>0.1</v>
      </c>
      <c r="N180" s="1579"/>
      <c r="O180" s="1579"/>
      <c r="P180" s="1580" t="n">
        <f aca="false">SUM(G180:O180)</f>
        <v>1</v>
      </c>
      <c r="AA180" s="1576"/>
    </row>
    <row r="181" customFormat="false" ht="16.5" hidden="false" customHeight="false" outlineLevel="0" collapsed="false">
      <c r="B181" s="1631"/>
      <c r="C181" s="1625"/>
      <c r="D181" s="1581" t="n">
        <v>319.2</v>
      </c>
      <c r="E181" s="669" t="s">
        <v>404</v>
      </c>
      <c r="F181" s="1578"/>
      <c r="G181" s="1579"/>
      <c r="H181" s="1579"/>
      <c r="I181" s="1579"/>
      <c r="J181" s="1579"/>
      <c r="K181" s="1579"/>
      <c r="L181" s="1579"/>
      <c r="M181" s="1579"/>
      <c r="N181" s="1579"/>
      <c r="O181" s="1579"/>
      <c r="P181" s="1580" t="n">
        <f aca="false">SUM(G181:O181)</f>
        <v>0</v>
      </c>
      <c r="AA181" s="1576"/>
    </row>
    <row r="182" customFormat="false" ht="17.25" hidden="false" customHeight="true" outlineLevel="0" collapsed="false">
      <c r="B182" s="1631"/>
      <c r="C182" s="1625"/>
      <c r="D182" s="1581" t="n">
        <v>319.2</v>
      </c>
      <c r="E182" s="669" t="s">
        <v>507</v>
      </c>
      <c r="F182" s="1578" t="n">
        <v>200000000</v>
      </c>
      <c r="G182" s="1579" t="n">
        <v>0.2</v>
      </c>
      <c r="H182" s="1579"/>
      <c r="I182" s="1579" t="n">
        <v>0.2</v>
      </c>
      <c r="J182" s="1579"/>
      <c r="K182" s="1579" t="n">
        <v>0.5</v>
      </c>
      <c r="L182" s="1579"/>
      <c r="M182" s="1579" t="n">
        <v>0.1</v>
      </c>
      <c r="N182" s="1579"/>
      <c r="O182" s="1579"/>
      <c r="P182" s="1580" t="n">
        <f aca="false">SUM(G182:O182)</f>
        <v>1</v>
      </c>
      <c r="AA182" s="1576"/>
    </row>
    <row r="183" customFormat="false" ht="17.25" hidden="false" customHeight="true" outlineLevel="0" collapsed="false">
      <c r="B183" s="1631"/>
      <c r="C183" s="1625"/>
      <c r="D183" s="684" t="n">
        <f aca="false">+D182</f>
        <v>319.2</v>
      </c>
      <c r="E183" s="669" t="s">
        <v>508</v>
      </c>
      <c r="F183" s="1584" t="n">
        <f aca="false">+'DG-PV Organic'!AI3</f>
        <v>89376000</v>
      </c>
      <c r="G183" s="1585" t="n">
        <v>1</v>
      </c>
      <c r="H183" s="1585"/>
      <c r="I183" s="1585"/>
      <c r="J183" s="1585"/>
      <c r="K183" s="1585"/>
      <c r="L183" s="1585"/>
      <c r="M183" s="1585"/>
      <c r="N183" s="1579"/>
      <c r="O183" s="1579"/>
      <c r="P183" s="1580" t="n">
        <f aca="false">SUM(G183:O183)</f>
        <v>1</v>
      </c>
      <c r="AA183" s="1576"/>
    </row>
    <row r="184" customFormat="false" ht="16.5" hidden="false" customHeight="false" outlineLevel="0" collapsed="false">
      <c r="B184" s="1631"/>
      <c r="C184" s="1625" t="s">
        <v>466</v>
      </c>
      <c r="D184" s="1587" t="n">
        <v>545.46</v>
      </c>
      <c r="E184" s="669" t="s">
        <v>112</v>
      </c>
      <c r="F184" s="1578" t="n">
        <v>1050000000</v>
      </c>
      <c r="G184" s="1579" t="n">
        <v>0.1</v>
      </c>
      <c r="H184" s="1579"/>
      <c r="I184" s="1579" t="n">
        <v>0.2</v>
      </c>
      <c r="J184" s="1579"/>
      <c r="K184" s="1579" t="n">
        <v>0.4</v>
      </c>
      <c r="L184" s="1579"/>
      <c r="M184" s="1579" t="n">
        <v>0.25</v>
      </c>
      <c r="N184" s="1579"/>
      <c r="O184" s="1579" t="n">
        <v>0.05</v>
      </c>
      <c r="P184" s="1580" t="n">
        <f aca="false">SUM(G184:O184)</f>
        <v>1</v>
      </c>
      <c r="AA184" s="1576"/>
    </row>
    <row r="185" customFormat="false" ht="16.5" hidden="false" customHeight="false" outlineLevel="0" collapsed="false">
      <c r="B185" s="1631"/>
      <c r="C185" s="1625"/>
      <c r="D185" s="1476" t="n">
        <v>545.46</v>
      </c>
      <c r="E185" s="669" t="s">
        <v>114</v>
      </c>
      <c r="F185" s="1578" t="n">
        <v>300000000</v>
      </c>
      <c r="G185" s="1579" t="n">
        <v>0.2</v>
      </c>
      <c r="H185" s="1579"/>
      <c r="I185" s="1579" t="n">
        <v>0.2</v>
      </c>
      <c r="J185" s="1579"/>
      <c r="K185" s="1579" t="n">
        <v>0.5</v>
      </c>
      <c r="L185" s="1579"/>
      <c r="M185" s="1579" t="n">
        <v>0.1</v>
      </c>
      <c r="N185" s="1579"/>
      <c r="O185" s="1579"/>
      <c r="P185" s="1580" t="n">
        <f aca="false">SUM(G185:O185)</f>
        <v>1</v>
      </c>
      <c r="AA185" s="1576"/>
    </row>
    <row r="186" customFormat="false" ht="16.5" hidden="false" customHeight="false" outlineLevel="0" collapsed="false">
      <c r="B186" s="1631"/>
      <c r="C186" s="1625"/>
      <c r="D186" s="1476" t="n">
        <v>545.46</v>
      </c>
      <c r="E186" s="669" t="s">
        <v>404</v>
      </c>
      <c r="F186" s="1578"/>
      <c r="G186" s="1579"/>
      <c r="H186" s="1579"/>
      <c r="I186" s="1579"/>
      <c r="J186" s="1579"/>
      <c r="K186" s="1579"/>
      <c r="L186" s="1579"/>
      <c r="M186" s="1579"/>
      <c r="N186" s="1579"/>
      <c r="O186" s="1579"/>
      <c r="P186" s="1580" t="n">
        <f aca="false">SUM(G186:O186)</f>
        <v>0</v>
      </c>
      <c r="Q186" s="1633"/>
      <c r="AA186" s="1576"/>
    </row>
    <row r="187" customFormat="false" ht="17.25" hidden="false" customHeight="true" outlineLevel="0" collapsed="false">
      <c r="B187" s="1631"/>
      <c r="C187" s="1625"/>
      <c r="D187" s="1476" t="n">
        <v>545.46</v>
      </c>
      <c r="E187" s="669" t="s">
        <v>507</v>
      </c>
      <c r="F187" s="1578" t="n">
        <v>200000000</v>
      </c>
      <c r="G187" s="1579" t="n">
        <v>0.2</v>
      </c>
      <c r="H187" s="1579"/>
      <c r="I187" s="1579" t="n">
        <v>0.2</v>
      </c>
      <c r="J187" s="1579"/>
      <c r="K187" s="1579" t="n">
        <v>0.5</v>
      </c>
      <c r="L187" s="1579"/>
      <c r="M187" s="1579" t="n">
        <v>0.1</v>
      </c>
      <c r="N187" s="1579"/>
      <c r="O187" s="1579"/>
      <c r="P187" s="1580" t="n">
        <f aca="false">SUM(G187:O187)</f>
        <v>1</v>
      </c>
      <c r="AA187" s="1576"/>
    </row>
    <row r="188" customFormat="false" ht="17.25" hidden="false" customHeight="true" outlineLevel="0" collapsed="false">
      <c r="B188" s="1631"/>
      <c r="C188" s="1625"/>
      <c r="D188" s="684" t="n">
        <f aca="false">+D187</f>
        <v>545.46</v>
      </c>
      <c r="E188" s="669" t="s">
        <v>508</v>
      </c>
      <c r="F188" s="1584" t="n">
        <f aca="false">+'DG-PV Organic'!AI4</f>
        <v>103124000</v>
      </c>
      <c r="G188" s="1585" t="n">
        <v>1</v>
      </c>
      <c r="H188" s="1585"/>
      <c r="I188" s="1585"/>
      <c r="J188" s="1585"/>
      <c r="K188" s="1585"/>
      <c r="L188" s="1585"/>
      <c r="M188" s="1585"/>
      <c r="N188" s="1579"/>
      <c r="O188" s="1579"/>
      <c r="P188" s="1580" t="n">
        <f aca="false">SUM(G188:O188)</f>
        <v>1</v>
      </c>
      <c r="AA188" s="1576"/>
    </row>
    <row r="189" customFormat="false" ht="16.5" hidden="false" customHeight="false" outlineLevel="0" collapsed="false">
      <c r="B189" s="1631"/>
      <c r="C189" s="1625" t="s">
        <v>1520</v>
      </c>
      <c r="D189" s="1587" t="n">
        <v>148.59</v>
      </c>
      <c r="E189" s="669" t="s">
        <v>112</v>
      </c>
      <c r="F189" s="1578" t="n">
        <v>1050000000</v>
      </c>
      <c r="G189" s="1579" t="n">
        <v>0.1</v>
      </c>
      <c r="H189" s="1579"/>
      <c r="I189" s="1579" t="n">
        <v>0.2</v>
      </c>
      <c r="J189" s="1579"/>
      <c r="K189" s="1579" t="n">
        <v>0.4</v>
      </c>
      <c r="L189" s="1579"/>
      <c r="M189" s="1579" t="n">
        <v>0.25</v>
      </c>
      <c r="N189" s="1579"/>
      <c r="O189" s="1579" t="n">
        <v>0.05</v>
      </c>
      <c r="P189" s="1580" t="n">
        <f aca="false">SUM(G189:O189)</f>
        <v>1</v>
      </c>
      <c r="AA189" s="1576"/>
    </row>
    <row r="190" customFormat="false" ht="16.5" hidden="false" customHeight="false" outlineLevel="0" collapsed="false">
      <c r="B190" s="1631"/>
      <c r="C190" s="1625"/>
      <c r="D190" s="1476" t="n">
        <f aca="false">+D189</f>
        <v>148.59</v>
      </c>
      <c r="E190" s="669" t="s">
        <v>114</v>
      </c>
      <c r="F190" s="1578" t="n">
        <v>300000000</v>
      </c>
      <c r="G190" s="1579" t="n">
        <v>0.2</v>
      </c>
      <c r="H190" s="1579"/>
      <c r="I190" s="1579" t="n">
        <v>0.2</v>
      </c>
      <c r="J190" s="1579"/>
      <c r="K190" s="1579" t="n">
        <v>0.5</v>
      </c>
      <c r="L190" s="1579"/>
      <c r="M190" s="1579" t="n">
        <v>0.1</v>
      </c>
      <c r="N190" s="1579"/>
      <c r="O190" s="1579"/>
      <c r="P190" s="1580" t="n">
        <f aca="false">SUM(G190:O190)</f>
        <v>1</v>
      </c>
      <c r="Q190" s="1633"/>
      <c r="AA190" s="1576"/>
    </row>
    <row r="191" customFormat="false" ht="16.5" hidden="false" customHeight="false" outlineLevel="0" collapsed="false">
      <c r="B191" s="1631"/>
      <c r="C191" s="1625"/>
      <c r="D191" s="1476" t="n">
        <f aca="false">+D190</f>
        <v>148.59</v>
      </c>
      <c r="E191" s="669" t="s">
        <v>404</v>
      </c>
      <c r="F191" s="1578"/>
      <c r="G191" s="1579"/>
      <c r="H191" s="1579"/>
      <c r="I191" s="1579"/>
      <c r="J191" s="1579"/>
      <c r="K191" s="1579"/>
      <c r="L191" s="1579"/>
      <c r="M191" s="1579"/>
      <c r="N191" s="1579"/>
      <c r="O191" s="1579"/>
      <c r="P191" s="1580" t="n">
        <f aca="false">SUM(G191:O191)</f>
        <v>0</v>
      </c>
      <c r="AA191" s="1576"/>
    </row>
    <row r="192" customFormat="false" ht="16.5" hidden="false" customHeight="false" outlineLevel="0" collapsed="false">
      <c r="B192" s="1631"/>
      <c r="C192" s="1625"/>
      <c r="D192" s="1476" t="n">
        <f aca="false">+D191</f>
        <v>148.59</v>
      </c>
      <c r="E192" s="669" t="s">
        <v>507</v>
      </c>
      <c r="F192" s="1578" t="n">
        <v>200000000</v>
      </c>
      <c r="G192" s="1579" t="n">
        <v>0.2</v>
      </c>
      <c r="H192" s="1579"/>
      <c r="I192" s="1579" t="n">
        <v>0.2</v>
      </c>
      <c r="J192" s="1579"/>
      <c r="K192" s="1579" t="n">
        <v>0.5</v>
      </c>
      <c r="L192" s="1579"/>
      <c r="M192" s="1579" t="n">
        <v>0.1</v>
      </c>
      <c r="N192" s="1579"/>
      <c r="O192" s="1579"/>
      <c r="P192" s="1580" t="n">
        <f aca="false">SUM(G192:O192)</f>
        <v>1</v>
      </c>
      <c r="AA192" s="1576"/>
    </row>
    <row r="193" customFormat="false" ht="16.5" hidden="false" customHeight="false" outlineLevel="0" collapsed="false">
      <c r="B193" s="1631"/>
      <c r="C193" s="1625"/>
      <c r="D193" s="684" t="n">
        <f aca="false">+D192</f>
        <v>148.59</v>
      </c>
      <c r="E193" s="669" t="s">
        <v>508</v>
      </c>
      <c r="F193" s="1584" t="n">
        <f aca="false">+'DG-PV Organic'!AI5</f>
        <v>29718000</v>
      </c>
      <c r="G193" s="1585" t="n">
        <v>1</v>
      </c>
      <c r="H193" s="1585"/>
      <c r="I193" s="1585"/>
      <c r="J193" s="1585"/>
      <c r="K193" s="1585"/>
      <c r="L193" s="1585"/>
      <c r="M193" s="1585"/>
      <c r="N193" s="1579"/>
      <c r="O193" s="1579"/>
      <c r="P193" s="1580" t="n">
        <f aca="false">SUM(G193:O193)</f>
        <v>1</v>
      </c>
    </row>
    <row r="194" customFormat="false" ht="16.5" hidden="false" customHeight="false" outlineLevel="0" collapsed="false">
      <c r="B194" s="1631"/>
      <c r="C194" s="1625" t="str">
        <f aca="false">+'SPVs Status 3'!J145</f>
        <v>Myunghyun Tech 1</v>
      </c>
      <c r="D194" s="1587" t="n">
        <v>71.68</v>
      </c>
      <c r="E194" s="669" t="s">
        <v>112</v>
      </c>
      <c r="F194" s="1578" t="n">
        <v>1050000000</v>
      </c>
      <c r="G194" s="1579" t="n">
        <v>0.1</v>
      </c>
      <c r="H194" s="1579"/>
      <c r="I194" s="1579" t="n">
        <v>0.2</v>
      </c>
      <c r="J194" s="1579"/>
      <c r="K194" s="1579" t="n">
        <v>0.4</v>
      </c>
      <c r="L194" s="1579"/>
      <c r="M194" s="1579" t="n">
        <v>0.25</v>
      </c>
      <c r="N194" s="1579"/>
      <c r="O194" s="1579" t="n">
        <v>0.05</v>
      </c>
      <c r="P194" s="1580" t="n">
        <f aca="false">SUM(G194:O194)</f>
        <v>1</v>
      </c>
    </row>
    <row r="195" customFormat="false" ht="16.5" hidden="false" customHeight="false" outlineLevel="0" collapsed="false">
      <c r="B195" s="1631"/>
      <c r="C195" s="1625"/>
      <c r="D195" s="1587" t="n">
        <v>71.68</v>
      </c>
      <c r="E195" s="669" t="s">
        <v>114</v>
      </c>
      <c r="F195" s="1578" t="n">
        <v>300000000</v>
      </c>
      <c r="G195" s="1579" t="n">
        <v>0.2</v>
      </c>
      <c r="H195" s="1579"/>
      <c r="I195" s="1579" t="n">
        <v>0.2</v>
      </c>
      <c r="J195" s="1579"/>
      <c r="K195" s="1579" t="n">
        <v>0.5</v>
      </c>
      <c r="L195" s="1579"/>
      <c r="M195" s="1579" t="n">
        <v>0.1</v>
      </c>
      <c r="N195" s="1579"/>
      <c r="O195" s="1579"/>
      <c r="P195" s="1580" t="n">
        <f aca="false">SUM(G195:O195)</f>
        <v>1</v>
      </c>
    </row>
    <row r="196" customFormat="false" ht="16.5" hidden="false" customHeight="false" outlineLevel="0" collapsed="false">
      <c r="B196" s="1631"/>
      <c r="C196" s="1625"/>
      <c r="D196" s="1587" t="n">
        <v>71.68</v>
      </c>
      <c r="E196" s="669" t="s">
        <v>404</v>
      </c>
      <c r="F196" s="1578"/>
      <c r="G196" s="1579"/>
      <c r="H196" s="1579"/>
      <c r="I196" s="1579"/>
      <c r="J196" s="1579"/>
      <c r="K196" s="1579"/>
      <c r="L196" s="1579"/>
      <c r="M196" s="1579"/>
      <c r="N196" s="1579"/>
      <c r="O196" s="1579"/>
      <c r="P196" s="1580" t="n">
        <f aca="false">SUM(G196:O196)</f>
        <v>0</v>
      </c>
    </row>
    <row r="197" customFormat="false" ht="16.5" hidden="false" customHeight="false" outlineLevel="0" collapsed="false">
      <c r="B197" s="1631"/>
      <c r="C197" s="1625"/>
      <c r="D197" s="1587" t="n">
        <v>71.68</v>
      </c>
      <c r="E197" s="669" t="s">
        <v>507</v>
      </c>
      <c r="F197" s="1578" t="n">
        <v>200000000</v>
      </c>
      <c r="G197" s="1579" t="n">
        <v>0.2</v>
      </c>
      <c r="H197" s="1579"/>
      <c r="I197" s="1579" t="n">
        <v>0.2</v>
      </c>
      <c r="J197" s="1579"/>
      <c r="K197" s="1579" t="n">
        <v>0.5</v>
      </c>
      <c r="L197" s="1579"/>
      <c r="M197" s="1579" t="n">
        <v>0.1</v>
      </c>
      <c r="N197" s="1579"/>
      <c r="O197" s="1579"/>
      <c r="P197" s="1580" t="n">
        <f aca="false">SUM(G197:O197)</f>
        <v>1</v>
      </c>
    </row>
    <row r="198" customFormat="false" ht="16.5" hidden="false" customHeight="false" outlineLevel="0" collapsed="false">
      <c r="B198" s="1631"/>
      <c r="C198" s="1625"/>
      <c r="D198" s="684" t="n">
        <f aca="false">+D197</f>
        <v>71.68</v>
      </c>
      <c r="E198" s="669" t="s">
        <v>508</v>
      </c>
      <c r="F198" s="1584" t="n">
        <f aca="false">+'DG-PV Organic'!$AI$6*(D198/($D$198+$D$203))</f>
        <v>14336000</v>
      </c>
      <c r="G198" s="1585" t="n">
        <v>1</v>
      </c>
      <c r="H198" s="1585"/>
      <c r="I198" s="1585"/>
      <c r="J198" s="1585"/>
      <c r="K198" s="1585"/>
      <c r="L198" s="1585"/>
      <c r="M198" s="1585"/>
      <c r="N198" s="1579"/>
      <c r="O198" s="1579"/>
      <c r="P198" s="1580" t="n">
        <f aca="false">SUM(G198:O198)</f>
        <v>1</v>
      </c>
    </row>
    <row r="199" customFormat="false" ht="16.5" hidden="false" customHeight="false" outlineLevel="0" collapsed="false">
      <c r="B199" s="1631"/>
      <c r="C199" s="1625" t="str">
        <f aca="false">+'SPVs Status 3'!J150</f>
        <v>Myunghyun Tech 2</v>
      </c>
      <c r="D199" s="1611" t="n">
        <v>38.4</v>
      </c>
      <c r="E199" s="669" t="s">
        <v>112</v>
      </c>
      <c r="F199" s="1578" t="n">
        <v>1050000000</v>
      </c>
      <c r="G199" s="1579" t="n">
        <v>0.1</v>
      </c>
      <c r="H199" s="1579"/>
      <c r="I199" s="1579" t="n">
        <v>0.2</v>
      </c>
      <c r="J199" s="1579"/>
      <c r="K199" s="1579" t="n">
        <v>0.4</v>
      </c>
      <c r="L199" s="1579"/>
      <c r="M199" s="1579" t="n">
        <v>0.25</v>
      </c>
      <c r="N199" s="1579"/>
      <c r="O199" s="1579" t="n">
        <v>0.05</v>
      </c>
      <c r="P199" s="1580" t="n">
        <f aca="false">SUM(G199:O199)</f>
        <v>1</v>
      </c>
    </row>
    <row r="200" customFormat="false" ht="16.5" hidden="false" customHeight="false" outlineLevel="0" collapsed="false">
      <c r="B200" s="1631"/>
      <c r="C200" s="1625"/>
      <c r="D200" s="1611" t="n">
        <v>38.4</v>
      </c>
      <c r="E200" s="669" t="s">
        <v>114</v>
      </c>
      <c r="F200" s="1578" t="n">
        <v>300000000</v>
      </c>
      <c r="G200" s="1579" t="n">
        <v>0.2</v>
      </c>
      <c r="H200" s="1579"/>
      <c r="I200" s="1579" t="n">
        <v>0.2</v>
      </c>
      <c r="J200" s="1579"/>
      <c r="K200" s="1579" t="n">
        <v>0.5</v>
      </c>
      <c r="L200" s="1579"/>
      <c r="M200" s="1579" t="n">
        <v>0.1</v>
      </c>
      <c r="N200" s="1579"/>
      <c r="O200" s="1579"/>
      <c r="P200" s="1580" t="n">
        <f aca="false">SUM(G200:O200)</f>
        <v>1</v>
      </c>
    </row>
    <row r="201" customFormat="false" ht="16.5" hidden="false" customHeight="false" outlineLevel="0" collapsed="false">
      <c r="B201" s="1631"/>
      <c r="C201" s="1625"/>
      <c r="D201" s="1611" t="n">
        <v>38.4</v>
      </c>
      <c r="E201" s="669" t="s">
        <v>404</v>
      </c>
      <c r="F201" s="1578"/>
      <c r="G201" s="1579"/>
      <c r="H201" s="1579"/>
      <c r="I201" s="1579"/>
      <c r="J201" s="1579"/>
      <c r="K201" s="1579"/>
      <c r="L201" s="1579"/>
      <c r="M201" s="1579"/>
      <c r="N201" s="1579"/>
      <c r="O201" s="1579"/>
      <c r="P201" s="1580" t="n">
        <f aca="false">SUM(G201:O201)</f>
        <v>0</v>
      </c>
    </row>
    <row r="202" customFormat="false" ht="16.5" hidden="false" customHeight="false" outlineLevel="0" collapsed="false">
      <c r="B202" s="1631"/>
      <c r="C202" s="1625"/>
      <c r="D202" s="1611" t="n">
        <v>38.4</v>
      </c>
      <c r="E202" s="669" t="s">
        <v>507</v>
      </c>
      <c r="F202" s="1578" t="n">
        <v>200000000</v>
      </c>
      <c r="G202" s="1579" t="n">
        <v>0.2</v>
      </c>
      <c r="H202" s="1579"/>
      <c r="I202" s="1579" t="n">
        <v>0.2</v>
      </c>
      <c r="J202" s="1579"/>
      <c r="K202" s="1579" t="n">
        <v>0.5</v>
      </c>
      <c r="L202" s="1579"/>
      <c r="M202" s="1579" t="n">
        <v>0.1</v>
      </c>
      <c r="N202" s="1579"/>
      <c r="O202" s="1579"/>
      <c r="P202" s="1580" t="n">
        <f aca="false">SUM(G202:O202)</f>
        <v>1</v>
      </c>
    </row>
    <row r="203" customFormat="false" ht="16.5" hidden="false" customHeight="false" outlineLevel="0" collapsed="false">
      <c r="B203" s="1631"/>
      <c r="C203" s="1625"/>
      <c r="D203" s="684" t="n">
        <f aca="false">+D202</f>
        <v>38.4</v>
      </c>
      <c r="E203" s="669" t="s">
        <v>508</v>
      </c>
      <c r="F203" s="1584" t="n">
        <f aca="false">+'DG-PV Organic'!$AI$6*(D203/($D$198+$D$203))</f>
        <v>7680000</v>
      </c>
      <c r="G203" s="1585" t="n">
        <v>1</v>
      </c>
      <c r="H203" s="1585"/>
      <c r="I203" s="1585"/>
      <c r="J203" s="1585"/>
      <c r="K203" s="1585"/>
      <c r="L203" s="1585"/>
      <c r="M203" s="1585"/>
      <c r="N203" s="1579"/>
      <c r="O203" s="1579"/>
      <c r="P203" s="1580" t="n">
        <f aca="false">SUM(G203:O203)</f>
        <v>1</v>
      </c>
    </row>
    <row r="204" customFormat="false" ht="16.5" hidden="false" customHeight="false" outlineLevel="0" collapsed="false">
      <c r="B204" s="1631"/>
      <c r="C204" s="1625" t="str">
        <f aca="false">+'SPVs Status 3'!J155</f>
        <v>Sehyun Chemical</v>
      </c>
      <c r="D204" s="1587" t="n">
        <v>158.75</v>
      </c>
      <c r="E204" s="669" t="s">
        <v>112</v>
      </c>
      <c r="F204" s="1578" t="n">
        <v>1050000000</v>
      </c>
      <c r="G204" s="1579" t="n">
        <v>0.1</v>
      </c>
      <c r="H204" s="1579"/>
      <c r="I204" s="1579" t="n">
        <v>0.2</v>
      </c>
      <c r="J204" s="1579"/>
      <c r="K204" s="1579" t="n">
        <v>0.4</v>
      </c>
      <c r="L204" s="1579"/>
      <c r="M204" s="1579" t="n">
        <v>0.25</v>
      </c>
      <c r="N204" s="1579"/>
      <c r="O204" s="1579" t="n">
        <v>0.05</v>
      </c>
      <c r="P204" s="1580" t="n">
        <f aca="false">SUM(G204:O204)</f>
        <v>1</v>
      </c>
    </row>
    <row r="205" customFormat="false" ht="16.5" hidden="false" customHeight="false" outlineLevel="0" collapsed="false">
      <c r="B205" s="1631"/>
      <c r="C205" s="1625"/>
      <c r="D205" s="1587" t="n">
        <v>158.75</v>
      </c>
      <c r="E205" s="669" t="s">
        <v>114</v>
      </c>
      <c r="F205" s="1578" t="n">
        <v>300000000</v>
      </c>
      <c r="G205" s="1579" t="n">
        <v>0.2</v>
      </c>
      <c r="H205" s="1579"/>
      <c r="I205" s="1579" t="n">
        <v>0.2</v>
      </c>
      <c r="J205" s="1579"/>
      <c r="K205" s="1579" t="n">
        <v>0.5</v>
      </c>
      <c r="L205" s="1579"/>
      <c r="M205" s="1579" t="n">
        <v>0.1</v>
      </c>
      <c r="N205" s="1579"/>
      <c r="O205" s="1579"/>
      <c r="P205" s="1580" t="n">
        <f aca="false">SUM(G205:O205)</f>
        <v>1</v>
      </c>
    </row>
    <row r="206" customFormat="false" ht="16.5" hidden="false" customHeight="false" outlineLevel="0" collapsed="false">
      <c r="B206" s="1631"/>
      <c r="C206" s="1625"/>
      <c r="D206" s="1587" t="n">
        <v>158.75</v>
      </c>
      <c r="E206" s="669" t="s">
        <v>404</v>
      </c>
      <c r="F206" s="1578"/>
      <c r="G206" s="1579"/>
      <c r="H206" s="1579"/>
      <c r="I206" s="1579"/>
      <c r="J206" s="1579"/>
      <c r="K206" s="1579"/>
      <c r="L206" s="1579"/>
      <c r="M206" s="1579"/>
      <c r="N206" s="1579"/>
      <c r="O206" s="1579"/>
      <c r="P206" s="1580" t="n">
        <f aca="false">SUM(G206:O206)</f>
        <v>0</v>
      </c>
    </row>
    <row r="207" customFormat="false" ht="16.5" hidden="false" customHeight="false" outlineLevel="0" collapsed="false">
      <c r="B207" s="1631"/>
      <c r="C207" s="1625"/>
      <c r="D207" s="1587" t="n">
        <v>158.75</v>
      </c>
      <c r="E207" s="669" t="s">
        <v>507</v>
      </c>
      <c r="F207" s="1578" t="n">
        <v>200000000</v>
      </c>
      <c r="G207" s="1579" t="n">
        <v>0.2</v>
      </c>
      <c r="H207" s="1579"/>
      <c r="I207" s="1579" t="n">
        <v>0.2</v>
      </c>
      <c r="J207" s="1579"/>
      <c r="K207" s="1579" t="n">
        <v>0.5</v>
      </c>
      <c r="L207" s="1579"/>
      <c r="M207" s="1579" t="n">
        <v>0.1</v>
      </c>
      <c r="N207" s="1579"/>
      <c r="O207" s="1579"/>
      <c r="P207" s="1580" t="n">
        <f aca="false">SUM(G207:O207)</f>
        <v>1</v>
      </c>
    </row>
    <row r="208" customFormat="false" ht="16.5" hidden="false" customHeight="false" outlineLevel="0" collapsed="false">
      <c r="B208" s="1631"/>
      <c r="C208" s="1625"/>
      <c r="D208" s="684" t="n">
        <f aca="false">+D207</f>
        <v>158.75</v>
      </c>
      <c r="E208" s="669" t="s">
        <v>508</v>
      </c>
      <c r="F208" s="1584" t="n">
        <f aca="false">+'DG-PV Organic'!AI12</f>
        <v>31750000</v>
      </c>
      <c r="G208" s="1585" t="n">
        <v>1</v>
      </c>
      <c r="H208" s="1585"/>
      <c r="I208" s="1585"/>
      <c r="J208" s="1585"/>
      <c r="K208" s="1585"/>
      <c r="L208" s="1585"/>
      <c r="M208" s="1585"/>
      <c r="N208" s="1579"/>
      <c r="O208" s="1579"/>
      <c r="P208" s="1580" t="n">
        <f aca="false">SUM(G208:O208)</f>
        <v>1</v>
      </c>
    </row>
    <row r="209" customFormat="false" ht="16.5" hidden="false" customHeight="false" outlineLevel="0" collapsed="false">
      <c r="B209" s="1631"/>
      <c r="C209" s="1626" t="str">
        <f aca="false">+'DG-PV Organic'!B18</f>
        <v>Seun BNC</v>
      </c>
      <c r="D209" s="1634" t="n">
        <f aca="false">+'DG-PV Organic'!K18</f>
        <v>458.226</v>
      </c>
      <c r="E209" s="669" t="s">
        <v>112</v>
      </c>
      <c r="F209" s="1578" t="n">
        <v>1050000000</v>
      </c>
      <c r="G209" s="1628" t="n">
        <v>0.1</v>
      </c>
      <c r="H209" s="1628"/>
      <c r="I209" s="1628" t="n">
        <v>0.2</v>
      </c>
      <c r="J209" s="1628"/>
      <c r="K209" s="1628" t="n">
        <v>0.4</v>
      </c>
      <c r="L209" s="1628"/>
      <c r="M209" s="1628" t="n">
        <v>0.25</v>
      </c>
      <c r="N209" s="1628"/>
      <c r="O209" s="1628" t="n">
        <v>0.05</v>
      </c>
      <c r="P209" s="1629" t="n">
        <f aca="false">SUM(G209:O209)</f>
        <v>1</v>
      </c>
    </row>
    <row r="210" customFormat="false" ht="16.5" hidden="false" customHeight="false" outlineLevel="0" collapsed="false">
      <c r="B210" s="1631"/>
      <c r="C210" s="1626"/>
      <c r="D210" s="1634" t="n">
        <f aca="false">+D209</f>
        <v>458.226</v>
      </c>
      <c r="E210" s="669" t="s">
        <v>114</v>
      </c>
      <c r="F210" s="1578" t="n">
        <v>300000000</v>
      </c>
      <c r="G210" s="1628" t="n">
        <v>0.2</v>
      </c>
      <c r="H210" s="1628"/>
      <c r="I210" s="1628" t="n">
        <v>0.2</v>
      </c>
      <c r="J210" s="1628"/>
      <c r="K210" s="1628" t="n">
        <v>0.5</v>
      </c>
      <c r="L210" s="1628"/>
      <c r="M210" s="1628" t="n">
        <v>0.1</v>
      </c>
      <c r="N210" s="1628"/>
      <c r="O210" s="1628"/>
      <c r="P210" s="1629" t="n">
        <f aca="false">SUM(G210:O210)</f>
        <v>1</v>
      </c>
    </row>
    <row r="211" customFormat="false" ht="16.5" hidden="false" customHeight="false" outlineLevel="0" collapsed="false">
      <c r="B211" s="1631"/>
      <c r="C211" s="1626"/>
      <c r="D211" s="1634" t="n">
        <f aca="false">+D210</f>
        <v>458.226</v>
      </c>
      <c r="E211" s="669" t="s">
        <v>404</v>
      </c>
      <c r="F211" s="1578"/>
      <c r="G211" s="1628"/>
      <c r="H211" s="1628"/>
      <c r="I211" s="1628"/>
      <c r="J211" s="1628"/>
      <c r="K211" s="1628"/>
      <c r="L211" s="1628"/>
      <c r="M211" s="1628"/>
      <c r="N211" s="1628"/>
      <c r="O211" s="1628"/>
      <c r="P211" s="1629" t="n">
        <f aca="false">SUM(G211:O211)</f>
        <v>0</v>
      </c>
    </row>
    <row r="212" customFormat="false" ht="16.5" hidden="false" customHeight="false" outlineLevel="0" collapsed="false">
      <c r="B212" s="1631"/>
      <c r="C212" s="1626"/>
      <c r="D212" s="1634" t="n">
        <f aca="false">+D211</f>
        <v>458.226</v>
      </c>
      <c r="E212" s="669" t="s">
        <v>507</v>
      </c>
      <c r="F212" s="1578" t="n">
        <v>200000000</v>
      </c>
      <c r="G212" s="1628" t="n">
        <v>0.2</v>
      </c>
      <c r="H212" s="1628"/>
      <c r="I212" s="1628" t="n">
        <v>0.2</v>
      </c>
      <c r="J212" s="1628"/>
      <c r="K212" s="1628" t="n">
        <v>0.5</v>
      </c>
      <c r="L212" s="1628"/>
      <c r="M212" s="1628" t="n">
        <v>0.1</v>
      </c>
      <c r="N212" s="1628"/>
      <c r="O212" s="1628"/>
      <c r="P212" s="1629" t="n">
        <f aca="false">SUM(G212:O212)</f>
        <v>1</v>
      </c>
    </row>
    <row r="213" customFormat="false" ht="16.5" hidden="false" customHeight="false" outlineLevel="0" collapsed="false">
      <c r="B213" s="1631"/>
      <c r="C213" s="1626"/>
      <c r="D213" s="684" t="n">
        <f aca="false">+D212</f>
        <v>458.226</v>
      </c>
      <c r="E213" s="669" t="s">
        <v>508</v>
      </c>
      <c r="F213" s="1584" t="n">
        <f aca="false">+'DG-PV Organic'!AI18</f>
        <v>70231000</v>
      </c>
      <c r="G213" s="1585" t="n">
        <v>1</v>
      </c>
      <c r="H213" s="1585"/>
      <c r="I213" s="1585"/>
      <c r="J213" s="1585"/>
      <c r="K213" s="1585"/>
      <c r="L213" s="1585"/>
      <c r="M213" s="1585"/>
      <c r="N213" s="1628"/>
      <c r="O213" s="1628"/>
      <c r="P213" s="1629" t="n">
        <f aca="false">SUM(G213:O213)</f>
        <v>1</v>
      </c>
    </row>
    <row r="214" customFormat="false" ht="16.5" hidden="false" customHeight="false" outlineLevel="0" collapsed="false">
      <c r="B214" s="1631"/>
      <c r="C214" s="1626" t="str">
        <f aca="false">+'DG-PV Organic'!B19</f>
        <v>Seun Steel Gyeongju</v>
      </c>
      <c r="D214" s="1634" t="n">
        <f aca="false">+'DG-PV Organic'!K19</f>
        <v>707.714</v>
      </c>
      <c r="E214" s="669" t="s">
        <v>112</v>
      </c>
      <c r="F214" s="1578" t="n">
        <v>1050000000</v>
      </c>
      <c r="G214" s="1628" t="n">
        <v>0.1</v>
      </c>
      <c r="H214" s="1628"/>
      <c r="I214" s="1628" t="n">
        <v>0.2</v>
      </c>
      <c r="J214" s="1628"/>
      <c r="K214" s="1628" t="n">
        <v>0.4</v>
      </c>
      <c r="L214" s="1628"/>
      <c r="M214" s="1628" t="n">
        <v>0.25</v>
      </c>
      <c r="N214" s="1628"/>
      <c r="O214" s="1628" t="n">
        <v>0.05</v>
      </c>
      <c r="P214" s="1629" t="n">
        <f aca="false">SUM(G214:O214)</f>
        <v>1</v>
      </c>
    </row>
    <row r="215" customFormat="false" ht="16.5" hidden="false" customHeight="false" outlineLevel="0" collapsed="false">
      <c r="B215" s="1631"/>
      <c r="C215" s="1626"/>
      <c r="D215" s="1634" t="n">
        <f aca="false">+D214</f>
        <v>707.714</v>
      </c>
      <c r="E215" s="669" t="s">
        <v>114</v>
      </c>
      <c r="F215" s="1578" t="n">
        <v>300000000</v>
      </c>
      <c r="G215" s="1628" t="n">
        <v>0.2</v>
      </c>
      <c r="H215" s="1628"/>
      <c r="I215" s="1628" t="n">
        <v>0.2</v>
      </c>
      <c r="J215" s="1628"/>
      <c r="K215" s="1628" t="n">
        <v>0.5</v>
      </c>
      <c r="L215" s="1628"/>
      <c r="M215" s="1628" t="n">
        <v>0.1</v>
      </c>
      <c r="N215" s="1628"/>
      <c r="O215" s="1628"/>
      <c r="P215" s="1629" t="n">
        <f aca="false">SUM(G215:O215)</f>
        <v>1</v>
      </c>
    </row>
    <row r="216" customFormat="false" ht="16.5" hidden="false" customHeight="false" outlineLevel="0" collapsed="false">
      <c r="B216" s="1631"/>
      <c r="C216" s="1626"/>
      <c r="D216" s="1634" t="n">
        <f aca="false">+D215</f>
        <v>707.714</v>
      </c>
      <c r="E216" s="669" t="s">
        <v>404</v>
      </c>
      <c r="F216" s="1578"/>
      <c r="G216" s="1628"/>
      <c r="H216" s="1628"/>
      <c r="I216" s="1628"/>
      <c r="J216" s="1628"/>
      <c r="K216" s="1628"/>
      <c r="L216" s="1628"/>
      <c r="M216" s="1628"/>
      <c r="N216" s="1628"/>
      <c r="O216" s="1628"/>
      <c r="P216" s="1629" t="n">
        <f aca="false">SUM(G216:O216)</f>
        <v>0</v>
      </c>
    </row>
    <row r="217" customFormat="false" ht="16.5" hidden="false" customHeight="false" outlineLevel="0" collapsed="false">
      <c r="B217" s="1631"/>
      <c r="C217" s="1626"/>
      <c r="D217" s="1634" t="n">
        <f aca="false">+D216</f>
        <v>707.714</v>
      </c>
      <c r="E217" s="669" t="s">
        <v>507</v>
      </c>
      <c r="F217" s="1578" t="n">
        <v>200000000</v>
      </c>
      <c r="G217" s="1628" t="n">
        <v>0.2</v>
      </c>
      <c r="H217" s="1628"/>
      <c r="I217" s="1628" t="n">
        <v>0.2</v>
      </c>
      <c r="J217" s="1628"/>
      <c r="K217" s="1628" t="n">
        <v>0.5</v>
      </c>
      <c r="L217" s="1628"/>
      <c r="M217" s="1628" t="n">
        <v>0.1</v>
      </c>
      <c r="N217" s="1628"/>
      <c r="O217" s="1628"/>
      <c r="P217" s="1629" t="n">
        <f aca="false">SUM(G217:O217)</f>
        <v>1</v>
      </c>
    </row>
    <row r="218" customFormat="false" ht="16.5" hidden="false" customHeight="false" outlineLevel="0" collapsed="false">
      <c r="B218" s="1631"/>
      <c r="C218" s="1626"/>
      <c r="D218" s="684" t="n">
        <f aca="false">+D217</f>
        <v>707.714</v>
      </c>
      <c r="E218" s="669" t="s">
        <v>508</v>
      </c>
      <c r="F218" s="1584" t="n">
        <f aca="false">+'DG-PV Organic'!AI19</f>
        <v>141859000</v>
      </c>
      <c r="G218" s="1585" t="n">
        <v>1</v>
      </c>
      <c r="H218" s="1585"/>
      <c r="I218" s="1585"/>
      <c r="J218" s="1585"/>
      <c r="K218" s="1585"/>
      <c r="L218" s="1585"/>
      <c r="M218" s="1585"/>
      <c r="N218" s="1628"/>
      <c r="O218" s="1628"/>
      <c r="P218" s="1629" t="n">
        <f aca="false">SUM(G218:O218)</f>
        <v>1</v>
      </c>
    </row>
    <row r="219" customFormat="false" ht="16.5" hidden="false" customHeight="false" outlineLevel="0" collapsed="false">
      <c r="B219" s="1631"/>
      <c r="C219" s="1626" t="str">
        <f aca="false">+'DG-PV Organic'!B22</f>
        <v>Oneel </v>
      </c>
      <c r="D219" s="1634" t="n">
        <f aca="false">+'DG-PV Organic'!K22</f>
        <v>522.605</v>
      </c>
      <c r="E219" s="669" t="s">
        <v>112</v>
      </c>
      <c r="F219" s="1578" t="n">
        <v>1050000000</v>
      </c>
      <c r="G219" s="1628" t="n">
        <v>0.1</v>
      </c>
      <c r="H219" s="1628"/>
      <c r="I219" s="1628" t="n">
        <v>0.2</v>
      </c>
      <c r="J219" s="1628"/>
      <c r="K219" s="1628" t="n">
        <v>0.4</v>
      </c>
      <c r="L219" s="1628"/>
      <c r="M219" s="1628" t="n">
        <v>0.25</v>
      </c>
      <c r="N219" s="1628"/>
      <c r="O219" s="1628" t="n">
        <v>0.05</v>
      </c>
      <c r="P219" s="1629" t="n">
        <f aca="false">SUM(G219:O219)</f>
        <v>1</v>
      </c>
    </row>
    <row r="220" customFormat="false" ht="16.5" hidden="false" customHeight="false" outlineLevel="0" collapsed="false">
      <c r="B220" s="1631"/>
      <c r="C220" s="1626"/>
      <c r="D220" s="1634" t="n">
        <f aca="false">+D219</f>
        <v>522.605</v>
      </c>
      <c r="E220" s="669" t="s">
        <v>114</v>
      </c>
      <c r="F220" s="1578" t="n">
        <v>300000000</v>
      </c>
      <c r="G220" s="1628" t="n">
        <v>0.2</v>
      </c>
      <c r="H220" s="1628"/>
      <c r="I220" s="1628" t="n">
        <v>0.2</v>
      </c>
      <c r="J220" s="1628"/>
      <c r="K220" s="1628" t="n">
        <v>0.5</v>
      </c>
      <c r="L220" s="1628"/>
      <c r="M220" s="1628" t="n">
        <v>0.1</v>
      </c>
      <c r="N220" s="1628"/>
      <c r="O220" s="1628"/>
      <c r="P220" s="1629" t="n">
        <f aca="false">SUM(G220:O220)</f>
        <v>1</v>
      </c>
    </row>
    <row r="221" customFormat="false" ht="16.5" hidden="false" customHeight="false" outlineLevel="0" collapsed="false">
      <c r="B221" s="1631"/>
      <c r="C221" s="1626"/>
      <c r="D221" s="1634" t="n">
        <f aca="false">+D220</f>
        <v>522.605</v>
      </c>
      <c r="E221" s="669" t="s">
        <v>404</v>
      </c>
      <c r="F221" s="1578"/>
      <c r="G221" s="1628"/>
      <c r="H221" s="1628"/>
      <c r="I221" s="1628"/>
      <c r="J221" s="1628"/>
      <c r="K221" s="1628"/>
      <c r="L221" s="1628"/>
      <c r="M221" s="1628"/>
      <c r="N221" s="1628"/>
      <c r="O221" s="1628"/>
      <c r="P221" s="1629" t="n">
        <f aca="false">SUM(G221:O221)</f>
        <v>0</v>
      </c>
    </row>
    <row r="222" customFormat="false" ht="16.5" hidden="false" customHeight="false" outlineLevel="0" collapsed="false">
      <c r="B222" s="1631"/>
      <c r="C222" s="1626"/>
      <c r="D222" s="1634" t="n">
        <f aca="false">+D221</f>
        <v>522.605</v>
      </c>
      <c r="E222" s="669" t="s">
        <v>507</v>
      </c>
      <c r="F222" s="1578" t="n">
        <v>200000000</v>
      </c>
      <c r="G222" s="1628" t="n">
        <v>0.2</v>
      </c>
      <c r="H222" s="1628"/>
      <c r="I222" s="1628" t="n">
        <v>0.2</v>
      </c>
      <c r="J222" s="1628"/>
      <c r="K222" s="1628" t="n">
        <v>0.5</v>
      </c>
      <c r="L222" s="1628"/>
      <c r="M222" s="1628" t="n">
        <v>0.1</v>
      </c>
      <c r="N222" s="1628"/>
      <c r="O222" s="1628"/>
      <c r="P222" s="1629" t="n">
        <f aca="false">SUM(G222:O222)</f>
        <v>1</v>
      </c>
    </row>
    <row r="223" customFormat="false" ht="16.5" hidden="false" customHeight="false" outlineLevel="0" collapsed="false">
      <c r="B223" s="1631"/>
      <c r="C223" s="1626"/>
      <c r="D223" s="684" t="n">
        <f aca="false">+D222</f>
        <v>522.605</v>
      </c>
      <c r="E223" s="669" t="s">
        <v>508</v>
      </c>
      <c r="F223" s="1584" t="n">
        <f aca="false">+'DG-PV Organic'!AI22</f>
        <v>104521000</v>
      </c>
      <c r="G223" s="1585" t="n">
        <v>1</v>
      </c>
      <c r="H223" s="1585"/>
      <c r="I223" s="1585"/>
      <c r="J223" s="1585"/>
      <c r="K223" s="1585"/>
      <c r="L223" s="1585"/>
      <c r="M223" s="1585"/>
      <c r="N223" s="1628"/>
      <c r="O223" s="1628"/>
      <c r="P223" s="1629" t="n">
        <f aca="false">SUM(G223:O223)</f>
        <v>1</v>
      </c>
    </row>
    <row r="224" customFormat="false" ht="16.5" hidden="false" customHeight="false" outlineLevel="0" collapsed="false">
      <c r="B224" s="1631"/>
      <c r="C224" s="1626" t="str">
        <f aca="false">+'DG-PV Organic'!B21</f>
        <v>MPM Trade</v>
      </c>
      <c r="D224" s="1634" t="n">
        <f aca="false">+'DG-PV Organic'!O21</f>
        <v>210.82</v>
      </c>
      <c r="E224" s="669" t="s">
        <v>112</v>
      </c>
      <c r="F224" s="1578" t="n">
        <v>1050000000</v>
      </c>
      <c r="G224" s="1628" t="n">
        <v>0.1</v>
      </c>
      <c r="H224" s="1628"/>
      <c r="I224" s="1628" t="n">
        <v>0.2</v>
      </c>
      <c r="J224" s="1628"/>
      <c r="K224" s="1628" t="n">
        <v>0.4</v>
      </c>
      <c r="L224" s="1628"/>
      <c r="M224" s="1628" t="n">
        <v>0.25</v>
      </c>
      <c r="N224" s="1628"/>
      <c r="O224" s="1628" t="n">
        <v>0.05</v>
      </c>
      <c r="P224" s="1629" t="n">
        <f aca="false">SUM(G224:O224)</f>
        <v>1</v>
      </c>
    </row>
    <row r="225" customFormat="false" ht="16.5" hidden="false" customHeight="false" outlineLevel="0" collapsed="false">
      <c r="B225" s="1631"/>
      <c r="C225" s="1626"/>
      <c r="D225" s="1634" t="n">
        <f aca="false">+D224</f>
        <v>210.82</v>
      </c>
      <c r="E225" s="669" t="s">
        <v>114</v>
      </c>
      <c r="F225" s="1578" t="n">
        <v>300000000</v>
      </c>
      <c r="G225" s="1628" t="n">
        <v>0.2</v>
      </c>
      <c r="H225" s="1628"/>
      <c r="I225" s="1628" t="n">
        <v>0.2</v>
      </c>
      <c r="J225" s="1628"/>
      <c r="K225" s="1628" t="n">
        <v>0.5</v>
      </c>
      <c r="L225" s="1628"/>
      <c r="M225" s="1628" t="n">
        <v>0.1</v>
      </c>
      <c r="N225" s="1628"/>
      <c r="O225" s="1628"/>
      <c r="P225" s="1629" t="n">
        <f aca="false">SUM(G225:O225)</f>
        <v>1</v>
      </c>
    </row>
    <row r="226" customFormat="false" ht="16.5" hidden="false" customHeight="false" outlineLevel="0" collapsed="false">
      <c r="B226" s="1631"/>
      <c r="C226" s="1626"/>
      <c r="D226" s="1634" t="n">
        <f aca="false">+D225</f>
        <v>210.82</v>
      </c>
      <c r="E226" s="669" t="s">
        <v>404</v>
      </c>
      <c r="F226" s="1578"/>
      <c r="G226" s="1628"/>
      <c r="H226" s="1628"/>
      <c r="I226" s="1628"/>
      <c r="J226" s="1628"/>
      <c r="K226" s="1628"/>
      <c r="L226" s="1628"/>
      <c r="M226" s="1628"/>
      <c r="N226" s="1628"/>
      <c r="O226" s="1628"/>
      <c r="P226" s="1629" t="n">
        <f aca="false">SUM(G226:O226)</f>
        <v>0</v>
      </c>
    </row>
    <row r="227" customFormat="false" ht="16.5" hidden="false" customHeight="false" outlineLevel="0" collapsed="false">
      <c r="B227" s="1631"/>
      <c r="C227" s="1626"/>
      <c r="D227" s="1634" t="n">
        <f aca="false">+D226</f>
        <v>210.82</v>
      </c>
      <c r="E227" s="669" t="s">
        <v>507</v>
      </c>
      <c r="F227" s="1578" t="n">
        <v>200000000</v>
      </c>
      <c r="G227" s="1628" t="n">
        <v>0.2</v>
      </c>
      <c r="H227" s="1628"/>
      <c r="I227" s="1628" t="n">
        <v>0.2</v>
      </c>
      <c r="J227" s="1628"/>
      <c r="K227" s="1628" t="n">
        <v>0.5</v>
      </c>
      <c r="L227" s="1628"/>
      <c r="M227" s="1628" t="n">
        <v>0.1</v>
      </c>
      <c r="N227" s="1628"/>
      <c r="O227" s="1628"/>
      <c r="P227" s="1629" t="n">
        <f aca="false">SUM(G227:O227)</f>
        <v>1</v>
      </c>
    </row>
    <row r="228" customFormat="false" ht="16.5" hidden="false" customHeight="false" outlineLevel="0" collapsed="false">
      <c r="B228" s="1631"/>
      <c r="C228" s="1626"/>
      <c r="D228" s="1588" t="n">
        <f aca="false">+D227</f>
        <v>210.82</v>
      </c>
      <c r="E228" s="803" t="s">
        <v>508</v>
      </c>
      <c r="F228" s="1589" t="n">
        <f aca="false">+'DG-PV Organic'!AI21</f>
        <v>42164000</v>
      </c>
      <c r="G228" s="1590" t="n">
        <v>1</v>
      </c>
      <c r="H228" s="1590"/>
      <c r="I228" s="1590"/>
      <c r="J228" s="1590"/>
      <c r="K228" s="1590"/>
      <c r="L228" s="1590"/>
      <c r="M228" s="1590"/>
      <c r="N228" s="1635"/>
      <c r="O228" s="1635"/>
      <c r="P228" s="1636" t="n">
        <f aca="false">SUM(G228:O228)</f>
        <v>1</v>
      </c>
    </row>
    <row r="229" customFormat="false" ht="16.5" hidden="false" customHeight="false" outlineLevel="0" collapsed="false">
      <c r="B229" s="1631"/>
      <c r="C229" s="1637" t="str">
        <f aca="false">+'DG-PV Organic'!B21</f>
        <v>MPM Trade</v>
      </c>
      <c r="D229" s="1634" t="str">
        <f aca="false">+'DG-PV Organic'!K32</f>
        <v>TBD</v>
      </c>
      <c r="E229" s="669" t="s">
        <v>112</v>
      </c>
      <c r="F229" s="1578" t="n">
        <v>1050000000</v>
      </c>
      <c r="G229" s="1628" t="n">
        <v>0.1</v>
      </c>
      <c r="H229" s="1628"/>
      <c r="I229" s="1628" t="n">
        <v>0.2</v>
      </c>
      <c r="J229" s="1628"/>
      <c r="K229" s="1628" t="n">
        <v>0.4</v>
      </c>
      <c r="L229" s="1628"/>
      <c r="M229" s="1628" t="n">
        <v>0.25</v>
      </c>
      <c r="N229" s="1628"/>
      <c r="O229" s="1628" t="n">
        <v>0.05</v>
      </c>
      <c r="P229" s="1629" t="n">
        <f aca="false">SUM(G229:O229)</f>
        <v>1</v>
      </c>
    </row>
    <row r="230" customFormat="false" ht="16.5" hidden="false" customHeight="false" outlineLevel="0" collapsed="false">
      <c r="B230" s="1631"/>
      <c r="C230" s="1637"/>
      <c r="D230" s="1634" t="str">
        <f aca="false">+D229</f>
        <v>TBD</v>
      </c>
      <c r="E230" s="669" t="s">
        <v>114</v>
      </c>
      <c r="F230" s="1578" t="n">
        <v>300000000</v>
      </c>
      <c r="G230" s="1628" t="n">
        <v>0.2</v>
      </c>
      <c r="H230" s="1628"/>
      <c r="I230" s="1628" t="n">
        <v>0.2</v>
      </c>
      <c r="J230" s="1628"/>
      <c r="K230" s="1628" t="n">
        <v>0.5</v>
      </c>
      <c r="L230" s="1628"/>
      <c r="M230" s="1628" t="n">
        <v>0.1</v>
      </c>
      <c r="N230" s="1628"/>
      <c r="O230" s="1628"/>
      <c r="P230" s="1629" t="n">
        <f aca="false">SUM(G230:O230)</f>
        <v>1</v>
      </c>
    </row>
    <row r="231" customFormat="false" ht="16.5" hidden="false" customHeight="false" outlineLevel="0" collapsed="false">
      <c r="B231" s="1631"/>
      <c r="C231" s="1637"/>
      <c r="D231" s="1634" t="str">
        <f aca="false">+D230</f>
        <v>TBD</v>
      </c>
      <c r="E231" s="669" t="s">
        <v>404</v>
      </c>
      <c r="F231" s="1578"/>
      <c r="G231" s="1628"/>
      <c r="H231" s="1628"/>
      <c r="I231" s="1628"/>
      <c r="J231" s="1628"/>
      <c r="K231" s="1628"/>
      <c r="L231" s="1628"/>
      <c r="M231" s="1628"/>
      <c r="N231" s="1628"/>
      <c r="O231" s="1628"/>
      <c r="P231" s="1629" t="n">
        <f aca="false">SUM(G231:O231)</f>
        <v>0</v>
      </c>
    </row>
    <row r="232" customFormat="false" ht="16.5" hidden="false" customHeight="false" outlineLevel="0" collapsed="false">
      <c r="B232" s="1631"/>
      <c r="C232" s="1637"/>
      <c r="D232" s="1634" t="str">
        <f aca="false">+D231</f>
        <v>TBD</v>
      </c>
      <c r="E232" s="669" t="s">
        <v>507</v>
      </c>
      <c r="F232" s="1578" t="n">
        <v>200000000</v>
      </c>
      <c r="G232" s="1628" t="n">
        <v>0.2</v>
      </c>
      <c r="H232" s="1628"/>
      <c r="I232" s="1628" t="n">
        <v>0.2</v>
      </c>
      <c r="J232" s="1628"/>
      <c r="K232" s="1628" t="n">
        <v>0.5</v>
      </c>
      <c r="L232" s="1628"/>
      <c r="M232" s="1628" t="n">
        <v>0.1</v>
      </c>
      <c r="N232" s="1628"/>
      <c r="O232" s="1628"/>
      <c r="P232" s="1629" t="n">
        <f aca="false">SUM(G232:O232)</f>
        <v>1</v>
      </c>
    </row>
    <row r="233" customFormat="false" ht="16.5" hidden="false" customHeight="false" outlineLevel="0" collapsed="false">
      <c r="B233" s="1631"/>
      <c r="C233" s="1637"/>
      <c r="D233" s="684" t="str">
        <f aca="false">+D232</f>
        <v>TBD</v>
      </c>
      <c r="E233" s="669" t="s">
        <v>508</v>
      </c>
      <c r="F233" s="1584" t="n">
        <f aca="false">+'DG-PV Organic'!AI32</f>
        <v>66640000</v>
      </c>
      <c r="G233" s="1585" t="n">
        <v>1</v>
      </c>
      <c r="H233" s="1585"/>
      <c r="I233" s="1585"/>
      <c r="J233" s="1585"/>
      <c r="K233" s="1585"/>
      <c r="L233" s="1585"/>
      <c r="M233" s="1585"/>
      <c r="N233" s="1628"/>
      <c r="O233" s="1628"/>
      <c r="P233" s="1629" t="n">
        <f aca="false">SUM(G233:O233)</f>
        <v>1</v>
      </c>
    </row>
    <row r="234" customFormat="false" ht="16.5" hidden="false" customHeight="false" outlineLevel="0" collapsed="false">
      <c r="B234" s="1631"/>
      <c r="C234" s="1637" t="str">
        <f aca="false">+'DG-PV Organic'!B20</f>
        <v>Tyson Foods Korea </v>
      </c>
      <c r="D234" s="1634" t="n">
        <f aca="false">+'DG-PV Organic'!O20</f>
        <v>650.24</v>
      </c>
      <c r="E234" s="669" t="s">
        <v>112</v>
      </c>
      <c r="F234" s="1578" t="n">
        <v>1050000000</v>
      </c>
      <c r="G234" s="1628" t="n">
        <v>0.1</v>
      </c>
      <c r="H234" s="1628"/>
      <c r="I234" s="1628" t="n">
        <v>0.2</v>
      </c>
      <c r="J234" s="1628"/>
      <c r="K234" s="1628" t="n">
        <v>0.4</v>
      </c>
      <c r="L234" s="1628"/>
      <c r="M234" s="1628" t="n">
        <v>0.25</v>
      </c>
      <c r="N234" s="1628"/>
      <c r="O234" s="1628" t="n">
        <v>0.05</v>
      </c>
      <c r="P234" s="1629" t="n">
        <f aca="false">SUM(G234:O234)</f>
        <v>1</v>
      </c>
    </row>
    <row r="235" customFormat="false" ht="16.5" hidden="false" customHeight="false" outlineLevel="0" collapsed="false">
      <c r="B235" s="1631"/>
      <c r="C235" s="1637"/>
      <c r="D235" s="1634" t="n">
        <f aca="false">+D234</f>
        <v>650.24</v>
      </c>
      <c r="E235" s="669" t="s">
        <v>114</v>
      </c>
      <c r="F235" s="1578" t="n">
        <v>300000000</v>
      </c>
      <c r="G235" s="1628" t="n">
        <v>0.2</v>
      </c>
      <c r="H235" s="1628"/>
      <c r="I235" s="1628" t="n">
        <v>0.2</v>
      </c>
      <c r="J235" s="1628"/>
      <c r="K235" s="1628" t="n">
        <v>0.5</v>
      </c>
      <c r="L235" s="1628"/>
      <c r="M235" s="1628" t="n">
        <v>0.1</v>
      </c>
      <c r="N235" s="1628"/>
      <c r="O235" s="1628"/>
      <c r="P235" s="1629" t="n">
        <f aca="false">SUM(G235:O235)</f>
        <v>1</v>
      </c>
    </row>
    <row r="236" customFormat="false" ht="16.5" hidden="false" customHeight="false" outlineLevel="0" collapsed="false">
      <c r="B236" s="1631"/>
      <c r="C236" s="1637"/>
      <c r="D236" s="1634" t="n">
        <f aca="false">+D235</f>
        <v>650.24</v>
      </c>
      <c r="E236" s="669" t="s">
        <v>404</v>
      </c>
      <c r="F236" s="1578"/>
      <c r="G236" s="1628"/>
      <c r="H236" s="1628"/>
      <c r="I236" s="1628"/>
      <c r="J236" s="1628"/>
      <c r="K236" s="1628"/>
      <c r="L236" s="1628"/>
      <c r="M236" s="1628"/>
      <c r="N236" s="1628"/>
      <c r="O236" s="1628"/>
      <c r="P236" s="1629" t="n">
        <f aca="false">SUM(G236:O236)</f>
        <v>0</v>
      </c>
    </row>
    <row r="237" customFormat="false" ht="16.5" hidden="false" customHeight="false" outlineLevel="0" collapsed="false">
      <c r="B237" s="1631"/>
      <c r="C237" s="1637"/>
      <c r="D237" s="1634" t="n">
        <f aca="false">+D236</f>
        <v>650.24</v>
      </c>
      <c r="E237" s="669" t="s">
        <v>507</v>
      </c>
      <c r="F237" s="1578" t="n">
        <v>200000000</v>
      </c>
      <c r="G237" s="1628" t="n">
        <v>0.2</v>
      </c>
      <c r="H237" s="1628"/>
      <c r="I237" s="1628" t="n">
        <v>0.2</v>
      </c>
      <c r="J237" s="1628"/>
      <c r="K237" s="1628" t="n">
        <v>0.5</v>
      </c>
      <c r="L237" s="1628"/>
      <c r="M237" s="1628" t="n">
        <v>0.1</v>
      </c>
      <c r="N237" s="1628"/>
      <c r="O237" s="1628"/>
      <c r="P237" s="1629" t="n">
        <f aca="false">SUM(G237:O237)</f>
        <v>1</v>
      </c>
    </row>
    <row r="238" customFormat="false" ht="16.5" hidden="false" customHeight="false" outlineLevel="0" collapsed="false">
      <c r="B238" s="1631"/>
      <c r="C238" s="1637"/>
      <c r="D238" s="684" t="n">
        <f aca="false">+D237</f>
        <v>650.24</v>
      </c>
      <c r="E238" s="669" t="s">
        <v>508</v>
      </c>
      <c r="F238" s="1584" t="n">
        <f aca="false">+'DG-PV Organic'!AI37</f>
        <v>0</v>
      </c>
      <c r="G238" s="1585" t="n">
        <v>1</v>
      </c>
      <c r="H238" s="1585"/>
      <c r="I238" s="1585"/>
      <c r="J238" s="1585"/>
      <c r="K238" s="1585"/>
      <c r="L238" s="1585"/>
      <c r="M238" s="1585"/>
      <c r="N238" s="1628"/>
      <c r="O238" s="1628"/>
      <c r="P238" s="1629" t="n">
        <f aca="false">SUM(G238:O238)</f>
        <v>1</v>
      </c>
    </row>
    <row r="239" customFormat="false" ht="16.5" hidden="false" customHeight="false" outlineLevel="0" collapsed="false">
      <c r="C239" s="41"/>
      <c r="D239" s="41"/>
      <c r="E239" s="41"/>
    </row>
    <row r="240" customFormat="false" ht="16.5" hidden="false" customHeight="false" outlineLevel="0" collapsed="false">
      <c r="C240" s="41"/>
      <c r="D240" s="41"/>
      <c r="E240" s="41"/>
    </row>
    <row r="241" customFormat="false" ht="16.5" hidden="false" customHeight="false" outlineLevel="0" collapsed="false">
      <c r="C241" s="41"/>
      <c r="D241" s="41"/>
      <c r="E241" s="41"/>
    </row>
    <row r="242" customFormat="false" ht="16.5" hidden="false" customHeight="false" outlineLevel="0" collapsed="false">
      <c r="C242" s="41"/>
      <c r="D242" s="41"/>
      <c r="E242" s="41"/>
    </row>
    <row r="243" customFormat="false" ht="16.5" hidden="false" customHeight="false" outlineLevel="0" collapsed="false">
      <c r="C243" s="41"/>
      <c r="D243" s="41"/>
      <c r="E243" s="41"/>
    </row>
    <row r="244" customFormat="false" ht="16.5" hidden="false" customHeight="false" outlineLevel="0" collapsed="false">
      <c r="C244" s="41"/>
      <c r="D244" s="41"/>
      <c r="E244" s="41"/>
    </row>
    <row r="245" customFormat="false" ht="16.5" hidden="false" customHeight="false" outlineLevel="0" collapsed="false">
      <c r="C245" s="41"/>
      <c r="D245" s="41"/>
      <c r="E245" s="41"/>
    </row>
    <row r="246" customFormat="false" ht="16.5" hidden="false" customHeight="false" outlineLevel="0" collapsed="false">
      <c r="C246" s="41"/>
      <c r="D246" s="41"/>
      <c r="E246" s="41"/>
    </row>
    <row r="247" customFormat="false" ht="16.5" hidden="false" customHeight="false" outlineLevel="0" collapsed="false">
      <c r="C247" s="41"/>
      <c r="D247" s="41"/>
      <c r="E247" s="41"/>
    </row>
    <row r="248" customFormat="false" ht="16.5" hidden="false" customHeight="false" outlineLevel="0" collapsed="false">
      <c r="C248" s="41"/>
      <c r="D248" s="41"/>
      <c r="E248" s="41"/>
    </row>
    <row r="249" customFormat="false" ht="16.5" hidden="false" customHeight="false" outlineLevel="0" collapsed="false">
      <c r="C249" s="41"/>
      <c r="D249" s="41"/>
      <c r="E249" s="41"/>
    </row>
    <row r="250" customFormat="false" ht="16.5" hidden="false" customHeight="false" outlineLevel="0" collapsed="false">
      <c r="C250" s="41"/>
      <c r="D250" s="41"/>
      <c r="E250" s="41"/>
    </row>
    <row r="251" customFormat="false" ht="16.5" hidden="false" customHeight="false" outlineLevel="0" collapsed="false">
      <c r="C251" s="41"/>
      <c r="D251" s="41"/>
      <c r="E251" s="41"/>
    </row>
    <row r="252" customFormat="false" ht="16.5" hidden="false" customHeight="false" outlineLevel="0" collapsed="false">
      <c r="C252" s="41"/>
      <c r="D252" s="41"/>
      <c r="E252" s="41"/>
    </row>
  </sheetData>
  <mergeCells count="52">
    <mergeCell ref="B3:E3"/>
    <mergeCell ref="B4:B43"/>
    <mergeCell ref="C4:C8"/>
    <mergeCell ref="C9:C13"/>
    <mergeCell ref="C14:C18"/>
    <mergeCell ref="C19:C23"/>
    <mergeCell ref="C24:C28"/>
    <mergeCell ref="C29:C33"/>
    <mergeCell ref="C34:C38"/>
    <mergeCell ref="C39:C43"/>
    <mergeCell ref="B44:B93"/>
    <mergeCell ref="C44:C48"/>
    <mergeCell ref="C49:C53"/>
    <mergeCell ref="C54:C58"/>
    <mergeCell ref="C59:C63"/>
    <mergeCell ref="C64:C68"/>
    <mergeCell ref="C69:C73"/>
    <mergeCell ref="C74:C78"/>
    <mergeCell ref="C79:C83"/>
    <mergeCell ref="C84:C88"/>
    <mergeCell ref="C89:C93"/>
    <mergeCell ref="B94:B158"/>
    <mergeCell ref="C94:C98"/>
    <mergeCell ref="C99:C103"/>
    <mergeCell ref="C104:C108"/>
    <mergeCell ref="C109:C113"/>
    <mergeCell ref="C114:C118"/>
    <mergeCell ref="C119:C123"/>
    <mergeCell ref="C124:C128"/>
    <mergeCell ref="C129:C133"/>
    <mergeCell ref="C134:C138"/>
    <mergeCell ref="C139:C143"/>
    <mergeCell ref="C144:C148"/>
    <mergeCell ref="C149:C153"/>
    <mergeCell ref="C154:C158"/>
    <mergeCell ref="B159:B238"/>
    <mergeCell ref="C159:C163"/>
    <mergeCell ref="C164:C168"/>
    <mergeCell ref="C169:C173"/>
    <mergeCell ref="C174:C178"/>
    <mergeCell ref="C179:C183"/>
    <mergeCell ref="C184:C188"/>
    <mergeCell ref="C189:C193"/>
    <mergeCell ref="C194:C198"/>
    <mergeCell ref="C199:C203"/>
    <mergeCell ref="C204:C208"/>
    <mergeCell ref="C209:C213"/>
    <mergeCell ref="C214:C218"/>
    <mergeCell ref="C219:C223"/>
    <mergeCell ref="C224:C228"/>
    <mergeCell ref="C229:C233"/>
    <mergeCell ref="C234:C2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CM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S63" activeCellId="0" sqref="S63"/>
    </sheetView>
  </sheetViews>
  <sheetFormatPr defaultColWidth="14.25390625" defaultRowHeight="15" zeroHeight="false" outlineLevelRow="1" outlineLevelCol="1"/>
  <cols>
    <col collapsed="false" customWidth="true" hidden="false" outlineLevel="0" max="1" min="1" style="932" width="18.38"/>
    <col collapsed="false" customWidth="true" hidden="false" outlineLevel="0" max="2" min="2" style="931" width="19.12"/>
    <col collapsed="false" customWidth="true" hidden="true" outlineLevel="1" max="3" min="3" style="932" width="30.38"/>
    <col collapsed="false" customWidth="true" hidden="true" outlineLevel="1" max="4" min="4" style="932" width="24.37"/>
    <col collapsed="false" customWidth="true" hidden="true" outlineLevel="1" max="5" min="5" style="934" width="17.51"/>
    <col collapsed="false" customWidth="true" hidden="false" outlineLevel="0" max="6" min="6" style="934" width="8.12"/>
    <col collapsed="false" customWidth="true" hidden="true" outlineLevel="1" max="7" min="7" style="934" width="17.51"/>
    <col collapsed="false" customWidth="true" hidden="false" outlineLevel="0" max="9" min="8" style="934" width="8.25"/>
    <col collapsed="false" customWidth="true" hidden="false" outlineLevel="0" max="10" min="10" style="932" width="9.5"/>
    <col collapsed="false" customWidth="true" hidden="false" outlineLevel="0" max="12" min="11" style="934" width="5.12"/>
    <col collapsed="false" customWidth="true" hidden="false" outlineLevel="0" max="13" min="13" style="934" width="18.88"/>
    <col collapsed="false" customWidth="true" hidden="true" outlineLevel="0" max="14" min="14" style="939" width="10.12"/>
    <col collapsed="false" customWidth="true" hidden="false" outlineLevel="0" max="15" min="15" style="940" width="10.37"/>
    <col collapsed="false" customWidth="true" hidden="false" outlineLevel="0" max="16" min="16" style="940" width="9.62"/>
    <col collapsed="false" customWidth="true" hidden="false" outlineLevel="0" max="17" min="17" style="940" width="10.37"/>
    <col collapsed="false" customWidth="true" hidden="false" outlineLevel="1" max="18" min="18" style="934" width="13.12"/>
    <col collapsed="false" customWidth="true" hidden="false" outlineLevel="0" max="19" min="19" style="934" width="6"/>
    <col collapsed="false" customWidth="true" hidden="false" outlineLevel="0" max="20" min="20" style="1638" width="13.63"/>
    <col collapsed="false" customWidth="true" hidden="false" outlineLevel="0" max="21" min="21" style="934" width="9.62"/>
    <col collapsed="false" customWidth="true" hidden="false" outlineLevel="0" max="22" min="22" style="934" width="15.63"/>
    <col collapsed="false" customWidth="true" hidden="true" outlineLevel="0" max="23" min="23" style="934" width="9.37"/>
    <col collapsed="false" customWidth="true" hidden="false" outlineLevel="0" max="24" min="24" style="934" width="9.12"/>
    <col collapsed="false" customWidth="true" hidden="false" outlineLevel="0" max="25" min="25" style="1638" width="14.75"/>
    <col collapsed="false" customWidth="true" hidden="false" outlineLevel="0" max="26" min="26" style="1639" width="11.88"/>
    <col collapsed="false" customWidth="true" hidden="false" outlineLevel="0" max="27" min="27" style="1639" width="12.75"/>
    <col collapsed="false" customWidth="true" hidden="false" outlineLevel="0" max="28" min="28" style="1639" width="12.88"/>
    <col collapsed="false" customWidth="true" hidden="false" outlineLevel="0" max="29" min="29" style="1640" width="10.88"/>
    <col collapsed="false" customWidth="true" hidden="false" outlineLevel="0" max="30" min="30" style="934" width="13.75"/>
    <col collapsed="false" customWidth="true" hidden="false" outlineLevel="0" max="31" min="31" style="1641" width="11"/>
    <col collapsed="false" customWidth="true" hidden="false" outlineLevel="0" max="32" min="32" style="934" width="8.37"/>
    <col collapsed="false" customWidth="true" hidden="false" outlineLevel="0" max="33" min="33" style="934" width="8.25"/>
    <col collapsed="false" customWidth="true" hidden="false" outlineLevel="0" max="34" min="34" style="934" width="8.12"/>
    <col collapsed="false" customWidth="true" hidden="false" outlineLevel="0" max="35" min="35" style="934" width="11.37"/>
    <col collapsed="false" customWidth="true" hidden="false" outlineLevel="0" max="36" min="36" style="925" width="27.37"/>
    <col collapsed="false" customWidth="true" hidden="false" outlineLevel="1" max="38" min="37" style="934" width="9.37"/>
    <col collapsed="false" customWidth="true" hidden="false" outlineLevel="1" max="39" min="39" style="934" width="10.75"/>
    <col collapsed="false" customWidth="true" hidden="false" outlineLevel="0" max="40" min="40" style="917" width="27.5"/>
    <col collapsed="false" customWidth="true" hidden="false" outlineLevel="0" max="41" min="41" style="917" width="11.62"/>
    <col collapsed="false" customWidth="true" hidden="false" outlineLevel="0" max="42" min="42" style="917" width="15.88"/>
    <col collapsed="false" customWidth="true" hidden="false" outlineLevel="0" max="43" min="43" style="917" width="13.88"/>
    <col collapsed="false" customWidth="true" hidden="false" outlineLevel="0" max="44" min="44" style="917" width="11.88"/>
    <col collapsed="false" customWidth="true" hidden="false" outlineLevel="0" max="45" min="45" style="935" width="11.25"/>
    <col collapsed="false" customWidth="true" hidden="false" outlineLevel="0" max="46" min="46" style="935" width="10.12"/>
    <col collapsed="false" customWidth="true" hidden="false" outlineLevel="0" max="47" min="47" style="935" width="16.25"/>
    <col collapsed="false" customWidth="true" hidden="true" outlineLevel="1" max="49" min="48" style="935" width="14.63"/>
    <col collapsed="false" customWidth="true" hidden="false" outlineLevel="0" max="50" min="50" style="934" width="11.25"/>
    <col collapsed="false" customWidth="true" hidden="false" outlineLevel="0" max="51" min="51" style="932" width="25.5"/>
    <col collapsed="false" customWidth="false" hidden="false" outlineLevel="0" max="16384" min="52" style="932" width="14.25"/>
  </cols>
  <sheetData>
    <row r="1" customFormat="false" ht="33.75" hidden="false" customHeight="true" outlineLevel="0" collapsed="false">
      <c r="A1" s="1642" t="s">
        <v>1539</v>
      </c>
      <c r="B1" s="1643"/>
      <c r="G1" s="934" t="s">
        <v>71</v>
      </c>
      <c r="P1" s="934"/>
      <c r="Q1" s="934"/>
      <c r="T1" s="1644" t="s">
        <v>750</v>
      </c>
      <c r="U1" s="943"/>
      <c r="V1" s="943"/>
      <c r="W1" s="1645" t="s">
        <v>751</v>
      </c>
      <c r="X1" s="1645" t="s">
        <v>751</v>
      </c>
      <c r="Y1" s="1646"/>
      <c r="Z1" s="1647"/>
      <c r="AA1" s="1647"/>
      <c r="AB1" s="1647"/>
      <c r="AC1" s="1648"/>
      <c r="AD1" s="1647"/>
      <c r="AE1" s="1649"/>
      <c r="AF1" s="1650" t="s">
        <v>1540</v>
      </c>
      <c r="AG1" s="1651" t="s">
        <v>753</v>
      </c>
      <c r="AH1" s="948"/>
      <c r="AI1" s="948"/>
      <c r="AJ1" s="948"/>
      <c r="AK1" s="948"/>
      <c r="AL1" s="948"/>
      <c r="AM1" s="948"/>
      <c r="AN1" s="1652"/>
      <c r="AO1" s="1651" t="s">
        <v>1541</v>
      </c>
      <c r="AP1" s="948"/>
      <c r="AQ1" s="1653"/>
      <c r="AR1" s="948"/>
      <c r="AS1" s="1651" t="s">
        <v>1542</v>
      </c>
      <c r="AT1" s="1654"/>
      <c r="AU1" s="948"/>
      <c r="AV1" s="948"/>
      <c r="AW1" s="948"/>
      <c r="AX1" s="948"/>
      <c r="AY1" s="1652"/>
    </row>
    <row r="2" s="1659" customFormat="true" ht="48" hidden="false" customHeight="true" outlineLevel="0" collapsed="false">
      <c r="A2" s="1655" t="s">
        <v>755</v>
      </c>
      <c r="B2" s="1655" t="s">
        <v>756</v>
      </c>
      <c r="C2" s="1655" t="s">
        <v>757</v>
      </c>
      <c r="D2" s="1655" t="s">
        <v>758</v>
      </c>
      <c r="E2" s="1655" t="s">
        <v>1543</v>
      </c>
      <c r="F2" s="1655" t="s">
        <v>96</v>
      </c>
      <c r="G2" s="1655" t="s">
        <v>766</v>
      </c>
      <c r="H2" s="1655" t="s">
        <v>761</v>
      </c>
      <c r="I2" s="1655" t="s">
        <v>763</v>
      </c>
      <c r="J2" s="1655" t="s">
        <v>1544</v>
      </c>
      <c r="K2" s="1656" t="s">
        <v>765</v>
      </c>
      <c r="L2" s="1656"/>
      <c r="M2" s="1655" t="s">
        <v>767</v>
      </c>
      <c r="N2" s="1657" t="s">
        <v>1545</v>
      </c>
      <c r="O2" s="1655" t="s">
        <v>769</v>
      </c>
      <c r="P2" s="1655" t="s">
        <v>770</v>
      </c>
      <c r="Q2" s="1655" t="s">
        <v>771</v>
      </c>
      <c r="R2" s="1655" t="s">
        <v>772</v>
      </c>
      <c r="S2" s="1655" t="s">
        <v>773</v>
      </c>
      <c r="T2" s="1655" t="s">
        <v>1546</v>
      </c>
      <c r="U2" s="1655" t="s">
        <v>1547</v>
      </c>
      <c r="V2" s="1655" t="s">
        <v>776</v>
      </c>
      <c r="W2" s="1655" t="s">
        <v>1548</v>
      </c>
      <c r="X2" s="1655" t="s">
        <v>1549</v>
      </c>
      <c r="Y2" s="1655" t="s">
        <v>1550</v>
      </c>
      <c r="Z2" s="1655" t="s">
        <v>1551</v>
      </c>
      <c r="AA2" s="1655" t="s">
        <v>1552</v>
      </c>
      <c r="AB2" s="1655" t="s">
        <v>1553</v>
      </c>
      <c r="AC2" s="1655" t="s">
        <v>1554</v>
      </c>
      <c r="AD2" s="1655" t="s">
        <v>1555</v>
      </c>
      <c r="AE2" s="1655" t="s">
        <v>1556</v>
      </c>
      <c r="AF2" s="1655" t="s">
        <v>306</v>
      </c>
      <c r="AG2" s="1655" t="s">
        <v>1557</v>
      </c>
      <c r="AH2" s="1655" t="s">
        <v>1558</v>
      </c>
      <c r="AI2" s="1655" t="s">
        <v>1559</v>
      </c>
      <c r="AJ2" s="1655" t="s">
        <v>1560</v>
      </c>
      <c r="AK2" s="1655" t="s">
        <v>1561</v>
      </c>
      <c r="AL2" s="1655" t="s">
        <v>1562</v>
      </c>
      <c r="AM2" s="1655" t="s">
        <v>1563</v>
      </c>
      <c r="AN2" s="1655" t="s">
        <v>1564</v>
      </c>
      <c r="AO2" s="1655" t="s">
        <v>1565</v>
      </c>
      <c r="AP2" s="1655" t="s">
        <v>1566</v>
      </c>
      <c r="AQ2" s="1655" t="s">
        <v>1567</v>
      </c>
      <c r="AR2" s="1655" t="s">
        <v>571</v>
      </c>
      <c r="AS2" s="1655" t="s">
        <v>1568</v>
      </c>
      <c r="AT2" s="1655" t="s">
        <v>487</v>
      </c>
      <c r="AU2" s="1655" t="s">
        <v>1569</v>
      </c>
      <c r="AV2" s="1658" t="s">
        <v>1570</v>
      </c>
      <c r="AW2" s="1658" t="s">
        <v>1571</v>
      </c>
      <c r="AX2" s="1658" t="s">
        <v>1572</v>
      </c>
      <c r="AY2" s="1658" t="s">
        <v>370</v>
      </c>
    </row>
    <row r="3" customFormat="false" ht="18" hidden="false" customHeight="true" outlineLevel="1" collapsed="false">
      <c r="A3" s="1660"/>
      <c r="B3" s="1661" t="s">
        <v>170</v>
      </c>
      <c r="C3" s="965" t="s">
        <v>1573</v>
      </c>
      <c r="D3" s="1097" t="s">
        <v>1574</v>
      </c>
      <c r="E3" s="994" t="s">
        <v>1575</v>
      </c>
      <c r="F3" s="994" t="s">
        <v>328</v>
      </c>
      <c r="G3" s="974" t="n">
        <v>45569</v>
      </c>
      <c r="H3" s="1662" t="n">
        <v>0.0647</v>
      </c>
      <c r="I3" s="1662"/>
      <c r="J3" s="1663" t="n">
        <v>2617.79</v>
      </c>
      <c r="K3" s="1664" t="n">
        <v>1342</v>
      </c>
      <c r="L3" s="1665" t="n">
        <f aca="false">K3/365</f>
        <v>3.67671232876712</v>
      </c>
      <c r="M3" s="1665" t="n">
        <v>999.58</v>
      </c>
      <c r="N3" s="1666"/>
      <c r="O3" s="1667" t="n">
        <v>45838</v>
      </c>
      <c r="P3" s="974" t="s">
        <v>1576</v>
      </c>
      <c r="Q3" s="974" t="s">
        <v>966</v>
      </c>
      <c r="R3" s="1667" t="n">
        <f aca="false">+EDATE(O3,6)</f>
        <v>46021</v>
      </c>
      <c r="S3" s="1266" t="n">
        <v>1</v>
      </c>
      <c r="T3" s="1668" t="s">
        <v>373</v>
      </c>
      <c r="U3" s="994" t="n">
        <v>6</v>
      </c>
      <c r="V3" s="1669" t="s">
        <v>1577</v>
      </c>
      <c r="W3" s="1670"/>
      <c r="X3" s="1669" t="s">
        <v>1578</v>
      </c>
      <c r="Y3" s="1671" t="n">
        <f aca="false">(AE3/3.305)*Z3*1.8</f>
        <v>342166864.008472</v>
      </c>
      <c r="Z3" s="1672" t="n">
        <f aca="false">11500*3.3058*1.8</f>
        <v>68430.06</v>
      </c>
      <c r="AA3" s="1672" t="n">
        <v>20000000</v>
      </c>
      <c r="AB3" s="1672" t="n">
        <f aca="false">AA3/AE3*3.3058</f>
        <v>7201.39418364013</v>
      </c>
      <c r="AC3" s="1672" t="s">
        <v>328</v>
      </c>
      <c r="AD3" s="1669" t="s">
        <v>1579</v>
      </c>
      <c r="AE3" s="1673" t="n">
        <v>9181</v>
      </c>
      <c r="AF3" s="1674" t="n">
        <v>46191</v>
      </c>
      <c r="AG3" s="1674" t="s">
        <v>1580</v>
      </c>
      <c r="AH3" s="1675" t="n">
        <v>45808</v>
      </c>
      <c r="AI3" s="1676" t="n">
        <v>45901</v>
      </c>
      <c r="AJ3" s="1677" t="s">
        <v>1581</v>
      </c>
      <c r="AK3" s="1669" t="s">
        <v>1580</v>
      </c>
      <c r="AL3" s="1669" t="s">
        <v>121</v>
      </c>
      <c r="AM3" s="1669" t="s">
        <v>1582</v>
      </c>
      <c r="AN3" s="1678" t="s">
        <v>1583</v>
      </c>
      <c r="AO3" s="1089" t="n">
        <f aca="false">20000000*M3/1000</f>
        <v>19991600</v>
      </c>
      <c r="AP3" s="1679" t="s">
        <v>1584</v>
      </c>
      <c r="AQ3" s="1089" t="n">
        <f aca="false">+ROUND(M3/SUM($M$3:$M$10)*3556000000-200000000,)</f>
        <v>244551145</v>
      </c>
      <c r="AR3" s="1089" t="n">
        <f aca="false">1050000000*M3/1000</f>
        <v>1049559000</v>
      </c>
      <c r="AS3" s="1674" t="n">
        <f aca="true">TODAY()</f>
        <v>46051</v>
      </c>
      <c r="AT3" s="1680" t="s">
        <v>505</v>
      </c>
      <c r="AU3" s="1681" t="n">
        <f aca="false">3.6*365*M3*0.98</f>
        <v>1287179.1576</v>
      </c>
      <c r="AV3" s="1669" t="s">
        <v>1585</v>
      </c>
      <c r="AW3" s="1669" t="s">
        <v>1585</v>
      </c>
      <c r="AX3" s="1669" t="s">
        <v>1586</v>
      </c>
      <c r="AY3" s="1682" t="s">
        <v>1587</v>
      </c>
    </row>
    <row r="4" customFormat="false" ht="18" hidden="false" customHeight="true" outlineLevel="1" collapsed="false">
      <c r="A4" s="1660"/>
      <c r="B4" s="1661" t="s">
        <v>171</v>
      </c>
      <c r="C4" s="965" t="s">
        <v>1573</v>
      </c>
      <c r="D4" s="1683" t="s">
        <v>1588</v>
      </c>
      <c r="E4" s="994" t="s">
        <v>1575</v>
      </c>
      <c r="F4" s="994" t="s">
        <v>328</v>
      </c>
      <c r="G4" s="974" t="n">
        <v>45569</v>
      </c>
      <c r="H4" s="1662" t="n">
        <v>0.0647</v>
      </c>
      <c r="I4" s="1662"/>
      <c r="J4" s="1663" t="n">
        <v>2617.79</v>
      </c>
      <c r="K4" s="1664" t="n">
        <v>1342</v>
      </c>
      <c r="L4" s="1665" t="n">
        <f aca="false">K4/365</f>
        <v>3.67671232876712</v>
      </c>
      <c r="M4" s="1665" t="n">
        <v>999.58</v>
      </c>
      <c r="N4" s="1684"/>
      <c r="O4" s="1667" t="n">
        <v>45838</v>
      </c>
      <c r="P4" s="974" t="s">
        <v>1576</v>
      </c>
      <c r="Q4" s="974" t="s">
        <v>966</v>
      </c>
      <c r="R4" s="1667" t="n">
        <f aca="false">+EDATE(O4,6)</f>
        <v>46021</v>
      </c>
      <c r="S4" s="1669" t="n">
        <v>1</v>
      </c>
      <c r="T4" s="1668" t="s">
        <v>373</v>
      </c>
      <c r="U4" s="994" t="n">
        <v>6</v>
      </c>
      <c r="V4" s="1669" t="s">
        <v>1577</v>
      </c>
      <c r="W4" s="1670"/>
      <c r="X4" s="1669" t="s">
        <v>1578</v>
      </c>
      <c r="Y4" s="1671" t="n">
        <f aca="false">(AE4/3.305)*Z4*1.8</f>
        <v>350962352.507111</v>
      </c>
      <c r="Z4" s="1672" t="n">
        <f aca="false">11500*3.3058*1.8</f>
        <v>68430.06</v>
      </c>
      <c r="AA4" s="1672" t="n">
        <v>20000000</v>
      </c>
      <c r="AB4" s="1672" t="n">
        <f aca="false">AA4/AE4*3.3058</f>
        <v>7020.91961346501</v>
      </c>
      <c r="AC4" s="1672" t="s">
        <v>328</v>
      </c>
      <c r="AD4" s="1669" t="s">
        <v>1579</v>
      </c>
      <c r="AE4" s="1673" t="n">
        <v>9417</v>
      </c>
      <c r="AF4" s="1674" t="n">
        <v>46191</v>
      </c>
      <c r="AG4" s="1674" t="s">
        <v>1580</v>
      </c>
      <c r="AH4" s="1675" t="n">
        <v>45808</v>
      </c>
      <c r="AI4" s="1676" t="n">
        <v>45901</v>
      </c>
      <c r="AJ4" s="1677" t="s">
        <v>1581</v>
      </c>
      <c r="AK4" s="1669" t="s">
        <v>1580</v>
      </c>
      <c r="AL4" s="1669" t="s">
        <v>121</v>
      </c>
      <c r="AM4" s="1669" t="s">
        <v>1582</v>
      </c>
      <c r="AN4" s="1678" t="s">
        <v>1583</v>
      </c>
      <c r="AO4" s="1089" t="n">
        <f aca="false">20000000*M4/1000</f>
        <v>19991600</v>
      </c>
      <c r="AP4" s="1679" t="s">
        <v>1584</v>
      </c>
      <c r="AQ4" s="1089" t="n">
        <f aca="false">+ROUND(M4/SUM($M$3:$M$10)*3556000000-200000000,)</f>
        <v>244551145</v>
      </c>
      <c r="AR4" s="1089" t="n">
        <f aca="false">1050000000*M4/1000</f>
        <v>1049559000</v>
      </c>
      <c r="AS4" s="1674" t="n">
        <v>45720</v>
      </c>
      <c r="AT4" s="1680" t="s">
        <v>505</v>
      </c>
      <c r="AU4" s="1681" t="n">
        <f aca="false">3.6*365*M4*0.98</f>
        <v>1287179.1576</v>
      </c>
      <c r="AV4" s="1669" t="s">
        <v>1585</v>
      </c>
      <c r="AW4" s="1669" t="s">
        <v>1585</v>
      </c>
      <c r="AX4" s="1669" t="s">
        <v>1586</v>
      </c>
      <c r="AY4" s="1682"/>
    </row>
    <row r="5" customFormat="false" ht="18" hidden="false" customHeight="true" outlineLevel="1" collapsed="false">
      <c r="A5" s="1660"/>
      <c r="B5" s="1661" t="s">
        <v>172</v>
      </c>
      <c r="C5" s="965" t="s">
        <v>1589</v>
      </c>
      <c r="D5" s="966" t="s">
        <v>1590</v>
      </c>
      <c r="E5" s="994" t="s">
        <v>1591</v>
      </c>
      <c r="F5" s="994" t="s">
        <v>328</v>
      </c>
      <c r="G5" s="974" t="n">
        <v>45569</v>
      </c>
      <c r="H5" s="1662" t="n">
        <v>0.0619</v>
      </c>
      <c r="I5" s="1662"/>
      <c r="J5" s="1663" t="n">
        <v>2185.15</v>
      </c>
      <c r="K5" s="1664" t="n">
        <v>1319</v>
      </c>
      <c r="L5" s="1665" t="n">
        <f aca="false">K5/365</f>
        <v>3.61369863013699</v>
      </c>
      <c r="M5" s="1665" t="n">
        <v>999.6</v>
      </c>
      <c r="N5" s="1684"/>
      <c r="O5" s="1667" t="n">
        <v>45838</v>
      </c>
      <c r="P5" s="974" t="s">
        <v>1576</v>
      </c>
      <c r="Q5" s="974" t="s">
        <v>966</v>
      </c>
      <c r="R5" s="1667" t="n">
        <f aca="false">+EDATE(O5,6)</f>
        <v>46021</v>
      </c>
      <c r="S5" s="1669" t="n">
        <v>1</v>
      </c>
      <c r="T5" s="1668" t="s">
        <v>373</v>
      </c>
      <c r="U5" s="994" t="n">
        <v>6</v>
      </c>
      <c r="V5" s="1669" t="s">
        <v>1577</v>
      </c>
      <c r="W5" s="1670"/>
      <c r="X5" s="1669" t="s">
        <v>1578</v>
      </c>
      <c r="Y5" s="1671" t="n">
        <f aca="false">(AE5/3.305)*Z5*1.8</f>
        <v>339105943.268986</v>
      </c>
      <c r="Z5" s="1672" t="n">
        <f aca="false">13000*3.3058*1.8</f>
        <v>77355.72</v>
      </c>
      <c r="AA5" s="1672" t="n">
        <v>20000000</v>
      </c>
      <c r="AB5" s="1672" t="n">
        <f aca="false">AA5/AE5*3.3058</f>
        <v>8214.18809790036</v>
      </c>
      <c r="AC5" s="1672" t="s">
        <v>328</v>
      </c>
      <c r="AD5" s="1669" t="s">
        <v>1592</v>
      </c>
      <c r="AE5" s="1673" t="n">
        <v>8049</v>
      </c>
      <c r="AF5" s="1674" t="n">
        <v>46191</v>
      </c>
      <c r="AG5" s="1674" t="s">
        <v>1580</v>
      </c>
      <c r="AH5" s="1675" t="n">
        <v>45808</v>
      </c>
      <c r="AI5" s="1676" t="n">
        <v>45901</v>
      </c>
      <c r="AJ5" s="1677" t="s">
        <v>1593</v>
      </c>
      <c r="AK5" s="1669" t="s">
        <v>1580</v>
      </c>
      <c r="AL5" s="1669" t="s">
        <v>121</v>
      </c>
      <c r="AM5" s="1669" t="s">
        <v>1582</v>
      </c>
      <c r="AN5" s="1678" t="s">
        <v>1583</v>
      </c>
      <c r="AO5" s="1089" t="n">
        <f aca="false">20000000*M5/1000</f>
        <v>19992000</v>
      </c>
      <c r="AP5" s="1679" t="s">
        <v>1584</v>
      </c>
      <c r="AQ5" s="1089" t="n">
        <f aca="false">+ROUND(M5/SUM($M$3:$M$10)*3556000000-200000000,)</f>
        <v>244560040</v>
      </c>
      <c r="AR5" s="1089" t="n">
        <f aca="false">1050000000*M5/1000</f>
        <v>1049580000</v>
      </c>
      <c r="AS5" s="1674" t="n">
        <v>45720</v>
      </c>
      <c r="AT5" s="1680" t="s">
        <v>505</v>
      </c>
      <c r="AU5" s="1681" t="n">
        <f aca="false">3.6*365*M5*0.98</f>
        <v>1287204.912</v>
      </c>
      <c r="AV5" s="1669" t="s">
        <v>1585</v>
      </c>
      <c r="AW5" s="1669" t="s">
        <v>1585</v>
      </c>
      <c r="AX5" s="1669" t="s">
        <v>1586</v>
      </c>
      <c r="AY5" s="1682"/>
    </row>
    <row r="6" customFormat="false" ht="18" hidden="false" customHeight="true" outlineLevel="1" collapsed="false">
      <c r="A6" s="1685" t="str">
        <f aca="false">"GM Batch1"</f>
        <v>GM Batch1</v>
      </c>
      <c r="B6" s="1661" t="s">
        <v>173</v>
      </c>
      <c r="C6" s="965" t="s">
        <v>1589</v>
      </c>
      <c r="D6" s="966" t="s">
        <v>1590</v>
      </c>
      <c r="E6" s="994" t="s">
        <v>1591</v>
      </c>
      <c r="F6" s="994" t="s">
        <v>328</v>
      </c>
      <c r="G6" s="974" t="n">
        <v>45569</v>
      </c>
      <c r="H6" s="1662" t="n">
        <v>0.0619</v>
      </c>
      <c r="I6" s="1662"/>
      <c r="J6" s="1663" t="n">
        <v>2185.15</v>
      </c>
      <c r="K6" s="1664" t="n">
        <v>1319</v>
      </c>
      <c r="L6" s="1665" t="n">
        <f aca="false">K6/365</f>
        <v>3.61369863013699</v>
      </c>
      <c r="M6" s="1665" t="n">
        <v>999.6</v>
      </c>
      <c r="N6" s="1684"/>
      <c r="O6" s="1667" t="n">
        <v>45838</v>
      </c>
      <c r="P6" s="974" t="s">
        <v>1576</v>
      </c>
      <c r="Q6" s="974" t="s">
        <v>966</v>
      </c>
      <c r="R6" s="1667" t="n">
        <f aca="false">+EDATE(O6,6)</f>
        <v>46021</v>
      </c>
      <c r="S6" s="1669" t="n">
        <v>1</v>
      </c>
      <c r="T6" s="1668" t="s">
        <v>373</v>
      </c>
      <c r="U6" s="994" t="n">
        <v>6</v>
      </c>
      <c r="V6" s="1669" t="s">
        <v>1577</v>
      </c>
      <c r="W6" s="1670"/>
      <c r="X6" s="1669" t="s">
        <v>1578</v>
      </c>
      <c r="Y6" s="1671" t="n">
        <f aca="false">(AE6/3.305)*Z6*1.8</f>
        <v>358527963.376702</v>
      </c>
      <c r="Z6" s="1672" t="n">
        <f aca="false">13000*3.3058*1.8</f>
        <v>77355.72</v>
      </c>
      <c r="AA6" s="1672" t="n">
        <v>20000000</v>
      </c>
      <c r="AB6" s="1672" t="n">
        <f aca="false">AA6/AE6*3.3058</f>
        <v>7769.21269095182</v>
      </c>
      <c r="AC6" s="1672" t="s">
        <v>328</v>
      </c>
      <c r="AD6" s="1669" t="s">
        <v>1592</v>
      </c>
      <c r="AE6" s="1673" t="n">
        <v>8510</v>
      </c>
      <c r="AF6" s="1674" t="n">
        <v>46191</v>
      </c>
      <c r="AG6" s="1674" t="s">
        <v>1580</v>
      </c>
      <c r="AH6" s="1675" t="n">
        <v>45808</v>
      </c>
      <c r="AI6" s="1676" t="n">
        <v>45901</v>
      </c>
      <c r="AJ6" s="1677" t="s">
        <v>1593</v>
      </c>
      <c r="AK6" s="1669" t="s">
        <v>1580</v>
      </c>
      <c r="AL6" s="1669" t="s">
        <v>121</v>
      </c>
      <c r="AM6" s="1669" t="s">
        <v>1582</v>
      </c>
      <c r="AN6" s="1678" t="s">
        <v>1583</v>
      </c>
      <c r="AO6" s="1089" t="n">
        <f aca="false">20000000*M6/1000</f>
        <v>19992000</v>
      </c>
      <c r="AP6" s="1679" t="s">
        <v>1584</v>
      </c>
      <c r="AQ6" s="1089" t="n">
        <f aca="false">+ROUND(M6/SUM($M$3:$M$10)*3556000000-200000000,)</f>
        <v>244560040</v>
      </c>
      <c r="AR6" s="1089" t="n">
        <f aca="false">1050000000*M6/1000</f>
        <v>1049580000</v>
      </c>
      <c r="AS6" s="1674" t="n">
        <v>45720</v>
      </c>
      <c r="AT6" s="1680" t="s">
        <v>505</v>
      </c>
      <c r="AU6" s="1681" t="n">
        <f aca="false">3.6*365*M6*0.98</f>
        <v>1287204.912</v>
      </c>
      <c r="AV6" s="1669" t="s">
        <v>1585</v>
      </c>
      <c r="AW6" s="1669" t="s">
        <v>1585</v>
      </c>
      <c r="AX6" s="1669" t="s">
        <v>1586</v>
      </c>
      <c r="AY6" s="1682"/>
    </row>
    <row r="7" customFormat="false" ht="18" hidden="false" customHeight="true" outlineLevel="1" collapsed="false">
      <c r="A7" s="1686" t="n">
        <f aca="false">SUM(M3:M10)</f>
        <v>7995.72</v>
      </c>
      <c r="B7" s="1661" t="s">
        <v>174</v>
      </c>
      <c r="C7" s="965" t="s">
        <v>1594</v>
      </c>
      <c r="D7" s="966" t="s">
        <v>1595</v>
      </c>
      <c r="E7" s="994" t="s">
        <v>1596</v>
      </c>
      <c r="F7" s="994" t="s">
        <v>328</v>
      </c>
      <c r="G7" s="974" t="n">
        <v>45569</v>
      </c>
      <c r="H7" s="1662" t="n">
        <v>0.0734</v>
      </c>
      <c r="I7" s="1662"/>
      <c r="J7" s="1663" t="n">
        <v>2952.07</v>
      </c>
      <c r="K7" s="1664" t="n">
        <v>1428</v>
      </c>
      <c r="L7" s="1665" t="n">
        <f aca="false">K7/365</f>
        <v>3.91232876712329</v>
      </c>
      <c r="M7" s="1665" t="n">
        <v>999.24</v>
      </c>
      <c r="N7" s="1684"/>
      <c r="O7" s="1687" t="s">
        <v>1597</v>
      </c>
      <c r="P7" s="974" t="s">
        <v>1576</v>
      </c>
      <c r="Q7" s="974" t="s">
        <v>966</v>
      </c>
      <c r="R7" s="1687" t="s">
        <v>1598</v>
      </c>
      <c r="S7" s="1669" t="n">
        <v>1</v>
      </c>
      <c r="T7" s="1668" t="s">
        <v>373</v>
      </c>
      <c r="U7" s="994" t="n">
        <v>6</v>
      </c>
      <c r="V7" s="1669" t="s">
        <v>1577</v>
      </c>
      <c r="W7" s="1670"/>
      <c r="X7" s="1669" t="s">
        <v>1578</v>
      </c>
      <c r="Y7" s="1671" t="n">
        <f aca="false">(AE7/3.305)*Z7*1.8</f>
        <v>479091392.795328</v>
      </c>
      <c r="Z7" s="1672" t="n">
        <f aca="false">18110*3.3058*1.8</f>
        <v>107762.4684</v>
      </c>
      <c r="AA7" s="1672" t="n">
        <v>20000000</v>
      </c>
      <c r="AB7" s="1672" t="n">
        <f aca="false">AA7/AE7*3.3058</f>
        <v>8099.47323288007</v>
      </c>
      <c r="AC7" s="1672" t="s">
        <v>328</v>
      </c>
      <c r="AD7" s="1669" t="s">
        <v>1592</v>
      </c>
      <c r="AE7" s="1673" t="n">
        <v>8163</v>
      </c>
      <c r="AF7" s="1675" t="n">
        <v>45870</v>
      </c>
      <c r="AG7" s="1674" t="s">
        <v>1580</v>
      </c>
      <c r="AH7" s="1675" t="n">
        <v>45904</v>
      </c>
      <c r="AI7" s="1676" t="n">
        <v>46054</v>
      </c>
      <c r="AJ7" s="1677" t="s">
        <v>1599</v>
      </c>
      <c r="AK7" s="1669" t="s">
        <v>1580</v>
      </c>
      <c r="AL7" s="1669" t="s">
        <v>121</v>
      </c>
      <c r="AM7" s="1669" t="s">
        <v>1582</v>
      </c>
      <c r="AN7" s="1678" t="s">
        <v>1583</v>
      </c>
      <c r="AO7" s="1089" t="n">
        <f aca="false">20000000*M7/1000</f>
        <v>19984800</v>
      </c>
      <c r="AP7" s="1679" t="s">
        <v>1584</v>
      </c>
      <c r="AQ7" s="1089" t="n">
        <f aca="false">+ROUND(M7/SUM($M$3:$M$10)*3556000000-200000000,)</f>
        <v>244399934</v>
      </c>
      <c r="AR7" s="1089" t="n">
        <f aca="false">1050000000*M7/1000</f>
        <v>1049202000</v>
      </c>
      <c r="AS7" s="1674" t="n">
        <v>45720</v>
      </c>
      <c r="AT7" s="1680" t="s">
        <v>505</v>
      </c>
      <c r="AU7" s="1681" t="n">
        <f aca="false">3.6*365*M7*0.98</f>
        <v>1286741.3328</v>
      </c>
      <c r="AV7" s="1669" t="s">
        <v>1600</v>
      </c>
      <c r="AW7" s="1669" t="s">
        <v>1600</v>
      </c>
      <c r="AX7" s="1669" t="s">
        <v>1586</v>
      </c>
      <c r="AY7" s="1682"/>
    </row>
    <row r="8" customFormat="false" ht="18" hidden="false" customHeight="true" outlineLevel="1" collapsed="false">
      <c r="A8" s="1660"/>
      <c r="B8" s="1661" t="s">
        <v>175</v>
      </c>
      <c r="C8" s="965" t="s">
        <v>1594</v>
      </c>
      <c r="D8" s="1683" t="s">
        <v>1601</v>
      </c>
      <c r="E8" s="994" t="s">
        <v>1596</v>
      </c>
      <c r="F8" s="994" t="s">
        <v>328</v>
      </c>
      <c r="G8" s="974" t="n">
        <v>45569</v>
      </c>
      <c r="H8" s="1662" t="n">
        <v>0.0734</v>
      </c>
      <c r="I8" s="1662"/>
      <c r="J8" s="1663" t="n">
        <v>2952.07</v>
      </c>
      <c r="K8" s="1664" t="n">
        <v>1428</v>
      </c>
      <c r="L8" s="1665" t="n">
        <f aca="false">K8/365</f>
        <v>3.91232876712329</v>
      </c>
      <c r="M8" s="1665" t="n">
        <v>999.24</v>
      </c>
      <c r="N8" s="1684"/>
      <c r="O8" s="1687" t="s">
        <v>1597</v>
      </c>
      <c r="P8" s="974" t="s">
        <v>1576</v>
      </c>
      <c r="Q8" s="974" t="s">
        <v>966</v>
      </c>
      <c r="R8" s="1687" t="s">
        <v>1598</v>
      </c>
      <c r="S8" s="1669" t="n">
        <v>1</v>
      </c>
      <c r="T8" s="1668" t="s">
        <v>373</v>
      </c>
      <c r="U8" s="994" t="n">
        <v>6</v>
      </c>
      <c r="V8" s="1669" t="s">
        <v>1577</v>
      </c>
      <c r="W8" s="1670"/>
      <c r="X8" s="1669" t="s">
        <v>1578</v>
      </c>
      <c r="Y8" s="1671" t="n">
        <f aca="false">(AE8/3.305)*Z8*1.8</f>
        <v>458549681.723619</v>
      </c>
      <c r="Z8" s="1672" t="n">
        <f aca="false">18110*3.3058*1.8</f>
        <v>107762.4684</v>
      </c>
      <c r="AA8" s="1672" t="n">
        <v>20000000</v>
      </c>
      <c r="AB8" s="1672" t="n">
        <f aca="false">AA8/AE8*3.3058</f>
        <v>8462.30641238961</v>
      </c>
      <c r="AC8" s="1672" t="s">
        <v>328</v>
      </c>
      <c r="AD8" s="1669" t="s">
        <v>1592</v>
      </c>
      <c r="AE8" s="1673" t="n">
        <v>7813</v>
      </c>
      <c r="AF8" s="1675" t="n">
        <v>45870</v>
      </c>
      <c r="AG8" s="1674" t="s">
        <v>1580</v>
      </c>
      <c r="AH8" s="1675" t="n">
        <v>45904</v>
      </c>
      <c r="AI8" s="1676" t="n">
        <v>46054</v>
      </c>
      <c r="AJ8" s="1677" t="s">
        <v>1599</v>
      </c>
      <c r="AK8" s="1669" t="s">
        <v>1580</v>
      </c>
      <c r="AL8" s="1669" t="s">
        <v>121</v>
      </c>
      <c r="AM8" s="1669" t="s">
        <v>1582</v>
      </c>
      <c r="AN8" s="1678" t="s">
        <v>1583</v>
      </c>
      <c r="AO8" s="1089" t="n">
        <f aca="false">20000000*M8/1000</f>
        <v>19984800</v>
      </c>
      <c r="AP8" s="1679" t="s">
        <v>1584</v>
      </c>
      <c r="AQ8" s="1089" t="n">
        <f aca="false">+ROUND(M8/SUM($M$3:$M$10)*3556000000-200000000,)</f>
        <v>244399934</v>
      </c>
      <c r="AR8" s="1089" t="n">
        <f aca="false">1050000000*M8/1000</f>
        <v>1049202000</v>
      </c>
      <c r="AS8" s="1674" t="n">
        <v>45720</v>
      </c>
      <c r="AT8" s="1680" t="s">
        <v>505</v>
      </c>
      <c r="AU8" s="1681" t="n">
        <f aca="false">3.6*365*M8*0.98</f>
        <v>1286741.3328</v>
      </c>
      <c r="AV8" s="1669" t="s">
        <v>1602</v>
      </c>
      <c r="AW8" s="1669" t="s">
        <v>1602</v>
      </c>
      <c r="AX8" s="1669" t="s">
        <v>1586</v>
      </c>
      <c r="AY8" s="1682"/>
    </row>
    <row r="9" customFormat="false" ht="18" hidden="false" customHeight="true" outlineLevel="1" collapsed="false">
      <c r="A9" s="1660"/>
      <c r="B9" s="1661" t="s">
        <v>176</v>
      </c>
      <c r="C9" s="965" t="s">
        <v>1603</v>
      </c>
      <c r="D9" s="1683" t="s">
        <v>1604</v>
      </c>
      <c r="E9" s="994" t="s">
        <v>1605</v>
      </c>
      <c r="F9" s="994" t="s">
        <v>328</v>
      </c>
      <c r="G9" s="974" t="n">
        <v>45569</v>
      </c>
      <c r="H9" s="1662" t="n">
        <v>0.0685</v>
      </c>
      <c r="I9" s="1662"/>
      <c r="J9" s="1663" t="n">
        <v>1411.3</v>
      </c>
      <c r="K9" s="1664" t="n">
        <v>1379</v>
      </c>
      <c r="L9" s="1665" t="n">
        <f aca="false">K9/365</f>
        <v>3.77808219178082</v>
      </c>
      <c r="M9" s="1665" t="n">
        <v>999.44</v>
      </c>
      <c r="N9" s="1666"/>
      <c r="O9" s="1687" t="s">
        <v>1606</v>
      </c>
      <c r="P9" s="974" t="s">
        <v>1576</v>
      </c>
      <c r="Q9" s="974" t="s">
        <v>966</v>
      </c>
      <c r="R9" s="1687" t="s">
        <v>1607</v>
      </c>
      <c r="S9" s="1669" t="n">
        <v>1</v>
      </c>
      <c r="T9" s="1668" t="s">
        <v>373</v>
      </c>
      <c r="U9" s="994" t="n">
        <v>6</v>
      </c>
      <c r="V9" s="1669" t="s">
        <v>1577</v>
      </c>
      <c r="W9" s="1670"/>
      <c r="X9" s="1669" t="s">
        <v>1578</v>
      </c>
      <c r="Y9" s="1671" t="n">
        <f aca="false">(AE9/3.305)*Z9*1.8</f>
        <v>209528337.229434</v>
      </c>
      <c r="Z9" s="1672" t="n">
        <f aca="false">7510*3.3058*1.8</f>
        <v>44687.8044</v>
      </c>
      <c r="AA9" s="1672" t="n">
        <v>20000000</v>
      </c>
      <c r="AB9" s="1672" t="n">
        <f aca="false">AA9/AE9*3.3058</f>
        <v>7679.86990358927</v>
      </c>
      <c r="AC9" s="1672" t="s">
        <v>328</v>
      </c>
      <c r="AD9" s="1669" t="s">
        <v>1592</v>
      </c>
      <c r="AE9" s="1673" t="n">
        <v>8609</v>
      </c>
      <c r="AF9" s="1674" t="n">
        <v>46449</v>
      </c>
      <c r="AG9" s="1674" t="s">
        <v>1580</v>
      </c>
      <c r="AH9" s="1674" t="n">
        <v>46054</v>
      </c>
      <c r="AI9" s="1676" t="n">
        <v>46054</v>
      </c>
      <c r="AJ9" s="1677" t="s">
        <v>1599</v>
      </c>
      <c r="AK9" s="1669" t="s">
        <v>1580</v>
      </c>
      <c r="AL9" s="1669" t="s">
        <v>121</v>
      </c>
      <c r="AM9" s="1669" t="s">
        <v>1582</v>
      </c>
      <c r="AN9" s="1678" t="s">
        <v>1583</v>
      </c>
      <c r="AO9" s="1089" t="n">
        <f aca="false">20000000*M9/1000</f>
        <v>19988800</v>
      </c>
      <c r="AP9" s="1679" t="s">
        <v>1584</v>
      </c>
      <c r="AQ9" s="1089" t="n">
        <f aca="false">+ROUND(M9/SUM($M$3:$M$10)*3556000000-200000000,)</f>
        <v>244488882</v>
      </c>
      <c r="AR9" s="1089" t="n">
        <f aca="false">1050000000*M9/1000</f>
        <v>1049412000</v>
      </c>
      <c r="AS9" s="1674" t="n">
        <v>45720</v>
      </c>
      <c r="AT9" s="1680" t="s">
        <v>505</v>
      </c>
      <c r="AU9" s="1681" t="n">
        <f aca="false">3.6*365*M9*0.98</f>
        <v>1286998.8768</v>
      </c>
      <c r="AV9" s="1669" t="s">
        <v>1608</v>
      </c>
      <c r="AW9" s="1669" t="s">
        <v>1608</v>
      </c>
      <c r="AX9" s="1669" t="s">
        <v>1586</v>
      </c>
      <c r="AY9" s="1682"/>
    </row>
    <row r="10" s="1708" customFormat="true" ht="18" hidden="false" customHeight="true" outlineLevel="1" collapsed="false">
      <c r="A10" s="1688"/>
      <c r="B10" s="1689" t="s">
        <v>177</v>
      </c>
      <c r="C10" s="1101" t="s">
        <v>1609</v>
      </c>
      <c r="D10" s="1690" t="s">
        <v>1610</v>
      </c>
      <c r="E10" s="1052" t="s">
        <v>1611</v>
      </c>
      <c r="F10" s="1052" t="s">
        <v>328</v>
      </c>
      <c r="G10" s="1058" t="n">
        <v>45569</v>
      </c>
      <c r="H10" s="1691" t="n">
        <v>0.0678</v>
      </c>
      <c r="I10" s="1691"/>
      <c r="J10" s="1692" t="n">
        <v>1806.8</v>
      </c>
      <c r="K10" s="1693" t="n">
        <v>1373</v>
      </c>
      <c r="L10" s="1694" t="n">
        <f aca="false">K10/365</f>
        <v>3.76164383561644</v>
      </c>
      <c r="M10" s="1694" t="n">
        <v>999.44</v>
      </c>
      <c r="N10" s="1695"/>
      <c r="O10" s="1687" t="s">
        <v>1606</v>
      </c>
      <c r="P10" s="1058" t="s">
        <v>1576</v>
      </c>
      <c r="Q10" s="1058" t="s">
        <v>966</v>
      </c>
      <c r="R10" s="1687" t="s">
        <v>1607</v>
      </c>
      <c r="S10" s="1696" t="n">
        <v>1</v>
      </c>
      <c r="T10" s="1697" t="s">
        <v>373</v>
      </c>
      <c r="U10" s="1052" t="n">
        <v>6</v>
      </c>
      <c r="V10" s="1696" t="s">
        <v>1577</v>
      </c>
      <c r="W10" s="1698"/>
      <c r="X10" s="1696" t="s">
        <v>1578</v>
      </c>
      <c r="Y10" s="1699" t="n">
        <f aca="false">(AE10/3.305)*Z10*1.8</f>
        <v>219818507.839516</v>
      </c>
      <c r="Z10" s="1700" t="n">
        <f aca="false">7800*3.3058*1.8</f>
        <v>46413.432</v>
      </c>
      <c r="AA10" s="1700" t="n">
        <v>20000000</v>
      </c>
      <c r="AB10" s="1700" t="n">
        <f aca="false">AA10/AE10*3.3058</f>
        <v>7603.03587856486</v>
      </c>
      <c r="AC10" s="1700" t="s">
        <v>328</v>
      </c>
      <c r="AD10" s="1696" t="s">
        <v>1592</v>
      </c>
      <c r="AE10" s="1701" t="n">
        <f aca="false">385+8311</f>
        <v>8696</v>
      </c>
      <c r="AF10" s="1702" t="n">
        <v>46449</v>
      </c>
      <c r="AG10" s="1702" t="s">
        <v>1580</v>
      </c>
      <c r="AH10" s="1702" t="n">
        <v>46054</v>
      </c>
      <c r="AI10" s="1703" t="n">
        <v>46054</v>
      </c>
      <c r="AJ10" s="1677" t="s">
        <v>1599</v>
      </c>
      <c r="AK10" s="1696" t="s">
        <v>1580</v>
      </c>
      <c r="AL10" s="1696" t="s">
        <v>121</v>
      </c>
      <c r="AM10" s="1696" t="s">
        <v>1582</v>
      </c>
      <c r="AN10" s="1704" t="s">
        <v>1583</v>
      </c>
      <c r="AO10" s="1111" t="n">
        <f aca="false">20000000*M10/1000</f>
        <v>19988800</v>
      </c>
      <c r="AP10" s="1705" t="s">
        <v>1584</v>
      </c>
      <c r="AQ10" s="1089" t="n">
        <f aca="false">+ROUND(M10/SUM($M$3:$M$10)*3556000000-200000000,)</f>
        <v>244488882</v>
      </c>
      <c r="AR10" s="1111" t="n">
        <f aca="false">1050000000*M10/1000</f>
        <v>1049412000</v>
      </c>
      <c r="AS10" s="1702" t="n">
        <v>45720</v>
      </c>
      <c r="AT10" s="1706" t="s">
        <v>505</v>
      </c>
      <c r="AU10" s="1707" t="n">
        <f aca="false">3.6*365*M10*0.98</f>
        <v>1286998.8768</v>
      </c>
      <c r="AV10" s="1696" t="s">
        <v>1612</v>
      </c>
      <c r="AW10" s="1696" t="s">
        <v>1612</v>
      </c>
      <c r="AX10" s="1696" t="s">
        <v>1586</v>
      </c>
      <c r="AY10" s="1682"/>
    </row>
    <row r="11" s="1732" customFormat="true" ht="18" hidden="false" customHeight="true" outlineLevel="0" collapsed="false">
      <c r="A11" s="1709"/>
      <c r="B11" s="1710" t="s">
        <v>178</v>
      </c>
      <c r="C11" s="1711" t="s">
        <v>1613</v>
      </c>
      <c r="D11" s="1712" t="s">
        <v>1614</v>
      </c>
      <c r="E11" s="1713" t="s">
        <v>1615</v>
      </c>
      <c r="F11" s="1713" t="s">
        <v>328</v>
      </c>
      <c r="G11" s="1714" t="n">
        <v>45572</v>
      </c>
      <c r="H11" s="1715" t="n">
        <v>0.0727</v>
      </c>
      <c r="I11" s="1715"/>
      <c r="J11" s="1716" t="n">
        <v>1285.02264</v>
      </c>
      <c r="K11" s="1717" t="n">
        <v>1286</v>
      </c>
      <c r="L11" s="1718" t="n">
        <f aca="false">K11/365</f>
        <v>3.52328767123288</v>
      </c>
      <c r="M11" s="1718" t="n">
        <v>999.24</v>
      </c>
      <c r="N11" s="1719"/>
      <c r="O11" s="1720" t="n">
        <v>45839</v>
      </c>
      <c r="P11" s="1714" t="s">
        <v>1576</v>
      </c>
      <c r="Q11" s="1714" t="s">
        <v>966</v>
      </c>
      <c r="R11" s="1720" t="n">
        <f aca="false">+EDATE(O11,6)</f>
        <v>46023</v>
      </c>
      <c r="S11" s="1713" t="n">
        <v>1</v>
      </c>
      <c r="T11" s="1721" t="n">
        <f aca="false">20000000*M11/1000</f>
        <v>19984800</v>
      </c>
      <c r="U11" s="1713" t="n">
        <v>6</v>
      </c>
      <c r="V11" s="1713" t="s">
        <v>1616</v>
      </c>
      <c r="W11" s="1713"/>
      <c r="X11" s="1713" t="s">
        <v>1578</v>
      </c>
      <c r="Y11" s="1722" t="n">
        <f aca="false">300000000*M11/1000</f>
        <v>299772000</v>
      </c>
      <c r="Z11" s="1723" t="s">
        <v>373</v>
      </c>
      <c r="AA11" s="1723" t="s">
        <v>373</v>
      </c>
      <c r="AB11" s="1723" t="s">
        <v>373</v>
      </c>
      <c r="AC11" s="1723" t="n">
        <v>1934479985</v>
      </c>
      <c r="AD11" s="1713" t="s">
        <v>1579</v>
      </c>
      <c r="AE11" s="1721" t="n">
        <v>5871</v>
      </c>
      <c r="AF11" s="1724" t="n">
        <v>45835</v>
      </c>
      <c r="AG11" s="1714" t="s">
        <v>1580</v>
      </c>
      <c r="AH11" s="1714" t="n">
        <v>46200</v>
      </c>
      <c r="AI11" s="1725" t="n">
        <v>45986</v>
      </c>
      <c r="AJ11" s="1726" t="s">
        <v>1617</v>
      </c>
      <c r="AK11" s="1713" t="s">
        <v>1580</v>
      </c>
      <c r="AL11" s="1713" t="s">
        <v>121</v>
      </c>
      <c r="AM11" s="1713" t="s">
        <v>1582</v>
      </c>
      <c r="AN11" s="1727" t="n">
        <v>400000000</v>
      </c>
      <c r="AO11" s="1135"/>
      <c r="AP11" s="1728" t="s">
        <v>1618</v>
      </c>
      <c r="AQ11" s="1135" t="n">
        <f aca="false">+M11/(SUM($M$11:$M$30)+SUM($M$11:$M$30))*2906550000</f>
        <v>104504425.876057</v>
      </c>
      <c r="AR11" s="1135" t="n">
        <f aca="false">+M11*1050000000/1000</f>
        <v>1049202000</v>
      </c>
      <c r="AS11" s="1714" t="n">
        <v>45720</v>
      </c>
      <c r="AT11" s="1729" t="s">
        <v>505</v>
      </c>
      <c r="AU11" s="1730" t="n">
        <f aca="false">365*Sheet1!F19*Sheet1!G19</f>
        <v>1652252.8</v>
      </c>
      <c r="AV11" s="1713" t="s">
        <v>1619</v>
      </c>
      <c r="AW11" s="1713" t="s">
        <v>1619</v>
      </c>
      <c r="AX11" s="1713" t="s">
        <v>1586</v>
      </c>
      <c r="AY11" s="1731" t="s">
        <v>1620</v>
      </c>
      <c r="AZ11" s="932"/>
      <c r="BA11" s="932"/>
      <c r="BB11" s="932"/>
      <c r="BC11" s="932"/>
      <c r="BD11" s="932"/>
      <c r="BE11" s="932"/>
      <c r="BF11" s="932"/>
      <c r="BG11" s="932"/>
      <c r="BH11" s="932"/>
      <c r="BI11" s="932"/>
      <c r="BJ11" s="932"/>
      <c r="BK11" s="932"/>
      <c r="BL11" s="932"/>
      <c r="BM11" s="932"/>
      <c r="BN11" s="932"/>
      <c r="BO11" s="932"/>
      <c r="BP11" s="932"/>
      <c r="BQ11" s="932"/>
      <c r="BR11" s="932"/>
      <c r="BS11" s="932"/>
      <c r="BT11" s="932"/>
      <c r="BU11" s="932"/>
      <c r="BV11" s="932"/>
      <c r="BW11" s="932"/>
      <c r="BX11" s="932"/>
      <c r="BY11" s="932"/>
      <c r="BZ11" s="932"/>
      <c r="CA11" s="932"/>
      <c r="CB11" s="932"/>
      <c r="CC11" s="932"/>
      <c r="CD11" s="932"/>
      <c r="CE11" s="932"/>
      <c r="CF11" s="932"/>
      <c r="CG11" s="932"/>
      <c r="CH11" s="932"/>
      <c r="CI11" s="932"/>
      <c r="CJ11" s="932"/>
      <c r="CK11" s="932"/>
      <c r="CL11" s="932"/>
      <c r="CM11" s="932"/>
    </row>
    <row r="12" customFormat="false" ht="18" hidden="false" customHeight="true" outlineLevel="0" collapsed="false">
      <c r="A12" s="1733"/>
      <c r="B12" s="1661" t="s">
        <v>179</v>
      </c>
      <c r="C12" s="965" t="s">
        <v>1621</v>
      </c>
      <c r="D12" s="1683" t="s">
        <v>1622</v>
      </c>
      <c r="E12" s="1669" t="s">
        <v>1623</v>
      </c>
      <c r="F12" s="1669" t="s">
        <v>328</v>
      </c>
      <c r="G12" s="1674" t="n">
        <v>45572</v>
      </c>
      <c r="H12" s="1734" t="n">
        <v>0.0809</v>
      </c>
      <c r="I12" s="1734"/>
      <c r="J12" s="1735" t="n">
        <v>568.23296</v>
      </c>
      <c r="K12" s="1736" t="n">
        <v>1424</v>
      </c>
      <c r="L12" s="1737" t="n">
        <f aca="false">K12/365</f>
        <v>3.9013698630137</v>
      </c>
      <c r="M12" s="1737" t="n">
        <v>399.04</v>
      </c>
      <c r="N12" s="1738"/>
      <c r="O12" s="1739" t="n">
        <v>45839</v>
      </c>
      <c r="P12" s="1674" t="s">
        <v>1576</v>
      </c>
      <c r="Q12" s="1674" t="s">
        <v>966</v>
      </c>
      <c r="R12" s="1739" t="n">
        <f aca="false">+EDATE(O12,6)</f>
        <v>46023</v>
      </c>
      <c r="S12" s="1669" t="n">
        <v>1</v>
      </c>
      <c r="T12" s="1673" t="n">
        <f aca="false">20000000*M12/1000</f>
        <v>7980800</v>
      </c>
      <c r="U12" s="1669" t="n">
        <v>6</v>
      </c>
      <c r="V12" s="1669" t="s">
        <v>301</v>
      </c>
      <c r="W12" s="1669"/>
      <c r="X12" s="1669" t="s">
        <v>1578</v>
      </c>
      <c r="Y12" s="1671" t="n">
        <f aca="false">300000000*M12/1000</f>
        <v>119712000</v>
      </c>
      <c r="Z12" s="1672" t="s">
        <v>373</v>
      </c>
      <c r="AA12" s="1672" t="s">
        <v>373</v>
      </c>
      <c r="AB12" s="1672" t="s">
        <v>373</v>
      </c>
      <c r="AC12" s="1740" t="n">
        <v>773053842</v>
      </c>
      <c r="AD12" s="1669" t="s">
        <v>1579</v>
      </c>
      <c r="AE12" s="1673" t="n">
        <v>4096</v>
      </c>
      <c r="AF12" s="1674" t="n">
        <v>46320</v>
      </c>
      <c r="AG12" s="1674" t="s">
        <v>1580</v>
      </c>
      <c r="AH12" s="1675" t="n">
        <v>45868</v>
      </c>
      <c r="AI12" s="1725" t="n">
        <v>45986</v>
      </c>
      <c r="AJ12" s="1677" t="s">
        <v>1624</v>
      </c>
      <c r="AK12" s="1669" t="s">
        <v>1580</v>
      </c>
      <c r="AL12" s="1669" t="s">
        <v>121</v>
      </c>
      <c r="AM12" s="1669" t="s">
        <v>1582</v>
      </c>
      <c r="AN12" s="1678" t="n">
        <v>400000000</v>
      </c>
      <c r="AO12" s="1089"/>
      <c r="AP12" s="1679" t="s">
        <v>1618</v>
      </c>
      <c r="AQ12" s="1089" t="n">
        <f aca="false">+M12/(SUM($M$11:$M$30)+SUM($M$11:$M$30))*2906550000</f>
        <v>41733163.3056942</v>
      </c>
      <c r="AR12" s="1089" t="n">
        <f aca="false">+M12*1050000000/1000</f>
        <v>418992000</v>
      </c>
      <c r="AS12" s="1674" t="n">
        <v>45720</v>
      </c>
      <c r="AT12" s="1680" t="s">
        <v>505</v>
      </c>
      <c r="AU12" s="1681" t="n">
        <f aca="false">365*Sheet1!F20*Sheet1!G20</f>
        <v>2027064</v>
      </c>
      <c r="AV12" s="1669" t="s">
        <v>1625</v>
      </c>
      <c r="AW12" s="1669" t="s">
        <v>1625</v>
      </c>
      <c r="AX12" s="1669" t="s">
        <v>1586</v>
      </c>
      <c r="AY12" s="1731"/>
    </row>
    <row r="13" s="1732" customFormat="true" ht="18" hidden="false" customHeight="true" outlineLevel="0" collapsed="false">
      <c r="A13" s="1733"/>
      <c r="B13" s="1661" t="s">
        <v>180</v>
      </c>
      <c r="C13" s="965" t="s">
        <v>1626</v>
      </c>
      <c r="D13" s="1683" t="s">
        <v>1627</v>
      </c>
      <c r="E13" s="1669" t="s">
        <v>1628</v>
      </c>
      <c r="F13" s="1669" t="s">
        <v>328</v>
      </c>
      <c r="G13" s="1674" t="n">
        <v>45572</v>
      </c>
      <c r="H13" s="1734" t="n">
        <v>0.0837</v>
      </c>
      <c r="I13" s="1734"/>
      <c r="J13" s="1735" t="n">
        <v>723.44212</v>
      </c>
      <c r="K13" s="1736" t="n">
        <v>1447</v>
      </c>
      <c r="L13" s="1737" t="n">
        <f aca="false">K13/365</f>
        <v>3.96438356164384</v>
      </c>
      <c r="M13" s="1737" t="n">
        <v>499.96</v>
      </c>
      <c r="N13" s="1738"/>
      <c r="O13" s="1739" t="n">
        <v>45937</v>
      </c>
      <c r="P13" s="1674" t="s">
        <v>1576</v>
      </c>
      <c r="Q13" s="1674" t="s">
        <v>966</v>
      </c>
      <c r="R13" s="1739" t="n">
        <f aca="false">+EDATE(O13,6)</f>
        <v>46119</v>
      </c>
      <c r="S13" s="1669" t="n">
        <v>1</v>
      </c>
      <c r="T13" s="1673" t="n">
        <f aca="false">20000000*M13/1000</f>
        <v>9999200</v>
      </c>
      <c r="U13" s="1669" t="n">
        <v>6</v>
      </c>
      <c r="V13" s="1669" t="s">
        <v>794</v>
      </c>
      <c r="W13" s="1669"/>
      <c r="X13" s="1669" t="s">
        <v>1578</v>
      </c>
      <c r="Y13" s="1671" t="n">
        <f aca="false">300000000*M13/1000</f>
        <v>149988000</v>
      </c>
      <c r="Z13" s="1672" t="s">
        <v>373</v>
      </c>
      <c r="AA13" s="1672" t="s">
        <v>373</v>
      </c>
      <c r="AB13" s="1672" t="s">
        <v>373</v>
      </c>
      <c r="AC13" s="1672" t="n">
        <v>967946059</v>
      </c>
      <c r="AD13" s="1669" t="s">
        <v>1579</v>
      </c>
      <c r="AE13" s="1673" t="n">
        <v>4586</v>
      </c>
      <c r="AF13" s="1675" t="n">
        <v>45984</v>
      </c>
      <c r="AG13" s="1674" t="s">
        <v>1580</v>
      </c>
      <c r="AH13" s="1674" t="s">
        <v>1629</v>
      </c>
      <c r="AI13" s="1676" t="n">
        <v>46082</v>
      </c>
      <c r="AJ13" s="1677" t="s">
        <v>1630</v>
      </c>
      <c r="AK13" s="1669" t="s">
        <v>1580</v>
      </c>
      <c r="AL13" s="1669" t="s">
        <v>121</v>
      </c>
      <c r="AM13" s="1669" t="s">
        <v>1582</v>
      </c>
      <c r="AN13" s="1678" t="n">
        <v>400000000</v>
      </c>
      <c r="AO13" s="1089"/>
      <c r="AP13" s="1679" t="s">
        <v>1618</v>
      </c>
      <c r="AQ13" s="1089" t="n">
        <f aca="false">+M13/(SUM($M$11:$M$30)+SUM($M$11:$M$30))*2906550000</f>
        <v>52287771.4673088</v>
      </c>
      <c r="AR13" s="1089" t="n">
        <f aca="false">+M13*1050000000/1000</f>
        <v>524958000</v>
      </c>
      <c r="AS13" s="1674" t="n">
        <v>45720</v>
      </c>
      <c r="AT13" s="1680" t="s">
        <v>505</v>
      </c>
      <c r="AU13" s="1681" t="n">
        <f aca="false">365*Sheet1!F14*Sheet1!G14</f>
        <v>2091493.8</v>
      </c>
      <c r="AV13" s="1669" t="s">
        <v>644</v>
      </c>
      <c r="AW13" s="1669" t="s">
        <v>644</v>
      </c>
      <c r="AX13" s="1669" t="s">
        <v>1586</v>
      </c>
      <c r="AY13" s="1731"/>
      <c r="AZ13" s="932"/>
      <c r="BA13" s="932"/>
      <c r="BB13" s="932"/>
      <c r="BC13" s="932"/>
      <c r="BD13" s="932"/>
      <c r="BE13" s="932"/>
      <c r="BF13" s="932"/>
      <c r="BG13" s="932"/>
      <c r="BH13" s="932"/>
      <c r="BI13" s="932"/>
      <c r="BJ13" s="932"/>
      <c r="BK13" s="932"/>
      <c r="BL13" s="932"/>
      <c r="BM13" s="932"/>
      <c r="BN13" s="932"/>
      <c r="BO13" s="932"/>
      <c r="BP13" s="932"/>
      <c r="BQ13" s="932"/>
      <c r="BR13" s="932"/>
      <c r="BS13" s="932"/>
      <c r="BT13" s="932"/>
      <c r="BU13" s="932"/>
      <c r="BV13" s="932"/>
      <c r="BW13" s="932"/>
      <c r="BX13" s="932"/>
      <c r="BY13" s="932"/>
      <c r="BZ13" s="932"/>
      <c r="CA13" s="932"/>
      <c r="CB13" s="932"/>
      <c r="CC13" s="932"/>
      <c r="CD13" s="932"/>
      <c r="CE13" s="932"/>
      <c r="CF13" s="932"/>
      <c r="CG13" s="932"/>
      <c r="CH13" s="932"/>
      <c r="CI13" s="932"/>
      <c r="CJ13" s="932"/>
      <c r="CK13" s="932"/>
      <c r="CL13" s="932"/>
      <c r="CM13" s="932"/>
    </row>
    <row r="14" customFormat="false" ht="18" hidden="false" customHeight="true" outlineLevel="0" collapsed="false">
      <c r="A14" s="1733"/>
      <c r="B14" s="1661" t="s">
        <v>181</v>
      </c>
      <c r="C14" s="965" t="s">
        <v>1631</v>
      </c>
      <c r="D14" s="1683" t="s">
        <v>1632</v>
      </c>
      <c r="E14" s="1673" t="s">
        <v>1633</v>
      </c>
      <c r="F14" s="1673" t="s">
        <v>328</v>
      </c>
      <c r="G14" s="1674" t="n">
        <v>45572</v>
      </c>
      <c r="H14" s="1734" t="n">
        <v>0.0784</v>
      </c>
      <c r="I14" s="1734"/>
      <c r="J14" s="1735" t="n">
        <v>691.94464</v>
      </c>
      <c r="K14" s="1736" t="n">
        <v>1384</v>
      </c>
      <c r="L14" s="1737" t="n">
        <f aca="false">K14/365</f>
        <v>3.79178082191781</v>
      </c>
      <c r="M14" s="1737" t="n">
        <v>499.96</v>
      </c>
      <c r="N14" s="1738"/>
      <c r="O14" s="1739" t="n">
        <v>45937</v>
      </c>
      <c r="P14" s="1674" t="s">
        <v>1576</v>
      </c>
      <c r="Q14" s="1674" t="s">
        <v>966</v>
      </c>
      <c r="R14" s="1739" t="n">
        <f aca="false">+EDATE(O14,6)</f>
        <v>46119</v>
      </c>
      <c r="S14" s="1669" t="n">
        <v>1</v>
      </c>
      <c r="T14" s="1673" t="n">
        <f aca="false">20000000*M14/1000</f>
        <v>9999200</v>
      </c>
      <c r="U14" s="1669" t="n">
        <v>6</v>
      </c>
      <c r="V14" s="1669" t="s">
        <v>817</v>
      </c>
      <c r="W14" s="1669"/>
      <c r="X14" s="1669" t="s">
        <v>1578</v>
      </c>
      <c r="Y14" s="1671" t="n">
        <f aca="false">300000000*M14/1000</f>
        <v>149988000</v>
      </c>
      <c r="Z14" s="1672" t="s">
        <v>373</v>
      </c>
      <c r="AA14" s="1672" t="s">
        <v>373</v>
      </c>
      <c r="AB14" s="1672" t="s">
        <v>373</v>
      </c>
      <c r="AC14" s="1672" t="n">
        <v>967914320</v>
      </c>
      <c r="AD14" s="1669" t="s">
        <v>1579</v>
      </c>
      <c r="AE14" s="1673" t="n">
        <v>7095</v>
      </c>
      <c r="AF14" s="1674" t="n">
        <v>46074</v>
      </c>
      <c r="AG14" s="1674" t="s">
        <v>1580</v>
      </c>
      <c r="AH14" s="1674" t="n">
        <v>46142</v>
      </c>
      <c r="AI14" s="1676" t="n">
        <v>46082</v>
      </c>
      <c r="AJ14" s="1677" t="s">
        <v>1634</v>
      </c>
      <c r="AK14" s="1669" t="s">
        <v>1580</v>
      </c>
      <c r="AL14" s="1669" t="s">
        <v>121</v>
      </c>
      <c r="AM14" s="1669" t="s">
        <v>1582</v>
      </c>
      <c r="AN14" s="1678" t="n">
        <v>400000000</v>
      </c>
      <c r="AO14" s="1089"/>
      <c r="AP14" s="1679" t="s">
        <v>1618</v>
      </c>
      <c r="AQ14" s="1089" t="n">
        <f aca="false">+M14/(SUM($M$11:$M$30)+SUM($M$11:$M$30))*2906550000</f>
        <v>52287771.4673088</v>
      </c>
      <c r="AR14" s="1089" t="n">
        <f aca="false">+M14*1050000000/1000</f>
        <v>524958000</v>
      </c>
      <c r="AS14" s="1674" t="n">
        <v>45720</v>
      </c>
      <c r="AT14" s="1680" t="s">
        <v>505</v>
      </c>
      <c r="AU14" s="1681" t="n">
        <f aca="false">365*Sheet1!F12*Sheet1!G12</f>
        <v>1914556.4</v>
      </c>
      <c r="AV14" s="1669" t="s">
        <v>649</v>
      </c>
      <c r="AW14" s="1669" t="s">
        <v>649</v>
      </c>
      <c r="AX14" s="1669" t="s">
        <v>1586</v>
      </c>
      <c r="AY14" s="1731"/>
    </row>
    <row r="15" customFormat="false" ht="18" hidden="false" customHeight="true" outlineLevel="0" collapsed="false">
      <c r="A15" s="1741" t="str">
        <f aca="false">"GM Batch2 "</f>
        <v>GM Batch2 </v>
      </c>
      <c r="B15" s="1661" t="s">
        <v>182</v>
      </c>
      <c r="C15" s="965" t="s">
        <v>1635</v>
      </c>
      <c r="D15" s="966" t="s">
        <v>1636</v>
      </c>
      <c r="E15" s="1673" t="s">
        <v>1633</v>
      </c>
      <c r="F15" s="1673" t="s">
        <v>328</v>
      </c>
      <c r="G15" s="1674" t="n">
        <v>45572</v>
      </c>
      <c r="H15" s="1734" t="n">
        <v>0.0685</v>
      </c>
      <c r="I15" s="1734"/>
      <c r="J15" s="1735" t="n">
        <v>207.10176</v>
      </c>
      <c r="K15" s="1736" t="n">
        <v>1384</v>
      </c>
      <c r="L15" s="1737" t="n">
        <f aca="false">K15/365</f>
        <v>3.79178082191781</v>
      </c>
      <c r="M15" s="1737" t="n">
        <v>149.64</v>
      </c>
      <c r="N15" s="1738"/>
      <c r="O15" s="1739" t="n">
        <v>45937</v>
      </c>
      <c r="P15" s="1674" t="s">
        <v>1576</v>
      </c>
      <c r="Q15" s="1674" t="s">
        <v>966</v>
      </c>
      <c r="R15" s="1739" t="n">
        <f aca="false">+EDATE(O15,6)</f>
        <v>46119</v>
      </c>
      <c r="S15" s="1669" t="n">
        <v>1</v>
      </c>
      <c r="T15" s="1673" t="n">
        <f aca="false">20000000*M15/1000</f>
        <v>2992800</v>
      </c>
      <c r="U15" s="1669" t="n">
        <v>6</v>
      </c>
      <c r="V15" s="1669" t="s">
        <v>817</v>
      </c>
      <c r="W15" s="1669"/>
      <c r="X15" s="1669" t="s">
        <v>1578</v>
      </c>
      <c r="Y15" s="1671" t="n">
        <f aca="false">300000000*M15/1000</f>
        <v>44892000</v>
      </c>
      <c r="Z15" s="1672" t="s">
        <v>373</v>
      </c>
      <c r="AA15" s="1672" t="s">
        <v>373</v>
      </c>
      <c r="AB15" s="1672" t="s">
        <v>373</v>
      </c>
      <c r="AC15" s="1672" t="n">
        <v>289971857</v>
      </c>
      <c r="AD15" s="1669" t="s">
        <v>1637</v>
      </c>
      <c r="AE15" s="1673" t="n">
        <v>2408</v>
      </c>
      <c r="AF15" s="1674" t="n">
        <v>46074</v>
      </c>
      <c r="AG15" s="1674" t="s">
        <v>1580</v>
      </c>
      <c r="AH15" s="1674" t="n">
        <v>46142</v>
      </c>
      <c r="AI15" s="1676" t="n">
        <v>46082</v>
      </c>
      <c r="AJ15" s="1677" t="s">
        <v>1634</v>
      </c>
      <c r="AK15" s="1669" t="s">
        <v>1580</v>
      </c>
      <c r="AL15" s="1669" t="s">
        <v>121</v>
      </c>
      <c r="AM15" s="1669" t="s">
        <v>1582</v>
      </c>
      <c r="AN15" s="1678" t="n">
        <v>400000000</v>
      </c>
      <c r="AO15" s="1089"/>
      <c r="AP15" s="1679" t="s">
        <v>1618</v>
      </c>
      <c r="AQ15" s="1089" t="n">
        <f aca="false">+M15/(SUM($M$11:$M$30)+SUM($M$11:$M$30))*2906550000</f>
        <v>15649936.2396353</v>
      </c>
      <c r="AR15" s="1089" t="n">
        <f aca="false">+M15*1050000000/1000</f>
        <v>157122000</v>
      </c>
      <c r="AS15" s="1674" t="n">
        <v>45720</v>
      </c>
      <c r="AT15" s="1680" t="s">
        <v>505</v>
      </c>
      <c r="AU15" s="1681" t="n">
        <f aca="false">365*Sheet1!F15*Sheet1!G15</f>
        <v>1914556.4</v>
      </c>
      <c r="AV15" s="1669" t="s">
        <v>651</v>
      </c>
      <c r="AW15" s="1669" t="s">
        <v>651</v>
      </c>
      <c r="AX15" s="1669" t="s">
        <v>1586</v>
      </c>
      <c r="AY15" s="1731"/>
    </row>
    <row r="16" s="1732" customFormat="true" ht="18" hidden="false" customHeight="true" outlineLevel="0" collapsed="false">
      <c r="A16" s="1686" t="n">
        <f aca="false">SUM(M11:M20)</f>
        <v>6821.52</v>
      </c>
      <c r="B16" s="1661" t="s">
        <v>183</v>
      </c>
      <c r="C16" s="965" t="s">
        <v>1638</v>
      </c>
      <c r="D16" s="1683" t="s">
        <v>1639</v>
      </c>
      <c r="E16" s="1673" t="s">
        <v>1640</v>
      </c>
      <c r="F16" s="1673" t="s">
        <v>328</v>
      </c>
      <c r="G16" s="1674" t="n">
        <v>45572</v>
      </c>
      <c r="H16" s="1734" t="n">
        <v>0.085</v>
      </c>
      <c r="I16" s="1734"/>
      <c r="J16" s="1735" t="n">
        <v>446.82504</v>
      </c>
      <c r="K16" s="1736" t="n">
        <v>1493</v>
      </c>
      <c r="L16" s="1737" t="n">
        <f aca="false">K16/365</f>
        <v>4.09041095890411</v>
      </c>
      <c r="M16" s="1737" t="n">
        <v>299.28</v>
      </c>
      <c r="N16" s="1738"/>
      <c r="O16" s="1739" t="n">
        <v>45968</v>
      </c>
      <c r="P16" s="1674" t="s">
        <v>1576</v>
      </c>
      <c r="Q16" s="1674" t="s">
        <v>966</v>
      </c>
      <c r="R16" s="1739" t="n">
        <f aca="false">+EDATE(O16,6)</f>
        <v>46149</v>
      </c>
      <c r="S16" s="1669" t="n">
        <v>1</v>
      </c>
      <c r="T16" s="1673" t="n">
        <f aca="false">20000000*M16/1000</f>
        <v>5985600</v>
      </c>
      <c r="U16" s="1669" t="n">
        <v>6</v>
      </c>
      <c r="V16" s="1669" t="s">
        <v>1616</v>
      </c>
      <c r="W16" s="1669"/>
      <c r="X16" s="1669" t="s">
        <v>1578</v>
      </c>
      <c r="Y16" s="1671" t="n">
        <f aca="false">300000000*M16/1000</f>
        <v>89784000</v>
      </c>
      <c r="Z16" s="1672" t="s">
        <v>373</v>
      </c>
      <c r="AA16" s="1672" t="s">
        <v>373</v>
      </c>
      <c r="AB16" s="1672" t="s">
        <v>373</v>
      </c>
      <c r="AC16" s="1672" t="n">
        <v>579645174</v>
      </c>
      <c r="AD16" s="1669" t="s">
        <v>1579</v>
      </c>
      <c r="AE16" s="1673" t="n">
        <v>2719</v>
      </c>
      <c r="AF16" s="1674" t="n">
        <v>46428</v>
      </c>
      <c r="AG16" s="1674" t="s">
        <v>1580</v>
      </c>
      <c r="AH16" s="1675" t="n">
        <v>45836</v>
      </c>
      <c r="AI16" s="1676" t="n">
        <v>46113</v>
      </c>
      <c r="AJ16" s="1677" t="s">
        <v>1641</v>
      </c>
      <c r="AK16" s="1669" t="s">
        <v>1580</v>
      </c>
      <c r="AL16" s="1669" t="s">
        <v>121</v>
      </c>
      <c r="AM16" s="1669" t="s">
        <v>1582</v>
      </c>
      <c r="AN16" s="1678" t="n">
        <v>400000000</v>
      </c>
      <c r="AO16" s="1089"/>
      <c r="AP16" s="1679" t="s">
        <v>1618</v>
      </c>
      <c r="AQ16" s="1089" t="n">
        <f aca="false">+M16/(SUM($M$11:$M$30)+SUM($M$11:$M$30))*2906550000</f>
        <v>31299872.4792707</v>
      </c>
      <c r="AR16" s="1089" t="n">
        <f aca="false">+M16*1050000000/1000</f>
        <v>314244000</v>
      </c>
      <c r="AS16" s="1674" t="n">
        <v>45720</v>
      </c>
      <c r="AT16" s="1680" t="s">
        <v>505</v>
      </c>
      <c r="AU16" s="1681" t="n">
        <f aca="false">365*Sheet1!F13*Sheet1!G13</f>
        <v>2228825.05</v>
      </c>
      <c r="AV16" s="1669" t="s">
        <v>656</v>
      </c>
      <c r="AW16" s="1669" t="s">
        <v>656</v>
      </c>
      <c r="AX16" s="1669" t="s">
        <v>1586</v>
      </c>
      <c r="AY16" s="1731"/>
      <c r="AZ16" s="932"/>
      <c r="BA16" s="932"/>
      <c r="BB16" s="932"/>
      <c r="BC16" s="932"/>
      <c r="BD16" s="932"/>
      <c r="BE16" s="932"/>
      <c r="BF16" s="932"/>
      <c r="BG16" s="932"/>
      <c r="BH16" s="932"/>
      <c r="BI16" s="932"/>
      <c r="BJ16" s="932"/>
      <c r="BK16" s="932"/>
      <c r="BL16" s="932"/>
      <c r="BM16" s="932"/>
      <c r="BN16" s="932"/>
      <c r="BO16" s="932"/>
      <c r="BP16" s="932"/>
      <c r="BQ16" s="932"/>
      <c r="BR16" s="932"/>
      <c r="BS16" s="932"/>
      <c r="BT16" s="932"/>
      <c r="BU16" s="932"/>
      <c r="BV16" s="932"/>
      <c r="BW16" s="932"/>
      <c r="BX16" s="932"/>
      <c r="BY16" s="932"/>
      <c r="BZ16" s="932"/>
      <c r="CA16" s="932"/>
      <c r="CB16" s="932"/>
      <c r="CC16" s="932"/>
      <c r="CD16" s="932"/>
      <c r="CE16" s="932"/>
      <c r="CF16" s="932"/>
      <c r="CG16" s="932"/>
      <c r="CH16" s="932"/>
      <c r="CI16" s="932"/>
      <c r="CJ16" s="932"/>
      <c r="CK16" s="932"/>
      <c r="CL16" s="932"/>
      <c r="CM16" s="932"/>
    </row>
    <row r="17" customFormat="false" ht="18" hidden="false" customHeight="true" outlineLevel="0" collapsed="false">
      <c r="A17" s="1733"/>
      <c r="B17" s="1661" t="s">
        <v>184</v>
      </c>
      <c r="C17" s="965" t="s">
        <v>1642</v>
      </c>
      <c r="D17" s="966" t="s">
        <v>1643</v>
      </c>
      <c r="E17" s="994" t="s">
        <v>1644</v>
      </c>
      <c r="F17" s="994" t="s">
        <v>328</v>
      </c>
      <c r="G17" s="974" t="n">
        <v>45572</v>
      </c>
      <c r="H17" s="1662" t="n">
        <v>0.0857</v>
      </c>
      <c r="I17" s="1662"/>
      <c r="J17" s="1663" t="n">
        <v>1448.811</v>
      </c>
      <c r="K17" s="1742" t="n">
        <v>1450</v>
      </c>
      <c r="L17" s="1665" t="n">
        <f aca="false">K17/365</f>
        <v>3.97260273972603</v>
      </c>
      <c r="M17" s="1665" t="n">
        <v>993.6</v>
      </c>
      <c r="N17" s="1666"/>
      <c r="O17" s="1687" t="n">
        <v>46149</v>
      </c>
      <c r="P17" s="1743" t="s">
        <v>1645</v>
      </c>
      <c r="Q17" s="974" t="s">
        <v>966</v>
      </c>
      <c r="R17" s="1744" t="s">
        <v>1597</v>
      </c>
      <c r="S17" s="1669" t="n">
        <v>1</v>
      </c>
      <c r="T17" s="1668" t="n">
        <f aca="false">20000000*M17/1000</f>
        <v>19872000</v>
      </c>
      <c r="U17" s="994" t="n">
        <v>6</v>
      </c>
      <c r="V17" s="1669" t="s">
        <v>817</v>
      </c>
      <c r="W17" s="1670"/>
      <c r="X17" s="1669" t="s">
        <v>1578</v>
      </c>
      <c r="Y17" s="1671" t="n">
        <f aca="false">300000000*M17/1000</f>
        <v>298080000</v>
      </c>
      <c r="Z17" s="1672" t="s">
        <v>373</v>
      </c>
      <c r="AA17" s="1672" t="s">
        <v>373</v>
      </c>
      <c r="AB17" s="1672" t="s">
        <v>373</v>
      </c>
      <c r="AC17" s="1700" t="n">
        <v>6883736110</v>
      </c>
      <c r="AD17" s="1696" t="s">
        <v>1579</v>
      </c>
      <c r="AE17" s="1745" t="n">
        <v>8251</v>
      </c>
      <c r="AF17" s="1674" t="n">
        <v>46752</v>
      </c>
      <c r="AG17" s="1674" t="s">
        <v>1580</v>
      </c>
      <c r="AH17" s="1674" t="n">
        <v>46387</v>
      </c>
      <c r="AI17" s="1725" t="n">
        <v>46296</v>
      </c>
      <c r="AJ17" s="1677" t="s">
        <v>1646</v>
      </c>
      <c r="AK17" s="1669" t="s">
        <v>1580</v>
      </c>
      <c r="AL17" s="1669" t="s">
        <v>121</v>
      </c>
      <c r="AM17" s="1669" t="s">
        <v>1582</v>
      </c>
      <c r="AN17" s="1678" t="n">
        <v>400000000</v>
      </c>
      <c r="AO17" s="1089"/>
      <c r="AP17" s="1679" t="s">
        <v>1618</v>
      </c>
      <c r="AQ17" s="1111" t="n">
        <f aca="false">+M17/(SUM($M$11:$M$30)+SUM($M$11:$M$30))*2906550000</f>
        <v>103914572.625646</v>
      </c>
      <c r="AR17" s="1089" t="n">
        <f aca="false">+M17*1050000000/1000</f>
        <v>1043280000</v>
      </c>
      <c r="AS17" s="1674" t="n">
        <v>45720</v>
      </c>
      <c r="AT17" s="1680" t="s">
        <v>505</v>
      </c>
      <c r="AU17" s="1681" t="n">
        <f aca="false">365*Sheet1!F17*Sheet1!G17</f>
        <v>1777221.5</v>
      </c>
      <c r="AV17" s="1746" t="s">
        <v>1647</v>
      </c>
      <c r="AW17" s="1746" t="s">
        <v>1647</v>
      </c>
      <c r="AX17" s="1669" t="s">
        <v>1586</v>
      </c>
      <c r="AY17" s="1747"/>
    </row>
    <row r="18" customFormat="false" ht="18" hidden="false" customHeight="true" outlineLevel="0" collapsed="false">
      <c r="A18" s="1733"/>
      <c r="B18" s="1661" t="s">
        <v>185</v>
      </c>
      <c r="C18" s="965" t="s">
        <v>1648</v>
      </c>
      <c r="D18" s="1683" t="s">
        <v>1649</v>
      </c>
      <c r="E18" s="994" t="s">
        <v>1644</v>
      </c>
      <c r="F18" s="994" t="s">
        <v>328</v>
      </c>
      <c r="G18" s="974" t="n">
        <v>45572</v>
      </c>
      <c r="H18" s="1662" t="n">
        <v>0.0977</v>
      </c>
      <c r="I18" s="1662"/>
      <c r="J18" s="1663" t="n">
        <v>724.4055</v>
      </c>
      <c r="K18" s="1742" t="n">
        <v>1450</v>
      </c>
      <c r="L18" s="1665" t="n">
        <f aca="false">K18/365</f>
        <v>3.97260273972603</v>
      </c>
      <c r="M18" s="1665" t="n">
        <v>993.6</v>
      </c>
      <c r="N18" s="1666"/>
      <c r="O18" s="1687" t="n">
        <v>46149</v>
      </c>
      <c r="P18" s="1743" t="s">
        <v>1645</v>
      </c>
      <c r="Q18" s="974" t="s">
        <v>966</v>
      </c>
      <c r="R18" s="1744" t="s">
        <v>1597</v>
      </c>
      <c r="S18" s="1669" t="n">
        <v>1</v>
      </c>
      <c r="T18" s="1668" t="n">
        <f aca="false">20000000*M18/1000</f>
        <v>19872000</v>
      </c>
      <c r="U18" s="994" t="n">
        <v>6</v>
      </c>
      <c r="V18" s="1669" t="s">
        <v>817</v>
      </c>
      <c r="W18" s="1670"/>
      <c r="X18" s="1669" t="s">
        <v>1578</v>
      </c>
      <c r="Y18" s="1671" t="n">
        <f aca="false">300000000*M18/1000</f>
        <v>298080000</v>
      </c>
      <c r="Z18" s="1672" t="s">
        <v>373</v>
      </c>
      <c r="AA18" s="1672" t="s">
        <v>373</v>
      </c>
      <c r="AB18" s="1672" t="s">
        <v>373</v>
      </c>
      <c r="AC18" s="1700"/>
      <c r="AD18" s="1696"/>
      <c r="AE18" s="1745" t="n">
        <v>8094</v>
      </c>
      <c r="AF18" s="1674" t="n">
        <v>46752</v>
      </c>
      <c r="AG18" s="1674" t="s">
        <v>1580</v>
      </c>
      <c r="AH18" s="1674" t="n">
        <v>46387</v>
      </c>
      <c r="AI18" s="1725" t="n">
        <v>46296</v>
      </c>
      <c r="AJ18" s="1677" t="s">
        <v>1646</v>
      </c>
      <c r="AK18" s="1669" t="s">
        <v>1580</v>
      </c>
      <c r="AL18" s="1669" t="s">
        <v>121</v>
      </c>
      <c r="AM18" s="1669" t="s">
        <v>1582</v>
      </c>
      <c r="AN18" s="1678" t="n">
        <v>400000000</v>
      </c>
      <c r="AO18" s="1089"/>
      <c r="AP18" s="1679" t="s">
        <v>1618</v>
      </c>
      <c r="AQ18" s="1111" t="n">
        <f aca="false">+M18/(SUM($M$11:$M$30)+SUM($M$11:$M$30))*2906550000</f>
        <v>103914572.625646</v>
      </c>
      <c r="AR18" s="1089" t="n">
        <f aca="false">+M18*1050000000/1000</f>
        <v>1043280000</v>
      </c>
      <c r="AS18" s="1674" t="n">
        <v>45720</v>
      </c>
      <c r="AT18" s="1680" t="s">
        <v>505</v>
      </c>
      <c r="AU18" s="1681" t="n">
        <f aca="false">365*Sheet1!F18*Sheet1!G18</f>
        <v>1777221.5</v>
      </c>
      <c r="AV18" s="1746" t="s">
        <v>1650</v>
      </c>
      <c r="AW18" s="1746" t="s">
        <v>1650</v>
      </c>
      <c r="AX18" s="1669" t="s">
        <v>1586</v>
      </c>
      <c r="AY18" s="1747"/>
    </row>
    <row r="19" customFormat="false" ht="18" hidden="false" customHeight="true" outlineLevel="0" collapsed="false">
      <c r="A19" s="1733"/>
      <c r="B19" s="1661" t="s">
        <v>186</v>
      </c>
      <c r="C19" s="965" t="s">
        <v>1651</v>
      </c>
      <c r="D19" s="1683" t="s">
        <v>1649</v>
      </c>
      <c r="E19" s="994" t="s">
        <v>1644</v>
      </c>
      <c r="F19" s="994" t="s">
        <v>328</v>
      </c>
      <c r="G19" s="974" t="n">
        <v>45572</v>
      </c>
      <c r="H19" s="1662" t="n">
        <v>0.0979</v>
      </c>
      <c r="I19" s="1662"/>
      <c r="J19" s="1663" t="n">
        <v>723.94208</v>
      </c>
      <c r="K19" s="1742" t="n">
        <v>1448</v>
      </c>
      <c r="L19" s="1665" t="n">
        <f aca="false">K19/365</f>
        <v>3.96712328767123</v>
      </c>
      <c r="M19" s="1665" t="n">
        <v>993.6</v>
      </c>
      <c r="N19" s="1666"/>
      <c r="O19" s="1687" t="n">
        <v>46149</v>
      </c>
      <c r="P19" s="1743" t="s">
        <v>1645</v>
      </c>
      <c r="Q19" s="974" t="s">
        <v>966</v>
      </c>
      <c r="R19" s="1744" t="s">
        <v>1597</v>
      </c>
      <c r="S19" s="1669" t="n">
        <v>1</v>
      </c>
      <c r="T19" s="1668" t="n">
        <f aca="false">20000000*M19/1000</f>
        <v>19872000</v>
      </c>
      <c r="U19" s="994" t="n">
        <v>6</v>
      </c>
      <c r="V19" s="1669" t="s">
        <v>817</v>
      </c>
      <c r="W19" s="1670"/>
      <c r="X19" s="1669" t="s">
        <v>1578</v>
      </c>
      <c r="Y19" s="1671" t="n">
        <f aca="false">300000000*M19/1000</f>
        <v>298080000</v>
      </c>
      <c r="Z19" s="1672" t="s">
        <v>373</v>
      </c>
      <c r="AA19" s="1672" t="s">
        <v>373</v>
      </c>
      <c r="AB19" s="1672" t="s">
        <v>373</v>
      </c>
      <c r="AC19" s="1700"/>
      <c r="AD19" s="1696"/>
      <c r="AE19" s="1745" t="n">
        <v>7391</v>
      </c>
      <c r="AF19" s="1674" t="n">
        <v>46752</v>
      </c>
      <c r="AG19" s="1674" t="s">
        <v>1580</v>
      </c>
      <c r="AH19" s="1674" t="n">
        <v>46387</v>
      </c>
      <c r="AI19" s="1725" t="n">
        <v>46296</v>
      </c>
      <c r="AJ19" s="1677" t="s">
        <v>1646</v>
      </c>
      <c r="AK19" s="1669" t="s">
        <v>1580</v>
      </c>
      <c r="AL19" s="1669" t="s">
        <v>121</v>
      </c>
      <c r="AM19" s="1669" t="s">
        <v>1582</v>
      </c>
      <c r="AN19" s="1678" t="n">
        <v>400000000</v>
      </c>
      <c r="AO19" s="1089"/>
      <c r="AP19" s="1679" t="s">
        <v>1618</v>
      </c>
      <c r="AQ19" s="1111" t="n">
        <f aca="false">+M19/(SUM($M$11:$M$30)+SUM($M$11:$M$30))*2906550000</f>
        <v>103914572.625646</v>
      </c>
      <c r="AR19" s="1089" t="n">
        <f aca="false">+M19*1050000000/1000</f>
        <v>1043280000</v>
      </c>
      <c r="AS19" s="1674" t="n">
        <v>45720</v>
      </c>
      <c r="AT19" s="1680" t="s">
        <v>505</v>
      </c>
      <c r="AU19" s="1681" t="n">
        <f aca="false">365*Sheet1!F19*Sheet1!G19</f>
        <v>1652252.8</v>
      </c>
      <c r="AV19" s="1746" t="s">
        <v>1652</v>
      </c>
      <c r="AW19" s="1746" t="s">
        <v>1652</v>
      </c>
      <c r="AX19" s="1669" t="s">
        <v>1586</v>
      </c>
      <c r="AY19" s="1747"/>
    </row>
    <row r="20" customFormat="false" ht="18" hidden="false" customHeight="true" outlineLevel="0" collapsed="false">
      <c r="A20" s="1748"/>
      <c r="B20" s="1689" t="s">
        <v>187</v>
      </c>
      <c r="C20" s="1101" t="s">
        <v>1653</v>
      </c>
      <c r="D20" s="1690" t="s">
        <v>1649</v>
      </c>
      <c r="E20" s="1052" t="s">
        <v>1644</v>
      </c>
      <c r="F20" s="1052" t="s">
        <v>328</v>
      </c>
      <c r="G20" s="1058" t="n">
        <v>45572</v>
      </c>
      <c r="H20" s="1691" t="n">
        <v>0.0979</v>
      </c>
      <c r="I20" s="1691"/>
      <c r="J20" s="1692" t="n">
        <v>1014.246</v>
      </c>
      <c r="K20" s="1749" t="n">
        <v>1450</v>
      </c>
      <c r="L20" s="1694" t="n">
        <f aca="false">K20/365</f>
        <v>3.97260273972603</v>
      </c>
      <c r="M20" s="1694" t="n">
        <v>993.6</v>
      </c>
      <c r="N20" s="1695"/>
      <c r="O20" s="1750" t="n">
        <v>46149</v>
      </c>
      <c r="P20" s="1751" t="s">
        <v>1645</v>
      </c>
      <c r="Q20" s="1058" t="s">
        <v>966</v>
      </c>
      <c r="R20" s="1752" t="s">
        <v>1597</v>
      </c>
      <c r="S20" s="1696" t="n">
        <v>1</v>
      </c>
      <c r="T20" s="1697" t="n">
        <f aca="false">20000000*M20/1000</f>
        <v>19872000</v>
      </c>
      <c r="U20" s="1052" t="n">
        <v>6</v>
      </c>
      <c r="V20" s="1696" t="s">
        <v>817</v>
      </c>
      <c r="W20" s="1698"/>
      <c r="X20" s="1696" t="s">
        <v>1578</v>
      </c>
      <c r="Y20" s="1699" t="n">
        <f aca="false">300000000*M20/1000</f>
        <v>298080000</v>
      </c>
      <c r="Z20" s="1700" t="s">
        <v>373</v>
      </c>
      <c r="AA20" s="1700" t="s">
        <v>373</v>
      </c>
      <c r="AB20" s="1700" t="s">
        <v>373</v>
      </c>
      <c r="AC20" s="1700"/>
      <c r="AD20" s="1696"/>
      <c r="AE20" s="1753" t="n">
        <v>7181</v>
      </c>
      <c r="AF20" s="1702" t="n">
        <v>46752</v>
      </c>
      <c r="AG20" s="1702" t="s">
        <v>1580</v>
      </c>
      <c r="AH20" s="1702" t="n">
        <v>46387</v>
      </c>
      <c r="AI20" s="1754" t="n">
        <v>46296</v>
      </c>
      <c r="AJ20" s="1677" t="s">
        <v>1646</v>
      </c>
      <c r="AK20" s="1696" t="s">
        <v>1580</v>
      </c>
      <c r="AL20" s="1696" t="s">
        <v>121</v>
      </c>
      <c r="AM20" s="1696" t="s">
        <v>1582</v>
      </c>
      <c r="AN20" s="1704" t="n">
        <v>400000000</v>
      </c>
      <c r="AO20" s="1111"/>
      <c r="AP20" s="1705" t="s">
        <v>1618</v>
      </c>
      <c r="AQ20" s="1111" t="n">
        <f aca="false">+M20/(SUM($M$11:$M$30)+SUM($M$11:$M$30))*2906550000</f>
        <v>103914572.625646</v>
      </c>
      <c r="AR20" s="1158" t="n">
        <f aca="false">+M20*1050000000/1000</f>
        <v>1043280000</v>
      </c>
      <c r="AS20" s="1702" t="n">
        <v>45720</v>
      </c>
      <c r="AT20" s="1706" t="s">
        <v>505</v>
      </c>
      <c r="AU20" s="1707" t="n">
        <f aca="false">365*Sheet1!F20*Sheet1!G20</f>
        <v>2027064</v>
      </c>
      <c r="AV20" s="1755" t="s">
        <v>1654</v>
      </c>
      <c r="AW20" s="1755" t="s">
        <v>1654</v>
      </c>
      <c r="AX20" s="1696" t="s">
        <v>1586</v>
      </c>
      <c r="AY20" s="1756"/>
    </row>
    <row r="21" s="1781" customFormat="true" ht="18" hidden="true" customHeight="true" outlineLevel="0" collapsed="false">
      <c r="A21" s="1757"/>
      <c r="B21" s="1758" t="s">
        <v>1655</v>
      </c>
      <c r="C21" s="1759" t="s">
        <v>1656</v>
      </c>
      <c r="D21" s="1760" t="s">
        <v>1657</v>
      </c>
      <c r="E21" s="1761" t="s">
        <v>1658</v>
      </c>
      <c r="F21" s="1761"/>
      <c r="G21" s="1762" t="n">
        <v>45572</v>
      </c>
      <c r="H21" s="1761"/>
      <c r="I21" s="1761"/>
      <c r="J21" s="1763" t="n">
        <v>1306.10314</v>
      </c>
      <c r="K21" s="1764" t="n">
        <v>1451</v>
      </c>
      <c r="L21" s="1764"/>
      <c r="M21" s="1764" t="n">
        <v>899.25</v>
      </c>
      <c r="N21" s="1765"/>
      <c r="O21" s="1765" t="n">
        <v>46210</v>
      </c>
      <c r="P21" s="1762" t="s">
        <v>1576</v>
      </c>
      <c r="Q21" s="1762" t="s">
        <v>966</v>
      </c>
      <c r="R21" s="1765" t="n">
        <f aca="false">+EDATE(O21,6)</f>
        <v>46394</v>
      </c>
      <c r="S21" s="1766" t="n">
        <v>1</v>
      </c>
      <c r="T21" s="1767" t="n">
        <f aca="false">20000000*M21</f>
        <v>17985000000</v>
      </c>
      <c r="U21" s="1768" t="n">
        <v>6</v>
      </c>
      <c r="V21" s="1766" t="s">
        <v>817</v>
      </c>
      <c r="W21" s="1768" t="s">
        <v>1578</v>
      </c>
      <c r="X21" s="1768" t="s">
        <v>1578</v>
      </c>
      <c r="Y21" s="1769"/>
      <c r="Z21" s="1770"/>
      <c r="AA21" s="1770"/>
      <c r="AB21" s="1770"/>
      <c r="AC21" s="1771" t="n">
        <v>653000000</v>
      </c>
      <c r="AD21" s="1766" t="s">
        <v>1579</v>
      </c>
      <c r="AE21" s="1772" t="n">
        <v>26920</v>
      </c>
      <c r="AF21" s="1773" t="s">
        <v>1580</v>
      </c>
      <c r="AG21" s="1773" t="s">
        <v>1580</v>
      </c>
      <c r="AH21" s="1773" t="s">
        <v>1580</v>
      </c>
      <c r="AI21" s="1766" t="n">
        <v>2027</v>
      </c>
      <c r="AJ21" s="1774"/>
      <c r="AK21" s="1766" t="s">
        <v>1580</v>
      </c>
      <c r="AL21" s="1766" t="s">
        <v>121</v>
      </c>
      <c r="AM21" s="1766" t="s">
        <v>1582</v>
      </c>
      <c r="AN21" s="1775" t="n">
        <v>400000000</v>
      </c>
      <c r="AO21" s="1776"/>
      <c r="AP21" s="1777" t="s">
        <v>1618</v>
      </c>
      <c r="AQ21" s="1778" t="e">
        <f aca="false">+#REF!/(SUM(#REF!)+SUM(#REF!))*2906550000</f>
        <v>#REF!</v>
      </c>
      <c r="AR21" s="1776" t="n">
        <f aca="false">+M21*1050000000/1000</f>
        <v>944212500</v>
      </c>
      <c r="AS21" s="1779"/>
      <c r="AT21" s="1779"/>
      <c r="AU21" s="1780" t="n">
        <f aca="false">365*Sheet1!F16*Sheet1!G16</f>
        <v>1777221.5</v>
      </c>
      <c r="AV21" s="1766" t="s">
        <v>1655</v>
      </c>
      <c r="AW21" s="1766" t="s">
        <v>1655</v>
      </c>
      <c r="AX21" s="1766" t="s">
        <v>1586</v>
      </c>
    </row>
    <row r="22" s="1781" customFormat="true" ht="18" hidden="true" customHeight="true" outlineLevel="0" collapsed="false">
      <c r="A22" s="1757"/>
      <c r="B22" s="1758" t="s">
        <v>1659</v>
      </c>
      <c r="C22" s="1759" t="s">
        <v>1660</v>
      </c>
      <c r="D22" s="1760" t="s">
        <v>1661</v>
      </c>
      <c r="E22" s="1761" t="s">
        <v>1662</v>
      </c>
      <c r="F22" s="1761"/>
      <c r="G22" s="1762" t="n">
        <v>45572</v>
      </c>
      <c r="H22" s="1761"/>
      <c r="I22" s="1761"/>
      <c r="J22" s="1763" t="n">
        <v>1158.09876</v>
      </c>
      <c r="K22" s="1764" t="n">
        <v>1449</v>
      </c>
      <c r="L22" s="1764"/>
      <c r="M22" s="1764" t="n">
        <v>778.26</v>
      </c>
      <c r="N22" s="1765"/>
      <c r="O22" s="1765" t="n">
        <v>46210</v>
      </c>
      <c r="P22" s="1762" t="s">
        <v>1576</v>
      </c>
      <c r="Q22" s="1762" t="s">
        <v>966</v>
      </c>
      <c r="R22" s="1765" t="n">
        <f aca="false">+EDATE(O22,6)</f>
        <v>46394</v>
      </c>
      <c r="S22" s="1766" t="n">
        <v>1</v>
      </c>
      <c r="T22" s="1767" t="n">
        <f aca="false">20000000*M22</f>
        <v>15565200000</v>
      </c>
      <c r="U22" s="1768" t="n">
        <v>6</v>
      </c>
      <c r="V22" s="1766" t="s">
        <v>817</v>
      </c>
      <c r="W22" s="1768" t="s">
        <v>1578</v>
      </c>
      <c r="X22" s="1768" t="s">
        <v>1578</v>
      </c>
      <c r="Y22" s="1782" t="s">
        <v>373</v>
      </c>
      <c r="Z22" s="1783" t="s">
        <v>373</v>
      </c>
      <c r="AA22" s="1784"/>
      <c r="AB22" s="1783"/>
      <c r="AC22" s="1771" t="n">
        <v>233000000</v>
      </c>
      <c r="AD22" s="1766" t="s">
        <v>1579</v>
      </c>
      <c r="AE22" s="1772"/>
      <c r="AF22" s="1773" t="s">
        <v>1580</v>
      </c>
      <c r="AG22" s="1773" t="s">
        <v>1580</v>
      </c>
      <c r="AH22" s="1773" t="s">
        <v>1580</v>
      </c>
      <c r="AI22" s="1766" t="n">
        <v>2027</v>
      </c>
      <c r="AJ22" s="1774"/>
      <c r="AK22" s="1766" t="s">
        <v>1580</v>
      </c>
      <c r="AL22" s="1766" t="s">
        <v>121</v>
      </c>
      <c r="AM22" s="1766" t="s">
        <v>1582</v>
      </c>
      <c r="AN22" s="1775" t="n">
        <v>400000000</v>
      </c>
      <c r="AO22" s="1776"/>
      <c r="AP22" s="1777" t="s">
        <v>1618</v>
      </c>
      <c r="AQ22" s="1778"/>
      <c r="AR22" s="1776"/>
      <c r="AS22" s="1779"/>
      <c r="AT22" s="1779"/>
      <c r="AU22" s="1780" t="n">
        <f aca="false">365*Sheet1!F17*Sheet1!G17</f>
        <v>1777221.5</v>
      </c>
      <c r="AV22" s="1766" t="s">
        <v>1659</v>
      </c>
      <c r="AW22" s="1766" t="s">
        <v>1659</v>
      </c>
      <c r="AX22" s="1766" t="s">
        <v>1586</v>
      </c>
    </row>
    <row r="23" s="1781" customFormat="true" ht="18" hidden="true" customHeight="true" outlineLevel="0" collapsed="false">
      <c r="A23" s="1757"/>
      <c r="B23" s="1758" t="s">
        <v>1663</v>
      </c>
      <c r="C23" s="1759" t="s">
        <v>1664</v>
      </c>
      <c r="D23" s="1760" t="s">
        <v>1665</v>
      </c>
      <c r="E23" s="1761" t="s">
        <v>1666</v>
      </c>
      <c r="F23" s="1761"/>
      <c r="G23" s="1762" t="n">
        <v>45572</v>
      </c>
      <c r="H23" s="1761"/>
      <c r="I23" s="1761"/>
      <c r="J23" s="1763" t="n">
        <v>725.94192</v>
      </c>
      <c r="K23" s="1764" t="n">
        <v>1452</v>
      </c>
      <c r="L23" s="1764"/>
      <c r="M23" s="1764" t="n">
        <v>499.2</v>
      </c>
      <c r="N23" s="1765"/>
      <c r="O23" s="1765" t="n">
        <v>46210</v>
      </c>
      <c r="P23" s="1762" t="s">
        <v>1576</v>
      </c>
      <c r="Q23" s="1762" t="s">
        <v>966</v>
      </c>
      <c r="R23" s="1765" t="n">
        <f aca="false">+EDATE(O23,6)</f>
        <v>46394</v>
      </c>
      <c r="S23" s="1766" t="n">
        <v>1</v>
      </c>
      <c r="T23" s="1767" t="n">
        <f aca="false">20000000*M23</f>
        <v>9984000000</v>
      </c>
      <c r="U23" s="1768" t="n">
        <v>6</v>
      </c>
      <c r="V23" s="1766" t="s">
        <v>817</v>
      </c>
      <c r="W23" s="1768" t="s">
        <v>1578</v>
      </c>
      <c r="X23" s="1768" t="s">
        <v>1578</v>
      </c>
      <c r="Y23" s="1782" t="n">
        <f aca="false">(AE21/3.305)*Z23*1.8</f>
        <v>293220067.737077</v>
      </c>
      <c r="Z23" s="1783" t="n">
        <f aca="false">3361*3.3058*1.8</f>
        <v>19999.42884</v>
      </c>
      <c r="AA23" s="1784" t="n">
        <f aca="false">20000000*M23/1000</f>
        <v>9984000</v>
      </c>
      <c r="AB23" s="1783" t="n">
        <f aca="false">AA23/AE21*3.3058</f>
        <v>1226.04410104012</v>
      </c>
      <c r="AC23" s="1771"/>
      <c r="AD23" s="1766" t="s">
        <v>1579</v>
      </c>
      <c r="AE23" s="1772"/>
      <c r="AF23" s="1773" t="s">
        <v>1580</v>
      </c>
      <c r="AG23" s="1773" t="s">
        <v>1580</v>
      </c>
      <c r="AH23" s="1773" t="s">
        <v>1580</v>
      </c>
      <c r="AI23" s="1766" t="n">
        <v>2027</v>
      </c>
      <c r="AJ23" s="1774"/>
      <c r="AK23" s="1766" t="s">
        <v>1580</v>
      </c>
      <c r="AL23" s="1766" t="s">
        <v>121</v>
      </c>
      <c r="AM23" s="1766" t="s">
        <v>1582</v>
      </c>
      <c r="AN23" s="1775" t="n">
        <v>400000000</v>
      </c>
      <c r="AO23" s="1776"/>
      <c r="AP23" s="1777" t="s">
        <v>1618</v>
      </c>
      <c r="AQ23" s="1778"/>
      <c r="AR23" s="1776"/>
      <c r="AS23" s="1779"/>
      <c r="AT23" s="1779"/>
      <c r="AU23" s="1780" t="n">
        <f aca="false">365*Sheet1!F18*Sheet1!G18</f>
        <v>1777221.5</v>
      </c>
      <c r="AV23" s="1766" t="s">
        <v>1663</v>
      </c>
      <c r="AW23" s="1766" t="s">
        <v>1663</v>
      </c>
      <c r="AX23" s="1766" t="s">
        <v>1586</v>
      </c>
    </row>
    <row r="24" s="1781" customFormat="true" ht="18" hidden="true" customHeight="true" outlineLevel="0" collapsed="false">
      <c r="A24" s="1757"/>
      <c r="B24" s="1758" t="s">
        <v>1667</v>
      </c>
      <c r="C24" s="1759" t="s">
        <v>1668</v>
      </c>
      <c r="D24" s="1760" t="s">
        <v>1669</v>
      </c>
      <c r="E24" s="1761" t="s">
        <v>1670</v>
      </c>
      <c r="F24" s="1761"/>
      <c r="G24" s="1762" t="n">
        <v>45572</v>
      </c>
      <c r="H24" s="1761"/>
      <c r="I24" s="1761"/>
      <c r="J24" s="1763" t="n">
        <v>1394.0208</v>
      </c>
      <c r="K24" s="1764" t="n">
        <v>1403</v>
      </c>
      <c r="L24" s="1764"/>
      <c r="M24" s="1764" t="n">
        <v>999.18</v>
      </c>
      <c r="N24" s="1762"/>
      <c r="O24" s="1762" t="s">
        <v>966</v>
      </c>
      <c r="P24" s="1762" t="s">
        <v>1576</v>
      </c>
      <c r="Q24" s="1762" t="s">
        <v>966</v>
      </c>
      <c r="R24" s="1762" t="s">
        <v>966</v>
      </c>
      <c r="S24" s="1766" t="n">
        <v>1</v>
      </c>
      <c r="T24" s="1767" t="n">
        <f aca="false">20000000*M24</f>
        <v>19983600000</v>
      </c>
      <c r="U24" s="1768" t="n">
        <v>6</v>
      </c>
      <c r="V24" s="1766" t="s">
        <v>817</v>
      </c>
      <c r="W24" s="1768" t="s">
        <v>362</v>
      </c>
      <c r="X24" s="1768" t="s">
        <v>362</v>
      </c>
      <c r="Y24" s="1785" t="s">
        <v>373</v>
      </c>
      <c r="Z24" s="1786" t="s">
        <v>373</v>
      </c>
      <c r="AA24" s="1784"/>
      <c r="AB24" s="1783" t="s">
        <v>373</v>
      </c>
      <c r="AC24" s="1771" t="n">
        <v>300000000</v>
      </c>
      <c r="AD24" s="1766" t="s">
        <v>1579</v>
      </c>
      <c r="AE24" s="1772" t="n">
        <f aca="false">2582+1960+1732</f>
        <v>6274</v>
      </c>
      <c r="AF24" s="1773" t="s">
        <v>1580</v>
      </c>
      <c r="AG24" s="1773" t="s">
        <v>1580</v>
      </c>
      <c r="AH24" s="1787" t="s">
        <v>362</v>
      </c>
      <c r="AI24" s="1766" t="n">
        <v>2026</v>
      </c>
      <c r="AJ24" s="1774"/>
      <c r="AK24" s="1766" t="s">
        <v>1580</v>
      </c>
      <c r="AL24" s="1766" t="s">
        <v>121</v>
      </c>
      <c r="AM24" s="1766" t="s">
        <v>1582</v>
      </c>
      <c r="AN24" s="1775" t="n">
        <v>400000000</v>
      </c>
      <c r="AO24" s="1776"/>
      <c r="AP24" s="1777" t="s">
        <v>1618</v>
      </c>
      <c r="AQ24" s="1778" t="e">
        <f aca="false">+#REF!/(SUM(#REF!)+SUM(#REF!))*2906550000</f>
        <v>#REF!</v>
      </c>
      <c r="AR24" s="1776" t="n">
        <f aca="false">+M24*1050000000/1000</f>
        <v>1049139000</v>
      </c>
      <c r="AS24" s="1779"/>
      <c r="AT24" s="1779"/>
      <c r="AU24" s="1780" t="n">
        <f aca="false">365*Sheet1!F21*Sheet1!G21</f>
        <v>2101122.5</v>
      </c>
      <c r="AV24" s="1766" t="s">
        <v>666</v>
      </c>
      <c r="AW24" s="1766" t="s">
        <v>666</v>
      </c>
      <c r="AX24" s="1766" t="s">
        <v>1586</v>
      </c>
      <c r="AY24" s="1788"/>
    </row>
    <row r="25" s="1781" customFormat="true" ht="18" hidden="true" customHeight="true" outlineLevel="0" collapsed="false">
      <c r="A25" s="1757"/>
      <c r="B25" s="1758" t="s">
        <v>1671</v>
      </c>
      <c r="C25" s="1759" t="s">
        <v>1672</v>
      </c>
      <c r="D25" s="1760" t="s">
        <v>1673</v>
      </c>
      <c r="E25" s="1761" t="s">
        <v>1670</v>
      </c>
      <c r="F25" s="1761"/>
      <c r="G25" s="1762" t="n">
        <v>45572</v>
      </c>
      <c r="H25" s="1761"/>
      <c r="I25" s="1761"/>
      <c r="J25" s="1763" t="n">
        <v>1394.0208</v>
      </c>
      <c r="K25" s="1764" t="n">
        <v>1403</v>
      </c>
      <c r="L25" s="1764"/>
      <c r="M25" s="1764" t="n">
        <v>499.59</v>
      </c>
      <c r="N25" s="1762"/>
      <c r="O25" s="1762" t="s">
        <v>966</v>
      </c>
      <c r="P25" s="1762" t="s">
        <v>1576</v>
      </c>
      <c r="Q25" s="1762" t="s">
        <v>966</v>
      </c>
      <c r="R25" s="1762" t="s">
        <v>966</v>
      </c>
      <c r="S25" s="1766" t="n">
        <v>1</v>
      </c>
      <c r="T25" s="1767" t="n">
        <f aca="false">20000000*M25</f>
        <v>9991800000</v>
      </c>
      <c r="U25" s="1768" t="n">
        <v>6</v>
      </c>
      <c r="V25" s="1766" t="s">
        <v>817</v>
      </c>
      <c r="W25" s="1768" t="s">
        <v>362</v>
      </c>
      <c r="X25" s="1768" t="s">
        <v>362</v>
      </c>
      <c r="Y25" s="1782" t="s">
        <v>373</v>
      </c>
      <c r="Z25" s="1783" t="s">
        <v>373</v>
      </c>
      <c r="AA25" s="1784"/>
      <c r="AB25" s="1783" t="s">
        <v>373</v>
      </c>
      <c r="AC25" s="1771" t="n">
        <v>150000000</v>
      </c>
      <c r="AD25" s="1766" t="s">
        <v>1579</v>
      </c>
      <c r="AE25" s="1772" t="n">
        <f aca="false">3855+1888+1689</f>
        <v>7432</v>
      </c>
      <c r="AF25" s="1773" t="s">
        <v>1580</v>
      </c>
      <c r="AG25" s="1773" t="s">
        <v>1580</v>
      </c>
      <c r="AH25" s="1787" t="s">
        <v>362</v>
      </c>
      <c r="AI25" s="1766" t="n">
        <v>2026</v>
      </c>
      <c r="AJ25" s="1789"/>
      <c r="AK25" s="1766" t="s">
        <v>1580</v>
      </c>
      <c r="AL25" s="1766" t="s">
        <v>121</v>
      </c>
      <c r="AM25" s="1766" t="s">
        <v>1582</v>
      </c>
      <c r="AN25" s="1775" t="n">
        <v>400000000</v>
      </c>
      <c r="AO25" s="1776"/>
      <c r="AP25" s="1777" t="s">
        <v>1618</v>
      </c>
      <c r="AQ25" s="1778" t="e">
        <f aca="false">+#REF!/(SUM(#REF!)+SUM(#REF!))*2906550000</f>
        <v>#REF!</v>
      </c>
      <c r="AR25" s="1776" t="n">
        <f aca="false">+M25*1050000000/1000</f>
        <v>524569500</v>
      </c>
      <c r="AS25" s="1779"/>
      <c r="AT25" s="1779"/>
      <c r="AU25" s="1780" t="n">
        <f aca="false">365*Sheet1!F22*Sheet1!G22</f>
        <v>2101122.5</v>
      </c>
      <c r="AV25" s="1766" t="s">
        <v>674</v>
      </c>
      <c r="AW25" s="1766" t="s">
        <v>674</v>
      </c>
      <c r="AX25" s="1766" t="s">
        <v>1586</v>
      </c>
      <c r="AY25" s="1788"/>
    </row>
    <row r="26" s="1781" customFormat="true" ht="18" hidden="true" customHeight="true" outlineLevel="0" collapsed="false">
      <c r="A26" s="1757"/>
      <c r="B26" s="1758" t="s">
        <v>1674</v>
      </c>
      <c r="C26" s="1759" t="s">
        <v>1675</v>
      </c>
      <c r="D26" s="1760" t="s">
        <v>1676</v>
      </c>
      <c r="E26" s="1761" t="s">
        <v>1677</v>
      </c>
      <c r="F26" s="1761"/>
      <c r="G26" s="1762" t="n">
        <v>45572</v>
      </c>
      <c r="H26" s="1761"/>
      <c r="I26" s="1761"/>
      <c r="J26" s="1763" t="n">
        <v>1394.0208</v>
      </c>
      <c r="K26" s="1764" t="n">
        <v>1403</v>
      </c>
      <c r="L26" s="1764"/>
      <c r="M26" s="1764" t="n">
        <v>499.96</v>
      </c>
      <c r="N26" s="1762"/>
      <c r="O26" s="1762" t="s">
        <v>966</v>
      </c>
      <c r="P26" s="1762" t="s">
        <v>1576</v>
      </c>
      <c r="Q26" s="1762" t="s">
        <v>966</v>
      </c>
      <c r="R26" s="1762" t="s">
        <v>966</v>
      </c>
      <c r="S26" s="1766" t="n">
        <v>1</v>
      </c>
      <c r="T26" s="1767" t="n">
        <f aca="false">20000000*M26</f>
        <v>9999200000</v>
      </c>
      <c r="U26" s="1768" t="n">
        <v>6</v>
      </c>
      <c r="V26" s="1766" t="s">
        <v>817</v>
      </c>
      <c r="W26" s="1768" t="s">
        <v>362</v>
      </c>
      <c r="X26" s="1768" t="s">
        <v>362</v>
      </c>
      <c r="Y26" s="1782" t="s">
        <v>373</v>
      </c>
      <c r="Z26" s="1783" t="s">
        <v>373</v>
      </c>
      <c r="AA26" s="1784"/>
      <c r="AB26" s="1783" t="s">
        <v>373</v>
      </c>
      <c r="AC26" s="1771" t="n">
        <v>150000000</v>
      </c>
      <c r="AD26" s="1766" t="s">
        <v>1579</v>
      </c>
      <c r="AE26" s="1772" t="n">
        <v>6264</v>
      </c>
      <c r="AF26" s="1773" t="s">
        <v>1580</v>
      </c>
      <c r="AG26" s="1773" t="s">
        <v>1580</v>
      </c>
      <c r="AH26" s="1787" t="s">
        <v>362</v>
      </c>
      <c r="AI26" s="1766" t="n">
        <v>2026</v>
      </c>
      <c r="AJ26" s="1266"/>
      <c r="AK26" s="1766" t="s">
        <v>1580</v>
      </c>
      <c r="AL26" s="1766" t="s">
        <v>121</v>
      </c>
      <c r="AM26" s="1766" t="s">
        <v>1582</v>
      </c>
      <c r="AN26" s="1775" t="n">
        <v>400000000</v>
      </c>
      <c r="AO26" s="1776"/>
      <c r="AP26" s="1777" t="s">
        <v>1618</v>
      </c>
      <c r="AQ26" s="1778" t="e">
        <f aca="false">+#REF!/(SUM(#REF!)+SUM(#REF!))*2906550000</f>
        <v>#REF!</v>
      </c>
      <c r="AR26" s="1776" t="n">
        <f aca="false">+M26*1050000000/1000</f>
        <v>524958000</v>
      </c>
      <c r="AS26" s="1779"/>
      <c r="AT26" s="1779"/>
      <c r="AU26" s="1780" t="n">
        <f aca="false">365*Sheet1!F23*Sheet1!G23</f>
        <v>2098224.4</v>
      </c>
      <c r="AV26" s="1766" t="s">
        <v>1674</v>
      </c>
      <c r="AW26" s="1766" t="s">
        <v>1674</v>
      </c>
      <c r="AX26" s="1766" t="s">
        <v>1586</v>
      </c>
      <c r="AY26" s="1788"/>
    </row>
    <row r="27" s="1781" customFormat="true" ht="18" hidden="true" customHeight="true" outlineLevel="0" collapsed="false">
      <c r="A27" s="1757"/>
      <c r="B27" s="1758" t="s">
        <v>1678</v>
      </c>
      <c r="C27" s="1759" t="s">
        <v>1679</v>
      </c>
      <c r="D27" s="1760" t="s">
        <v>1680</v>
      </c>
      <c r="E27" s="1761" t="s">
        <v>1681</v>
      </c>
      <c r="F27" s="1761"/>
      <c r="G27" s="1762" t="n">
        <v>45572</v>
      </c>
      <c r="H27" s="1761"/>
      <c r="I27" s="1761"/>
      <c r="J27" s="1763" t="n">
        <v>1394.0208</v>
      </c>
      <c r="K27" s="1764" t="n">
        <v>1403</v>
      </c>
      <c r="L27" s="1764"/>
      <c r="M27" s="1764" t="n">
        <v>699.48</v>
      </c>
      <c r="N27" s="1762"/>
      <c r="O27" s="1762" t="s">
        <v>966</v>
      </c>
      <c r="P27" s="1762" t="s">
        <v>1576</v>
      </c>
      <c r="Q27" s="1762" t="s">
        <v>966</v>
      </c>
      <c r="R27" s="1762" t="s">
        <v>966</v>
      </c>
      <c r="S27" s="1766" t="n">
        <v>1</v>
      </c>
      <c r="T27" s="1767" t="n">
        <f aca="false">20000000*M27</f>
        <v>13989600000</v>
      </c>
      <c r="U27" s="1768" t="n">
        <v>6</v>
      </c>
      <c r="V27" s="1766" t="s">
        <v>817</v>
      </c>
      <c r="W27" s="1768" t="s">
        <v>362</v>
      </c>
      <c r="X27" s="1768" t="s">
        <v>362</v>
      </c>
      <c r="Y27" s="1782" t="s">
        <v>373</v>
      </c>
      <c r="Z27" s="1783" t="s">
        <v>373</v>
      </c>
      <c r="AA27" s="1784"/>
      <c r="AB27" s="1783" t="s">
        <v>373</v>
      </c>
      <c r="AC27" s="1771" t="n">
        <v>210000000</v>
      </c>
      <c r="AD27" s="1766" t="s">
        <v>1579</v>
      </c>
      <c r="AE27" s="1772" t="n">
        <v>6645</v>
      </c>
      <c r="AF27" s="1773" t="s">
        <v>1580</v>
      </c>
      <c r="AG27" s="1773" t="s">
        <v>1580</v>
      </c>
      <c r="AH27" s="1787" t="s">
        <v>362</v>
      </c>
      <c r="AI27" s="1766" t="n">
        <v>2026</v>
      </c>
      <c r="AJ27" s="1266"/>
      <c r="AK27" s="1766" t="s">
        <v>1580</v>
      </c>
      <c r="AL27" s="1766" t="s">
        <v>121</v>
      </c>
      <c r="AM27" s="1766" t="s">
        <v>1582</v>
      </c>
      <c r="AN27" s="1775" t="n">
        <v>400000000</v>
      </c>
      <c r="AO27" s="1776"/>
      <c r="AP27" s="1777" t="s">
        <v>1618</v>
      </c>
      <c r="AQ27" s="1778" t="e">
        <f aca="false">+#REF!/(SUM(#REF!)+SUM(#REF!))*2906550000</f>
        <v>#REF!</v>
      </c>
      <c r="AR27" s="1776" t="n">
        <f aca="false">+M27*1050000000/1000</f>
        <v>734454000</v>
      </c>
      <c r="AS27" s="1779"/>
      <c r="AT27" s="1779"/>
      <c r="AU27" s="1780" t="n">
        <f aca="false">365*Sheet1!F24*Sheet1!G24</f>
        <v>2101122.5</v>
      </c>
      <c r="AV27" s="1766" t="s">
        <v>1678</v>
      </c>
      <c r="AW27" s="1766" t="s">
        <v>1678</v>
      </c>
      <c r="AX27" s="1766" t="s">
        <v>1586</v>
      </c>
      <c r="AY27" s="1788"/>
    </row>
    <row r="28" s="1781" customFormat="true" ht="18" hidden="true" customHeight="true" outlineLevel="0" collapsed="false">
      <c r="A28" s="1757"/>
      <c r="B28" s="1758" t="s">
        <v>1682</v>
      </c>
      <c r="C28" s="1759" t="s">
        <v>1683</v>
      </c>
      <c r="D28" s="1760" t="s">
        <v>1684</v>
      </c>
      <c r="E28" s="1761" t="s">
        <v>1685</v>
      </c>
      <c r="F28" s="1761"/>
      <c r="G28" s="1762" t="n">
        <v>45572</v>
      </c>
      <c r="H28" s="1761"/>
      <c r="I28" s="1761"/>
      <c r="J28" s="1790"/>
      <c r="K28" s="1764"/>
      <c r="L28" s="1764"/>
      <c r="M28" s="1764" t="n">
        <v>900.14</v>
      </c>
      <c r="N28" s="1762"/>
      <c r="O28" s="1762" t="s">
        <v>966</v>
      </c>
      <c r="P28" s="1762" t="s">
        <v>1576</v>
      </c>
      <c r="Q28" s="1762" t="s">
        <v>966</v>
      </c>
      <c r="R28" s="1762" t="s">
        <v>966</v>
      </c>
      <c r="S28" s="1766" t="n">
        <v>1</v>
      </c>
      <c r="T28" s="1767" t="n">
        <f aca="false">20000000*M28</f>
        <v>18002800000</v>
      </c>
      <c r="U28" s="1768" t="n">
        <v>6</v>
      </c>
      <c r="V28" s="1766" t="s">
        <v>817</v>
      </c>
      <c r="W28" s="1768" t="s">
        <v>362</v>
      </c>
      <c r="X28" s="1768" t="s">
        <v>362</v>
      </c>
      <c r="Y28" s="1782" t="s">
        <v>373</v>
      </c>
      <c r="Z28" s="1783" t="s">
        <v>373</v>
      </c>
      <c r="AA28" s="1784"/>
      <c r="AB28" s="1783" t="s">
        <v>373</v>
      </c>
      <c r="AC28" s="1771" t="n">
        <v>270000000</v>
      </c>
      <c r="AD28" s="1766" t="s">
        <v>1579</v>
      </c>
      <c r="AE28" s="1772" t="n">
        <v>8226</v>
      </c>
      <c r="AF28" s="1773" t="s">
        <v>1580</v>
      </c>
      <c r="AG28" s="1773" t="s">
        <v>1580</v>
      </c>
      <c r="AH28" s="1787" t="s">
        <v>362</v>
      </c>
      <c r="AI28" s="1766" t="n">
        <v>2026</v>
      </c>
      <c r="AJ28" s="1266"/>
      <c r="AK28" s="1766" t="s">
        <v>1580</v>
      </c>
      <c r="AL28" s="1766" t="s">
        <v>121</v>
      </c>
      <c r="AM28" s="1766" t="s">
        <v>1582</v>
      </c>
      <c r="AN28" s="1775" t="n">
        <v>400000000</v>
      </c>
      <c r="AO28" s="1776"/>
      <c r="AP28" s="1777" t="s">
        <v>1618</v>
      </c>
      <c r="AQ28" s="1778" t="e">
        <f aca="false">+#REF!/(SUM(#REF!)+SUM(#REF!))*2906550000</f>
        <v>#REF!</v>
      </c>
      <c r="AR28" s="1776" t="n">
        <f aca="false">+M28*1050000000/1000</f>
        <v>945147000</v>
      </c>
      <c r="AS28" s="1779"/>
      <c r="AT28" s="1779"/>
      <c r="AU28" s="1780" t="n">
        <f aca="false">365*Sheet1!F25*Sheet1!G25</f>
        <v>2107867.7</v>
      </c>
      <c r="AV28" s="1766" t="s">
        <v>1682</v>
      </c>
      <c r="AW28" s="1766" t="s">
        <v>1682</v>
      </c>
      <c r="AX28" s="1766" t="s">
        <v>1586</v>
      </c>
      <c r="AY28" s="1788"/>
    </row>
    <row r="29" s="1781" customFormat="true" ht="18" hidden="true" customHeight="true" outlineLevel="0" collapsed="false">
      <c r="A29" s="1757"/>
      <c r="B29" s="1758" t="s">
        <v>1686</v>
      </c>
      <c r="C29" s="1759" t="s">
        <v>1687</v>
      </c>
      <c r="D29" s="1760" t="s">
        <v>1688</v>
      </c>
      <c r="E29" s="1761" t="s">
        <v>1689</v>
      </c>
      <c r="F29" s="1761"/>
      <c r="G29" s="1762" t="n">
        <v>45572</v>
      </c>
      <c r="H29" s="1761"/>
      <c r="I29" s="1761"/>
      <c r="J29" s="1790"/>
      <c r="K29" s="1764"/>
      <c r="L29" s="1764"/>
      <c r="M29" s="1764" t="n">
        <v>799.24</v>
      </c>
      <c r="N29" s="1762"/>
      <c r="O29" s="1762" t="s">
        <v>966</v>
      </c>
      <c r="P29" s="1762" t="s">
        <v>1576</v>
      </c>
      <c r="Q29" s="1762" t="s">
        <v>966</v>
      </c>
      <c r="R29" s="1762" t="s">
        <v>966</v>
      </c>
      <c r="S29" s="1766" t="n">
        <v>1</v>
      </c>
      <c r="T29" s="1767" t="n">
        <f aca="false">20000000*M29</f>
        <v>15984800000</v>
      </c>
      <c r="U29" s="1768" t="n">
        <v>6</v>
      </c>
      <c r="V29" s="1766" t="s">
        <v>817</v>
      </c>
      <c r="W29" s="1768" t="s">
        <v>362</v>
      </c>
      <c r="X29" s="1768" t="s">
        <v>362</v>
      </c>
      <c r="Y29" s="1782" t="s">
        <v>373</v>
      </c>
      <c r="Z29" s="1783" t="s">
        <v>373</v>
      </c>
      <c r="AA29" s="1784"/>
      <c r="AB29" s="1783" t="s">
        <v>373</v>
      </c>
      <c r="AC29" s="1771" t="n">
        <v>240000000</v>
      </c>
      <c r="AD29" s="1766" t="s">
        <v>1579</v>
      </c>
      <c r="AE29" s="1772" t="n">
        <v>7680</v>
      </c>
      <c r="AF29" s="1773" t="s">
        <v>1580</v>
      </c>
      <c r="AG29" s="1773" t="s">
        <v>1580</v>
      </c>
      <c r="AH29" s="1787" t="s">
        <v>362</v>
      </c>
      <c r="AI29" s="1766" t="n">
        <v>2026</v>
      </c>
      <c r="AJ29" s="1266"/>
      <c r="AK29" s="1766" t="s">
        <v>1580</v>
      </c>
      <c r="AL29" s="1766" t="s">
        <v>121</v>
      </c>
      <c r="AM29" s="1766" t="s">
        <v>1582</v>
      </c>
      <c r="AN29" s="1775" t="n">
        <v>400000000</v>
      </c>
      <c r="AO29" s="1776"/>
      <c r="AP29" s="1777" t="s">
        <v>1618</v>
      </c>
      <c r="AQ29" s="1778" t="e">
        <f aca="false">+#REF!/(SUM(#REF!)+SUM(#REF!))*2906550000</f>
        <v>#REF!</v>
      </c>
      <c r="AR29" s="1776" t="n">
        <f aca="false">+M29*1050000000/1000</f>
        <v>839202000</v>
      </c>
      <c r="AS29" s="1779"/>
      <c r="AT29" s="1779"/>
      <c r="AU29" s="1780" t="n">
        <f aca="false">365*Sheet1!F26*Sheet1!G26</f>
        <v>2099673.45</v>
      </c>
      <c r="AV29" s="1766" t="s">
        <v>1690</v>
      </c>
      <c r="AW29" s="1766" t="s">
        <v>1690</v>
      </c>
      <c r="AX29" s="1766" t="s">
        <v>1586</v>
      </c>
      <c r="AY29" s="1791"/>
    </row>
    <row r="30" s="1816" customFormat="true" ht="18" hidden="true" customHeight="true" outlineLevel="0" collapsed="false">
      <c r="A30" s="1792"/>
      <c r="B30" s="1793" t="s">
        <v>1691</v>
      </c>
      <c r="C30" s="1794" t="s">
        <v>1692</v>
      </c>
      <c r="D30" s="1795" t="s">
        <v>1693</v>
      </c>
      <c r="E30" s="1796" t="s">
        <v>1694</v>
      </c>
      <c r="F30" s="1796"/>
      <c r="G30" s="1797" t="n">
        <v>45572</v>
      </c>
      <c r="H30" s="1796"/>
      <c r="I30" s="1796"/>
      <c r="J30" s="1798"/>
      <c r="K30" s="1799"/>
      <c r="L30" s="1799"/>
      <c r="M30" s="1799" t="n">
        <v>499.96</v>
      </c>
      <c r="N30" s="1797"/>
      <c r="O30" s="1797" t="s">
        <v>966</v>
      </c>
      <c r="P30" s="1797" t="s">
        <v>1576</v>
      </c>
      <c r="Q30" s="1797" t="s">
        <v>966</v>
      </c>
      <c r="R30" s="1797" t="s">
        <v>966</v>
      </c>
      <c r="S30" s="1800" t="n">
        <v>1</v>
      </c>
      <c r="T30" s="1801" t="n">
        <f aca="false">20000000*M30</f>
        <v>9999200000</v>
      </c>
      <c r="U30" s="1802" t="n">
        <v>6</v>
      </c>
      <c r="V30" s="1800" t="s">
        <v>1316</v>
      </c>
      <c r="W30" s="1802" t="s">
        <v>362</v>
      </c>
      <c r="X30" s="1802" t="s">
        <v>362</v>
      </c>
      <c r="Y30" s="1803" t="s">
        <v>373</v>
      </c>
      <c r="Z30" s="1804" t="s">
        <v>373</v>
      </c>
      <c r="AA30" s="1805"/>
      <c r="AB30" s="1804" t="s">
        <v>373</v>
      </c>
      <c r="AC30" s="1806" t="n">
        <v>150000000</v>
      </c>
      <c r="AD30" s="1800" t="s">
        <v>1579</v>
      </c>
      <c r="AE30" s="1807" t="n">
        <v>4208</v>
      </c>
      <c r="AF30" s="1808" t="s">
        <v>1580</v>
      </c>
      <c r="AG30" s="1808" t="s">
        <v>1580</v>
      </c>
      <c r="AH30" s="1809" t="s">
        <v>362</v>
      </c>
      <c r="AI30" s="1800" t="n">
        <v>2026</v>
      </c>
      <c r="AJ30" s="1266"/>
      <c r="AK30" s="1800" t="s">
        <v>1580</v>
      </c>
      <c r="AL30" s="1800" t="s">
        <v>121</v>
      </c>
      <c r="AM30" s="1800" t="s">
        <v>1582</v>
      </c>
      <c r="AN30" s="1810" t="n">
        <v>400000000</v>
      </c>
      <c r="AO30" s="1811"/>
      <c r="AP30" s="1812" t="s">
        <v>1618</v>
      </c>
      <c r="AQ30" s="1813" t="e">
        <f aca="false">+#REF!/(SUM(#REF!)+SUM(#REF!))*2906550000</f>
        <v>#REF!</v>
      </c>
      <c r="AR30" s="1811" t="n">
        <f aca="false">+M30*1050000000/1000</f>
        <v>524958000</v>
      </c>
      <c r="AS30" s="1814"/>
      <c r="AT30" s="1814"/>
      <c r="AU30" s="1815" t="n">
        <f aca="false">365*Sheet1!F27*Sheet1!G27</f>
        <v>2109320.4</v>
      </c>
      <c r="AV30" s="1800" t="s">
        <v>1695</v>
      </c>
      <c r="AW30" s="1800" t="s">
        <v>1695</v>
      </c>
      <c r="AX30" s="1800" t="s">
        <v>1586</v>
      </c>
    </row>
    <row r="31" customFormat="false" ht="18" hidden="true" customHeight="true" outlineLevel="0" collapsed="false">
      <c r="A31" s="1817" t="str">
        <f aca="false">"SooAm - "
&amp;SUM(M31:M39)</f>
        <v>SooAm - 3696.21</v>
      </c>
      <c r="B31" s="1661" t="s">
        <v>1696</v>
      </c>
      <c r="C31" s="965" t="s">
        <v>1697</v>
      </c>
      <c r="D31" s="1683" t="s">
        <v>1698</v>
      </c>
      <c r="E31" s="994" t="s">
        <v>1699</v>
      </c>
      <c r="F31" s="994"/>
      <c r="G31" s="974" t="n">
        <v>45572</v>
      </c>
      <c r="H31" s="994"/>
      <c r="I31" s="994"/>
      <c r="J31" s="1818"/>
      <c r="K31" s="1665"/>
      <c r="L31" s="1665"/>
      <c r="M31" s="1665" t="n">
        <v>499.59</v>
      </c>
      <c r="N31" s="974"/>
      <c r="O31" s="974" t="s">
        <v>966</v>
      </c>
      <c r="P31" s="974" t="s">
        <v>1576</v>
      </c>
      <c r="Q31" s="974" t="s">
        <v>966</v>
      </c>
      <c r="R31" s="974" t="s">
        <v>966</v>
      </c>
      <c r="S31" s="1669" t="n">
        <v>1</v>
      </c>
      <c r="T31" s="1819" t="n">
        <f aca="false">20000000*M31</f>
        <v>9991800000</v>
      </c>
      <c r="U31" s="1670" t="n">
        <v>6</v>
      </c>
      <c r="V31" s="1669" t="s">
        <v>1616</v>
      </c>
      <c r="W31" s="1820" t="s">
        <v>373</v>
      </c>
      <c r="X31" s="1820" t="s">
        <v>373</v>
      </c>
      <c r="Y31" s="1821" t="n">
        <f aca="false">(AE31/3.305)*Z31*1.8</f>
        <v>25637267.6550681</v>
      </c>
      <c r="Z31" s="1822" t="n">
        <v>12100</v>
      </c>
      <c r="AA31" s="1823" t="n">
        <v>20000000</v>
      </c>
      <c r="AB31" s="1822" t="n">
        <f aca="false">AA31/AE31*3.3058</f>
        <v>16995.0029817599</v>
      </c>
      <c r="AC31" s="1824" t="s">
        <v>328</v>
      </c>
      <c r="AD31" s="1669" t="s">
        <v>1579</v>
      </c>
      <c r="AE31" s="1745" t="n">
        <v>3890.32</v>
      </c>
      <c r="AF31" s="1674" t="s">
        <v>362</v>
      </c>
      <c r="AG31" s="1674" t="s">
        <v>1580</v>
      </c>
      <c r="AH31" s="1674" t="s">
        <v>1700</v>
      </c>
      <c r="AI31" s="1669" t="s">
        <v>966</v>
      </c>
      <c r="AJ31" s="1266"/>
      <c r="AK31" s="1669" t="s">
        <v>1580</v>
      </c>
      <c r="AL31" s="1669" t="s">
        <v>121</v>
      </c>
      <c r="AM31" s="1669" t="s">
        <v>1582</v>
      </c>
      <c r="AN31" s="1678" t="n">
        <v>450000000</v>
      </c>
      <c r="AO31" s="1825"/>
      <c r="AP31" s="998" t="s">
        <v>609</v>
      </c>
      <c r="AQ31" s="1089" t="n">
        <v>73176000</v>
      </c>
      <c r="AR31" s="1825" t="n">
        <f aca="false">+M31*1050000000/1000</f>
        <v>524569500</v>
      </c>
      <c r="AS31" s="1826"/>
      <c r="AT31" s="1826"/>
      <c r="AU31" s="1681" t="n">
        <f aca="false">3.6*365*1286</f>
        <v>1689804</v>
      </c>
      <c r="AV31" s="1669" t="s">
        <v>1701</v>
      </c>
      <c r="AW31" s="1669" t="s">
        <v>1701</v>
      </c>
      <c r="AX31" s="1669" t="s">
        <v>1586</v>
      </c>
    </row>
    <row r="32" customFormat="false" ht="18" hidden="true" customHeight="true" outlineLevel="0" collapsed="false">
      <c r="A32" s="1817"/>
      <c r="B32" s="1661" t="s">
        <v>1702</v>
      </c>
      <c r="C32" s="965" t="s">
        <v>1697</v>
      </c>
      <c r="D32" s="1683" t="s">
        <v>1698</v>
      </c>
      <c r="E32" s="994" t="s">
        <v>1699</v>
      </c>
      <c r="F32" s="994"/>
      <c r="G32" s="974" t="n">
        <v>45572</v>
      </c>
      <c r="H32" s="994"/>
      <c r="I32" s="994"/>
      <c r="J32" s="1818"/>
      <c r="K32" s="1665"/>
      <c r="L32" s="1665"/>
      <c r="M32" s="1665" t="n">
        <v>499.59</v>
      </c>
      <c r="N32" s="974"/>
      <c r="O32" s="974" t="s">
        <v>966</v>
      </c>
      <c r="P32" s="974" t="s">
        <v>1576</v>
      </c>
      <c r="Q32" s="974" t="s">
        <v>966</v>
      </c>
      <c r="R32" s="974" t="s">
        <v>966</v>
      </c>
      <c r="S32" s="1669" t="n">
        <v>1</v>
      </c>
      <c r="T32" s="1819" t="n">
        <f aca="false">20000000*M32</f>
        <v>9991800000</v>
      </c>
      <c r="U32" s="1820" t="n">
        <v>6</v>
      </c>
      <c r="V32" s="1669" t="s">
        <v>1616</v>
      </c>
      <c r="W32" s="1820" t="s">
        <v>373</v>
      </c>
      <c r="X32" s="1820" t="s">
        <v>373</v>
      </c>
      <c r="Y32" s="1821" t="n">
        <f aca="false">(AE32/3.305)*Z32*1.8</f>
        <v>25637267.6550681</v>
      </c>
      <c r="Z32" s="1822" t="n">
        <v>12100</v>
      </c>
      <c r="AA32" s="1823" t="n">
        <v>20000000</v>
      </c>
      <c r="AB32" s="1822" t="n">
        <f aca="false">AA32/AE32*3.3058</f>
        <v>16995.0029817599</v>
      </c>
      <c r="AC32" s="1824" t="s">
        <v>328</v>
      </c>
      <c r="AD32" s="1669" t="s">
        <v>1579</v>
      </c>
      <c r="AE32" s="1745" t="n">
        <v>3890.32</v>
      </c>
      <c r="AF32" s="1674" t="s">
        <v>362</v>
      </c>
      <c r="AG32" s="1674" t="s">
        <v>1580</v>
      </c>
      <c r="AH32" s="1674" t="s">
        <v>1700</v>
      </c>
      <c r="AI32" s="1669" t="s">
        <v>966</v>
      </c>
      <c r="AJ32" s="1266"/>
      <c r="AK32" s="1669" t="s">
        <v>1580</v>
      </c>
      <c r="AL32" s="1669" t="s">
        <v>121</v>
      </c>
      <c r="AM32" s="1669" t="s">
        <v>1582</v>
      </c>
      <c r="AN32" s="1678" t="n">
        <v>450000000</v>
      </c>
      <c r="AO32" s="1825"/>
      <c r="AP32" s="998" t="s">
        <v>609</v>
      </c>
      <c r="AQ32" s="1089" t="n">
        <v>73176000</v>
      </c>
      <c r="AR32" s="1825" t="n">
        <f aca="false">+M32*1050000000/1000</f>
        <v>524569500</v>
      </c>
      <c r="AS32" s="1826"/>
      <c r="AT32" s="1826"/>
      <c r="AU32" s="1681" t="n">
        <f aca="false">3.6*365*1286</f>
        <v>1689804</v>
      </c>
      <c r="AV32" s="1669" t="s">
        <v>1701</v>
      </c>
      <c r="AW32" s="1669" t="s">
        <v>1701</v>
      </c>
      <c r="AX32" s="1669" t="s">
        <v>1586</v>
      </c>
    </row>
    <row r="33" customFormat="false" ht="18" hidden="true" customHeight="true" outlineLevel="0" collapsed="false">
      <c r="A33" s="1817"/>
      <c r="B33" s="1661" t="s">
        <v>1703</v>
      </c>
      <c r="C33" s="965" t="s">
        <v>1697</v>
      </c>
      <c r="D33" s="1683" t="s">
        <v>1698</v>
      </c>
      <c r="E33" s="994" t="s">
        <v>1699</v>
      </c>
      <c r="F33" s="994"/>
      <c r="G33" s="974" t="n">
        <v>45572</v>
      </c>
      <c r="H33" s="994"/>
      <c r="I33" s="994"/>
      <c r="J33" s="1818"/>
      <c r="K33" s="1665"/>
      <c r="L33" s="1665"/>
      <c r="M33" s="1665" t="n">
        <v>499.59</v>
      </c>
      <c r="N33" s="974"/>
      <c r="O33" s="974" t="s">
        <v>966</v>
      </c>
      <c r="P33" s="974" t="s">
        <v>1576</v>
      </c>
      <c r="Q33" s="974" t="s">
        <v>966</v>
      </c>
      <c r="R33" s="974" t="s">
        <v>966</v>
      </c>
      <c r="S33" s="1669" t="n">
        <v>1</v>
      </c>
      <c r="T33" s="1819" t="n">
        <f aca="false">20000000*M33</f>
        <v>9991800000</v>
      </c>
      <c r="U33" s="1820" t="n">
        <v>6</v>
      </c>
      <c r="V33" s="1669" t="s">
        <v>1616</v>
      </c>
      <c r="W33" s="1820" t="s">
        <v>373</v>
      </c>
      <c r="X33" s="1820" t="s">
        <v>373</v>
      </c>
      <c r="Y33" s="1821" t="n">
        <f aca="false">(AE33/3.305)*Z33*1.8</f>
        <v>25637267.6550681</v>
      </c>
      <c r="Z33" s="1822" t="n">
        <v>12100</v>
      </c>
      <c r="AA33" s="1823" t="n">
        <v>20000000</v>
      </c>
      <c r="AB33" s="1822" t="n">
        <f aca="false">AA33/AE33*3.3058</f>
        <v>16995.0029817599</v>
      </c>
      <c r="AC33" s="1824" t="s">
        <v>328</v>
      </c>
      <c r="AD33" s="1669" t="s">
        <v>1579</v>
      </c>
      <c r="AE33" s="1745" t="n">
        <v>3890.32</v>
      </c>
      <c r="AF33" s="1674" t="s">
        <v>362</v>
      </c>
      <c r="AG33" s="1674" t="s">
        <v>1580</v>
      </c>
      <c r="AH33" s="1674" t="s">
        <v>1700</v>
      </c>
      <c r="AI33" s="1669" t="s">
        <v>966</v>
      </c>
      <c r="AJ33" s="1266"/>
      <c r="AK33" s="1669" t="s">
        <v>1580</v>
      </c>
      <c r="AL33" s="1669" t="s">
        <v>121</v>
      </c>
      <c r="AM33" s="1669" t="s">
        <v>1582</v>
      </c>
      <c r="AN33" s="1678" t="n">
        <v>450000000</v>
      </c>
      <c r="AO33" s="1825"/>
      <c r="AP33" s="998" t="s">
        <v>609</v>
      </c>
      <c r="AQ33" s="1089" t="n">
        <v>73176000</v>
      </c>
      <c r="AR33" s="1825" t="n">
        <f aca="false">+M33*1050000000/1000</f>
        <v>524569500</v>
      </c>
      <c r="AS33" s="1826"/>
      <c r="AT33" s="1826"/>
      <c r="AU33" s="1681" t="n">
        <f aca="false">3.6*365*1286</f>
        <v>1689804</v>
      </c>
      <c r="AV33" s="1669" t="s">
        <v>1701</v>
      </c>
      <c r="AW33" s="1669" t="s">
        <v>1701</v>
      </c>
      <c r="AX33" s="1669" t="s">
        <v>1586</v>
      </c>
    </row>
    <row r="34" customFormat="false" ht="18" hidden="true" customHeight="true" outlineLevel="0" collapsed="false">
      <c r="A34" s="1817"/>
      <c r="B34" s="1661" t="s">
        <v>1704</v>
      </c>
      <c r="C34" s="965" t="s">
        <v>1697</v>
      </c>
      <c r="D34" s="1683" t="s">
        <v>1698</v>
      </c>
      <c r="E34" s="994" t="s">
        <v>1699</v>
      </c>
      <c r="F34" s="994"/>
      <c r="G34" s="974" t="n">
        <v>45572</v>
      </c>
      <c r="H34" s="994"/>
      <c r="I34" s="994"/>
      <c r="J34" s="1818"/>
      <c r="K34" s="1665"/>
      <c r="L34" s="1665"/>
      <c r="M34" s="1665" t="n">
        <v>499.59</v>
      </c>
      <c r="N34" s="974"/>
      <c r="O34" s="974" t="s">
        <v>966</v>
      </c>
      <c r="P34" s="974" t="s">
        <v>1576</v>
      </c>
      <c r="Q34" s="974" t="s">
        <v>966</v>
      </c>
      <c r="R34" s="974" t="s">
        <v>966</v>
      </c>
      <c r="S34" s="1669" t="n">
        <v>1</v>
      </c>
      <c r="T34" s="1819" t="n">
        <f aca="false">20000000*M34</f>
        <v>9991800000</v>
      </c>
      <c r="U34" s="1820" t="n">
        <v>6</v>
      </c>
      <c r="V34" s="1669" t="s">
        <v>1616</v>
      </c>
      <c r="W34" s="1820" t="s">
        <v>373</v>
      </c>
      <c r="X34" s="1820" t="s">
        <v>373</v>
      </c>
      <c r="Y34" s="1821" t="n">
        <f aca="false">(AE34/3.305)*Z34*1.8</f>
        <v>25637267.6550681</v>
      </c>
      <c r="Z34" s="1822" t="n">
        <v>12100</v>
      </c>
      <c r="AA34" s="1823" t="n">
        <v>20000000</v>
      </c>
      <c r="AB34" s="1822" t="n">
        <f aca="false">AA34/AE34*3.3058</f>
        <v>16995.0029817599</v>
      </c>
      <c r="AC34" s="1824" t="s">
        <v>328</v>
      </c>
      <c r="AD34" s="1669" t="s">
        <v>1579</v>
      </c>
      <c r="AE34" s="1745" t="n">
        <v>3890.32</v>
      </c>
      <c r="AF34" s="1674" t="s">
        <v>362</v>
      </c>
      <c r="AG34" s="1674" t="s">
        <v>1580</v>
      </c>
      <c r="AH34" s="1674" t="s">
        <v>1700</v>
      </c>
      <c r="AI34" s="1669" t="s">
        <v>966</v>
      </c>
      <c r="AJ34" s="1266"/>
      <c r="AK34" s="1669" t="s">
        <v>1580</v>
      </c>
      <c r="AL34" s="1669" t="s">
        <v>121</v>
      </c>
      <c r="AM34" s="1669" t="s">
        <v>1582</v>
      </c>
      <c r="AN34" s="1678" t="n">
        <v>450000000</v>
      </c>
      <c r="AO34" s="1825"/>
      <c r="AP34" s="998" t="s">
        <v>609</v>
      </c>
      <c r="AQ34" s="1089" t="n">
        <v>73176000</v>
      </c>
      <c r="AR34" s="1825" t="n">
        <f aca="false">+M34*1050000000/1000</f>
        <v>524569500</v>
      </c>
      <c r="AS34" s="1826"/>
      <c r="AT34" s="1826"/>
      <c r="AU34" s="1681" t="n">
        <f aca="false">3.6*365*1286</f>
        <v>1689804</v>
      </c>
      <c r="AV34" s="1669" t="s">
        <v>1701</v>
      </c>
      <c r="AW34" s="1669" t="s">
        <v>1701</v>
      </c>
      <c r="AX34" s="1669" t="s">
        <v>1586</v>
      </c>
    </row>
    <row r="35" customFormat="false" ht="18" hidden="true" customHeight="true" outlineLevel="0" collapsed="false">
      <c r="A35" s="1817"/>
      <c r="B35" s="1661" t="s">
        <v>1705</v>
      </c>
      <c r="C35" s="965" t="s">
        <v>1697</v>
      </c>
      <c r="D35" s="1683" t="s">
        <v>1698</v>
      </c>
      <c r="E35" s="994" t="s">
        <v>1699</v>
      </c>
      <c r="F35" s="994"/>
      <c r="G35" s="974" t="n">
        <v>45572</v>
      </c>
      <c r="H35" s="994"/>
      <c r="I35" s="994"/>
      <c r="J35" s="1818"/>
      <c r="K35" s="1665"/>
      <c r="L35" s="1665"/>
      <c r="M35" s="1665" t="n">
        <v>499.59</v>
      </c>
      <c r="N35" s="974"/>
      <c r="O35" s="974" t="s">
        <v>966</v>
      </c>
      <c r="P35" s="974" t="s">
        <v>1576</v>
      </c>
      <c r="Q35" s="974" t="s">
        <v>966</v>
      </c>
      <c r="R35" s="974" t="s">
        <v>966</v>
      </c>
      <c r="S35" s="1669" t="n">
        <v>1</v>
      </c>
      <c r="T35" s="1819" t="n">
        <f aca="false">20000000*M35</f>
        <v>9991800000</v>
      </c>
      <c r="U35" s="1820" t="n">
        <v>6</v>
      </c>
      <c r="V35" s="1669" t="s">
        <v>1616</v>
      </c>
      <c r="W35" s="1820" t="s">
        <v>373</v>
      </c>
      <c r="X35" s="1820" t="s">
        <v>373</v>
      </c>
      <c r="Y35" s="1821" t="n">
        <f aca="false">(AE35/3.305)*Z35*1.8</f>
        <v>25637267.6550681</v>
      </c>
      <c r="Z35" s="1822" t="n">
        <v>12100</v>
      </c>
      <c r="AA35" s="1823" t="n">
        <v>20000000</v>
      </c>
      <c r="AB35" s="1822" t="n">
        <f aca="false">AA35/AE35*3.3058</f>
        <v>16995.0029817599</v>
      </c>
      <c r="AC35" s="1824" t="s">
        <v>328</v>
      </c>
      <c r="AD35" s="1669" t="s">
        <v>1579</v>
      </c>
      <c r="AE35" s="1745" t="n">
        <v>3890.32</v>
      </c>
      <c r="AF35" s="1674" t="s">
        <v>362</v>
      </c>
      <c r="AG35" s="1674" t="s">
        <v>1580</v>
      </c>
      <c r="AH35" s="1674" t="s">
        <v>1700</v>
      </c>
      <c r="AI35" s="1669" t="s">
        <v>966</v>
      </c>
      <c r="AJ35" s="1266"/>
      <c r="AK35" s="1669" t="s">
        <v>1580</v>
      </c>
      <c r="AL35" s="1669" t="s">
        <v>121</v>
      </c>
      <c r="AM35" s="1669" t="s">
        <v>1582</v>
      </c>
      <c r="AN35" s="1678" t="n">
        <v>450000000</v>
      </c>
      <c r="AO35" s="1825"/>
      <c r="AP35" s="998" t="s">
        <v>609</v>
      </c>
      <c r="AQ35" s="1089" t="n">
        <v>73176000</v>
      </c>
      <c r="AR35" s="1825" t="n">
        <f aca="false">+M35*1050000000/1000</f>
        <v>524569500</v>
      </c>
      <c r="AS35" s="1826"/>
      <c r="AT35" s="1826"/>
      <c r="AU35" s="1681" t="n">
        <f aca="false">3.6*365*1286</f>
        <v>1689804</v>
      </c>
      <c r="AV35" s="1669" t="s">
        <v>1701</v>
      </c>
      <c r="AW35" s="1669" t="s">
        <v>1701</v>
      </c>
      <c r="AX35" s="1669" t="s">
        <v>1586</v>
      </c>
    </row>
    <row r="36" customFormat="false" ht="18" hidden="true" customHeight="true" outlineLevel="0" collapsed="false">
      <c r="A36" s="1817"/>
      <c r="B36" s="1661" t="s">
        <v>1706</v>
      </c>
      <c r="C36" s="965" t="s">
        <v>1697</v>
      </c>
      <c r="D36" s="1683" t="s">
        <v>1698</v>
      </c>
      <c r="E36" s="994" t="s">
        <v>1699</v>
      </c>
      <c r="F36" s="994"/>
      <c r="G36" s="974" t="n">
        <v>45572</v>
      </c>
      <c r="H36" s="994"/>
      <c r="I36" s="994"/>
      <c r="J36" s="1818"/>
      <c r="K36" s="1665"/>
      <c r="L36" s="1665"/>
      <c r="M36" s="1665" t="n">
        <v>499.59</v>
      </c>
      <c r="N36" s="974"/>
      <c r="O36" s="974" t="s">
        <v>966</v>
      </c>
      <c r="P36" s="974" t="s">
        <v>1576</v>
      </c>
      <c r="Q36" s="974" t="s">
        <v>966</v>
      </c>
      <c r="R36" s="974" t="s">
        <v>966</v>
      </c>
      <c r="S36" s="1669" t="n">
        <v>1</v>
      </c>
      <c r="T36" s="1819" t="n">
        <f aca="false">20000000*M36</f>
        <v>9991800000</v>
      </c>
      <c r="U36" s="1820" t="n">
        <v>6</v>
      </c>
      <c r="V36" s="1669" t="s">
        <v>1616</v>
      </c>
      <c r="W36" s="1820" t="s">
        <v>373</v>
      </c>
      <c r="X36" s="1820" t="s">
        <v>373</v>
      </c>
      <c r="Y36" s="1821" t="n">
        <f aca="false">(AE36/3.305)*Z36*1.8</f>
        <v>25637267.6550681</v>
      </c>
      <c r="Z36" s="1822" t="n">
        <v>12100</v>
      </c>
      <c r="AA36" s="1823" t="n">
        <v>20000000</v>
      </c>
      <c r="AB36" s="1822" t="n">
        <f aca="false">AA36/AE36*3.3058</f>
        <v>16995.0029817599</v>
      </c>
      <c r="AC36" s="1824" t="s">
        <v>328</v>
      </c>
      <c r="AD36" s="1669" t="s">
        <v>1579</v>
      </c>
      <c r="AE36" s="1745" t="n">
        <v>3890.32</v>
      </c>
      <c r="AF36" s="1674" t="s">
        <v>362</v>
      </c>
      <c r="AG36" s="1674" t="s">
        <v>1580</v>
      </c>
      <c r="AH36" s="1674" t="s">
        <v>1700</v>
      </c>
      <c r="AI36" s="1669" t="s">
        <v>966</v>
      </c>
      <c r="AJ36" s="1266"/>
      <c r="AK36" s="1669" t="s">
        <v>1580</v>
      </c>
      <c r="AL36" s="1669" t="s">
        <v>121</v>
      </c>
      <c r="AM36" s="1669" t="s">
        <v>1582</v>
      </c>
      <c r="AN36" s="1678" t="n">
        <v>450000000</v>
      </c>
      <c r="AO36" s="1825"/>
      <c r="AP36" s="998" t="s">
        <v>609</v>
      </c>
      <c r="AQ36" s="1089" t="n">
        <v>73176000</v>
      </c>
      <c r="AR36" s="1825" t="n">
        <f aca="false">+M36*1050000000/1000</f>
        <v>524569500</v>
      </c>
      <c r="AS36" s="1826"/>
      <c r="AT36" s="1826"/>
      <c r="AU36" s="1681" t="n">
        <f aca="false">3.6*365*1286</f>
        <v>1689804</v>
      </c>
      <c r="AV36" s="1669" t="s">
        <v>1701</v>
      </c>
      <c r="AW36" s="1669" t="s">
        <v>1701</v>
      </c>
      <c r="AX36" s="1669" t="s">
        <v>1586</v>
      </c>
    </row>
    <row r="37" customFormat="false" ht="18" hidden="true" customHeight="true" outlineLevel="0" collapsed="false">
      <c r="A37" s="1817"/>
      <c r="B37" s="1661" t="s">
        <v>1707</v>
      </c>
      <c r="C37" s="965" t="s">
        <v>1697</v>
      </c>
      <c r="D37" s="1683" t="s">
        <v>1698</v>
      </c>
      <c r="E37" s="994" t="s">
        <v>1699</v>
      </c>
      <c r="F37" s="994"/>
      <c r="G37" s="974" t="n">
        <v>45572</v>
      </c>
      <c r="H37" s="994"/>
      <c r="I37" s="994"/>
      <c r="J37" s="1818"/>
      <c r="K37" s="1665"/>
      <c r="L37" s="1665"/>
      <c r="M37" s="1665" t="n">
        <v>499.59</v>
      </c>
      <c r="N37" s="974"/>
      <c r="O37" s="974" t="s">
        <v>966</v>
      </c>
      <c r="P37" s="974" t="s">
        <v>1576</v>
      </c>
      <c r="Q37" s="974" t="s">
        <v>966</v>
      </c>
      <c r="R37" s="974" t="s">
        <v>966</v>
      </c>
      <c r="S37" s="1669" t="n">
        <v>1</v>
      </c>
      <c r="T37" s="1819" t="n">
        <f aca="false">20000000*M37</f>
        <v>9991800000</v>
      </c>
      <c r="U37" s="1820" t="n">
        <v>6</v>
      </c>
      <c r="V37" s="1669" t="s">
        <v>1616</v>
      </c>
      <c r="W37" s="1820" t="s">
        <v>373</v>
      </c>
      <c r="X37" s="1820" t="s">
        <v>373</v>
      </c>
      <c r="Y37" s="1821" t="n">
        <f aca="false">(AE37/3.305)*Z37*1.8</f>
        <v>25637267.6550681</v>
      </c>
      <c r="Z37" s="1822" t="n">
        <v>12100</v>
      </c>
      <c r="AA37" s="1823" t="n">
        <v>20000000</v>
      </c>
      <c r="AB37" s="1822" t="n">
        <f aca="false">AA37/AE37*3.3058</f>
        <v>16995.0029817599</v>
      </c>
      <c r="AC37" s="1824" t="s">
        <v>328</v>
      </c>
      <c r="AD37" s="1669" t="s">
        <v>1579</v>
      </c>
      <c r="AE37" s="1745" t="n">
        <v>3890.32</v>
      </c>
      <c r="AF37" s="1674" t="s">
        <v>362</v>
      </c>
      <c r="AG37" s="1674" t="s">
        <v>1580</v>
      </c>
      <c r="AH37" s="1674" t="s">
        <v>1700</v>
      </c>
      <c r="AI37" s="1669" t="s">
        <v>966</v>
      </c>
      <c r="AJ37" s="1156"/>
      <c r="AK37" s="1669" t="s">
        <v>1580</v>
      </c>
      <c r="AL37" s="1669" t="s">
        <v>121</v>
      </c>
      <c r="AM37" s="1669" t="s">
        <v>1582</v>
      </c>
      <c r="AN37" s="1678" t="n">
        <v>450000000</v>
      </c>
      <c r="AO37" s="1825"/>
      <c r="AP37" s="998" t="s">
        <v>609</v>
      </c>
      <c r="AQ37" s="1089" t="n">
        <v>73176000</v>
      </c>
      <c r="AR37" s="1825" t="n">
        <f aca="false">+M37*1050000000/1000</f>
        <v>524569500</v>
      </c>
      <c r="AS37" s="1826"/>
      <c r="AT37" s="1826"/>
      <c r="AU37" s="1681" t="n">
        <f aca="false">3.6*365*1286</f>
        <v>1689804</v>
      </c>
      <c r="AV37" s="1669" t="s">
        <v>1701</v>
      </c>
      <c r="AW37" s="1669" t="s">
        <v>1701</v>
      </c>
      <c r="AX37" s="1669" t="s">
        <v>1586</v>
      </c>
    </row>
    <row r="38" customFormat="false" ht="18" hidden="true" customHeight="true" outlineLevel="0" collapsed="false">
      <c r="A38" s="1817"/>
      <c r="B38" s="1661" t="s">
        <v>1708</v>
      </c>
      <c r="C38" s="965" t="s">
        <v>1697</v>
      </c>
      <c r="D38" s="1683" t="s">
        <v>1698</v>
      </c>
      <c r="E38" s="994" t="s">
        <v>1699</v>
      </c>
      <c r="F38" s="994"/>
      <c r="G38" s="974" t="n">
        <v>45572</v>
      </c>
      <c r="H38" s="994"/>
      <c r="I38" s="994"/>
      <c r="J38" s="1818"/>
      <c r="K38" s="1665"/>
      <c r="L38" s="1665"/>
      <c r="M38" s="1665" t="n">
        <v>99.54</v>
      </c>
      <c r="N38" s="974"/>
      <c r="O38" s="974" t="s">
        <v>966</v>
      </c>
      <c r="P38" s="974" t="s">
        <v>1576</v>
      </c>
      <c r="Q38" s="974" t="s">
        <v>966</v>
      </c>
      <c r="R38" s="974" t="s">
        <v>966</v>
      </c>
      <c r="S38" s="1669" t="n">
        <v>1</v>
      </c>
      <c r="T38" s="1819" t="n">
        <f aca="false">20000000*M38</f>
        <v>1990800000</v>
      </c>
      <c r="U38" s="1820" t="n">
        <v>6</v>
      </c>
      <c r="V38" s="1669" t="s">
        <v>1616</v>
      </c>
      <c r="W38" s="1820" t="s">
        <v>373</v>
      </c>
      <c r="X38" s="1820" t="s">
        <v>373</v>
      </c>
      <c r="Y38" s="1821" t="n">
        <f aca="false">(AE38/3.305)*Z38*1.8</f>
        <v>4651759.87897126</v>
      </c>
      <c r="Z38" s="1822" t="n">
        <v>12100</v>
      </c>
      <c r="AA38" s="1823" t="n">
        <v>20000000</v>
      </c>
      <c r="AB38" s="1822" t="n">
        <f aca="false">AA38/AE38*3.3058</f>
        <v>93664.6455488185</v>
      </c>
      <c r="AC38" s="1824" t="s">
        <v>328</v>
      </c>
      <c r="AD38" s="1669" t="s">
        <v>1579</v>
      </c>
      <c r="AE38" s="1745" t="n">
        <v>705.88</v>
      </c>
      <c r="AF38" s="1674" t="s">
        <v>362</v>
      </c>
      <c r="AG38" s="1674" t="s">
        <v>1580</v>
      </c>
      <c r="AH38" s="1674" t="s">
        <v>1700</v>
      </c>
      <c r="AI38" s="1669" t="s">
        <v>966</v>
      </c>
      <c r="AJ38" s="1266"/>
      <c r="AK38" s="1669" t="s">
        <v>1580</v>
      </c>
      <c r="AL38" s="1669" t="s">
        <v>121</v>
      </c>
      <c r="AM38" s="1669" t="s">
        <v>1582</v>
      </c>
      <c r="AN38" s="1678" t="n">
        <v>450000000</v>
      </c>
      <c r="AO38" s="1825"/>
      <c r="AP38" s="998" t="s">
        <v>609</v>
      </c>
      <c r="AQ38" s="1089" t="n">
        <v>14579833</v>
      </c>
      <c r="AR38" s="1825" t="n">
        <f aca="false">+M38*1050000000/1000</f>
        <v>104517000</v>
      </c>
      <c r="AS38" s="1826"/>
      <c r="AT38" s="1826"/>
      <c r="AU38" s="1681" t="n">
        <f aca="false">3.6*365*1286</f>
        <v>1689804</v>
      </c>
      <c r="AV38" s="1669" t="s">
        <v>1701</v>
      </c>
      <c r="AW38" s="1669" t="s">
        <v>1701</v>
      </c>
      <c r="AX38" s="1669" t="s">
        <v>1586</v>
      </c>
    </row>
    <row r="39" s="1708" customFormat="true" ht="18" hidden="true" customHeight="true" outlineLevel="0" collapsed="false">
      <c r="A39" s="1817"/>
      <c r="B39" s="1827" t="s">
        <v>1709</v>
      </c>
      <c r="C39" s="1190" t="s">
        <v>1697</v>
      </c>
      <c r="D39" s="1828" t="s">
        <v>1698</v>
      </c>
      <c r="E39" s="1194" t="s">
        <v>1699</v>
      </c>
      <c r="F39" s="1194"/>
      <c r="G39" s="1150" t="n">
        <v>45572</v>
      </c>
      <c r="H39" s="1194"/>
      <c r="I39" s="1194"/>
      <c r="J39" s="1829"/>
      <c r="K39" s="1830"/>
      <c r="L39" s="1830"/>
      <c r="M39" s="1830" t="n">
        <v>99.54</v>
      </c>
      <c r="N39" s="1150"/>
      <c r="O39" s="1831" t="s">
        <v>966</v>
      </c>
      <c r="P39" s="1831" t="s">
        <v>1576</v>
      </c>
      <c r="Q39" s="1831" t="s">
        <v>966</v>
      </c>
      <c r="R39" s="1831" t="s">
        <v>966</v>
      </c>
      <c r="S39" s="1832" t="n">
        <v>1</v>
      </c>
      <c r="T39" s="1833" t="n">
        <f aca="false">20000000*M39</f>
        <v>1990800000</v>
      </c>
      <c r="U39" s="1834" t="n">
        <v>6</v>
      </c>
      <c r="V39" s="1832" t="s">
        <v>1616</v>
      </c>
      <c r="W39" s="1834" t="s">
        <v>373</v>
      </c>
      <c r="X39" s="1834" t="s">
        <v>373</v>
      </c>
      <c r="Y39" s="1835" t="n">
        <f aca="false">(AE39/3.305)*Z39*1.8</f>
        <v>4651759.87897126</v>
      </c>
      <c r="Z39" s="1836" t="n">
        <v>12100</v>
      </c>
      <c r="AA39" s="1837" t="n">
        <v>20000000</v>
      </c>
      <c r="AB39" s="1836" t="n">
        <f aca="false">AA39/AE39*3.3058</f>
        <v>93664.6455488185</v>
      </c>
      <c r="AC39" s="1838" t="s">
        <v>328</v>
      </c>
      <c r="AD39" s="1832" t="s">
        <v>1579</v>
      </c>
      <c r="AE39" s="1839" t="n">
        <v>705.88</v>
      </c>
      <c r="AF39" s="1840" t="s">
        <v>362</v>
      </c>
      <c r="AG39" s="1840" t="s">
        <v>1580</v>
      </c>
      <c r="AH39" s="1840" t="s">
        <v>1700</v>
      </c>
      <c r="AI39" s="1832" t="s">
        <v>966</v>
      </c>
      <c r="AJ39" s="1266"/>
      <c r="AK39" s="1832" t="s">
        <v>1580</v>
      </c>
      <c r="AL39" s="1832" t="s">
        <v>121</v>
      </c>
      <c r="AM39" s="1832" t="s">
        <v>1582</v>
      </c>
      <c r="AN39" s="1841" t="n">
        <v>450000000</v>
      </c>
      <c r="AO39" s="1842"/>
      <c r="AP39" s="1142" t="s">
        <v>609</v>
      </c>
      <c r="AQ39" s="1158" t="n">
        <v>14579833</v>
      </c>
      <c r="AR39" s="1842" t="n">
        <f aca="false">+M39*1050000000/1000</f>
        <v>104517000</v>
      </c>
      <c r="AS39" s="1843"/>
      <c r="AT39" s="1843"/>
      <c r="AU39" s="1681" t="n">
        <f aca="false">3.6*365*1286</f>
        <v>1689804</v>
      </c>
      <c r="AV39" s="1832" t="s">
        <v>1701</v>
      </c>
      <c r="AW39" s="1832" t="s">
        <v>1701</v>
      </c>
      <c r="AX39" s="1832" t="s">
        <v>1586</v>
      </c>
    </row>
    <row r="40" customFormat="false" ht="18" hidden="true" customHeight="true" outlineLevel="0" collapsed="false">
      <c r="A40" s="1844" t="str">
        <f aca="false">"Boner - "
&amp;SUM(M40:M48)</f>
        <v>Boner - 4109.85</v>
      </c>
      <c r="B40" s="1661" t="s">
        <v>1710</v>
      </c>
      <c r="C40" s="965" t="s">
        <v>1711</v>
      </c>
      <c r="D40" s="1683" t="s">
        <v>1712</v>
      </c>
      <c r="E40" s="994" t="s">
        <v>966</v>
      </c>
      <c r="F40" s="994"/>
      <c r="G40" s="974" t="n">
        <v>45590</v>
      </c>
      <c r="H40" s="994"/>
      <c r="I40" s="994"/>
      <c r="J40" s="1818"/>
      <c r="K40" s="1665"/>
      <c r="L40" s="1665"/>
      <c r="M40" s="1665" t="n">
        <v>999.53</v>
      </c>
      <c r="N40" s="974"/>
      <c r="O40" s="974" t="s">
        <v>1713</v>
      </c>
      <c r="P40" s="974" t="s">
        <v>1713</v>
      </c>
      <c r="Q40" s="974" t="s">
        <v>1713</v>
      </c>
      <c r="R40" s="974" t="s">
        <v>1713</v>
      </c>
      <c r="S40" s="1669" t="n">
        <v>1</v>
      </c>
      <c r="T40" s="1819" t="s">
        <v>373</v>
      </c>
      <c r="U40" s="1819" t="s">
        <v>373</v>
      </c>
      <c r="V40" s="1669" t="s">
        <v>794</v>
      </c>
      <c r="W40" s="1820" t="s">
        <v>373</v>
      </c>
      <c r="X40" s="1820" t="s">
        <v>373</v>
      </c>
      <c r="Y40" s="1821" t="s">
        <v>373</v>
      </c>
      <c r="Z40" s="1821" t="s">
        <v>373</v>
      </c>
      <c r="AA40" s="1821" t="s">
        <v>373</v>
      </c>
      <c r="AB40" s="1821" t="s">
        <v>373</v>
      </c>
      <c r="AC40" s="1824" t="n">
        <f aca="false">1800000000*M40/1000</f>
        <v>1799154000</v>
      </c>
      <c r="AD40" s="1669" t="s">
        <v>1714</v>
      </c>
      <c r="AE40" s="1745"/>
      <c r="AF40" s="1674" t="s">
        <v>1580</v>
      </c>
      <c r="AG40" s="1674" t="s">
        <v>1580</v>
      </c>
      <c r="AH40" s="1674" t="s">
        <v>1580</v>
      </c>
      <c r="AI40" s="1669" t="s">
        <v>1580</v>
      </c>
      <c r="AJ40" s="1266"/>
      <c r="AK40" s="1669" t="s">
        <v>1715</v>
      </c>
      <c r="AL40" s="1669" t="s">
        <v>121</v>
      </c>
      <c r="AM40" s="1669" t="s">
        <v>1582</v>
      </c>
      <c r="AN40" s="1679" t="s">
        <v>1713</v>
      </c>
      <c r="AO40" s="1679" t="s">
        <v>1713</v>
      </c>
      <c r="AP40" s="1679" t="s">
        <v>1713</v>
      </c>
      <c r="AQ40" s="1679" t="s">
        <v>1713</v>
      </c>
      <c r="AR40" s="1679" t="s">
        <v>1713</v>
      </c>
      <c r="AS40" s="1826"/>
      <c r="AT40" s="1826"/>
      <c r="AU40" s="1681" t="n">
        <f aca="false">3.6*365*1286</f>
        <v>1689804</v>
      </c>
      <c r="AV40" s="1669" t="s">
        <v>1716</v>
      </c>
      <c r="AW40" s="1669" t="s">
        <v>1716</v>
      </c>
      <c r="AX40" s="1669" t="s">
        <v>1717</v>
      </c>
    </row>
    <row r="41" customFormat="false" ht="18" hidden="true" customHeight="true" outlineLevel="0" collapsed="false">
      <c r="A41" s="1844"/>
      <c r="B41" s="1661" t="s">
        <v>1718</v>
      </c>
      <c r="C41" s="965" t="s">
        <v>1719</v>
      </c>
      <c r="D41" s="1683" t="s">
        <v>1720</v>
      </c>
      <c r="E41" s="994" t="s">
        <v>966</v>
      </c>
      <c r="F41" s="994"/>
      <c r="G41" s="974" t="n">
        <v>45590</v>
      </c>
      <c r="H41" s="994"/>
      <c r="I41" s="994"/>
      <c r="J41" s="1818"/>
      <c r="K41" s="1665"/>
      <c r="L41" s="1665"/>
      <c r="M41" s="1665" t="n">
        <v>999.53</v>
      </c>
      <c r="N41" s="974"/>
      <c r="O41" s="974" t="s">
        <v>1713</v>
      </c>
      <c r="P41" s="974" t="s">
        <v>1713</v>
      </c>
      <c r="Q41" s="974" t="s">
        <v>1713</v>
      </c>
      <c r="R41" s="974" t="s">
        <v>1713</v>
      </c>
      <c r="S41" s="1669" t="n">
        <v>1</v>
      </c>
      <c r="T41" s="1819" t="s">
        <v>373</v>
      </c>
      <c r="U41" s="1819" t="s">
        <v>373</v>
      </c>
      <c r="V41" s="1669" t="s">
        <v>794</v>
      </c>
      <c r="W41" s="1820" t="s">
        <v>373</v>
      </c>
      <c r="X41" s="1820" t="s">
        <v>373</v>
      </c>
      <c r="Y41" s="1821" t="s">
        <v>373</v>
      </c>
      <c r="Z41" s="1821" t="s">
        <v>373</v>
      </c>
      <c r="AA41" s="1821" t="s">
        <v>373</v>
      </c>
      <c r="AB41" s="1821" t="s">
        <v>373</v>
      </c>
      <c r="AC41" s="1824" t="n">
        <f aca="false">1800000000*M41/1000</f>
        <v>1799154000</v>
      </c>
      <c r="AD41" s="1669" t="s">
        <v>1714</v>
      </c>
      <c r="AE41" s="1745"/>
      <c r="AF41" s="1674" t="s">
        <v>1580</v>
      </c>
      <c r="AG41" s="1674" t="s">
        <v>1580</v>
      </c>
      <c r="AH41" s="1674" t="s">
        <v>1580</v>
      </c>
      <c r="AI41" s="1669" t="s">
        <v>1580</v>
      </c>
      <c r="AJ41" s="1266"/>
      <c r="AK41" s="1669" t="s">
        <v>1715</v>
      </c>
      <c r="AL41" s="1669" t="s">
        <v>121</v>
      </c>
      <c r="AM41" s="1669" t="s">
        <v>1582</v>
      </c>
      <c r="AN41" s="1679" t="s">
        <v>1713</v>
      </c>
      <c r="AO41" s="1679" t="s">
        <v>1713</v>
      </c>
      <c r="AP41" s="1679" t="s">
        <v>1713</v>
      </c>
      <c r="AQ41" s="1679" t="s">
        <v>1713</v>
      </c>
      <c r="AR41" s="1679" t="s">
        <v>1713</v>
      </c>
      <c r="AS41" s="1826"/>
      <c r="AT41" s="1826"/>
      <c r="AU41" s="1681" t="n">
        <f aca="false">3.6*365*1286</f>
        <v>1689804</v>
      </c>
      <c r="AV41" s="1669" t="s">
        <v>1716</v>
      </c>
      <c r="AW41" s="1669" t="s">
        <v>1716</v>
      </c>
      <c r="AX41" s="1669" t="s">
        <v>1717</v>
      </c>
    </row>
    <row r="42" customFormat="false" ht="18" hidden="true" customHeight="true" outlineLevel="0" collapsed="false">
      <c r="A42" s="1844"/>
      <c r="B42" s="1661" t="s">
        <v>1721</v>
      </c>
      <c r="C42" s="965" t="s">
        <v>1722</v>
      </c>
      <c r="D42" s="1683" t="s">
        <v>1723</v>
      </c>
      <c r="E42" s="994" t="s">
        <v>966</v>
      </c>
      <c r="F42" s="994"/>
      <c r="G42" s="974" t="n">
        <v>45590</v>
      </c>
      <c r="H42" s="994"/>
      <c r="I42" s="994"/>
      <c r="J42" s="1818"/>
      <c r="K42" s="1665"/>
      <c r="L42" s="1665"/>
      <c r="M42" s="1665" t="n">
        <v>449.63</v>
      </c>
      <c r="N42" s="974"/>
      <c r="O42" s="974" t="s">
        <v>1713</v>
      </c>
      <c r="P42" s="974" t="s">
        <v>1713</v>
      </c>
      <c r="Q42" s="974" t="s">
        <v>1713</v>
      </c>
      <c r="R42" s="974" t="s">
        <v>1713</v>
      </c>
      <c r="S42" s="1669" t="n">
        <v>1</v>
      </c>
      <c r="T42" s="1819" t="s">
        <v>373</v>
      </c>
      <c r="U42" s="1819" t="s">
        <v>373</v>
      </c>
      <c r="V42" s="1669" t="s">
        <v>794</v>
      </c>
      <c r="W42" s="1820" t="s">
        <v>373</v>
      </c>
      <c r="X42" s="1820" t="s">
        <v>373</v>
      </c>
      <c r="Y42" s="1821" t="s">
        <v>373</v>
      </c>
      <c r="Z42" s="1821" t="s">
        <v>373</v>
      </c>
      <c r="AA42" s="1821" t="s">
        <v>373</v>
      </c>
      <c r="AB42" s="1821" t="s">
        <v>373</v>
      </c>
      <c r="AC42" s="1824" t="n">
        <f aca="false">1800000000*M42/1000</f>
        <v>809334000</v>
      </c>
      <c r="AD42" s="1669" t="s">
        <v>1714</v>
      </c>
      <c r="AE42" s="1745"/>
      <c r="AF42" s="1674" t="s">
        <v>1580</v>
      </c>
      <c r="AG42" s="1674" t="s">
        <v>1580</v>
      </c>
      <c r="AH42" s="1674" t="s">
        <v>1580</v>
      </c>
      <c r="AI42" s="1669" t="s">
        <v>1580</v>
      </c>
      <c r="AJ42" s="1266"/>
      <c r="AK42" s="1669" t="s">
        <v>1715</v>
      </c>
      <c r="AL42" s="1669" t="s">
        <v>121</v>
      </c>
      <c r="AM42" s="1669" t="s">
        <v>1582</v>
      </c>
      <c r="AN42" s="1679" t="s">
        <v>1713</v>
      </c>
      <c r="AO42" s="1679" t="s">
        <v>1713</v>
      </c>
      <c r="AP42" s="1679" t="s">
        <v>1713</v>
      </c>
      <c r="AQ42" s="1679" t="s">
        <v>1713</v>
      </c>
      <c r="AR42" s="1679" t="s">
        <v>1713</v>
      </c>
      <c r="AS42" s="1826"/>
      <c r="AT42" s="1826"/>
      <c r="AU42" s="1681" t="n">
        <f aca="false">3.6*365*1286</f>
        <v>1689804</v>
      </c>
      <c r="AV42" s="1669" t="s">
        <v>1716</v>
      </c>
      <c r="AW42" s="1669" t="s">
        <v>1716</v>
      </c>
      <c r="AX42" s="1669" t="s">
        <v>1717</v>
      </c>
    </row>
    <row r="43" customFormat="false" ht="18" hidden="true" customHeight="true" outlineLevel="0" collapsed="false">
      <c r="A43" s="1844"/>
      <c r="B43" s="1661" t="s">
        <v>1724</v>
      </c>
      <c r="C43" s="965" t="s">
        <v>1725</v>
      </c>
      <c r="D43" s="1683" t="s">
        <v>1726</v>
      </c>
      <c r="E43" s="994" t="s">
        <v>966</v>
      </c>
      <c r="F43" s="994"/>
      <c r="G43" s="974" t="n">
        <v>45590</v>
      </c>
      <c r="H43" s="994"/>
      <c r="I43" s="994"/>
      <c r="J43" s="1818"/>
      <c r="K43" s="1665"/>
      <c r="L43" s="1665"/>
      <c r="M43" s="1665" t="n">
        <v>670.35</v>
      </c>
      <c r="N43" s="974"/>
      <c r="O43" s="974" t="s">
        <v>1713</v>
      </c>
      <c r="P43" s="974" t="s">
        <v>1713</v>
      </c>
      <c r="Q43" s="974" t="s">
        <v>1713</v>
      </c>
      <c r="R43" s="974" t="s">
        <v>1713</v>
      </c>
      <c r="S43" s="1669" t="n">
        <v>1</v>
      </c>
      <c r="T43" s="1819" t="s">
        <v>373</v>
      </c>
      <c r="U43" s="1819" t="s">
        <v>373</v>
      </c>
      <c r="V43" s="1673" t="s">
        <v>301</v>
      </c>
      <c r="W43" s="1820" t="s">
        <v>373</v>
      </c>
      <c r="X43" s="1820" t="s">
        <v>373</v>
      </c>
      <c r="Y43" s="1821" t="s">
        <v>373</v>
      </c>
      <c r="Z43" s="1821" t="s">
        <v>373</v>
      </c>
      <c r="AA43" s="1821" t="s">
        <v>373</v>
      </c>
      <c r="AB43" s="1821" t="s">
        <v>373</v>
      </c>
      <c r="AC43" s="1824" t="n">
        <f aca="false">1800000000*M43/1000</f>
        <v>1206630000</v>
      </c>
      <c r="AD43" s="1669" t="s">
        <v>1714</v>
      </c>
      <c r="AE43" s="1745"/>
      <c r="AF43" s="1674" t="s">
        <v>1580</v>
      </c>
      <c r="AG43" s="1674" t="s">
        <v>1580</v>
      </c>
      <c r="AH43" s="1674" t="s">
        <v>1580</v>
      </c>
      <c r="AI43" s="1669" t="s">
        <v>1580</v>
      </c>
      <c r="AJ43" s="1266"/>
      <c r="AK43" s="1669" t="s">
        <v>1715</v>
      </c>
      <c r="AL43" s="1669" t="s">
        <v>121</v>
      </c>
      <c r="AM43" s="1669" t="s">
        <v>1582</v>
      </c>
      <c r="AN43" s="1679" t="s">
        <v>1713</v>
      </c>
      <c r="AO43" s="1679" t="s">
        <v>1713</v>
      </c>
      <c r="AP43" s="1679" t="s">
        <v>1713</v>
      </c>
      <c r="AQ43" s="1679" t="s">
        <v>1713</v>
      </c>
      <c r="AR43" s="1679" t="s">
        <v>1713</v>
      </c>
      <c r="AS43" s="1826"/>
      <c r="AT43" s="1826"/>
      <c r="AU43" s="1681" t="n">
        <f aca="false">3.6*365*1286</f>
        <v>1689804</v>
      </c>
      <c r="AV43" s="1669" t="s">
        <v>1716</v>
      </c>
      <c r="AW43" s="1669" t="s">
        <v>1716</v>
      </c>
      <c r="AX43" s="1669" t="s">
        <v>1717</v>
      </c>
    </row>
    <row r="44" customFormat="false" ht="18" hidden="true" customHeight="true" outlineLevel="0" collapsed="false">
      <c r="A44" s="1844"/>
      <c r="B44" s="1661" t="s">
        <v>1727</v>
      </c>
      <c r="C44" s="965" t="s">
        <v>1728</v>
      </c>
      <c r="D44" s="1683" t="s">
        <v>1729</v>
      </c>
      <c r="E44" s="994" t="s">
        <v>966</v>
      </c>
      <c r="F44" s="994"/>
      <c r="G44" s="974" t="n">
        <v>45590</v>
      </c>
      <c r="H44" s="994"/>
      <c r="I44" s="994"/>
      <c r="J44" s="1818"/>
      <c r="K44" s="1665"/>
      <c r="L44" s="1665"/>
      <c r="M44" s="1665" t="n">
        <v>209.28</v>
      </c>
      <c r="N44" s="974"/>
      <c r="O44" s="974" t="s">
        <v>1713</v>
      </c>
      <c r="P44" s="974" t="s">
        <v>1713</v>
      </c>
      <c r="Q44" s="974" t="s">
        <v>1713</v>
      </c>
      <c r="R44" s="974" t="s">
        <v>1713</v>
      </c>
      <c r="S44" s="1669" t="n">
        <v>1</v>
      </c>
      <c r="T44" s="1819" t="s">
        <v>373</v>
      </c>
      <c r="U44" s="1819" t="s">
        <v>373</v>
      </c>
      <c r="V44" s="1669" t="s">
        <v>794</v>
      </c>
      <c r="W44" s="1820" t="s">
        <v>373</v>
      </c>
      <c r="X44" s="1820" t="s">
        <v>373</v>
      </c>
      <c r="Y44" s="1821" t="s">
        <v>373</v>
      </c>
      <c r="Z44" s="1821" t="s">
        <v>373</v>
      </c>
      <c r="AA44" s="1821" t="s">
        <v>373</v>
      </c>
      <c r="AB44" s="1821" t="s">
        <v>373</v>
      </c>
      <c r="AC44" s="1824" t="n">
        <f aca="false">1800000000*M44/1000</f>
        <v>376704000</v>
      </c>
      <c r="AD44" s="1669" t="s">
        <v>1714</v>
      </c>
      <c r="AE44" s="1745"/>
      <c r="AF44" s="1674" t="s">
        <v>1580</v>
      </c>
      <c r="AG44" s="1674" t="s">
        <v>1580</v>
      </c>
      <c r="AH44" s="1674" t="s">
        <v>1580</v>
      </c>
      <c r="AI44" s="1669" t="s">
        <v>1580</v>
      </c>
      <c r="AJ44" s="1156"/>
      <c r="AK44" s="1669" t="s">
        <v>1715</v>
      </c>
      <c r="AL44" s="1669" t="s">
        <v>121</v>
      </c>
      <c r="AM44" s="1669" t="s">
        <v>1582</v>
      </c>
      <c r="AN44" s="1679" t="s">
        <v>1713</v>
      </c>
      <c r="AO44" s="1679" t="s">
        <v>1713</v>
      </c>
      <c r="AP44" s="1679" t="s">
        <v>1713</v>
      </c>
      <c r="AQ44" s="1679" t="s">
        <v>1713</v>
      </c>
      <c r="AR44" s="1679" t="s">
        <v>1713</v>
      </c>
      <c r="AS44" s="1826"/>
      <c r="AT44" s="1826"/>
      <c r="AU44" s="1681" t="n">
        <f aca="false">3.6*365*1286</f>
        <v>1689804</v>
      </c>
      <c r="AV44" s="1669" t="s">
        <v>1716</v>
      </c>
      <c r="AW44" s="1669" t="s">
        <v>1716</v>
      </c>
      <c r="AX44" s="1669" t="s">
        <v>1717</v>
      </c>
    </row>
    <row r="45" customFormat="false" ht="18" hidden="true" customHeight="true" outlineLevel="0" collapsed="false">
      <c r="A45" s="1844"/>
      <c r="B45" s="1661" t="s">
        <v>1730</v>
      </c>
      <c r="C45" s="965" t="s">
        <v>1731</v>
      </c>
      <c r="D45" s="1683" t="s">
        <v>1732</v>
      </c>
      <c r="E45" s="994" t="s">
        <v>966</v>
      </c>
      <c r="F45" s="994"/>
      <c r="G45" s="974" t="n">
        <v>45590</v>
      </c>
      <c r="H45" s="994"/>
      <c r="I45" s="994"/>
      <c r="J45" s="1818"/>
      <c r="K45" s="1665"/>
      <c r="L45" s="1665"/>
      <c r="M45" s="1665" t="n">
        <v>195.11</v>
      </c>
      <c r="N45" s="974"/>
      <c r="O45" s="974" t="s">
        <v>1713</v>
      </c>
      <c r="P45" s="974" t="s">
        <v>1713</v>
      </c>
      <c r="Q45" s="974" t="s">
        <v>1713</v>
      </c>
      <c r="R45" s="974" t="s">
        <v>1713</v>
      </c>
      <c r="S45" s="1669" t="n">
        <v>1</v>
      </c>
      <c r="T45" s="1819" t="s">
        <v>373</v>
      </c>
      <c r="U45" s="1819" t="s">
        <v>373</v>
      </c>
      <c r="V45" s="1669" t="s">
        <v>300</v>
      </c>
      <c r="W45" s="1820" t="s">
        <v>373</v>
      </c>
      <c r="X45" s="1820" t="s">
        <v>373</v>
      </c>
      <c r="Y45" s="1821" t="s">
        <v>373</v>
      </c>
      <c r="Z45" s="1821" t="s">
        <v>373</v>
      </c>
      <c r="AA45" s="1821" t="s">
        <v>373</v>
      </c>
      <c r="AB45" s="1821" t="s">
        <v>373</v>
      </c>
      <c r="AC45" s="1824" t="n">
        <f aca="false">1800000000*M45/1000</f>
        <v>351198000</v>
      </c>
      <c r="AD45" s="1669" t="s">
        <v>1714</v>
      </c>
      <c r="AE45" s="1745"/>
      <c r="AF45" s="1674" t="s">
        <v>1580</v>
      </c>
      <c r="AG45" s="1674" t="s">
        <v>1580</v>
      </c>
      <c r="AH45" s="1674" t="s">
        <v>1580</v>
      </c>
      <c r="AI45" s="1669" t="s">
        <v>1580</v>
      </c>
      <c r="AJ45" s="1845"/>
      <c r="AK45" s="1669" t="s">
        <v>1715</v>
      </c>
      <c r="AL45" s="1669" t="s">
        <v>121</v>
      </c>
      <c r="AM45" s="1669" t="s">
        <v>1582</v>
      </c>
      <c r="AN45" s="1679" t="s">
        <v>1713</v>
      </c>
      <c r="AO45" s="1679" t="s">
        <v>1713</v>
      </c>
      <c r="AP45" s="1679" t="s">
        <v>1713</v>
      </c>
      <c r="AQ45" s="1679" t="s">
        <v>1713</v>
      </c>
      <c r="AR45" s="1679" t="s">
        <v>1713</v>
      </c>
      <c r="AS45" s="1826"/>
      <c r="AT45" s="1826"/>
      <c r="AU45" s="1681" t="n">
        <f aca="false">3.6*365*1286</f>
        <v>1689804</v>
      </c>
      <c r="AV45" s="1669" t="s">
        <v>1716</v>
      </c>
      <c r="AW45" s="1669" t="s">
        <v>1716</v>
      </c>
      <c r="AX45" s="1669" t="s">
        <v>1717</v>
      </c>
    </row>
    <row r="46" customFormat="false" ht="18" hidden="true" customHeight="true" outlineLevel="0" collapsed="false">
      <c r="A46" s="1844"/>
      <c r="B46" s="1661" t="s">
        <v>1733</v>
      </c>
      <c r="C46" s="965" t="s">
        <v>1734</v>
      </c>
      <c r="D46" s="1683" t="s">
        <v>1735</v>
      </c>
      <c r="E46" s="994" t="s">
        <v>966</v>
      </c>
      <c r="F46" s="994"/>
      <c r="G46" s="974" t="n">
        <v>45590</v>
      </c>
      <c r="H46" s="994"/>
      <c r="I46" s="994"/>
      <c r="J46" s="1818"/>
      <c r="K46" s="1665"/>
      <c r="L46" s="1665"/>
      <c r="M46" s="1665" t="n">
        <v>130.8</v>
      </c>
      <c r="N46" s="974"/>
      <c r="O46" s="974" t="s">
        <v>1713</v>
      </c>
      <c r="P46" s="974" t="s">
        <v>1713</v>
      </c>
      <c r="Q46" s="974" t="s">
        <v>1713</v>
      </c>
      <c r="R46" s="974" t="s">
        <v>1713</v>
      </c>
      <c r="S46" s="1669" t="n">
        <v>1</v>
      </c>
      <c r="T46" s="1819" t="s">
        <v>373</v>
      </c>
      <c r="U46" s="1819" t="s">
        <v>373</v>
      </c>
      <c r="V46" s="1669" t="s">
        <v>817</v>
      </c>
      <c r="W46" s="1820" t="s">
        <v>373</v>
      </c>
      <c r="X46" s="1820" t="s">
        <v>373</v>
      </c>
      <c r="Y46" s="1821" t="s">
        <v>373</v>
      </c>
      <c r="Z46" s="1821" t="s">
        <v>373</v>
      </c>
      <c r="AA46" s="1821" t="s">
        <v>373</v>
      </c>
      <c r="AB46" s="1821" t="s">
        <v>373</v>
      </c>
      <c r="AC46" s="1824" t="n">
        <f aca="false">1800000000*M46/1000</f>
        <v>235440000</v>
      </c>
      <c r="AD46" s="1669" t="s">
        <v>1714</v>
      </c>
      <c r="AE46" s="1745"/>
      <c r="AF46" s="1674" t="s">
        <v>1580</v>
      </c>
      <c r="AG46" s="1674" t="s">
        <v>1580</v>
      </c>
      <c r="AH46" s="1674" t="s">
        <v>1580</v>
      </c>
      <c r="AI46" s="1669" t="s">
        <v>1580</v>
      </c>
      <c r="AJ46" s="1266"/>
      <c r="AK46" s="1669" t="s">
        <v>1715</v>
      </c>
      <c r="AL46" s="1669" t="s">
        <v>121</v>
      </c>
      <c r="AM46" s="1669" t="s">
        <v>1582</v>
      </c>
      <c r="AN46" s="1679" t="s">
        <v>1713</v>
      </c>
      <c r="AO46" s="1679" t="s">
        <v>1713</v>
      </c>
      <c r="AP46" s="1679" t="s">
        <v>1713</v>
      </c>
      <c r="AQ46" s="1679" t="s">
        <v>1713</v>
      </c>
      <c r="AR46" s="1679" t="s">
        <v>1713</v>
      </c>
      <c r="AS46" s="1826"/>
      <c r="AT46" s="1826"/>
      <c r="AU46" s="1681" t="n">
        <f aca="false">3.6*365*1286</f>
        <v>1689804</v>
      </c>
      <c r="AV46" s="1669" t="s">
        <v>1716</v>
      </c>
      <c r="AW46" s="1669" t="s">
        <v>1716</v>
      </c>
      <c r="AX46" s="1669" t="s">
        <v>1717</v>
      </c>
    </row>
    <row r="47" customFormat="false" ht="18" hidden="true" customHeight="true" outlineLevel="0" collapsed="false">
      <c r="A47" s="1844"/>
      <c r="B47" s="1661" t="s">
        <v>1736</v>
      </c>
      <c r="C47" s="965" t="s">
        <v>1737</v>
      </c>
      <c r="D47" s="1683" t="s">
        <v>1738</v>
      </c>
      <c r="E47" s="994" t="s">
        <v>966</v>
      </c>
      <c r="F47" s="994"/>
      <c r="G47" s="974" t="n">
        <v>45590</v>
      </c>
      <c r="H47" s="994"/>
      <c r="I47" s="994"/>
      <c r="J47" s="1818"/>
      <c r="K47" s="1665"/>
      <c r="L47" s="1665"/>
      <c r="M47" s="1665" t="n">
        <v>289.94</v>
      </c>
      <c r="N47" s="974"/>
      <c r="O47" s="974" t="s">
        <v>1713</v>
      </c>
      <c r="P47" s="974" t="s">
        <v>1713</v>
      </c>
      <c r="Q47" s="974" t="s">
        <v>1713</v>
      </c>
      <c r="R47" s="974" t="s">
        <v>1713</v>
      </c>
      <c r="S47" s="1669" t="n">
        <v>1</v>
      </c>
      <c r="T47" s="1819" t="s">
        <v>373</v>
      </c>
      <c r="U47" s="1819" t="s">
        <v>373</v>
      </c>
      <c r="V47" s="1669" t="s">
        <v>300</v>
      </c>
      <c r="W47" s="1820" t="s">
        <v>373</v>
      </c>
      <c r="X47" s="1820" t="s">
        <v>373</v>
      </c>
      <c r="Y47" s="1821" t="s">
        <v>373</v>
      </c>
      <c r="Z47" s="1821" t="s">
        <v>373</v>
      </c>
      <c r="AA47" s="1821" t="s">
        <v>373</v>
      </c>
      <c r="AB47" s="1821" t="s">
        <v>373</v>
      </c>
      <c r="AC47" s="1824" t="n">
        <f aca="false">1800000000*M47/1000</f>
        <v>521892000</v>
      </c>
      <c r="AD47" s="1669" t="s">
        <v>1714</v>
      </c>
      <c r="AE47" s="1745"/>
      <c r="AF47" s="1674" t="s">
        <v>1580</v>
      </c>
      <c r="AG47" s="1674" t="s">
        <v>1580</v>
      </c>
      <c r="AH47" s="1674" t="s">
        <v>1580</v>
      </c>
      <c r="AI47" s="1669" t="s">
        <v>1580</v>
      </c>
      <c r="AJ47" s="1266"/>
      <c r="AK47" s="1669" t="s">
        <v>1715</v>
      </c>
      <c r="AL47" s="1669" t="s">
        <v>121</v>
      </c>
      <c r="AM47" s="1669" t="s">
        <v>1582</v>
      </c>
      <c r="AN47" s="1679" t="s">
        <v>1713</v>
      </c>
      <c r="AO47" s="1679" t="s">
        <v>1713</v>
      </c>
      <c r="AP47" s="1679" t="s">
        <v>1713</v>
      </c>
      <c r="AQ47" s="1679" t="s">
        <v>1713</v>
      </c>
      <c r="AR47" s="1679" t="s">
        <v>1713</v>
      </c>
      <c r="AS47" s="1826"/>
      <c r="AT47" s="1826"/>
      <c r="AU47" s="1681" t="n">
        <f aca="false">3.6*365*1286</f>
        <v>1689804</v>
      </c>
      <c r="AV47" s="1669" t="s">
        <v>1716</v>
      </c>
      <c r="AW47" s="1669" t="s">
        <v>1716</v>
      </c>
      <c r="AX47" s="1669" t="s">
        <v>1717</v>
      </c>
    </row>
    <row r="48" s="1708" customFormat="true" ht="18" hidden="true" customHeight="true" outlineLevel="0" collapsed="false">
      <c r="A48" s="1844"/>
      <c r="B48" s="1827" t="s">
        <v>1739</v>
      </c>
      <c r="C48" s="1190" t="s">
        <v>1740</v>
      </c>
      <c r="D48" s="1828" t="s">
        <v>1741</v>
      </c>
      <c r="E48" s="1194" t="s">
        <v>966</v>
      </c>
      <c r="F48" s="1194"/>
      <c r="G48" s="1831" t="n">
        <v>45590</v>
      </c>
      <c r="H48" s="1194"/>
      <c r="I48" s="1194"/>
      <c r="J48" s="1829"/>
      <c r="K48" s="1830"/>
      <c r="L48" s="1830"/>
      <c r="M48" s="1830" t="n">
        <v>165.68</v>
      </c>
      <c r="N48" s="1831"/>
      <c r="O48" s="1831" t="s">
        <v>1713</v>
      </c>
      <c r="P48" s="1831" t="s">
        <v>1713</v>
      </c>
      <c r="Q48" s="1831" t="s">
        <v>1713</v>
      </c>
      <c r="R48" s="1831" t="s">
        <v>1713</v>
      </c>
      <c r="S48" s="1832" t="n">
        <v>1</v>
      </c>
      <c r="T48" s="1833" t="s">
        <v>373</v>
      </c>
      <c r="U48" s="1833" t="s">
        <v>373</v>
      </c>
      <c r="V48" s="1846" t="s">
        <v>302</v>
      </c>
      <c r="W48" s="1834" t="s">
        <v>373</v>
      </c>
      <c r="X48" s="1834" t="s">
        <v>373</v>
      </c>
      <c r="Y48" s="1835" t="s">
        <v>373</v>
      </c>
      <c r="Z48" s="1835" t="s">
        <v>373</v>
      </c>
      <c r="AA48" s="1835" t="s">
        <v>373</v>
      </c>
      <c r="AB48" s="1835" t="s">
        <v>373</v>
      </c>
      <c r="AC48" s="1838" t="n">
        <f aca="false">1800000000*M48/1000</f>
        <v>298224000</v>
      </c>
      <c r="AD48" s="1832" t="s">
        <v>1714</v>
      </c>
      <c r="AE48" s="1839"/>
      <c r="AF48" s="1840" t="s">
        <v>1580</v>
      </c>
      <c r="AG48" s="1840" t="s">
        <v>1580</v>
      </c>
      <c r="AH48" s="1840" t="s">
        <v>1580</v>
      </c>
      <c r="AI48" s="1832" t="s">
        <v>1580</v>
      </c>
      <c r="AJ48" s="1266"/>
      <c r="AK48" s="1832" t="s">
        <v>1715</v>
      </c>
      <c r="AL48" s="1832" t="s">
        <v>121</v>
      </c>
      <c r="AM48" s="1832" t="s">
        <v>1582</v>
      </c>
      <c r="AN48" s="1847" t="s">
        <v>1713</v>
      </c>
      <c r="AO48" s="1847" t="s">
        <v>1713</v>
      </c>
      <c r="AP48" s="1847" t="s">
        <v>1713</v>
      </c>
      <c r="AQ48" s="1847" t="s">
        <v>1713</v>
      </c>
      <c r="AR48" s="1847" t="s">
        <v>1713</v>
      </c>
      <c r="AS48" s="1843"/>
      <c r="AT48" s="1843"/>
      <c r="AU48" s="1681" t="n">
        <f aca="false">3.6*365*1286</f>
        <v>1689804</v>
      </c>
      <c r="AV48" s="1832" t="s">
        <v>1716</v>
      </c>
      <c r="AW48" s="1832" t="s">
        <v>1716</v>
      </c>
      <c r="AX48" s="1832" t="s">
        <v>1717</v>
      </c>
    </row>
    <row r="49" customFormat="false" ht="18" hidden="true" customHeight="true" outlineLevel="0" collapsed="false">
      <c r="A49" s="1848" t="str">
        <f aca="false">"Bonghwa Drne - "
&amp;SUM(M49:M56)</f>
        <v>Bonghwa Drne - 12869.7</v>
      </c>
      <c r="B49" s="1661" t="s">
        <v>1742</v>
      </c>
      <c r="C49" s="965" t="s">
        <v>1743</v>
      </c>
      <c r="D49" s="1683" t="s">
        <v>1744</v>
      </c>
      <c r="E49" s="994" t="s">
        <v>1745</v>
      </c>
      <c r="F49" s="994"/>
      <c r="G49" s="974" t="n">
        <v>45607</v>
      </c>
      <c r="H49" s="994"/>
      <c r="I49" s="994"/>
      <c r="J49" s="1818"/>
      <c r="K49" s="1849"/>
      <c r="L49" s="1849"/>
      <c r="M49" s="1849" t="n">
        <v>1215</v>
      </c>
      <c r="N49" s="974"/>
      <c r="O49" s="974" t="s">
        <v>966</v>
      </c>
      <c r="P49" s="974" t="s">
        <v>1576</v>
      </c>
      <c r="Q49" s="974" t="s">
        <v>966</v>
      </c>
      <c r="R49" s="974" t="s">
        <v>966</v>
      </c>
      <c r="S49" s="1669" t="n">
        <v>1</v>
      </c>
      <c r="T49" s="1819" t="n">
        <f aca="false">20000000*M49</f>
        <v>24300000000</v>
      </c>
      <c r="U49" s="1819"/>
      <c r="V49" s="1669" t="s">
        <v>817</v>
      </c>
      <c r="W49" s="1820"/>
      <c r="X49" s="1820"/>
      <c r="Y49" s="1821"/>
      <c r="Z49" s="1821"/>
      <c r="AA49" s="1821"/>
      <c r="AB49" s="1821"/>
      <c r="AC49" s="1824"/>
      <c r="AD49" s="1669"/>
      <c r="AE49" s="1745"/>
      <c r="AF49" s="1674" t="s">
        <v>1580</v>
      </c>
      <c r="AG49" s="1674"/>
      <c r="AH49" s="1674"/>
      <c r="AI49" s="1669"/>
      <c r="AJ49" s="1266"/>
      <c r="AK49" s="1669"/>
      <c r="AL49" s="1669"/>
      <c r="AM49" s="1669"/>
      <c r="AN49" s="1679"/>
      <c r="AO49" s="1679"/>
      <c r="AP49" s="1679"/>
      <c r="AQ49" s="1679"/>
      <c r="AR49" s="1679"/>
      <c r="AS49" s="1826"/>
      <c r="AT49" s="1826"/>
      <c r="AU49" s="1681" t="n">
        <f aca="false">3.6*365*1286</f>
        <v>1689804</v>
      </c>
      <c r="AV49" s="1669" t="s">
        <v>1746</v>
      </c>
      <c r="AW49" s="1669" t="s">
        <v>1746</v>
      </c>
      <c r="AX49" s="1669" t="s">
        <v>1717</v>
      </c>
    </row>
    <row r="50" customFormat="false" ht="18" hidden="true" customHeight="true" outlineLevel="0" collapsed="false">
      <c r="A50" s="1848"/>
      <c r="B50" s="1661" t="s">
        <v>1747</v>
      </c>
      <c r="C50" s="965" t="s">
        <v>1748</v>
      </c>
      <c r="D50" s="1683" t="s">
        <v>1749</v>
      </c>
      <c r="E50" s="994" t="s">
        <v>1750</v>
      </c>
      <c r="F50" s="994"/>
      <c r="G50" s="974" t="n">
        <v>45607</v>
      </c>
      <c r="H50" s="994"/>
      <c r="I50" s="994"/>
      <c r="J50" s="1818"/>
      <c r="K50" s="1849"/>
      <c r="L50" s="1849"/>
      <c r="M50" s="1849" t="n">
        <v>1998</v>
      </c>
      <c r="N50" s="974"/>
      <c r="O50" s="974" t="s">
        <v>966</v>
      </c>
      <c r="P50" s="974" t="s">
        <v>1576</v>
      </c>
      <c r="Q50" s="974" t="s">
        <v>966</v>
      </c>
      <c r="R50" s="974" t="s">
        <v>966</v>
      </c>
      <c r="S50" s="1669" t="n">
        <v>1</v>
      </c>
      <c r="T50" s="1819" t="n">
        <f aca="false">20000000*M50</f>
        <v>39960000000</v>
      </c>
      <c r="U50" s="1819"/>
      <c r="V50" s="1669" t="s">
        <v>817</v>
      </c>
      <c r="W50" s="1820"/>
      <c r="X50" s="1820"/>
      <c r="Y50" s="1821"/>
      <c r="Z50" s="1821"/>
      <c r="AA50" s="1821"/>
      <c r="AB50" s="1821"/>
      <c r="AC50" s="1824"/>
      <c r="AD50" s="1669"/>
      <c r="AE50" s="1745"/>
      <c r="AF50" s="1674" t="s">
        <v>1580</v>
      </c>
      <c r="AG50" s="1674"/>
      <c r="AH50" s="1674"/>
      <c r="AI50" s="1669"/>
      <c r="AJ50" s="1266"/>
      <c r="AK50" s="1669"/>
      <c r="AL50" s="1669"/>
      <c r="AM50" s="1669"/>
      <c r="AN50" s="1679"/>
      <c r="AO50" s="1679"/>
      <c r="AP50" s="1679"/>
      <c r="AQ50" s="1679"/>
      <c r="AR50" s="1679"/>
      <c r="AS50" s="1826"/>
      <c r="AT50" s="1826"/>
      <c r="AU50" s="1681" t="n">
        <f aca="false">3.6*365*1286</f>
        <v>1689804</v>
      </c>
      <c r="AV50" s="1669" t="s">
        <v>1751</v>
      </c>
      <c r="AW50" s="1669" t="s">
        <v>1751</v>
      </c>
      <c r="AX50" s="1669" t="s">
        <v>1717</v>
      </c>
    </row>
    <row r="51" customFormat="false" ht="18" hidden="true" customHeight="true" outlineLevel="0" collapsed="false">
      <c r="A51" s="1848"/>
      <c r="B51" s="1661" t="s">
        <v>1752</v>
      </c>
      <c r="C51" s="965" t="s">
        <v>1753</v>
      </c>
      <c r="D51" s="1683" t="s">
        <v>1754</v>
      </c>
      <c r="E51" s="994" t="s">
        <v>1755</v>
      </c>
      <c r="F51" s="994"/>
      <c r="G51" s="974" t="n">
        <v>45607</v>
      </c>
      <c r="H51" s="994"/>
      <c r="I51" s="994"/>
      <c r="J51" s="1818"/>
      <c r="K51" s="1849"/>
      <c r="L51" s="1849"/>
      <c r="M51" s="1849" t="n">
        <v>2414</v>
      </c>
      <c r="N51" s="974"/>
      <c r="O51" s="974" t="s">
        <v>966</v>
      </c>
      <c r="P51" s="974" t="s">
        <v>1576</v>
      </c>
      <c r="Q51" s="974" t="s">
        <v>966</v>
      </c>
      <c r="R51" s="974" t="s">
        <v>966</v>
      </c>
      <c r="S51" s="1669" t="n">
        <v>1</v>
      </c>
      <c r="T51" s="1819" t="n">
        <f aca="false">20000000*M51</f>
        <v>48280000000</v>
      </c>
      <c r="U51" s="1819"/>
      <c r="V51" s="1669" t="s">
        <v>817</v>
      </c>
      <c r="W51" s="1820"/>
      <c r="X51" s="1820"/>
      <c r="Y51" s="1821"/>
      <c r="Z51" s="1821"/>
      <c r="AA51" s="1821"/>
      <c r="AB51" s="1821"/>
      <c r="AC51" s="1824"/>
      <c r="AD51" s="1669"/>
      <c r="AE51" s="1745"/>
      <c r="AF51" s="1674" t="s">
        <v>1580</v>
      </c>
      <c r="AG51" s="1674"/>
      <c r="AH51" s="1674"/>
      <c r="AI51" s="1669"/>
      <c r="AJ51" s="1266"/>
      <c r="AK51" s="1669"/>
      <c r="AL51" s="1669"/>
      <c r="AM51" s="1669"/>
      <c r="AN51" s="1679"/>
      <c r="AO51" s="1679"/>
      <c r="AP51" s="1679"/>
      <c r="AQ51" s="1679"/>
      <c r="AR51" s="1679"/>
      <c r="AS51" s="1826"/>
      <c r="AT51" s="1826"/>
      <c r="AU51" s="1681" t="n">
        <f aca="false">3.6*365*1286</f>
        <v>1689804</v>
      </c>
      <c r="AV51" s="1669" t="s">
        <v>1756</v>
      </c>
      <c r="AW51" s="1669" t="s">
        <v>1756</v>
      </c>
      <c r="AX51" s="1669" t="s">
        <v>1717</v>
      </c>
    </row>
    <row r="52" customFormat="false" ht="18" hidden="true" customHeight="true" outlineLevel="0" collapsed="false">
      <c r="A52" s="1848"/>
      <c r="B52" s="1661" t="s">
        <v>1757</v>
      </c>
      <c r="C52" s="965" t="s">
        <v>1758</v>
      </c>
      <c r="D52" s="1683" t="s">
        <v>1759</v>
      </c>
      <c r="E52" s="994" t="s">
        <v>1760</v>
      </c>
      <c r="F52" s="994"/>
      <c r="G52" s="974" t="n">
        <v>45607</v>
      </c>
      <c r="H52" s="994"/>
      <c r="I52" s="994"/>
      <c r="J52" s="1818"/>
      <c r="K52" s="1850"/>
      <c r="L52" s="1850"/>
      <c r="M52" s="1850" t="n">
        <v>910.2</v>
      </c>
      <c r="N52" s="974"/>
      <c r="O52" s="974" t="s">
        <v>966</v>
      </c>
      <c r="P52" s="974" t="s">
        <v>1576</v>
      </c>
      <c r="Q52" s="974" t="s">
        <v>966</v>
      </c>
      <c r="R52" s="974" t="s">
        <v>966</v>
      </c>
      <c r="S52" s="1669" t="n">
        <v>1</v>
      </c>
      <c r="T52" s="1819" t="n">
        <f aca="false">20000000*M52</f>
        <v>18204000000</v>
      </c>
      <c r="U52" s="1819"/>
      <c r="V52" s="1669" t="s">
        <v>817</v>
      </c>
      <c r="W52" s="1820"/>
      <c r="X52" s="1820"/>
      <c r="Y52" s="1821"/>
      <c r="Z52" s="1821"/>
      <c r="AA52" s="1821"/>
      <c r="AB52" s="1821"/>
      <c r="AC52" s="1824"/>
      <c r="AD52" s="1669"/>
      <c r="AE52" s="1745"/>
      <c r="AF52" s="1674" t="s">
        <v>1580</v>
      </c>
      <c r="AG52" s="1674"/>
      <c r="AH52" s="1674"/>
      <c r="AI52" s="1669"/>
      <c r="AJ52" s="1266"/>
      <c r="AK52" s="1669"/>
      <c r="AL52" s="1669"/>
      <c r="AM52" s="1669"/>
      <c r="AN52" s="1679"/>
      <c r="AO52" s="1679"/>
      <c r="AP52" s="1679"/>
      <c r="AQ52" s="1679"/>
      <c r="AR52" s="1679"/>
      <c r="AS52" s="1826"/>
      <c r="AT52" s="1826"/>
      <c r="AU52" s="1681" t="n">
        <f aca="false">3.6*365*1286</f>
        <v>1689804</v>
      </c>
      <c r="AV52" s="1669" t="s">
        <v>1761</v>
      </c>
      <c r="AW52" s="1669" t="s">
        <v>1761</v>
      </c>
      <c r="AX52" s="1669" t="s">
        <v>1717</v>
      </c>
    </row>
    <row r="53" customFormat="false" ht="18" hidden="true" customHeight="true" outlineLevel="0" collapsed="false">
      <c r="A53" s="1848"/>
      <c r="B53" s="1661" t="s">
        <v>1762</v>
      </c>
      <c r="C53" s="965" t="s">
        <v>1763</v>
      </c>
      <c r="D53" s="1683" t="s">
        <v>1764</v>
      </c>
      <c r="E53" s="994" t="s">
        <v>1765</v>
      </c>
      <c r="F53" s="994"/>
      <c r="G53" s="974" t="n">
        <v>45607</v>
      </c>
      <c r="H53" s="994"/>
      <c r="I53" s="994"/>
      <c r="J53" s="1818"/>
      <c r="K53" s="1684"/>
      <c r="L53" s="1684"/>
      <c r="M53" s="1684" t="n">
        <v>1659.45</v>
      </c>
      <c r="N53" s="974"/>
      <c r="O53" s="974" t="s">
        <v>966</v>
      </c>
      <c r="P53" s="974" t="s">
        <v>1576</v>
      </c>
      <c r="Q53" s="974" t="s">
        <v>966</v>
      </c>
      <c r="R53" s="974" t="s">
        <v>966</v>
      </c>
      <c r="S53" s="1669" t="n">
        <v>1</v>
      </c>
      <c r="T53" s="1819" t="n">
        <f aca="false">20000000*M53</f>
        <v>33189000000</v>
      </c>
      <c r="U53" s="1819"/>
      <c r="V53" s="1669" t="s">
        <v>817</v>
      </c>
      <c r="W53" s="1820"/>
      <c r="X53" s="1820"/>
      <c r="Y53" s="1821"/>
      <c r="Z53" s="1821"/>
      <c r="AA53" s="1821"/>
      <c r="AB53" s="1821"/>
      <c r="AC53" s="1824"/>
      <c r="AD53" s="1669"/>
      <c r="AE53" s="1745"/>
      <c r="AF53" s="1674" t="s">
        <v>1580</v>
      </c>
      <c r="AG53" s="1674"/>
      <c r="AH53" s="1674"/>
      <c r="AI53" s="1669"/>
      <c r="AJ53" s="1266"/>
      <c r="AK53" s="1669"/>
      <c r="AL53" s="1669"/>
      <c r="AM53" s="1669"/>
      <c r="AN53" s="1679"/>
      <c r="AO53" s="1679"/>
      <c r="AP53" s="1679"/>
      <c r="AQ53" s="1679"/>
      <c r="AR53" s="1679"/>
      <c r="AS53" s="1826"/>
      <c r="AT53" s="1826"/>
      <c r="AU53" s="1681" t="n">
        <f aca="false">3.6*365*1286</f>
        <v>1689804</v>
      </c>
      <c r="AV53" s="1669" t="s">
        <v>1766</v>
      </c>
      <c r="AW53" s="1669" t="s">
        <v>1766</v>
      </c>
      <c r="AX53" s="1669" t="s">
        <v>1717</v>
      </c>
    </row>
    <row r="54" customFormat="false" ht="18" hidden="true" customHeight="true" outlineLevel="0" collapsed="false">
      <c r="A54" s="1848"/>
      <c r="B54" s="1661" t="s">
        <v>1767</v>
      </c>
      <c r="C54" s="965" t="s">
        <v>1768</v>
      </c>
      <c r="D54" s="1683" t="s">
        <v>1769</v>
      </c>
      <c r="E54" s="994" t="s">
        <v>1770</v>
      </c>
      <c r="F54" s="994"/>
      <c r="G54" s="974" t="n">
        <v>45607</v>
      </c>
      <c r="H54" s="994"/>
      <c r="I54" s="994"/>
      <c r="J54" s="1818"/>
      <c r="K54" s="1849"/>
      <c r="L54" s="1849"/>
      <c r="M54" s="1849" t="n">
        <v>921</v>
      </c>
      <c r="N54" s="974"/>
      <c r="O54" s="974" t="s">
        <v>966</v>
      </c>
      <c r="P54" s="974" t="s">
        <v>1576</v>
      </c>
      <c r="Q54" s="974" t="s">
        <v>966</v>
      </c>
      <c r="R54" s="974" t="s">
        <v>966</v>
      </c>
      <c r="S54" s="1669" t="n">
        <v>1</v>
      </c>
      <c r="T54" s="1819" t="n">
        <f aca="false">20000000*M54</f>
        <v>18420000000</v>
      </c>
      <c r="U54" s="1819"/>
      <c r="V54" s="1669" t="s">
        <v>817</v>
      </c>
      <c r="W54" s="1820"/>
      <c r="X54" s="1820"/>
      <c r="Y54" s="1821"/>
      <c r="Z54" s="1821"/>
      <c r="AA54" s="1821"/>
      <c r="AB54" s="1821"/>
      <c r="AC54" s="1824"/>
      <c r="AD54" s="1669"/>
      <c r="AE54" s="1745"/>
      <c r="AF54" s="1674" t="s">
        <v>1580</v>
      </c>
      <c r="AG54" s="1674"/>
      <c r="AH54" s="1674"/>
      <c r="AI54" s="1669"/>
      <c r="AJ54" s="1266"/>
      <c r="AK54" s="1669"/>
      <c r="AL54" s="1669"/>
      <c r="AM54" s="1669"/>
      <c r="AN54" s="1679"/>
      <c r="AO54" s="1679"/>
      <c r="AP54" s="1679"/>
      <c r="AQ54" s="1679"/>
      <c r="AR54" s="1679"/>
      <c r="AS54" s="1826"/>
      <c r="AT54" s="1826"/>
      <c r="AU54" s="1681" t="n">
        <f aca="false">3.6*365*1286</f>
        <v>1689804</v>
      </c>
      <c r="AV54" s="1669" t="s">
        <v>1771</v>
      </c>
      <c r="AW54" s="1669" t="s">
        <v>1771</v>
      </c>
      <c r="AX54" s="1669" t="s">
        <v>1717</v>
      </c>
    </row>
    <row r="55" customFormat="false" ht="18" hidden="true" customHeight="true" outlineLevel="0" collapsed="false">
      <c r="A55" s="1848"/>
      <c r="B55" s="1661" t="s">
        <v>1772</v>
      </c>
      <c r="C55" s="965" t="s">
        <v>1773</v>
      </c>
      <c r="D55" s="1683" t="s">
        <v>1774</v>
      </c>
      <c r="E55" s="994" t="s">
        <v>1775</v>
      </c>
      <c r="F55" s="994"/>
      <c r="G55" s="974" t="n">
        <v>45607</v>
      </c>
      <c r="H55" s="994"/>
      <c r="I55" s="994"/>
      <c r="J55" s="1818"/>
      <c r="K55" s="1849"/>
      <c r="L55" s="1849"/>
      <c r="M55" s="1849" t="n">
        <v>2137</v>
      </c>
      <c r="N55" s="974"/>
      <c r="O55" s="974" t="s">
        <v>966</v>
      </c>
      <c r="P55" s="974" t="s">
        <v>1576</v>
      </c>
      <c r="Q55" s="974" t="s">
        <v>966</v>
      </c>
      <c r="R55" s="974" t="s">
        <v>966</v>
      </c>
      <c r="S55" s="1669" t="n">
        <v>1</v>
      </c>
      <c r="T55" s="1819" t="n">
        <f aca="false">20000000*M55</f>
        <v>42740000000</v>
      </c>
      <c r="U55" s="1819"/>
      <c r="V55" s="1669" t="s">
        <v>817</v>
      </c>
      <c r="W55" s="1820"/>
      <c r="X55" s="1820"/>
      <c r="Y55" s="1821"/>
      <c r="Z55" s="1821"/>
      <c r="AA55" s="1821"/>
      <c r="AB55" s="1821"/>
      <c r="AC55" s="1824"/>
      <c r="AD55" s="1669"/>
      <c r="AE55" s="1745"/>
      <c r="AF55" s="1674" t="s">
        <v>1580</v>
      </c>
      <c r="AG55" s="1674"/>
      <c r="AH55" s="1674"/>
      <c r="AI55" s="1669"/>
      <c r="AJ55" s="1266"/>
      <c r="AK55" s="1669"/>
      <c r="AL55" s="1669"/>
      <c r="AM55" s="1669"/>
      <c r="AN55" s="1679"/>
      <c r="AO55" s="1679"/>
      <c r="AP55" s="1679"/>
      <c r="AQ55" s="1679"/>
      <c r="AR55" s="1679"/>
      <c r="AS55" s="1826"/>
      <c r="AT55" s="1826"/>
      <c r="AU55" s="1681" t="n">
        <f aca="false">3.6*365*1286</f>
        <v>1689804</v>
      </c>
      <c r="AV55" s="1669" t="s">
        <v>1776</v>
      </c>
      <c r="AW55" s="1669" t="s">
        <v>1776</v>
      </c>
      <c r="AX55" s="1669" t="s">
        <v>1717</v>
      </c>
    </row>
    <row r="56" s="1708" customFormat="true" ht="18" hidden="true" customHeight="true" outlineLevel="0" collapsed="false">
      <c r="A56" s="1848"/>
      <c r="B56" s="1827" t="s">
        <v>1777</v>
      </c>
      <c r="C56" s="1190" t="s">
        <v>1778</v>
      </c>
      <c r="D56" s="1828" t="s">
        <v>1779</v>
      </c>
      <c r="E56" s="1194" t="s">
        <v>1780</v>
      </c>
      <c r="F56" s="1194"/>
      <c r="G56" s="1831" t="n">
        <v>45607</v>
      </c>
      <c r="H56" s="1194"/>
      <c r="I56" s="1194"/>
      <c r="J56" s="1829"/>
      <c r="K56" s="1149"/>
      <c r="L56" s="1149"/>
      <c r="M56" s="1149" t="n">
        <v>1615.05</v>
      </c>
      <c r="N56" s="1831"/>
      <c r="O56" s="1831" t="s">
        <v>966</v>
      </c>
      <c r="P56" s="1831" t="s">
        <v>1576</v>
      </c>
      <c r="Q56" s="1831" t="s">
        <v>966</v>
      </c>
      <c r="R56" s="1831" t="s">
        <v>966</v>
      </c>
      <c r="S56" s="1832" t="n">
        <v>1</v>
      </c>
      <c r="T56" s="1833" t="n">
        <f aca="false">20000000*M56</f>
        <v>32301000000</v>
      </c>
      <c r="U56" s="1833"/>
      <c r="V56" s="1832" t="s">
        <v>817</v>
      </c>
      <c r="W56" s="1834"/>
      <c r="X56" s="1834"/>
      <c r="Y56" s="1835"/>
      <c r="Z56" s="1835"/>
      <c r="AA56" s="1835"/>
      <c r="AB56" s="1835"/>
      <c r="AC56" s="1838"/>
      <c r="AD56" s="1832"/>
      <c r="AE56" s="1839"/>
      <c r="AF56" s="1840" t="s">
        <v>1580</v>
      </c>
      <c r="AG56" s="1840"/>
      <c r="AH56" s="1840"/>
      <c r="AI56" s="1832"/>
      <c r="AJ56" s="1266"/>
      <c r="AK56" s="1832"/>
      <c r="AL56" s="1832"/>
      <c r="AM56" s="1832"/>
      <c r="AN56" s="1847"/>
      <c r="AO56" s="1847"/>
      <c r="AP56" s="1847"/>
      <c r="AQ56" s="1847"/>
      <c r="AR56" s="1847"/>
      <c r="AS56" s="1843"/>
      <c r="AT56" s="1843"/>
      <c r="AU56" s="1681" t="n">
        <f aca="false">3.6*365*1286</f>
        <v>1689804</v>
      </c>
      <c r="AV56" s="1832" t="s">
        <v>1781</v>
      </c>
      <c r="AW56" s="1832" t="s">
        <v>1781</v>
      </c>
      <c r="AX56" s="1832" t="s">
        <v>1717</v>
      </c>
    </row>
    <row r="57" customFormat="false" ht="18" hidden="false" customHeight="true" outlineLevel="0" collapsed="false">
      <c r="A57" s="965"/>
      <c r="B57" s="1851" t="n">
        <f aca="false">SUM(M3:M20)</f>
        <v>14817.24</v>
      </c>
      <c r="M57" s="1852" t="n">
        <v>3.1</v>
      </c>
      <c r="R57" s="1853"/>
      <c r="AF57" s="940"/>
      <c r="AG57" s="940"/>
      <c r="AH57" s="940"/>
      <c r="AJ57" s="1854"/>
      <c r="AV57" s="1855"/>
      <c r="AW57" s="1855"/>
    </row>
    <row r="58" customFormat="false" ht="18" hidden="false" customHeight="true" outlineLevel="0" collapsed="false">
      <c r="A58" s="965"/>
      <c r="M58" s="917"/>
      <c r="AJ58" s="1266"/>
      <c r="AV58" s="1856"/>
      <c r="AW58" s="1856"/>
    </row>
    <row r="59" customFormat="false" ht="18" hidden="false" customHeight="true" outlineLevel="0" collapsed="false">
      <c r="A59" s="965"/>
      <c r="M59" s="917"/>
      <c r="N59" s="1857"/>
      <c r="O59" s="1858"/>
      <c r="AJ59" s="1266"/>
      <c r="AV59" s="1855"/>
      <c r="AW59" s="1855"/>
    </row>
    <row r="60" customFormat="false" ht="18" hidden="false" customHeight="true" outlineLevel="0" collapsed="false">
      <c r="M60" s="917"/>
      <c r="N60" s="1857"/>
      <c r="AJ60" s="1266"/>
      <c r="AV60" s="1855"/>
      <c r="AW60" s="1855"/>
    </row>
    <row r="61" customFormat="false" ht="18" hidden="false" customHeight="true" outlineLevel="0" collapsed="false">
      <c r="M61" s="1859"/>
      <c r="AJ61" s="1266"/>
      <c r="AV61" s="1856"/>
      <c r="AW61" s="1856"/>
    </row>
    <row r="62" customFormat="false" ht="18" hidden="false" customHeight="true" outlineLevel="0" collapsed="false">
      <c r="AJ62" s="1266"/>
      <c r="AV62" s="1855"/>
      <c r="AW62" s="1855"/>
    </row>
    <row r="63" customFormat="false" ht="18" hidden="false" customHeight="true" outlineLevel="0" collapsed="false">
      <c r="AJ63" s="1266"/>
      <c r="AV63" s="1856"/>
      <c r="AW63" s="1856"/>
    </row>
    <row r="64" customFormat="false" ht="18" hidden="false" customHeight="true" outlineLevel="0" collapsed="false">
      <c r="AJ64" s="1266"/>
      <c r="AV64" s="1855"/>
      <c r="AW64" s="1855"/>
    </row>
    <row r="65" customFormat="false" ht="18" hidden="false" customHeight="true" outlineLevel="0" collapsed="false">
      <c r="AJ65" s="1266"/>
      <c r="AV65" s="1855"/>
      <c r="AW65" s="1855"/>
    </row>
    <row r="66" customFormat="false" ht="18" hidden="false" customHeight="true" outlineLevel="0" collapsed="false">
      <c r="AJ66" s="1266"/>
      <c r="AV66" s="1855"/>
      <c r="AW66" s="1855"/>
    </row>
    <row r="67" customFormat="false" ht="18" hidden="false" customHeight="true" outlineLevel="0" collapsed="false">
      <c r="AJ67" s="1845"/>
      <c r="AV67" s="1855"/>
      <c r="AW67" s="1855"/>
    </row>
    <row r="68" customFormat="false" ht="18" hidden="false" customHeight="true" outlineLevel="0" collapsed="false">
      <c r="AJ68" s="1266"/>
      <c r="AV68" s="1855"/>
      <c r="AW68" s="1855"/>
    </row>
    <row r="69" customFormat="false" ht="18" hidden="false" customHeight="true" outlineLevel="0" collapsed="false">
      <c r="AJ69" s="1266"/>
      <c r="AV69" s="1855"/>
      <c r="AW69" s="1855"/>
    </row>
    <row r="70" customFormat="false" ht="18" hidden="false" customHeight="true" outlineLevel="0" collapsed="false">
      <c r="AJ70" s="1266"/>
      <c r="AV70" s="1856"/>
      <c r="AW70" s="1856"/>
    </row>
    <row r="71" customFormat="false" ht="18" hidden="false" customHeight="true" outlineLevel="0" collapsed="false">
      <c r="AJ71" s="1266"/>
      <c r="AV71" s="1855"/>
      <c r="AW71" s="1855"/>
    </row>
    <row r="72" customFormat="false" ht="18" hidden="false" customHeight="true" outlineLevel="0" collapsed="false">
      <c r="AJ72" s="1266"/>
      <c r="AV72" s="1855"/>
      <c r="AW72" s="1855"/>
    </row>
    <row r="73" customFormat="false" ht="18" hidden="false" customHeight="true" outlineLevel="0" collapsed="false">
      <c r="AJ73" s="1266"/>
      <c r="AV73" s="1855"/>
      <c r="AW73" s="1855"/>
    </row>
    <row r="74" customFormat="false" ht="18" hidden="false" customHeight="true" outlineLevel="0" collapsed="false">
      <c r="AJ74" s="1266"/>
      <c r="AV74" s="1856"/>
      <c r="AW74" s="1856"/>
    </row>
    <row r="75" customFormat="false" ht="18" hidden="false" customHeight="true" outlineLevel="0" collapsed="false">
      <c r="AJ75" s="1266"/>
      <c r="AV75" s="1855"/>
      <c r="AW75" s="1855"/>
    </row>
    <row r="76" customFormat="false" ht="18" hidden="false" customHeight="true" outlineLevel="0" collapsed="false">
      <c r="AJ76" s="1266"/>
      <c r="AV76" s="1855"/>
      <c r="AW76" s="1855"/>
    </row>
    <row r="77" customFormat="false" ht="18" hidden="false" customHeight="true" outlineLevel="0" collapsed="false">
      <c r="AJ77" s="1266"/>
      <c r="AV77" s="1855"/>
      <c r="AW77" s="1855"/>
    </row>
    <row r="78" customFormat="false" ht="18" hidden="false" customHeight="true" outlineLevel="0" collapsed="false">
      <c r="AJ78" s="1266"/>
      <c r="AV78" s="1855"/>
      <c r="AW78" s="1855"/>
    </row>
    <row r="79" customFormat="false" ht="18" hidden="false" customHeight="true" outlineLevel="0" collapsed="false">
      <c r="AJ79" s="1266"/>
      <c r="AV79" s="1855"/>
      <c r="AW79" s="1855"/>
    </row>
    <row r="80" customFormat="false" ht="15" hidden="false" customHeight="false" outlineLevel="0" collapsed="false">
      <c r="AJ80" s="1266"/>
      <c r="AV80" s="1855"/>
      <c r="AW80" s="1855"/>
    </row>
    <row r="81" customFormat="false" ht="15" hidden="false" customHeight="false" outlineLevel="0" collapsed="false">
      <c r="AJ81" s="1266"/>
      <c r="AV81" s="1856"/>
      <c r="AW81" s="1856"/>
    </row>
    <row r="82" customFormat="false" ht="15" hidden="false" customHeight="false" outlineLevel="0" collapsed="false">
      <c r="AJ82" s="1266"/>
      <c r="AV82" s="1856"/>
      <c r="AW82" s="1856"/>
    </row>
    <row r="83" customFormat="false" ht="15" hidden="false" customHeight="false" outlineLevel="0" collapsed="false">
      <c r="AJ83" s="1266"/>
      <c r="AV83" s="1856"/>
      <c r="AW83" s="1856"/>
    </row>
    <row r="84" customFormat="false" ht="15" hidden="false" customHeight="false" outlineLevel="0" collapsed="false">
      <c r="AJ84" s="1266"/>
      <c r="AV84" s="1856"/>
      <c r="AW84" s="1856"/>
    </row>
    <row r="85" customFormat="false" ht="15" hidden="false" customHeight="false" outlineLevel="0" collapsed="false">
      <c r="AJ85" s="1266"/>
      <c r="AV85" s="1856"/>
      <c r="AW85" s="1856"/>
    </row>
    <row r="86" customFormat="false" ht="15" hidden="false" customHeight="false" outlineLevel="0" collapsed="false">
      <c r="AJ86" s="1266"/>
      <c r="AV86" s="1856"/>
      <c r="AW86" s="1856"/>
    </row>
    <row r="87" customFormat="false" ht="15" hidden="false" customHeight="false" outlineLevel="0" collapsed="false">
      <c r="AJ87" s="1266"/>
      <c r="AV87" s="1856"/>
      <c r="AW87" s="1856"/>
    </row>
    <row r="88" customFormat="false" ht="15" hidden="false" customHeight="false" outlineLevel="0" collapsed="false">
      <c r="AJ88" s="1266"/>
      <c r="AV88" s="1856"/>
      <c r="AW88" s="1856"/>
    </row>
    <row r="89" customFormat="false" ht="15" hidden="false" customHeight="false" outlineLevel="0" collapsed="false">
      <c r="AJ89" s="1266"/>
      <c r="AV89" s="1856"/>
      <c r="AW89" s="1856"/>
    </row>
    <row r="90" customFormat="false" ht="15" hidden="false" customHeight="false" outlineLevel="0" collapsed="false">
      <c r="AJ90" s="1266"/>
      <c r="AV90" s="1856"/>
      <c r="AW90" s="1856"/>
    </row>
    <row r="91" customFormat="false" ht="15" hidden="false" customHeight="false" outlineLevel="0" collapsed="false">
      <c r="AJ91" s="1266"/>
      <c r="AV91" s="1856"/>
      <c r="AW91" s="1856"/>
    </row>
    <row r="92" customFormat="false" ht="15" hidden="false" customHeight="false" outlineLevel="0" collapsed="false">
      <c r="AJ92" s="1266"/>
      <c r="AV92" s="1856"/>
      <c r="AW92" s="1856"/>
    </row>
    <row r="93" customFormat="false" ht="15" hidden="false" customHeight="false" outlineLevel="0" collapsed="false">
      <c r="AJ93" s="1266"/>
      <c r="AV93" s="1860"/>
      <c r="AW93" s="1860"/>
    </row>
    <row r="94" customFormat="false" ht="16.75" hidden="false" customHeight="false" outlineLevel="0" collapsed="false">
      <c r="AJ94" s="1266"/>
      <c r="AV94" s="1861"/>
      <c r="AW94" s="1861"/>
    </row>
    <row r="95" customFormat="false" ht="15" hidden="false" customHeight="false" outlineLevel="0" collapsed="false">
      <c r="AJ95" s="1266"/>
    </row>
    <row r="96" customFormat="false" ht="15" hidden="false" customHeight="false" outlineLevel="0" collapsed="false">
      <c r="AJ96" s="1266"/>
    </row>
    <row r="97" customFormat="false" ht="15" hidden="false" customHeight="false" outlineLevel="0" collapsed="false">
      <c r="AJ97" s="1266"/>
    </row>
    <row r="98" customFormat="false" ht="15" hidden="false" customHeight="false" outlineLevel="0" collapsed="false">
      <c r="AJ98" s="1266"/>
    </row>
    <row r="99" customFormat="false" ht="15" hidden="false" customHeight="false" outlineLevel="0" collapsed="false">
      <c r="AJ99" s="1266"/>
    </row>
    <row r="100" customFormat="false" ht="16.5" hidden="false" customHeight="false" outlineLevel="0" collapsed="false"/>
    <row r="101" customFormat="false" ht="16.5" hidden="false" customHeight="false" outlineLevel="0" collapsed="false"/>
    <row r="102" customFormat="false" ht="16.5" hidden="false" customHeight="false" outlineLevel="0" collapsed="false"/>
    <row r="103" customFormat="false" ht="16.5" hidden="false" customHeight="false" outlineLevel="0" collapsed="false"/>
    <row r="104" customFormat="false" ht="16.5" hidden="false" customHeight="false" outlineLevel="0" collapsed="false"/>
    <row r="105" customFormat="false" ht="16.5" hidden="false" customHeight="false" outlineLevel="0" collapsed="false"/>
    <row r="106" customFormat="false" ht="16.5" hidden="false" customHeight="false" outlineLevel="0" collapsed="false"/>
    <row r="107" customFormat="false" ht="16.5" hidden="false" customHeight="false" outlineLevel="0" collapsed="false"/>
    <row r="108" customFormat="false" ht="16.5" hidden="false" customHeight="false" outlineLevel="0" collapsed="false"/>
    <row r="109" customFormat="false" ht="16.5" hidden="false" customHeight="false" outlineLevel="0" collapsed="false"/>
    <row r="110" customFormat="false" ht="16.5" hidden="false" customHeight="false" outlineLevel="0" collapsed="false"/>
    <row r="111" customFormat="false" ht="16.5" hidden="false" customHeight="false" outlineLevel="0" collapsed="false"/>
    <row r="112" customFormat="false" ht="16.5" hidden="false" customHeight="false" outlineLevel="0" collapsed="false"/>
    <row r="113" customFormat="false" ht="16.5" hidden="false" customHeight="false" outlineLevel="0" collapsed="false"/>
    <row r="114" customFormat="false" ht="16.5" hidden="false" customHeight="false" outlineLevel="0" collapsed="false"/>
    <row r="115" customFormat="false" ht="16.5" hidden="false" customHeight="false" outlineLevel="0" collapsed="false"/>
    <row r="116" customFormat="false" ht="16.5" hidden="false" customHeight="false" outlineLevel="0" collapsed="false"/>
    <row r="117" customFormat="false" ht="16.5" hidden="false" customHeight="false" outlineLevel="0" collapsed="false"/>
    <row r="118" customFormat="false" ht="16.5" hidden="false" customHeight="false" outlineLevel="0" collapsed="false"/>
    <row r="119" customFormat="false" ht="16.5" hidden="false" customHeight="false" outlineLevel="0" collapsed="false"/>
    <row r="120" customFormat="false" ht="16.5" hidden="false" customHeight="false" outlineLevel="0" collapsed="false"/>
    <row r="121" customFormat="false" ht="16.5" hidden="false" customHeight="false" outlineLevel="0" collapsed="false"/>
    <row r="122" customFormat="false" ht="16.5" hidden="false" customHeight="false" outlineLevel="0" collapsed="false"/>
    <row r="123" customFormat="false" ht="16.5" hidden="false" customHeight="false" outlineLevel="0" collapsed="false"/>
    <row r="124" customFormat="false" ht="16.5" hidden="false" customHeight="false" outlineLevel="0" collapsed="false"/>
    <row r="125" customFormat="false" ht="16.5" hidden="false" customHeight="false" outlineLevel="0" collapsed="false"/>
    <row r="126" customFormat="false" ht="16.5" hidden="false" customHeight="false" outlineLevel="0" collapsed="false"/>
    <row r="127" customFormat="false" ht="16.5" hidden="false" customHeight="false" outlineLevel="0" collapsed="false"/>
    <row r="128" customFormat="false" ht="16.5" hidden="false" customHeight="false" outlineLevel="0" collapsed="false"/>
    <row r="129" customFormat="false" ht="16.5" hidden="false" customHeight="false" outlineLevel="0" collapsed="false"/>
    <row r="130" customFormat="false" ht="16.5" hidden="false" customHeight="false" outlineLevel="0" collapsed="false"/>
    <row r="131" customFormat="false" ht="16.5" hidden="false" customHeight="false" outlineLevel="0" collapsed="false"/>
    <row r="132" customFormat="false" ht="16.5" hidden="false" customHeight="false" outlineLevel="0" collapsed="false"/>
    <row r="133" customFormat="false" ht="16.5" hidden="false" customHeight="false" outlineLevel="0" collapsed="false"/>
    <row r="134" customFormat="false" ht="16.5" hidden="false" customHeight="false" outlineLevel="0" collapsed="false"/>
    <row r="135" customFormat="false" ht="16.5" hidden="false" customHeight="false" outlineLevel="0" collapsed="false"/>
    <row r="136" customFormat="false" ht="16.5" hidden="false" customHeight="false" outlineLevel="0" collapsed="false"/>
    <row r="137" customFormat="false" ht="16.5" hidden="false" customHeight="false" outlineLevel="0" collapsed="false"/>
    <row r="138" customFormat="false" ht="16.5" hidden="false" customHeight="false" outlineLevel="0" collapsed="false"/>
    <row r="139" customFormat="false" ht="16.5" hidden="false" customHeight="false" outlineLevel="0" collapsed="false"/>
    <row r="140" customFormat="false" ht="16.5" hidden="false" customHeight="false" outlineLevel="0" collapsed="false"/>
    <row r="141" customFormat="false" ht="16.5" hidden="false" customHeight="false" outlineLevel="0" collapsed="false"/>
    <row r="142" customFormat="false" ht="16.5" hidden="false" customHeight="false" outlineLevel="0" collapsed="false"/>
    <row r="143" customFormat="false" ht="16.5" hidden="false" customHeight="false" outlineLevel="0" collapsed="false"/>
    <row r="144" customFormat="false" ht="16.5" hidden="false" customHeight="false" outlineLevel="0" collapsed="false"/>
    <row r="145" customFormat="false" ht="16.5" hidden="false" customHeight="false" outlineLevel="0" collapsed="false"/>
    <row r="146" customFormat="false" ht="16.5" hidden="false" customHeight="false" outlineLevel="0" collapsed="false"/>
  </sheetData>
  <autoFilter ref="A2:AY29">
    <sortState ref="A3:AY29">
      <sortCondition ref="A3:A29" customList=""/>
    </sortState>
  </autoFilter>
  <mergeCells count="9">
    <mergeCell ref="K2:L2"/>
    <mergeCell ref="AY3:AY10"/>
    <mergeCell ref="AY11:AY16"/>
    <mergeCell ref="AC17:AC20"/>
    <mergeCell ref="AD17:AD20"/>
    <mergeCell ref="AQ17:AQ20"/>
    <mergeCell ref="A31:A39"/>
    <mergeCell ref="A40:A48"/>
    <mergeCell ref="A49:A56"/>
  </mergeCells>
  <conditionalFormatting sqref="AT3:AT20">
    <cfRule type="containsText" priority="2" operator="containsText" aboveAverage="0" equalAverage="0" bottom="0" percent="0" rank="0" text="No" dxfId="17">
      <formula>NOT(ISERROR(SEARCH("No",AT3)))</formula>
    </cfRule>
  </conditionalFormatting>
  <conditionalFormatting sqref="AJ11 AJ21:AJ200">
    <cfRule type="containsText" priority="3" operator="containsText" aboveAverage="0" equalAverage="0" bottom="0" percent="0" rank="0" text="No" dxfId="18">
      <formula>NOT(ISERROR(SEARCH("No",AJ11)))</formula>
    </cfRule>
  </conditionalFormatting>
  <dataValidations count="1">
    <dataValidation allowBlank="true" errorStyle="stop" operator="between" showDropDown="false" showErrorMessage="true" showInputMessage="true" sqref="AL3:AL1057" type="list">
      <formula1>"YES,NO,-"</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19" man="true" max="65535" min="0"/>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K26" activeCellId="0" sqref="K26"/>
    </sheetView>
  </sheetViews>
  <sheetFormatPr defaultColWidth="8.57421875" defaultRowHeight="16.5" zeroHeight="false" outlineLevelRow="0" outlineLevelCol="0"/>
  <cols>
    <col collapsed="false" customWidth="true" hidden="false" outlineLevel="0" max="2" min="2" style="0" width="15.88"/>
    <col collapsed="false" customWidth="true" hidden="false" outlineLevel="0" max="3" min="3" style="0" width="18.12"/>
    <col collapsed="false" customWidth="true" hidden="false" outlineLevel="0" max="5" min="5" style="0" width="11.12"/>
    <col collapsed="false" customWidth="true" hidden="false" outlineLevel="0" max="6" min="6" style="0" width="12.25"/>
    <col collapsed="false" customWidth="true" hidden="false" outlineLevel="0" max="7" min="7" style="0" width="6.63"/>
    <col collapsed="false" customWidth="true" hidden="false" outlineLevel="0" max="10" min="10" style="0" width="13.25"/>
  </cols>
  <sheetData>
    <row r="1" customFormat="false" ht="26.8" hidden="false" customHeight="false" outlineLevel="0" collapsed="false">
      <c r="A1" s="1862" t="s">
        <v>1782</v>
      </c>
      <c r="B1" s="1862"/>
      <c r="C1" s="1862"/>
      <c r="D1" s="1862"/>
      <c r="E1" s="1862"/>
      <c r="F1" s="1862"/>
      <c r="G1" s="1862"/>
      <c r="H1" s="1862"/>
      <c r="I1" s="1862"/>
      <c r="J1" s="1862"/>
      <c r="K1" s="1862"/>
      <c r="L1" s="1862"/>
      <c r="M1" s="1862"/>
      <c r="N1" s="1862"/>
      <c r="O1" s="848"/>
      <c r="P1" s="848"/>
      <c r="Q1" s="848"/>
      <c r="R1" s="848"/>
      <c r="S1" s="848"/>
      <c r="T1" s="848"/>
      <c r="U1" s="848"/>
      <c r="V1" s="848"/>
      <c r="W1" s="848"/>
      <c r="X1" s="848"/>
      <c r="Y1" s="848"/>
      <c r="Z1" s="848"/>
      <c r="AA1" s="848"/>
      <c r="AB1" s="848"/>
      <c r="AC1" s="848"/>
    </row>
    <row r="2" customFormat="false" ht="19.7" hidden="false" customHeight="false" outlineLevel="0" collapsed="false">
      <c r="A2" s="849" t="s">
        <v>609</v>
      </c>
      <c r="B2" s="849" t="s">
        <v>609</v>
      </c>
      <c r="C2" s="849" t="s">
        <v>609</v>
      </c>
      <c r="D2" s="849" t="s">
        <v>609</v>
      </c>
      <c r="E2" s="849" t="s">
        <v>609</v>
      </c>
      <c r="F2" s="849" t="s">
        <v>609</v>
      </c>
      <c r="G2" s="849" t="s">
        <v>609</v>
      </c>
      <c r="H2" s="849" t="s">
        <v>609</v>
      </c>
      <c r="I2" s="849" t="s">
        <v>609</v>
      </c>
      <c r="J2" s="849" t="s">
        <v>609</v>
      </c>
      <c r="K2" s="849" t="s">
        <v>609</v>
      </c>
      <c r="L2" s="849" t="s">
        <v>609</v>
      </c>
      <c r="M2" s="849" t="s">
        <v>609</v>
      </c>
      <c r="N2" s="851" t="s">
        <v>609</v>
      </c>
      <c r="O2" s="848"/>
      <c r="P2" s="848"/>
      <c r="Q2" s="848"/>
      <c r="R2" s="848"/>
      <c r="S2" s="848"/>
      <c r="T2" s="848"/>
      <c r="U2" s="848"/>
      <c r="V2" s="848"/>
      <c r="W2" s="848"/>
      <c r="X2" s="848"/>
      <c r="Y2" s="848"/>
      <c r="Z2" s="848"/>
      <c r="AA2" s="848"/>
      <c r="AB2" s="848"/>
      <c r="AC2" s="848"/>
    </row>
    <row r="3" customFormat="false" ht="19.7" hidden="false" customHeight="false" outlineLevel="0" collapsed="false">
      <c r="A3" s="852" t="s">
        <v>609</v>
      </c>
      <c r="B3" s="852" t="s">
        <v>609</v>
      </c>
      <c r="C3" s="852" t="s">
        <v>609</v>
      </c>
      <c r="D3" s="852" t="s">
        <v>609</v>
      </c>
      <c r="E3" s="852" t="s">
        <v>609</v>
      </c>
      <c r="F3" s="852" t="s">
        <v>609</v>
      </c>
      <c r="G3" s="852" t="s">
        <v>609</v>
      </c>
      <c r="H3" s="852" t="s">
        <v>609</v>
      </c>
      <c r="I3" s="852" t="s">
        <v>609</v>
      </c>
      <c r="J3" s="852" t="s">
        <v>609</v>
      </c>
      <c r="K3" s="852" t="s">
        <v>609</v>
      </c>
      <c r="L3" s="852" t="s">
        <v>609</v>
      </c>
      <c r="M3" s="849" t="s">
        <v>609</v>
      </c>
      <c r="N3" s="851" t="s">
        <v>609</v>
      </c>
      <c r="O3" s="848"/>
      <c r="P3" s="848"/>
      <c r="Q3" s="848"/>
      <c r="R3" s="848"/>
      <c r="S3" s="848"/>
      <c r="T3" s="848"/>
      <c r="U3" s="848"/>
      <c r="V3" s="848"/>
      <c r="W3" s="848"/>
      <c r="X3" s="848"/>
      <c r="Y3" s="848"/>
      <c r="Z3" s="848"/>
      <c r="AA3" s="848"/>
      <c r="AB3" s="848"/>
      <c r="AC3" s="848"/>
    </row>
    <row r="4" customFormat="false" ht="19.7" hidden="false" customHeight="false" outlineLevel="0" collapsed="false">
      <c r="A4" s="852" t="s">
        <v>609</v>
      </c>
      <c r="B4" s="852" t="s">
        <v>609</v>
      </c>
      <c r="C4" s="852" t="s">
        <v>609</v>
      </c>
      <c r="D4" s="852" t="s">
        <v>609</v>
      </c>
      <c r="E4" s="852" t="s">
        <v>609</v>
      </c>
      <c r="F4" s="852" t="s">
        <v>609</v>
      </c>
      <c r="G4" s="852" t="s">
        <v>609</v>
      </c>
      <c r="H4" s="852" t="s">
        <v>609</v>
      </c>
      <c r="I4" s="852" t="s">
        <v>609</v>
      </c>
      <c r="J4" s="852" t="s">
        <v>609</v>
      </c>
      <c r="K4" s="852" t="s">
        <v>609</v>
      </c>
      <c r="L4" s="852" t="s">
        <v>609</v>
      </c>
      <c r="M4" s="849" t="s">
        <v>609</v>
      </c>
      <c r="N4" s="851" t="s">
        <v>609</v>
      </c>
      <c r="O4" s="848"/>
      <c r="P4" s="848"/>
      <c r="Q4" s="848"/>
      <c r="R4" s="848"/>
      <c r="S4" s="848"/>
      <c r="T4" s="848"/>
      <c r="U4" s="848"/>
      <c r="V4" s="848"/>
      <c r="W4" s="848"/>
      <c r="X4" s="848"/>
      <c r="Y4" s="848"/>
      <c r="Z4" s="848"/>
      <c r="AA4" s="848"/>
      <c r="AB4" s="848"/>
      <c r="AC4" s="848"/>
    </row>
    <row r="5" customFormat="false" ht="17.35" hidden="false" customHeight="false" outlineLevel="0" collapsed="false">
      <c r="A5" s="1863" t="s">
        <v>609</v>
      </c>
      <c r="B5" s="1863" t="s">
        <v>609</v>
      </c>
      <c r="C5" s="1863" t="s">
        <v>609</v>
      </c>
      <c r="D5" s="1863" t="s">
        <v>609</v>
      </c>
      <c r="E5" s="1863" t="s">
        <v>609</v>
      </c>
      <c r="F5" s="1863" t="s">
        <v>609</v>
      </c>
      <c r="G5" s="1863" t="s">
        <v>609</v>
      </c>
      <c r="H5" s="1863" t="s">
        <v>609</v>
      </c>
      <c r="I5" s="1863" t="s">
        <v>609</v>
      </c>
      <c r="J5" s="1863" t="s">
        <v>609</v>
      </c>
      <c r="K5" s="1864" t="s">
        <v>609</v>
      </c>
      <c r="L5" s="1864" t="s">
        <v>609</v>
      </c>
      <c r="M5" s="1864" t="s">
        <v>609</v>
      </c>
      <c r="N5" s="854" t="s">
        <v>609</v>
      </c>
      <c r="O5" s="848"/>
      <c r="P5" s="848"/>
      <c r="Q5" s="848"/>
      <c r="R5" s="848"/>
      <c r="S5" s="848"/>
      <c r="T5" s="848"/>
      <c r="U5" s="848"/>
      <c r="V5" s="848"/>
      <c r="W5" s="848"/>
      <c r="X5" s="848"/>
      <c r="Y5" s="848"/>
      <c r="Z5" s="848"/>
      <c r="AA5" s="848"/>
      <c r="AB5" s="848"/>
      <c r="AC5" s="848"/>
    </row>
    <row r="6" customFormat="false" ht="13.5" hidden="false" customHeight="true" outlineLevel="0" collapsed="false">
      <c r="A6" s="857" t="s">
        <v>24</v>
      </c>
      <c r="B6" s="857" t="s">
        <v>616</v>
      </c>
      <c r="C6" s="857" t="s">
        <v>617</v>
      </c>
      <c r="D6" s="857" t="s">
        <v>1783</v>
      </c>
      <c r="E6" s="1865" t="s">
        <v>1784</v>
      </c>
      <c r="F6" s="1865" t="s">
        <v>1785</v>
      </c>
      <c r="G6" s="1866" t="s">
        <v>609</v>
      </c>
      <c r="H6" s="1867" t="s">
        <v>1786</v>
      </c>
      <c r="I6" s="1867"/>
      <c r="J6" s="857" t="s">
        <v>1787</v>
      </c>
      <c r="K6" s="857" t="s">
        <v>1788</v>
      </c>
      <c r="L6" s="857" t="s">
        <v>1789</v>
      </c>
      <c r="M6" s="857" t="s">
        <v>1790</v>
      </c>
      <c r="N6" s="1868" t="s">
        <v>1791</v>
      </c>
      <c r="O6" s="1869" t="s">
        <v>1792</v>
      </c>
      <c r="P6" s="1870" t="s">
        <v>1793</v>
      </c>
      <c r="Q6" s="1871" t="s">
        <v>1794</v>
      </c>
      <c r="R6" s="1871" t="s">
        <v>1795</v>
      </c>
      <c r="S6" s="1871" t="s">
        <v>1796</v>
      </c>
      <c r="T6" s="1871" t="s">
        <v>1797</v>
      </c>
      <c r="U6" s="1872" t="s">
        <v>1798</v>
      </c>
      <c r="V6" s="1873" t="s">
        <v>1799</v>
      </c>
      <c r="W6" s="1874" t="s">
        <v>1800</v>
      </c>
      <c r="X6" s="1871" t="s">
        <v>1801</v>
      </c>
      <c r="Y6" s="1871" t="s">
        <v>1802</v>
      </c>
      <c r="Z6" s="1875" t="s">
        <v>1803</v>
      </c>
      <c r="AA6" s="1875"/>
      <c r="AB6" s="1875"/>
      <c r="AC6" s="1876" t="s">
        <v>1804</v>
      </c>
    </row>
    <row r="7" customFormat="false" ht="50.7" hidden="false" customHeight="false" outlineLevel="0" collapsed="false">
      <c r="A7" s="857"/>
      <c r="B7" s="857"/>
      <c r="C7" s="857"/>
      <c r="D7" s="857"/>
      <c r="E7" s="1865"/>
      <c r="F7" s="1865"/>
      <c r="G7" s="1877" t="s">
        <v>1805</v>
      </c>
      <c r="H7" s="1878" t="s">
        <v>1806</v>
      </c>
      <c r="I7" s="1878" t="s">
        <v>1807</v>
      </c>
      <c r="J7" s="857"/>
      <c r="K7" s="857"/>
      <c r="L7" s="857"/>
      <c r="M7" s="857"/>
      <c r="N7" s="1868"/>
      <c r="O7" s="1869"/>
      <c r="P7" s="1870"/>
      <c r="Q7" s="1871"/>
      <c r="R7" s="1871"/>
      <c r="S7" s="1871"/>
      <c r="T7" s="1871"/>
      <c r="U7" s="1872"/>
      <c r="V7" s="1873"/>
      <c r="W7" s="1874"/>
      <c r="X7" s="1871"/>
      <c r="Y7" s="1871"/>
      <c r="Z7" s="1879" t="s">
        <v>1808</v>
      </c>
      <c r="AA7" s="1879" t="s">
        <v>1809</v>
      </c>
      <c r="AB7" s="1879" t="s">
        <v>1810</v>
      </c>
      <c r="AC7" s="1876"/>
    </row>
    <row r="8" customFormat="false" ht="16.5" hidden="false" customHeight="false" outlineLevel="0" collapsed="false">
      <c r="A8" s="896" t="n">
        <v>12</v>
      </c>
      <c r="B8" s="897" t="s">
        <v>136</v>
      </c>
      <c r="C8" s="897" t="s">
        <v>136</v>
      </c>
      <c r="D8" s="897" t="s">
        <v>1811</v>
      </c>
      <c r="E8" s="897" t="n">
        <v>993.6</v>
      </c>
      <c r="F8" s="1880" t="n">
        <v>1403</v>
      </c>
      <c r="G8" s="1880" t="n">
        <v>3.84</v>
      </c>
      <c r="H8" s="1881" t="n">
        <v>4.1</v>
      </c>
      <c r="I8" s="1881" t="n">
        <v>3.6</v>
      </c>
      <c r="J8" s="1880" t="n">
        <v>1394.0208</v>
      </c>
      <c r="K8" s="897" t="s">
        <v>1579</v>
      </c>
      <c r="L8" s="897" t="s">
        <v>1812</v>
      </c>
      <c r="M8" s="897" t="s">
        <v>1813</v>
      </c>
      <c r="N8" s="1882" t="s">
        <v>1814</v>
      </c>
      <c r="O8" s="1883" t="s">
        <v>1815</v>
      </c>
      <c r="P8" s="1884" t="s">
        <v>1815</v>
      </c>
      <c r="Q8" s="1885" t="s">
        <v>1816</v>
      </c>
      <c r="R8" s="1886" t="s">
        <v>1816</v>
      </c>
      <c r="S8" s="1886" t="s">
        <v>1816</v>
      </c>
      <c r="T8" s="1884" t="s">
        <v>1816</v>
      </c>
      <c r="U8" s="1885" t="s">
        <v>1815</v>
      </c>
      <c r="V8" s="1885" t="s">
        <v>373</v>
      </c>
      <c r="W8" s="1885" t="s">
        <v>1815</v>
      </c>
      <c r="X8" s="1885" t="s">
        <v>1816</v>
      </c>
      <c r="Y8" s="1885" t="s">
        <v>1816</v>
      </c>
      <c r="Z8" s="1887" t="n">
        <v>44811</v>
      </c>
      <c r="AA8" s="1887" t="n">
        <v>45657</v>
      </c>
      <c r="AB8" s="1888" t="s">
        <v>1817</v>
      </c>
      <c r="AC8" s="1889" t="s">
        <v>1816</v>
      </c>
    </row>
    <row r="9" customFormat="false" ht="16.5" hidden="false" customHeight="false" outlineLevel="0" collapsed="false">
      <c r="A9" s="896" t="n">
        <v>11</v>
      </c>
      <c r="B9" s="897" t="s">
        <v>137</v>
      </c>
      <c r="C9" s="897" t="s">
        <v>137</v>
      </c>
      <c r="D9" s="897" t="s">
        <v>1818</v>
      </c>
      <c r="E9" s="897" t="n">
        <v>993.6</v>
      </c>
      <c r="F9" s="1880" t="n">
        <v>1403</v>
      </c>
      <c r="G9" s="1880" t="n">
        <v>3.84</v>
      </c>
      <c r="H9" s="1881" t="n">
        <v>4.1</v>
      </c>
      <c r="I9" s="1881" t="n">
        <v>3.6</v>
      </c>
      <c r="J9" s="1880" t="n">
        <v>1394.0208</v>
      </c>
      <c r="K9" s="897" t="s">
        <v>1579</v>
      </c>
      <c r="L9" s="897" t="s">
        <v>1812</v>
      </c>
      <c r="M9" s="897" t="s">
        <v>1813</v>
      </c>
      <c r="N9" s="1882" t="s">
        <v>1814</v>
      </c>
      <c r="O9" s="1890" t="s">
        <v>1815</v>
      </c>
      <c r="P9" s="1884" t="s">
        <v>1815</v>
      </c>
      <c r="Q9" s="1884" t="s">
        <v>1816</v>
      </c>
      <c r="R9" s="1886" t="s">
        <v>1816</v>
      </c>
      <c r="S9" s="1886" t="s">
        <v>1816</v>
      </c>
      <c r="T9" s="1884" t="s">
        <v>1816</v>
      </c>
      <c r="U9" s="1884" t="s">
        <v>1815</v>
      </c>
      <c r="V9" s="1884" t="s">
        <v>373</v>
      </c>
      <c r="W9" s="1884" t="s">
        <v>1815</v>
      </c>
      <c r="X9" s="1884" t="s">
        <v>1816</v>
      </c>
      <c r="Y9" s="1884" t="s">
        <v>1816</v>
      </c>
      <c r="Z9" s="1891" t="n">
        <v>45289</v>
      </c>
      <c r="AA9" s="1891" t="n">
        <v>46387</v>
      </c>
      <c r="AB9" s="1892" t="s">
        <v>1819</v>
      </c>
      <c r="AC9" s="1893" t="s">
        <v>1816</v>
      </c>
    </row>
    <row r="10" customFormat="false" ht="16.5" hidden="false" customHeight="false" outlineLevel="0" collapsed="false">
      <c r="A10" s="896" t="n">
        <v>10</v>
      </c>
      <c r="B10" s="897" t="s">
        <v>281</v>
      </c>
      <c r="C10" s="897" t="s">
        <v>281</v>
      </c>
      <c r="D10" s="897" t="s">
        <v>1820</v>
      </c>
      <c r="E10" s="897" t="n">
        <v>993.6</v>
      </c>
      <c r="F10" s="1880" t="n">
        <v>1403</v>
      </c>
      <c r="G10" s="1880" t="n">
        <v>3.84</v>
      </c>
      <c r="H10" s="1881" t="n">
        <v>4.1</v>
      </c>
      <c r="I10" s="1881" t="n">
        <v>3.6</v>
      </c>
      <c r="J10" s="1880" t="n">
        <v>1394.0208</v>
      </c>
      <c r="K10" s="897" t="s">
        <v>1579</v>
      </c>
      <c r="L10" s="897" t="s">
        <v>1812</v>
      </c>
      <c r="M10" s="897" t="s">
        <v>1813</v>
      </c>
      <c r="N10" s="1882" t="s">
        <v>1814</v>
      </c>
      <c r="O10" s="1890" t="s">
        <v>1815</v>
      </c>
      <c r="P10" s="1884" t="s">
        <v>1815</v>
      </c>
      <c r="Q10" s="1884" t="s">
        <v>1816</v>
      </c>
      <c r="R10" s="1886" t="s">
        <v>1816</v>
      </c>
      <c r="S10" s="1886" t="s">
        <v>1816</v>
      </c>
      <c r="T10" s="1884" t="s">
        <v>1816</v>
      </c>
      <c r="U10" s="1884" t="s">
        <v>1815</v>
      </c>
      <c r="V10" s="1884" t="s">
        <v>373</v>
      </c>
      <c r="W10" s="1884" t="s">
        <v>1815</v>
      </c>
      <c r="X10" s="1884" t="s">
        <v>1816</v>
      </c>
      <c r="Y10" s="1884" t="s">
        <v>1816</v>
      </c>
      <c r="Z10" s="1891" t="n">
        <v>45289</v>
      </c>
      <c r="AA10" s="1891" t="n">
        <v>46387</v>
      </c>
      <c r="AB10" s="1892" t="s">
        <v>1819</v>
      </c>
      <c r="AC10" s="1893" t="s">
        <v>1816</v>
      </c>
    </row>
    <row r="11" customFormat="false" ht="16.5" hidden="false" customHeight="false" outlineLevel="0" collapsed="false">
      <c r="A11" s="896" t="n">
        <v>9</v>
      </c>
      <c r="B11" s="897" t="s">
        <v>139</v>
      </c>
      <c r="C11" s="897" t="s">
        <v>139</v>
      </c>
      <c r="D11" s="897" t="s">
        <v>1821</v>
      </c>
      <c r="E11" s="897" t="n">
        <v>993.6</v>
      </c>
      <c r="F11" s="1880" t="n">
        <v>1403</v>
      </c>
      <c r="G11" s="1880" t="n">
        <v>3.84</v>
      </c>
      <c r="H11" s="1881" t="n">
        <v>4.1</v>
      </c>
      <c r="I11" s="1881" t="n">
        <v>3.6</v>
      </c>
      <c r="J11" s="1880" t="n">
        <v>1394.0208</v>
      </c>
      <c r="K11" s="897" t="s">
        <v>1579</v>
      </c>
      <c r="L11" s="897" t="s">
        <v>1812</v>
      </c>
      <c r="M11" s="897" t="s">
        <v>1813</v>
      </c>
      <c r="N11" s="1882" t="s">
        <v>1814</v>
      </c>
      <c r="O11" s="1890" t="s">
        <v>1815</v>
      </c>
      <c r="P11" s="1884" t="s">
        <v>1815</v>
      </c>
      <c r="Q11" s="1884" t="s">
        <v>1816</v>
      </c>
      <c r="R11" s="1886" t="s">
        <v>1816</v>
      </c>
      <c r="S11" s="1886" t="s">
        <v>1816</v>
      </c>
      <c r="T11" s="1884" t="s">
        <v>1816</v>
      </c>
      <c r="U11" s="1884" t="s">
        <v>1815</v>
      </c>
      <c r="V11" s="1884" t="s">
        <v>373</v>
      </c>
      <c r="W11" s="1884" t="s">
        <v>1815</v>
      </c>
      <c r="X11" s="1884" t="s">
        <v>1816</v>
      </c>
      <c r="Y11" s="1884" t="s">
        <v>1816</v>
      </c>
      <c r="Z11" s="1891" t="n">
        <v>45289</v>
      </c>
      <c r="AA11" s="1891" t="n">
        <v>46387</v>
      </c>
      <c r="AB11" s="1892" t="s">
        <v>1819</v>
      </c>
      <c r="AC11" s="1893" t="s">
        <v>1816</v>
      </c>
      <c r="BD11" s="11" t="s">
        <v>1822</v>
      </c>
    </row>
    <row r="12" customFormat="false" ht="16.5" hidden="false" customHeight="false" outlineLevel="0" collapsed="false">
      <c r="A12" s="864" t="n">
        <v>2</v>
      </c>
      <c r="B12" s="865" t="s">
        <v>649</v>
      </c>
      <c r="C12" s="865" t="s">
        <v>286</v>
      </c>
      <c r="D12" s="865" t="s">
        <v>1823</v>
      </c>
      <c r="E12" s="865" t="n">
        <v>499.96</v>
      </c>
      <c r="F12" s="1880" t="n">
        <v>1384</v>
      </c>
      <c r="G12" s="1880" t="n">
        <v>3.79</v>
      </c>
      <c r="H12" s="1881" t="n">
        <v>4.1</v>
      </c>
      <c r="I12" s="1881" t="n">
        <v>3.7</v>
      </c>
      <c r="J12" s="1880" t="n">
        <v>691.94464</v>
      </c>
      <c r="K12" s="865" t="s">
        <v>1579</v>
      </c>
      <c r="L12" s="865" t="s">
        <v>1812</v>
      </c>
      <c r="M12" s="865" t="s">
        <v>1813</v>
      </c>
      <c r="N12" s="1894" t="n">
        <v>2026</v>
      </c>
      <c r="O12" s="1890" t="s">
        <v>1815</v>
      </c>
      <c r="P12" s="1884" t="s">
        <v>1815</v>
      </c>
      <c r="Q12" s="1884" t="s">
        <v>1815</v>
      </c>
      <c r="R12" s="1886" t="s">
        <v>1815</v>
      </c>
      <c r="S12" s="1886" t="s">
        <v>1815</v>
      </c>
      <c r="T12" s="1884" t="s">
        <v>1815</v>
      </c>
      <c r="U12" s="1884" t="s">
        <v>1815</v>
      </c>
      <c r="V12" s="1884" t="s">
        <v>373</v>
      </c>
      <c r="W12" s="1884" t="s">
        <v>1815</v>
      </c>
      <c r="X12" s="1884" t="s">
        <v>1816</v>
      </c>
      <c r="Y12" s="1884" t="s">
        <v>1815</v>
      </c>
      <c r="Z12" s="1891" t="n">
        <v>45166</v>
      </c>
      <c r="AA12" s="1891" t="n">
        <v>45716</v>
      </c>
      <c r="AB12" s="1892" t="s">
        <v>1824</v>
      </c>
      <c r="AC12" s="1893" t="s">
        <v>1816</v>
      </c>
    </row>
    <row r="13" customFormat="false" ht="16.5" hidden="false" customHeight="false" outlineLevel="0" collapsed="false">
      <c r="A13" s="864" t="n">
        <v>2</v>
      </c>
      <c r="B13" s="865" t="s">
        <v>656</v>
      </c>
      <c r="C13" s="865" t="s">
        <v>288</v>
      </c>
      <c r="D13" s="865" t="s">
        <v>1825</v>
      </c>
      <c r="E13" s="865" t="n">
        <v>299.28</v>
      </c>
      <c r="F13" s="1880" t="n">
        <v>1493</v>
      </c>
      <c r="G13" s="1880" t="n">
        <v>4.09</v>
      </c>
      <c r="H13" s="1881" t="n">
        <v>4.2</v>
      </c>
      <c r="I13" s="1881" t="n">
        <v>3.7</v>
      </c>
      <c r="J13" s="1880" t="n">
        <v>446.82504</v>
      </c>
      <c r="K13" s="865" t="s">
        <v>1579</v>
      </c>
      <c r="L13" s="865" t="s">
        <v>1812</v>
      </c>
      <c r="M13" s="865" t="s">
        <v>1813</v>
      </c>
      <c r="N13" s="1894" t="n">
        <v>2026</v>
      </c>
      <c r="O13" s="1890" t="s">
        <v>1815</v>
      </c>
      <c r="P13" s="1884" t="s">
        <v>1815</v>
      </c>
      <c r="Q13" s="1884" t="s">
        <v>1815</v>
      </c>
      <c r="R13" s="1886" t="s">
        <v>1826</v>
      </c>
      <c r="S13" s="1886" t="s">
        <v>1826</v>
      </c>
      <c r="T13" s="1884" t="s">
        <v>1816</v>
      </c>
      <c r="U13" s="1884" t="s">
        <v>1815</v>
      </c>
      <c r="V13" s="1884" t="s">
        <v>373</v>
      </c>
      <c r="W13" s="1884" t="s">
        <v>1815</v>
      </c>
      <c r="X13" s="1884" t="s">
        <v>1816</v>
      </c>
      <c r="Y13" s="1884" t="s">
        <v>1815</v>
      </c>
      <c r="Z13" s="1891" t="n">
        <v>45106</v>
      </c>
      <c r="AA13" s="1891" t="n">
        <v>45836</v>
      </c>
      <c r="AB13" s="1892" t="s">
        <v>1827</v>
      </c>
      <c r="AC13" s="1893" t="s">
        <v>1816</v>
      </c>
    </row>
    <row r="14" customFormat="false" ht="16.5" hidden="false" customHeight="false" outlineLevel="0" collapsed="false">
      <c r="A14" s="864" t="n">
        <v>2</v>
      </c>
      <c r="B14" s="1895" t="s">
        <v>644</v>
      </c>
      <c r="C14" s="865" t="s">
        <v>285</v>
      </c>
      <c r="D14" s="865" t="s">
        <v>1828</v>
      </c>
      <c r="E14" s="865" t="n">
        <v>499.96</v>
      </c>
      <c r="F14" s="1880" t="n">
        <v>1447</v>
      </c>
      <c r="G14" s="1880" t="n">
        <v>3.96</v>
      </c>
      <c r="H14" s="1881" t="n">
        <v>4.3</v>
      </c>
      <c r="I14" s="1881" t="n">
        <v>3.8</v>
      </c>
      <c r="J14" s="1880" t="n">
        <v>723.44212</v>
      </c>
      <c r="K14" s="865" t="s">
        <v>1579</v>
      </c>
      <c r="L14" s="865" t="s">
        <v>1812</v>
      </c>
      <c r="M14" s="865" t="s">
        <v>1813</v>
      </c>
      <c r="N14" s="1894" t="n">
        <v>2026</v>
      </c>
      <c r="O14" s="1890" t="s">
        <v>1815</v>
      </c>
      <c r="P14" s="1884" t="s">
        <v>1815</v>
      </c>
      <c r="Q14" s="1884" t="s">
        <v>1815</v>
      </c>
      <c r="R14" s="1886" t="s">
        <v>1816</v>
      </c>
      <c r="S14" s="1886" t="s">
        <v>1816</v>
      </c>
      <c r="T14" s="1884" t="s">
        <v>1816</v>
      </c>
      <c r="U14" s="1884" t="s">
        <v>1815</v>
      </c>
      <c r="V14" s="1884" t="s">
        <v>373</v>
      </c>
      <c r="W14" s="1884" t="s">
        <v>1815</v>
      </c>
      <c r="X14" s="1884" t="s">
        <v>1816</v>
      </c>
      <c r="Y14" s="1884" t="s">
        <v>1815</v>
      </c>
      <c r="Z14" s="1891" t="n">
        <v>45052</v>
      </c>
      <c r="AA14" s="1896" t="s">
        <v>1829</v>
      </c>
      <c r="AB14" s="1892" t="s">
        <v>1827</v>
      </c>
      <c r="AC14" s="1893" t="s">
        <v>1816</v>
      </c>
    </row>
    <row r="15" customFormat="false" ht="16.5" hidden="false" customHeight="false" outlineLevel="0" collapsed="false">
      <c r="A15" s="864" t="n">
        <v>2</v>
      </c>
      <c r="B15" s="865" t="s">
        <v>651</v>
      </c>
      <c r="C15" s="865" t="s">
        <v>287</v>
      </c>
      <c r="D15" s="865" t="s">
        <v>1830</v>
      </c>
      <c r="E15" s="865" t="n">
        <v>149.64</v>
      </c>
      <c r="F15" s="1880" t="n">
        <v>1384</v>
      </c>
      <c r="G15" s="1880" t="n">
        <v>3.79</v>
      </c>
      <c r="H15" s="1881" t="n">
        <v>4.1</v>
      </c>
      <c r="I15" s="1881" t="n">
        <v>3.7</v>
      </c>
      <c r="J15" s="1880" t="n">
        <v>207.10176</v>
      </c>
      <c r="K15" s="865" t="s">
        <v>1637</v>
      </c>
      <c r="L15" s="865" t="s">
        <v>1812</v>
      </c>
      <c r="M15" s="865" t="s">
        <v>1813</v>
      </c>
      <c r="N15" s="1894" t="n">
        <v>2026</v>
      </c>
      <c r="O15" s="1890" t="s">
        <v>1815</v>
      </c>
      <c r="P15" s="1884" t="s">
        <v>1815</v>
      </c>
      <c r="Q15" s="1884" t="s">
        <v>1815</v>
      </c>
      <c r="R15" s="1886" t="s">
        <v>1815</v>
      </c>
      <c r="S15" s="1886" t="s">
        <v>1815</v>
      </c>
      <c r="T15" s="1884" t="s">
        <v>1815</v>
      </c>
      <c r="U15" s="1884" t="s">
        <v>1815</v>
      </c>
      <c r="V15" s="1884" t="s">
        <v>373</v>
      </c>
      <c r="W15" s="1884" t="s">
        <v>1815</v>
      </c>
      <c r="X15" s="1884" t="s">
        <v>1816</v>
      </c>
      <c r="Y15" s="1884" t="s">
        <v>1815</v>
      </c>
      <c r="Z15" s="1891" t="n">
        <v>45513</v>
      </c>
      <c r="AA15" s="1891" t="n">
        <v>46142</v>
      </c>
      <c r="AB15" s="1892" t="s">
        <v>1831</v>
      </c>
      <c r="AC15" s="1893" t="s">
        <v>1816</v>
      </c>
    </row>
    <row r="16" customFormat="false" ht="16.5" hidden="false" customHeight="false" outlineLevel="0" collapsed="false">
      <c r="A16" s="896" t="n">
        <v>9</v>
      </c>
      <c r="B16" s="897" t="s">
        <v>723</v>
      </c>
      <c r="C16" s="897" t="s">
        <v>723</v>
      </c>
      <c r="D16" s="897" t="s">
        <v>1832</v>
      </c>
      <c r="E16" s="897" t="n">
        <v>899.25</v>
      </c>
      <c r="F16" s="1880" t="n">
        <v>1334</v>
      </c>
      <c r="G16" s="1880" t="n">
        <v>3.65</v>
      </c>
      <c r="H16" s="1881" t="n">
        <v>4.1</v>
      </c>
      <c r="I16" s="1881" t="n">
        <v>3.6</v>
      </c>
      <c r="J16" s="1880" t="n">
        <v>1199.5995</v>
      </c>
      <c r="K16" s="897" t="s">
        <v>1579</v>
      </c>
      <c r="L16" s="897" t="s">
        <v>1812</v>
      </c>
      <c r="M16" s="897" t="s">
        <v>1813</v>
      </c>
      <c r="N16" s="1882" t="n">
        <v>2027</v>
      </c>
      <c r="O16" s="1890" t="s">
        <v>1815</v>
      </c>
      <c r="P16" s="1884" t="s">
        <v>1815</v>
      </c>
      <c r="Q16" s="1884" t="s">
        <v>1816</v>
      </c>
      <c r="R16" s="1886" t="s">
        <v>1826</v>
      </c>
      <c r="S16" s="1886" t="s">
        <v>1826</v>
      </c>
      <c r="T16" s="1884" t="s">
        <v>1816</v>
      </c>
      <c r="U16" s="1884" t="s">
        <v>1815</v>
      </c>
      <c r="V16" s="1884" t="s">
        <v>373</v>
      </c>
      <c r="W16" s="1884" t="s">
        <v>1815</v>
      </c>
      <c r="X16" s="1884" t="s">
        <v>1816</v>
      </c>
      <c r="Y16" s="1884" t="s">
        <v>1816</v>
      </c>
      <c r="Z16" s="1891" t="n">
        <v>45135</v>
      </c>
      <c r="AA16" s="1891" t="n">
        <v>45808</v>
      </c>
      <c r="AB16" s="1892" t="s">
        <v>1833</v>
      </c>
      <c r="AC16" s="1893" t="s">
        <v>1816</v>
      </c>
    </row>
    <row r="17" customFormat="false" ht="16.5" hidden="false" customHeight="false" outlineLevel="0" collapsed="false">
      <c r="A17" s="896" t="n">
        <v>9</v>
      </c>
      <c r="B17" s="897" t="s">
        <v>729</v>
      </c>
      <c r="C17" s="897" t="s">
        <v>729</v>
      </c>
      <c r="D17" s="897" t="s">
        <v>1834</v>
      </c>
      <c r="E17" s="897" t="n">
        <v>778.26</v>
      </c>
      <c r="F17" s="1880" t="n">
        <v>1334</v>
      </c>
      <c r="G17" s="1880" t="n">
        <v>3.65</v>
      </c>
      <c r="H17" s="1881" t="n">
        <v>4.1</v>
      </c>
      <c r="I17" s="1881" t="n">
        <v>3.6</v>
      </c>
      <c r="J17" s="1880" t="n">
        <v>1038.19884</v>
      </c>
      <c r="K17" s="897" t="s">
        <v>1579</v>
      </c>
      <c r="L17" s="897" t="s">
        <v>1812</v>
      </c>
      <c r="M17" s="897" t="s">
        <v>1813</v>
      </c>
      <c r="N17" s="1882" t="n">
        <v>2027</v>
      </c>
      <c r="O17" s="1890" t="s">
        <v>1815</v>
      </c>
      <c r="P17" s="1884" t="s">
        <v>1815</v>
      </c>
      <c r="Q17" s="1884" t="s">
        <v>1816</v>
      </c>
      <c r="R17" s="1886" t="s">
        <v>1826</v>
      </c>
      <c r="S17" s="1886" t="s">
        <v>1826</v>
      </c>
      <c r="T17" s="1884" t="s">
        <v>1816</v>
      </c>
      <c r="U17" s="1884" t="s">
        <v>1815</v>
      </c>
      <c r="V17" s="1884" t="s">
        <v>373</v>
      </c>
      <c r="W17" s="1884" t="s">
        <v>1815</v>
      </c>
      <c r="X17" s="1884" t="s">
        <v>1816</v>
      </c>
      <c r="Y17" s="1884" t="s">
        <v>1816</v>
      </c>
      <c r="Z17" s="1891" t="n">
        <v>45135</v>
      </c>
      <c r="AA17" s="1891" t="n">
        <v>45808</v>
      </c>
      <c r="AB17" s="1892" t="s">
        <v>1833</v>
      </c>
      <c r="AC17" s="1893" t="s">
        <v>1816</v>
      </c>
    </row>
    <row r="18" customFormat="false" ht="16.5" hidden="false" customHeight="false" outlineLevel="0" collapsed="false">
      <c r="A18" s="896" t="n">
        <v>9</v>
      </c>
      <c r="B18" s="897" t="s">
        <v>734</v>
      </c>
      <c r="C18" s="897" t="s">
        <v>734</v>
      </c>
      <c r="D18" s="897" t="s">
        <v>1835</v>
      </c>
      <c r="E18" s="897" t="n">
        <v>499.2</v>
      </c>
      <c r="F18" s="1880" t="n">
        <v>1334</v>
      </c>
      <c r="G18" s="1880" t="n">
        <v>3.65</v>
      </c>
      <c r="H18" s="1881" t="n">
        <v>4.1</v>
      </c>
      <c r="I18" s="1881" t="n">
        <v>3.6</v>
      </c>
      <c r="J18" s="1880" t="n">
        <v>665.9328</v>
      </c>
      <c r="K18" s="897" t="s">
        <v>1579</v>
      </c>
      <c r="L18" s="897" t="s">
        <v>1836</v>
      </c>
      <c r="M18" s="897" t="s">
        <v>1813</v>
      </c>
      <c r="N18" s="1882" t="n">
        <v>2027</v>
      </c>
      <c r="O18" s="1897" t="s">
        <v>1815</v>
      </c>
      <c r="P18" s="1898" t="s">
        <v>1815</v>
      </c>
      <c r="Q18" s="1898" t="s">
        <v>1816</v>
      </c>
      <c r="R18" s="1898" t="s">
        <v>1826</v>
      </c>
      <c r="S18" s="1898" t="s">
        <v>1826</v>
      </c>
      <c r="T18" s="1898" t="s">
        <v>1816</v>
      </c>
      <c r="U18" s="1898" t="s">
        <v>1815</v>
      </c>
      <c r="V18" s="1898" t="s">
        <v>373</v>
      </c>
      <c r="W18" s="1898" t="s">
        <v>1815</v>
      </c>
      <c r="X18" s="1898" t="s">
        <v>1816</v>
      </c>
      <c r="Y18" s="1898" t="s">
        <v>1816</v>
      </c>
      <c r="Z18" s="1899" t="n">
        <v>45135</v>
      </c>
      <c r="AA18" s="1899" t="n">
        <v>45808</v>
      </c>
      <c r="AB18" s="1900" t="s">
        <v>1833</v>
      </c>
      <c r="AC18" s="1901" t="s">
        <v>1816</v>
      </c>
    </row>
    <row r="19" customFormat="false" ht="16.5" hidden="false" customHeight="false" outlineLevel="0" collapsed="false">
      <c r="A19" s="864" t="n">
        <v>1</v>
      </c>
      <c r="B19" s="865" t="s">
        <v>626</v>
      </c>
      <c r="C19" s="865" t="s">
        <v>283</v>
      </c>
      <c r="D19" s="865" t="s">
        <v>1837</v>
      </c>
      <c r="E19" s="865" t="n">
        <v>999.24</v>
      </c>
      <c r="F19" s="1880" t="n">
        <v>1286</v>
      </c>
      <c r="G19" s="1880" t="n">
        <v>3.52</v>
      </c>
      <c r="H19" s="1881" t="n">
        <v>4.2</v>
      </c>
      <c r="I19" s="1881" t="n">
        <v>3.8</v>
      </c>
      <c r="J19" s="1880" t="n">
        <v>1285.02264</v>
      </c>
      <c r="K19" s="865" t="s">
        <v>1579</v>
      </c>
      <c r="L19" s="865" t="s">
        <v>1812</v>
      </c>
      <c r="M19" s="865" t="s">
        <v>1813</v>
      </c>
      <c r="N19" s="1894" t="n">
        <v>2025</v>
      </c>
      <c r="O19" s="1883" t="s">
        <v>1815</v>
      </c>
      <c r="P19" s="1885" t="s">
        <v>1815</v>
      </c>
      <c r="Q19" s="1885" t="s">
        <v>1815</v>
      </c>
      <c r="R19" s="1885" t="s">
        <v>1815</v>
      </c>
      <c r="S19" s="1885" t="s">
        <v>1815</v>
      </c>
      <c r="T19" s="1885" t="s">
        <v>1815</v>
      </c>
      <c r="U19" s="1885" t="s">
        <v>1815</v>
      </c>
      <c r="V19" s="1885" t="s">
        <v>373</v>
      </c>
      <c r="W19" s="1885" t="s">
        <v>1815</v>
      </c>
      <c r="X19" s="1885" t="s">
        <v>1816</v>
      </c>
      <c r="Y19" s="1885" t="s">
        <v>1815</v>
      </c>
      <c r="Z19" s="1887" t="n">
        <v>45518</v>
      </c>
      <c r="AA19" s="1887" t="n">
        <v>46200</v>
      </c>
      <c r="AB19" s="1888" t="s">
        <v>1838</v>
      </c>
      <c r="AC19" s="1889" t="s">
        <v>1816</v>
      </c>
    </row>
    <row r="20" customFormat="false" ht="16.5" hidden="false" customHeight="false" outlineLevel="0" collapsed="false">
      <c r="A20" s="864" t="n">
        <v>2</v>
      </c>
      <c r="B20" s="865" t="s">
        <v>636</v>
      </c>
      <c r="C20" s="865" t="s">
        <v>1839</v>
      </c>
      <c r="D20" s="865" t="s">
        <v>1840</v>
      </c>
      <c r="E20" s="865" t="n">
        <v>399.04</v>
      </c>
      <c r="F20" s="1880" t="n">
        <v>1424</v>
      </c>
      <c r="G20" s="1880" t="n">
        <v>3.9</v>
      </c>
      <c r="H20" s="1881" t="n">
        <v>4.1</v>
      </c>
      <c r="I20" s="1881" t="n">
        <v>3.6</v>
      </c>
      <c r="J20" s="1880" t="n">
        <v>568.23296</v>
      </c>
      <c r="K20" s="865" t="s">
        <v>1579</v>
      </c>
      <c r="L20" s="865" t="s">
        <v>1812</v>
      </c>
      <c r="M20" s="865" t="s">
        <v>1813</v>
      </c>
      <c r="N20" s="1894" t="n">
        <v>2025</v>
      </c>
      <c r="O20" s="1890" t="s">
        <v>1815</v>
      </c>
      <c r="P20" s="1884" t="s">
        <v>1815</v>
      </c>
      <c r="Q20" s="1884" t="s">
        <v>1815</v>
      </c>
      <c r="R20" s="1886" t="s">
        <v>1826</v>
      </c>
      <c r="S20" s="1886" t="s">
        <v>1826</v>
      </c>
      <c r="T20" s="1884" t="s">
        <v>1816</v>
      </c>
      <c r="U20" s="1884" t="s">
        <v>1815</v>
      </c>
      <c r="V20" s="1884" t="s">
        <v>373</v>
      </c>
      <c r="W20" s="1884" t="s">
        <v>1815</v>
      </c>
      <c r="X20" s="1884" t="s">
        <v>1816</v>
      </c>
      <c r="Y20" s="1884" t="s">
        <v>1815</v>
      </c>
      <c r="Z20" s="1891" t="n">
        <v>45219</v>
      </c>
      <c r="AA20" s="1891" t="n">
        <v>45868</v>
      </c>
      <c r="AB20" s="1892" t="s">
        <v>1841</v>
      </c>
      <c r="AC20" s="1893" t="s">
        <v>1816</v>
      </c>
    </row>
    <row r="21" customFormat="false" ht="16.5" hidden="false" customHeight="false" outlineLevel="0" collapsed="false">
      <c r="A21" s="864" t="n">
        <v>3</v>
      </c>
      <c r="B21" s="865" t="s">
        <v>666</v>
      </c>
      <c r="C21" s="865" t="s">
        <v>1667</v>
      </c>
      <c r="D21" s="865" t="s">
        <v>1842</v>
      </c>
      <c r="E21" s="865" t="n">
        <v>999.18</v>
      </c>
      <c r="F21" s="1880" t="n">
        <v>1450</v>
      </c>
      <c r="G21" s="1880" t="n">
        <v>3.97</v>
      </c>
      <c r="H21" s="1881" t="n">
        <v>4.1</v>
      </c>
      <c r="I21" s="1881" t="n">
        <v>3.6</v>
      </c>
      <c r="J21" s="1880" t="n">
        <v>1448.811</v>
      </c>
      <c r="K21" s="865" t="s">
        <v>1579</v>
      </c>
      <c r="L21" s="865" t="s">
        <v>1812</v>
      </c>
      <c r="M21" s="865" t="s">
        <v>1813</v>
      </c>
      <c r="N21" s="1894" t="n">
        <v>2026</v>
      </c>
      <c r="O21" s="1890" t="s">
        <v>1815</v>
      </c>
      <c r="P21" s="1884" t="s">
        <v>1816</v>
      </c>
      <c r="Q21" s="1884" t="s">
        <v>1815</v>
      </c>
      <c r="R21" s="1886" t="s">
        <v>1816</v>
      </c>
      <c r="S21" s="1886" t="s">
        <v>1826</v>
      </c>
      <c r="T21" s="1884" t="s">
        <v>1816</v>
      </c>
      <c r="U21" s="1884" t="s">
        <v>1815</v>
      </c>
      <c r="V21" s="1884" t="s">
        <v>373</v>
      </c>
      <c r="W21" s="1884" t="s">
        <v>1816</v>
      </c>
      <c r="X21" s="1884" t="s">
        <v>1816</v>
      </c>
      <c r="Y21" s="1884" t="s">
        <v>1815</v>
      </c>
      <c r="Z21" s="1142" t="s">
        <v>609</v>
      </c>
      <c r="AA21" s="1142" t="s">
        <v>609</v>
      </c>
      <c r="AB21" s="1902" t="s">
        <v>1819</v>
      </c>
      <c r="AC21" s="1893" t="s">
        <v>1816</v>
      </c>
    </row>
    <row r="22" customFormat="false" ht="16.5" hidden="false" customHeight="false" outlineLevel="0" collapsed="false">
      <c r="A22" s="864" t="n">
        <v>4</v>
      </c>
      <c r="B22" s="865" t="s">
        <v>674</v>
      </c>
      <c r="C22" s="865" t="s">
        <v>1671</v>
      </c>
      <c r="D22" s="865" t="s">
        <v>1843</v>
      </c>
      <c r="E22" s="865" t="n">
        <v>499.59</v>
      </c>
      <c r="F22" s="1880" t="n">
        <v>1450</v>
      </c>
      <c r="G22" s="1880" t="n">
        <v>3.97</v>
      </c>
      <c r="H22" s="1881" t="n">
        <v>4.1</v>
      </c>
      <c r="I22" s="1881" t="n">
        <v>3.6</v>
      </c>
      <c r="J22" s="1880" t="n">
        <v>724.4055</v>
      </c>
      <c r="K22" s="865" t="s">
        <v>1579</v>
      </c>
      <c r="L22" s="865" t="s">
        <v>1812</v>
      </c>
      <c r="M22" s="865" t="s">
        <v>1813</v>
      </c>
      <c r="N22" s="1894" t="n">
        <v>2026</v>
      </c>
      <c r="O22" s="1890" t="s">
        <v>1815</v>
      </c>
      <c r="P22" s="1884" t="s">
        <v>1816</v>
      </c>
      <c r="Q22" s="1884" t="s">
        <v>1815</v>
      </c>
      <c r="R22" s="1886" t="s">
        <v>1816</v>
      </c>
      <c r="S22" s="1886" t="s">
        <v>1816</v>
      </c>
      <c r="T22" s="1884" t="s">
        <v>1816</v>
      </c>
      <c r="U22" s="1884" t="s">
        <v>1815</v>
      </c>
      <c r="V22" s="1884" t="s">
        <v>373</v>
      </c>
      <c r="W22" s="1884" t="s">
        <v>1816</v>
      </c>
      <c r="X22" s="1884" t="s">
        <v>1816</v>
      </c>
      <c r="Y22" s="1884" t="s">
        <v>1815</v>
      </c>
      <c r="Z22" s="1142" t="s">
        <v>609</v>
      </c>
      <c r="AA22" s="1142" t="s">
        <v>609</v>
      </c>
      <c r="AB22" s="1902" t="s">
        <v>1819</v>
      </c>
      <c r="AC22" s="1893" t="s">
        <v>1816</v>
      </c>
    </row>
    <row r="23" customFormat="false" ht="16.5" hidden="false" customHeight="false" outlineLevel="0" collapsed="false">
      <c r="A23" s="864" t="n">
        <v>5</v>
      </c>
      <c r="B23" s="865" t="s">
        <v>679</v>
      </c>
      <c r="C23" s="865" t="s">
        <v>1674</v>
      </c>
      <c r="D23" s="865" t="s">
        <v>1844</v>
      </c>
      <c r="E23" s="865" t="n">
        <v>499.96</v>
      </c>
      <c r="F23" s="1880" t="n">
        <v>1448</v>
      </c>
      <c r="G23" s="1880" t="n">
        <v>3.97</v>
      </c>
      <c r="H23" s="1881" t="n">
        <v>4.1</v>
      </c>
      <c r="I23" s="1881" t="n">
        <v>3.6</v>
      </c>
      <c r="J23" s="1880" t="n">
        <v>723.94208</v>
      </c>
      <c r="K23" s="865" t="s">
        <v>1579</v>
      </c>
      <c r="L23" s="865" t="s">
        <v>1812</v>
      </c>
      <c r="M23" s="865" t="s">
        <v>1813</v>
      </c>
      <c r="N23" s="1894" t="n">
        <v>2026</v>
      </c>
      <c r="O23" s="1890" t="s">
        <v>1815</v>
      </c>
      <c r="P23" s="1884" t="s">
        <v>1816</v>
      </c>
      <c r="Q23" s="1884" t="s">
        <v>1815</v>
      </c>
      <c r="R23" s="1886" t="s">
        <v>1816</v>
      </c>
      <c r="S23" s="1886" t="s">
        <v>1816</v>
      </c>
      <c r="T23" s="1884" t="s">
        <v>1816</v>
      </c>
      <c r="U23" s="1903" t="s">
        <v>1816</v>
      </c>
      <c r="V23" s="1884" t="s">
        <v>373</v>
      </c>
      <c r="W23" s="1884" t="s">
        <v>1816</v>
      </c>
      <c r="X23" s="1884" t="s">
        <v>1816</v>
      </c>
      <c r="Y23" s="1884" t="s">
        <v>1815</v>
      </c>
      <c r="Z23" s="1142" t="s">
        <v>609</v>
      </c>
      <c r="AA23" s="1142" t="s">
        <v>609</v>
      </c>
      <c r="AB23" s="1902" t="s">
        <v>1819</v>
      </c>
      <c r="AC23" s="1893" t="s">
        <v>1816</v>
      </c>
    </row>
    <row r="24" customFormat="false" ht="16.5" hidden="false" customHeight="false" outlineLevel="0" collapsed="false">
      <c r="A24" s="864" t="n">
        <v>6</v>
      </c>
      <c r="B24" s="865" t="s">
        <v>684</v>
      </c>
      <c r="C24" s="865" t="s">
        <v>1678</v>
      </c>
      <c r="D24" s="865" t="s">
        <v>1845</v>
      </c>
      <c r="E24" s="865" t="n">
        <v>699.48</v>
      </c>
      <c r="F24" s="1880" t="n">
        <v>1450</v>
      </c>
      <c r="G24" s="1880" t="n">
        <v>3.97</v>
      </c>
      <c r="H24" s="1881" t="n">
        <v>4.1</v>
      </c>
      <c r="I24" s="1881" t="n">
        <v>3.6</v>
      </c>
      <c r="J24" s="1880" t="n">
        <v>1014.246</v>
      </c>
      <c r="K24" s="865" t="s">
        <v>1579</v>
      </c>
      <c r="L24" s="865" t="s">
        <v>1812</v>
      </c>
      <c r="M24" s="865" t="s">
        <v>1813</v>
      </c>
      <c r="N24" s="1894" t="n">
        <v>2026</v>
      </c>
      <c r="O24" s="1890" t="s">
        <v>1815</v>
      </c>
      <c r="P24" s="1884" t="s">
        <v>1816</v>
      </c>
      <c r="Q24" s="1884" t="s">
        <v>1815</v>
      </c>
      <c r="R24" s="1886" t="s">
        <v>1816</v>
      </c>
      <c r="S24" s="1886" t="s">
        <v>1816</v>
      </c>
      <c r="T24" s="1884" t="s">
        <v>1816</v>
      </c>
      <c r="U24" s="1884" t="s">
        <v>1815</v>
      </c>
      <c r="V24" s="1884" t="s">
        <v>373</v>
      </c>
      <c r="W24" s="1884" t="s">
        <v>1816</v>
      </c>
      <c r="X24" s="1884" t="s">
        <v>1816</v>
      </c>
      <c r="Y24" s="1884" t="s">
        <v>1815</v>
      </c>
      <c r="Z24" s="1142" t="s">
        <v>609</v>
      </c>
      <c r="AA24" s="1142" t="s">
        <v>609</v>
      </c>
      <c r="AB24" s="1902" t="s">
        <v>1819</v>
      </c>
      <c r="AC24" s="1893" t="s">
        <v>1816</v>
      </c>
    </row>
    <row r="25" customFormat="false" ht="16.5" hidden="false" customHeight="false" outlineLevel="0" collapsed="false">
      <c r="A25" s="864" t="n">
        <v>7</v>
      </c>
      <c r="B25" s="865" t="s">
        <v>689</v>
      </c>
      <c r="C25" s="865" t="s">
        <v>1682</v>
      </c>
      <c r="D25" s="865" t="s">
        <v>1846</v>
      </c>
      <c r="E25" s="865" t="n">
        <v>900.14</v>
      </c>
      <c r="F25" s="1880" t="n">
        <v>1451</v>
      </c>
      <c r="G25" s="1880" t="n">
        <v>3.98</v>
      </c>
      <c r="H25" s="1881" t="n">
        <v>4.1</v>
      </c>
      <c r="I25" s="1881" t="n">
        <v>3.6</v>
      </c>
      <c r="J25" s="1880" t="n">
        <v>1306.10314</v>
      </c>
      <c r="K25" s="865" t="s">
        <v>1579</v>
      </c>
      <c r="L25" s="865" t="s">
        <v>1812</v>
      </c>
      <c r="M25" s="865" t="s">
        <v>1813</v>
      </c>
      <c r="N25" s="1894" t="n">
        <v>2026</v>
      </c>
      <c r="O25" s="1890" t="s">
        <v>1815</v>
      </c>
      <c r="P25" s="1884" t="s">
        <v>1816</v>
      </c>
      <c r="Q25" s="1884" t="s">
        <v>1815</v>
      </c>
      <c r="R25" s="1886" t="s">
        <v>1816</v>
      </c>
      <c r="S25" s="1886" t="s">
        <v>1816</v>
      </c>
      <c r="T25" s="1884" t="s">
        <v>1816</v>
      </c>
      <c r="U25" s="1884" t="s">
        <v>1815</v>
      </c>
      <c r="V25" s="1884" t="s">
        <v>373</v>
      </c>
      <c r="W25" s="1884" t="s">
        <v>1816</v>
      </c>
      <c r="X25" s="1884" t="s">
        <v>1816</v>
      </c>
      <c r="Y25" s="1884" t="s">
        <v>1815</v>
      </c>
      <c r="Z25" s="1142" t="s">
        <v>609</v>
      </c>
      <c r="AA25" s="1142" t="s">
        <v>609</v>
      </c>
      <c r="AB25" s="1902" t="s">
        <v>1819</v>
      </c>
      <c r="AC25" s="1893" t="s">
        <v>1816</v>
      </c>
    </row>
    <row r="26" customFormat="false" ht="16.5" hidden="false" customHeight="false" outlineLevel="0" collapsed="false">
      <c r="A26" s="864" t="n">
        <v>8</v>
      </c>
      <c r="B26" s="865" t="s">
        <v>694</v>
      </c>
      <c r="C26" s="865" t="s">
        <v>1847</v>
      </c>
      <c r="D26" s="865" t="s">
        <v>1848</v>
      </c>
      <c r="E26" s="865" t="n">
        <v>799.24</v>
      </c>
      <c r="F26" s="1880" t="n">
        <v>1449</v>
      </c>
      <c r="G26" s="1880" t="n">
        <v>3.97</v>
      </c>
      <c r="H26" s="1881" t="n">
        <v>4.1</v>
      </c>
      <c r="I26" s="1881" t="n">
        <v>3.6</v>
      </c>
      <c r="J26" s="1880" t="n">
        <v>1158.09876</v>
      </c>
      <c r="K26" s="865" t="s">
        <v>1579</v>
      </c>
      <c r="L26" s="865" t="s">
        <v>1812</v>
      </c>
      <c r="M26" s="865" t="s">
        <v>1813</v>
      </c>
      <c r="N26" s="1894" t="n">
        <v>2026</v>
      </c>
      <c r="O26" s="1890" t="s">
        <v>1815</v>
      </c>
      <c r="P26" s="1884" t="s">
        <v>1816</v>
      </c>
      <c r="Q26" s="1884" t="s">
        <v>1815</v>
      </c>
      <c r="R26" s="1886" t="s">
        <v>1815</v>
      </c>
      <c r="S26" s="1886" t="s">
        <v>1816</v>
      </c>
      <c r="T26" s="1884" t="s">
        <v>1816</v>
      </c>
      <c r="U26" s="1884" t="s">
        <v>1815</v>
      </c>
      <c r="V26" s="1884" t="s">
        <v>373</v>
      </c>
      <c r="W26" s="1884" t="s">
        <v>1816</v>
      </c>
      <c r="X26" s="1884" t="s">
        <v>1816</v>
      </c>
      <c r="Y26" s="1884" t="s">
        <v>1816</v>
      </c>
      <c r="Z26" s="1142" t="s">
        <v>609</v>
      </c>
      <c r="AA26" s="1142" t="s">
        <v>609</v>
      </c>
      <c r="AB26" s="1902" t="s">
        <v>1819</v>
      </c>
      <c r="AC26" s="1893" t="s">
        <v>1816</v>
      </c>
    </row>
    <row r="27" customFormat="false" ht="16.5" hidden="false" customHeight="false" outlineLevel="0" collapsed="false">
      <c r="A27" s="864" t="n">
        <v>9</v>
      </c>
      <c r="B27" s="865" t="s">
        <v>699</v>
      </c>
      <c r="C27" s="865" t="s">
        <v>699</v>
      </c>
      <c r="D27" s="865" t="s">
        <v>1849</v>
      </c>
      <c r="E27" s="865" t="n">
        <v>499.96</v>
      </c>
      <c r="F27" s="1880" t="n">
        <v>1452</v>
      </c>
      <c r="G27" s="1880" t="n">
        <v>3.98</v>
      </c>
      <c r="H27" s="1881" t="n">
        <v>4.1</v>
      </c>
      <c r="I27" s="1881" t="n">
        <v>3.7</v>
      </c>
      <c r="J27" s="1880" t="n">
        <v>725.94192</v>
      </c>
      <c r="K27" s="865" t="s">
        <v>1579</v>
      </c>
      <c r="L27" s="865" t="s">
        <v>1812</v>
      </c>
      <c r="M27" s="865" t="s">
        <v>1813</v>
      </c>
      <c r="N27" s="1894" t="n">
        <v>2026</v>
      </c>
      <c r="O27" s="1890" t="s">
        <v>1815</v>
      </c>
      <c r="P27" s="1884" t="s">
        <v>1816</v>
      </c>
      <c r="Q27" s="1884" t="s">
        <v>1815</v>
      </c>
      <c r="R27" s="1886" t="s">
        <v>1816</v>
      </c>
      <c r="S27" s="1886" t="s">
        <v>1816</v>
      </c>
      <c r="T27" s="1884" t="s">
        <v>1816</v>
      </c>
      <c r="U27" s="1903" t="s">
        <v>1816</v>
      </c>
      <c r="V27" s="1884" t="s">
        <v>373</v>
      </c>
      <c r="W27" s="1884" t="s">
        <v>1816</v>
      </c>
      <c r="X27" s="1884" t="s">
        <v>1816</v>
      </c>
      <c r="Y27" s="1884" t="s">
        <v>1816</v>
      </c>
      <c r="Z27" s="1142" t="s">
        <v>609</v>
      </c>
      <c r="AA27" s="1142" t="s">
        <v>609</v>
      </c>
      <c r="AB27" s="1902" t="s">
        <v>1819</v>
      </c>
      <c r="AC27" s="1893" t="s">
        <v>1816</v>
      </c>
    </row>
    <row r="28" customFormat="false" ht="13.5" hidden="false" customHeight="true" outlineLevel="0" collapsed="false">
      <c r="A28" s="1904" t="s">
        <v>1428</v>
      </c>
      <c r="B28" s="1904"/>
      <c r="C28" s="1904"/>
      <c r="D28" s="1904"/>
      <c r="E28" s="1905" t="n">
        <v>6295.83</v>
      </c>
      <c r="F28" s="1906" t="s">
        <v>609</v>
      </c>
      <c r="G28" s="1906" t="s">
        <v>609</v>
      </c>
      <c r="H28" s="1906" t="s">
        <v>609</v>
      </c>
      <c r="I28" s="1906" t="s">
        <v>609</v>
      </c>
      <c r="J28" s="1907" t="s">
        <v>609</v>
      </c>
      <c r="K28" s="1885" t="s">
        <v>609</v>
      </c>
      <c r="L28" s="1885"/>
      <c r="M28" s="1885"/>
      <c r="N28" s="1885"/>
      <c r="O28" s="848"/>
      <c r="P28" s="848"/>
      <c r="Q28" s="848"/>
      <c r="R28" s="848"/>
      <c r="S28" s="848"/>
      <c r="T28" s="848"/>
      <c r="U28" s="848"/>
      <c r="V28" s="848"/>
      <c r="W28" s="848"/>
      <c r="X28" s="848"/>
      <c r="Y28" s="848"/>
      <c r="Z28" s="848"/>
      <c r="AA28" s="848"/>
      <c r="AB28" s="848"/>
      <c r="AC28" s="848"/>
    </row>
    <row r="29" customFormat="false" ht="16.5" hidden="false" customHeight="false" outlineLevel="0" collapsed="false">
      <c r="A29" s="848"/>
      <c r="B29" s="848"/>
      <c r="C29" s="848"/>
      <c r="D29" s="848"/>
      <c r="E29" s="848"/>
      <c r="F29" s="848"/>
      <c r="G29" s="848"/>
      <c r="H29" s="848"/>
      <c r="I29" s="848"/>
      <c r="J29" s="848"/>
      <c r="K29" s="848"/>
      <c r="L29" s="848"/>
      <c r="M29" s="848"/>
      <c r="N29" s="848"/>
      <c r="O29" s="848"/>
      <c r="P29" s="848"/>
      <c r="Q29" s="848"/>
      <c r="R29" s="848"/>
      <c r="S29" s="848"/>
      <c r="T29" s="848"/>
      <c r="U29" s="848"/>
      <c r="V29" s="848"/>
      <c r="W29" s="848"/>
      <c r="X29" s="848"/>
      <c r="Y29" s="848"/>
      <c r="Z29" s="848"/>
      <c r="AA29" s="848"/>
      <c r="AB29" s="848"/>
      <c r="AC29" s="848"/>
    </row>
    <row r="30" customFormat="false" ht="16.5" hidden="false" customHeight="false" outlineLevel="0" collapsed="false">
      <c r="A30" s="848"/>
      <c r="B30" s="848"/>
      <c r="C30" s="848"/>
      <c r="D30" s="848"/>
      <c r="E30" s="848"/>
      <c r="F30" s="848" t="n">
        <v>665932.8</v>
      </c>
      <c r="G30" s="848"/>
      <c r="H30" s="848"/>
      <c r="I30" s="848"/>
      <c r="J30" s="848"/>
      <c r="K30" s="848"/>
      <c r="L30" s="848"/>
      <c r="M30" s="848"/>
      <c r="N30" s="848"/>
      <c r="O30" s="848"/>
      <c r="P30" s="848"/>
      <c r="Q30" s="848"/>
      <c r="R30" s="848"/>
      <c r="S30" s="848"/>
      <c r="T30" s="848"/>
      <c r="U30" s="848"/>
      <c r="V30" s="848"/>
      <c r="W30" s="848"/>
      <c r="X30" s="848"/>
      <c r="Y30" s="848"/>
      <c r="Z30" s="848"/>
      <c r="AA30" s="848"/>
      <c r="AB30" s="848"/>
      <c r="AC30" s="848"/>
    </row>
  </sheetData>
  <mergeCells count="28">
    <mergeCell ref="A1:N1"/>
    <mergeCell ref="A6:A7"/>
    <mergeCell ref="B6:B7"/>
    <mergeCell ref="C6:C7"/>
    <mergeCell ref="D6:D7"/>
    <mergeCell ref="E6:E7"/>
    <mergeCell ref="F6:F7"/>
    <mergeCell ref="H6:I6"/>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Z6:AB6"/>
    <mergeCell ref="AC6:AC7"/>
    <mergeCell ref="A28:D28"/>
    <mergeCell ref="K28:N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AE3F3"/>
    <pageSetUpPr fitToPage="false"/>
  </sheetPr>
  <dimension ref="A1:BD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BD21" activeCellId="0" sqref="BD21"/>
    </sheetView>
  </sheetViews>
  <sheetFormatPr defaultColWidth="14.25390625" defaultRowHeight="15" zeroHeight="false" outlineLevelRow="0" outlineLevelCol="0"/>
  <cols>
    <col collapsed="false" customWidth="true" hidden="false" outlineLevel="0" max="1" min="1" style="931" width="31.63"/>
    <col collapsed="false" customWidth="true" hidden="true" outlineLevel="0" max="2" min="2" style="932" width="33"/>
    <col collapsed="false" customWidth="true" hidden="true" outlineLevel="0" max="3" min="3" style="932" width="38.37"/>
    <col collapsed="false" customWidth="true" hidden="true" outlineLevel="0" max="4" min="4" style="932" width="21.63"/>
    <col collapsed="false" customWidth="true" hidden="true" outlineLevel="0" max="5" min="5" style="932" width="14.63"/>
    <col collapsed="false" customWidth="true" hidden="true" outlineLevel="0" max="6" min="6" style="932" width="6.88"/>
    <col collapsed="false" customWidth="true" hidden="true" outlineLevel="0" max="7" min="7" style="939" width="7"/>
    <col collapsed="false" customWidth="true" hidden="true" outlineLevel="0" max="8" min="8" style="939" width="10.12"/>
    <col collapsed="false" customWidth="true" hidden="true" outlineLevel="0" max="11" min="9" style="940" width="10.37"/>
    <col collapsed="false" customWidth="true" hidden="true" outlineLevel="0" max="12" min="12" style="940" width="7.25"/>
    <col collapsed="false" customWidth="true" hidden="true" outlineLevel="0" max="13" min="13" style="934" width="10.37"/>
    <col collapsed="false" customWidth="true" hidden="true" outlineLevel="0" max="14" min="14" style="934" width="8.88"/>
    <col collapsed="false" customWidth="true" hidden="true" outlineLevel="0" max="15" min="15" style="932" width="10.62"/>
    <col collapsed="false" customWidth="true" hidden="true" outlineLevel="0" max="16" min="16" style="934" width="11"/>
    <col collapsed="false" customWidth="true" hidden="true" outlineLevel="0" max="17" min="17" style="940" width="10.37"/>
    <col collapsed="false" customWidth="true" hidden="true" outlineLevel="0" max="18" min="18" style="940" width="12.62"/>
    <col collapsed="false" customWidth="true" hidden="true" outlineLevel="0" max="19" min="19" style="940" width="12.12"/>
    <col collapsed="false" customWidth="true" hidden="true" outlineLevel="0" max="20" min="20" style="1638" width="16.88"/>
    <col collapsed="false" customWidth="true" hidden="true" outlineLevel="0" max="21" min="21" style="934" width="17.38"/>
    <col collapsed="false" customWidth="true" hidden="true" outlineLevel="0" max="22" min="22" style="934" width="9.75"/>
    <col collapsed="false" customWidth="true" hidden="true" outlineLevel="0" max="23" min="23" style="934" width="10.37"/>
    <col collapsed="false" customWidth="true" hidden="true" outlineLevel="0" max="24" min="24" style="934" width="17.25"/>
    <col collapsed="false" customWidth="true" hidden="true" outlineLevel="0" max="26" min="25" style="934" width="9.37"/>
    <col collapsed="false" customWidth="true" hidden="true" outlineLevel="0" max="27" min="27" style="1638" width="14.75"/>
    <col collapsed="false" customWidth="true" hidden="true" outlineLevel="0" max="28" min="28" style="1639" width="11.88"/>
    <col collapsed="false" customWidth="true" hidden="true" outlineLevel="0" max="29" min="29" style="1639" width="11.25"/>
    <col collapsed="false" customWidth="true" hidden="true" outlineLevel="0" max="30" min="30" style="1639" width="11.37"/>
    <col collapsed="false" customWidth="true" hidden="true" outlineLevel="0" max="31" min="31" style="934" width="11.37"/>
    <col collapsed="false" customWidth="true" hidden="true" outlineLevel="0" max="32" min="32" style="1641" width="11"/>
    <col collapsed="false" customWidth="true" hidden="true" outlineLevel="0" max="33" min="33" style="934" width="11.12"/>
    <col collapsed="false" customWidth="true" hidden="true" outlineLevel="0" max="34" min="34" style="934" width="10.62"/>
    <col collapsed="false" customWidth="true" hidden="true" outlineLevel="0" max="35" min="35" style="934" width="12.12"/>
    <col collapsed="false" customWidth="true" hidden="true" outlineLevel="0" max="36" min="36" style="934" width="13.25"/>
    <col collapsed="false" customWidth="true" hidden="true" outlineLevel="0" max="37" min="37" style="934" width="11.37"/>
    <col collapsed="false" customWidth="true" hidden="true" outlineLevel="0" max="38" min="38" style="934" width="9.37"/>
    <col collapsed="false" customWidth="true" hidden="true" outlineLevel="0" max="39" min="39" style="934" width="13"/>
    <col collapsed="false" customWidth="true" hidden="true" outlineLevel="0" max="40" min="40" style="917" width="29.25"/>
    <col collapsed="false" customWidth="true" hidden="true" outlineLevel="0" max="43" min="41" style="917" width="11.62"/>
    <col collapsed="false" customWidth="true" hidden="true" outlineLevel="0" max="44" min="44" style="917" width="12.37"/>
    <col collapsed="false" customWidth="true" hidden="true" outlineLevel="0" max="48" min="45" style="917" width="13.88"/>
    <col collapsed="false" customWidth="true" hidden="true" outlineLevel="0" max="49" min="49" style="917" width="8.12"/>
    <col collapsed="false" customWidth="true" hidden="true" outlineLevel="0" max="50" min="50" style="935" width="13.12"/>
    <col collapsed="false" customWidth="true" hidden="true" outlineLevel="0" max="51" min="51" style="935" width="17"/>
    <col collapsed="false" customWidth="true" hidden="true" outlineLevel="0" max="53" min="52" style="935" width="18.75"/>
    <col collapsed="false" customWidth="true" hidden="true" outlineLevel="0" max="54" min="54" style="935" width="10.37"/>
    <col collapsed="false" customWidth="true" hidden="true" outlineLevel="0" max="55" min="55" style="934" width="11.25"/>
    <col collapsed="false" customWidth="true" hidden="false" outlineLevel="0" max="56" min="56" style="932" width="104.51"/>
    <col collapsed="false" customWidth="false" hidden="false" outlineLevel="0" max="16384" min="57" style="932" width="14.25"/>
  </cols>
  <sheetData>
    <row r="1" customFormat="false" ht="15" hidden="false" customHeight="false" outlineLevel="0" collapsed="false">
      <c r="E1" s="932" t="s">
        <v>71</v>
      </c>
      <c r="L1" s="1908"/>
      <c r="M1" s="941"/>
      <c r="O1" s="1644" t="s">
        <v>750</v>
      </c>
      <c r="P1" s="943"/>
      <c r="Q1" s="943"/>
      <c r="R1" s="943"/>
      <c r="S1" s="943"/>
      <c r="T1" s="1909"/>
      <c r="U1" s="943"/>
      <c r="V1" s="943"/>
      <c r="W1" s="943"/>
      <c r="X1" s="943"/>
      <c r="Y1" s="1645" t="s">
        <v>751</v>
      </c>
      <c r="Z1" s="1647"/>
      <c r="AA1" s="1646"/>
      <c r="AB1" s="1647"/>
      <c r="AC1" s="1647"/>
      <c r="AD1" s="1647"/>
      <c r="AE1" s="1647"/>
      <c r="AF1" s="1649"/>
      <c r="AG1" s="1910" t="s">
        <v>1540</v>
      </c>
      <c r="AH1" s="947" t="s">
        <v>753</v>
      </c>
      <c r="AI1" s="948"/>
      <c r="AJ1" s="948"/>
      <c r="AK1" s="948"/>
      <c r="AL1" s="948"/>
      <c r="AM1" s="948"/>
      <c r="AN1" s="1652"/>
      <c r="AO1" s="947" t="s">
        <v>1850</v>
      </c>
      <c r="AP1" s="948"/>
      <c r="AQ1" s="948"/>
      <c r="AR1" s="948"/>
      <c r="AS1" s="948"/>
      <c r="AT1" s="948"/>
      <c r="AU1" s="948"/>
      <c r="AV1" s="948"/>
      <c r="AW1" s="1652"/>
      <c r="AX1" s="947" t="s">
        <v>1542</v>
      </c>
      <c r="AY1" s="948"/>
      <c r="AZ1" s="948"/>
      <c r="BA1" s="948"/>
      <c r="BB1" s="948"/>
      <c r="BC1" s="948"/>
      <c r="BD1" s="1911" t="s">
        <v>1851</v>
      </c>
    </row>
    <row r="2" s="1932" customFormat="true" ht="83.55" hidden="false" customHeight="false" outlineLevel="0" collapsed="false">
      <c r="A2" s="1912" t="s">
        <v>1852</v>
      </c>
      <c r="B2" s="1912" t="s">
        <v>757</v>
      </c>
      <c r="C2" s="1912" t="s">
        <v>758</v>
      </c>
      <c r="D2" s="1912" t="s">
        <v>1543</v>
      </c>
      <c r="E2" s="1913" t="s">
        <v>766</v>
      </c>
      <c r="F2" s="1914" t="s">
        <v>1853</v>
      </c>
      <c r="G2" s="1914" t="s">
        <v>1854</v>
      </c>
      <c r="H2" s="1914" t="s">
        <v>1545</v>
      </c>
      <c r="I2" s="1912" t="s">
        <v>769</v>
      </c>
      <c r="J2" s="1915" t="s">
        <v>770</v>
      </c>
      <c r="K2" s="1915" t="s">
        <v>771</v>
      </c>
      <c r="L2" s="1916" t="s">
        <v>1855</v>
      </c>
      <c r="M2" s="1912" t="s">
        <v>772</v>
      </c>
      <c r="N2" s="1912" t="s">
        <v>773</v>
      </c>
      <c r="O2" s="1917" t="s">
        <v>1856</v>
      </c>
      <c r="P2" s="1918" t="s">
        <v>1857</v>
      </c>
      <c r="Q2" s="1918" t="s">
        <v>1858</v>
      </c>
      <c r="R2" s="1918" t="s">
        <v>1859</v>
      </c>
      <c r="S2" s="1918" t="s">
        <v>1860</v>
      </c>
      <c r="T2" s="1918" t="s">
        <v>1546</v>
      </c>
      <c r="U2" s="1918" t="s">
        <v>1861</v>
      </c>
      <c r="V2" s="1918" t="s">
        <v>1862</v>
      </c>
      <c r="W2" s="1916" t="s">
        <v>1862</v>
      </c>
      <c r="X2" s="1918" t="s">
        <v>776</v>
      </c>
      <c r="Y2" s="1917" t="s">
        <v>1548</v>
      </c>
      <c r="Z2" s="1918" t="s">
        <v>1549</v>
      </c>
      <c r="AA2" s="1918" t="s">
        <v>1550</v>
      </c>
      <c r="AB2" s="1918" t="s">
        <v>1551</v>
      </c>
      <c r="AC2" s="1918" t="s">
        <v>1552</v>
      </c>
      <c r="AD2" s="1918" t="s">
        <v>1553</v>
      </c>
      <c r="AE2" s="1918" t="s">
        <v>1555</v>
      </c>
      <c r="AF2" s="1919" t="s">
        <v>1863</v>
      </c>
      <c r="AG2" s="1920" t="s">
        <v>306</v>
      </c>
      <c r="AH2" s="1921" t="s">
        <v>1557</v>
      </c>
      <c r="AI2" s="1922" t="s">
        <v>1864</v>
      </c>
      <c r="AJ2" s="1922" t="s">
        <v>1559</v>
      </c>
      <c r="AK2" s="1923" t="s">
        <v>1865</v>
      </c>
      <c r="AL2" s="1923" t="s">
        <v>1562</v>
      </c>
      <c r="AM2" s="1924" t="s">
        <v>1563</v>
      </c>
      <c r="AN2" s="1925" t="s">
        <v>1564</v>
      </c>
      <c r="AO2" s="1926" t="s">
        <v>1565</v>
      </c>
      <c r="AP2" s="1926" t="s">
        <v>1866</v>
      </c>
      <c r="AQ2" s="1926" t="s">
        <v>1567</v>
      </c>
      <c r="AR2" s="1926" t="s">
        <v>571</v>
      </c>
      <c r="AS2" s="1927" t="s">
        <v>1867</v>
      </c>
      <c r="AT2" s="1927" t="s">
        <v>1868</v>
      </c>
      <c r="AU2" s="1927" t="s">
        <v>1869</v>
      </c>
      <c r="AV2" s="1927" t="s">
        <v>1870</v>
      </c>
      <c r="AW2" s="1927" t="s">
        <v>1871</v>
      </c>
      <c r="AX2" s="1928" t="s">
        <v>1568</v>
      </c>
      <c r="AY2" s="1929" t="s">
        <v>1872</v>
      </c>
      <c r="AZ2" s="1930" t="s">
        <v>1570</v>
      </c>
      <c r="BA2" s="1931" t="s">
        <v>1571</v>
      </c>
      <c r="BB2" s="1928" t="s">
        <v>1873</v>
      </c>
      <c r="BC2" s="1928" t="s">
        <v>1572</v>
      </c>
      <c r="BD2" s="1919" t="s">
        <v>1874</v>
      </c>
    </row>
    <row r="3" customFormat="false" ht="18" hidden="false" customHeight="true" outlineLevel="0" collapsed="false">
      <c r="A3" s="1933" t="s">
        <v>1875</v>
      </c>
      <c r="B3" s="965" t="s">
        <v>1573</v>
      </c>
      <c r="C3" s="1683" t="s">
        <v>1876</v>
      </c>
      <c r="D3" s="1934" t="s">
        <v>1575</v>
      </c>
      <c r="E3" s="1935"/>
      <c r="F3" s="1935"/>
      <c r="G3" s="1936"/>
      <c r="H3" s="1937" t="n">
        <v>45628</v>
      </c>
      <c r="I3" s="1937" t="n">
        <v>45684</v>
      </c>
      <c r="J3" s="1937" t="s">
        <v>1576</v>
      </c>
      <c r="K3" s="1937" t="n">
        <v>45747</v>
      </c>
      <c r="L3" s="1938"/>
      <c r="M3" s="1937"/>
      <c r="N3" s="934" t="n">
        <v>1</v>
      </c>
      <c r="O3" s="1732"/>
      <c r="P3" s="1939"/>
      <c r="Q3" s="1937"/>
      <c r="R3" s="1937"/>
      <c r="S3" s="1937"/>
      <c r="T3" s="1940" t="n">
        <f aca="false">20000000*999.58</f>
        <v>19991600000</v>
      </c>
      <c r="U3" s="1939" t="n">
        <v>5</v>
      </c>
      <c r="V3" s="1937"/>
      <c r="W3" s="940"/>
      <c r="X3" s="1941" t="s">
        <v>1577</v>
      </c>
      <c r="Y3" s="1942" t="s">
        <v>1578</v>
      </c>
      <c r="Z3" s="1942" t="s">
        <v>1578</v>
      </c>
      <c r="AA3" s="1943" t="n">
        <f aca="false">(AF3/3.305)*AB3*1.8</f>
        <v>342166864.008472</v>
      </c>
      <c r="AB3" s="1944" t="n">
        <f aca="false">11500*3.3058*1.8</f>
        <v>68430.06</v>
      </c>
      <c r="AC3" s="1639" t="n">
        <v>20000000</v>
      </c>
      <c r="AD3" s="1944" t="n">
        <f aca="false">AC3/AF3*3.3058</f>
        <v>7201.39418364013</v>
      </c>
      <c r="AE3" s="1941" t="s">
        <v>1579</v>
      </c>
      <c r="AF3" s="1641" t="n">
        <v>9181</v>
      </c>
      <c r="AG3" s="1942" t="s">
        <v>1580</v>
      </c>
      <c r="AH3" s="1942" t="s">
        <v>1580</v>
      </c>
      <c r="AI3" s="1942" t="s">
        <v>1580</v>
      </c>
      <c r="AJ3" s="1942" t="s">
        <v>1580</v>
      </c>
      <c r="AK3" s="1942" t="s">
        <v>1580</v>
      </c>
      <c r="AL3" s="1942" t="s">
        <v>121</v>
      </c>
      <c r="AM3" s="1942" t="s">
        <v>1582</v>
      </c>
      <c r="AN3" s="1945" t="s">
        <v>1583</v>
      </c>
      <c r="AO3" s="1945"/>
      <c r="AP3" s="1945"/>
      <c r="AQ3" s="1945"/>
      <c r="AR3" s="1945"/>
      <c r="AS3" s="1945"/>
      <c r="AT3" s="1945"/>
      <c r="AU3" s="1946"/>
      <c r="AV3" s="1945"/>
      <c r="AW3" s="1945"/>
      <c r="AX3" s="1935"/>
      <c r="AY3" s="1947" t="n">
        <f aca="false">3.6*365*999.58*0.98</f>
        <v>1287179.1576</v>
      </c>
      <c r="AZ3" s="1941" t="s">
        <v>1585</v>
      </c>
      <c r="BA3" s="1941" t="s">
        <v>1585</v>
      </c>
      <c r="BB3" s="934"/>
      <c r="BC3" s="1941" t="s">
        <v>1586</v>
      </c>
      <c r="BD3" s="1948" t="s">
        <v>1877</v>
      </c>
    </row>
    <row r="4" customFormat="false" ht="18" hidden="false" customHeight="true" outlineLevel="0" collapsed="false">
      <c r="A4" s="1933" t="s">
        <v>1878</v>
      </c>
      <c r="B4" s="965" t="s">
        <v>1573</v>
      </c>
      <c r="C4" s="1683" t="s">
        <v>1876</v>
      </c>
      <c r="D4" s="1934" t="s">
        <v>1575</v>
      </c>
      <c r="E4" s="1935"/>
      <c r="F4" s="1935"/>
      <c r="G4" s="1936"/>
      <c r="H4" s="1937" t="n">
        <v>45628</v>
      </c>
      <c r="I4" s="1937" t="n">
        <v>45684</v>
      </c>
      <c r="J4" s="1937" t="s">
        <v>1576</v>
      </c>
      <c r="K4" s="1937" t="n">
        <v>45747</v>
      </c>
      <c r="L4" s="1938"/>
      <c r="M4" s="1937"/>
      <c r="N4" s="934" t="n">
        <v>1</v>
      </c>
      <c r="O4" s="1732"/>
      <c r="P4" s="1939"/>
      <c r="Q4" s="1937"/>
      <c r="R4" s="1937"/>
      <c r="S4" s="1937"/>
      <c r="T4" s="1940" t="n">
        <f aca="false">20000000*999.58</f>
        <v>19991600000</v>
      </c>
      <c r="U4" s="1939" t="n">
        <v>5</v>
      </c>
      <c r="V4" s="1937"/>
      <c r="W4" s="940"/>
      <c r="X4" s="1941" t="s">
        <v>1577</v>
      </c>
      <c r="Y4" s="1942" t="s">
        <v>1578</v>
      </c>
      <c r="Z4" s="1942" t="s">
        <v>1578</v>
      </c>
      <c r="AA4" s="1943" t="n">
        <f aca="false">(AF4/3.305)*AB4*1.8</f>
        <v>350962352.507111</v>
      </c>
      <c r="AB4" s="1944" t="n">
        <f aca="false">11500*3.3058*1.8</f>
        <v>68430.06</v>
      </c>
      <c r="AC4" s="1639" t="n">
        <v>20000000</v>
      </c>
      <c r="AD4" s="1944" t="n">
        <f aca="false">AC4/AF4*3.3058</f>
        <v>7020.91961346501</v>
      </c>
      <c r="AE4" s="1941" t="s">
        <v>1579</v>
      </c>
      <c r="AF4" s="1641" t="n">
        <v>9417</v>
      </c>
      <c r="AG4" s="1942" t="s">
        <v>1580</v>
      </c>
      <c r="AH4" s="1942" t="s">
        <v>1580</v>
      </c>
      <c r="AI4" s="1942" t="s">
        <v>1580</v>
      </c>
      <c r="AJ4" s="1942" t="s">
        <v>1580</v>
      </c>
      <c r="AK4" s="1942" t="s">
        <v>1580</v>
      </c>
      <c r="AL4" s="1942" t="s">
        <v>121</v>
      </c>
      <c r="AM4" s="1942" t="s">
        <v>1582</v>
      </c>
      <c r="AN4" s="1945" t="s">
        <v>1583</v>
      </c>
      <c r="AO4" s="1945"/>
      <c r="AP4" s="1945"/>
      <c r="AQ4" s="1945"/>
      <c r="AR4" s="1945"/>
      <c r="AS4" s="1945"/>
      <c r="AT4" s="1945"/>
      <c r="AU4" s="1946"/>
      <c r="AV4" s="1945"/>
      <c r="AW4" s="1945"/>
      <c r="AX4" s="1935"/>
      <c r="AY4" s="1947" t="n">
        <f aca="false">3.6*365*999.58*0.98</f>
        <v>1287179.1576</v>
      </c>
      <c r="AZ4" s="1941" t="s">
        <v>1585</v>
      </c>
      <c r="BA4" s="1941" t="s">
        <v>1585</v>
      </c>
      <c r="BB4" s="934"/>
      <c r="BC4" s="1941" t="s">
        <v>1586</v>
      </c>
      <c r="BD4" s="1948"/>
    </row>
    <row r="5" customFormat="false" ht="18" hidden="false" customHeight="true" outlineLevel="0" collapsed="false">
      <c r="A5" s="1933" t="s">
        <v>1879</v>
      </c>
      <c r="B5" s="965" t="s">
        <v>1589</v>
      </c>
      <c r="C5" s="966" t="s">
        <v>1880</v>
      </c>
      <c r="D5" s="1934" t="s">
        <v>1591</v>
      </c>
      <c r="E5" s="1935"/>
      <c r="F5" s="1935"/>
      <c r="G5" s="1936"/>
      <c r="H5" s="1937" t="n">
        <v>45628</v>
      </c>
      <c r="I5" s="1937" t="n">
        <v>45684</v>
      </c>
      <c r="J5" s="1937" t="s">
        <v>1576</v>
      </c>
      <c r="K5" s="1937" t="n">
        <v>45747</v>
      </c>
      <c r="L5" s="1938"/>
      <c r="M5" s="1937"/>
      <c r="N5" s="934" t="n">
        <v>1</v>
      </c>
      <c r="O5" s="1732"/>
      <c r="P5" s="1939"/>
      <c r="Q5" s="1937"/>
      <c r="R5" s="1937"/>
      <c r="S5" s="1937"/>
      <c r="T5" s="1940" t="n">
        <f aca="false">20000000*999.6</f>
        <v>19992000000</v>
      </c>
      <c r="U5" s="1939" t="n">
        <v>5</v>
      </c>
      <c r="V5" s="1937"/>
      <c r="W5" s="940"/>
      <c r="X5" s="1941" t="s">
        <v>1577</v>
      </c>
      <c r="Y5" s="1942" t="s">
        <v>1578</v>
      </c>
      <c r="Z5" s="1942" t="s">
        <v>1578</v>
      </c>
      <c r="AA5" s="1943" t="n">
        <f aca="false">(AF5/3.305)*AB5*1.8</f>
        <v>339105943.268986</v>
      </c>
      <c r="AB5" s="1944" t="n">
        <f aca="false">13000*3.3058*1.8</f>
        <v>77355.72</v>
      </c>
      <c r="AC5" s="1639" t="n">
        <v>20000000</v>
      </c>
      <c r="AD5" s="1944" t="n">
        <f aca="false">AC5/AF5*3.3058</f>
        <v>8214.18809790036</v>
      </c>
      <c r="AE5" s="1941" t="s">
        <v>1592</v>
      </c>
      <c r="AF5" s="1641" t="n">
        <v>8049</v>
      </c>
      <c r="AG5" s="1942" t="s">
        <v>1580</v>
      </c>
      <c r="AH5" s="1942" t="s">
        <v>1580</v>
      </c>
      <c r="AI5" s="1942" t="s">
        <v>1580</v>
      </c>
      <c r="AJ5" s="1942" t="s">
        <v>1580</v>
      </c>
      <c r="AK5" s="1942" t="s">
        <v>1580</v>
      </c>
      <c r="AL5" s="1942" t="s">
        <v>121</v>
      </c>
      <c r="AM5" s="1942" t="s">
        <v>1582</v>
      </c>
      <c r="AN5" s="1945" t="s">
        <v>1583</v>
      </c>
      <c r="AO5" s="1945"/>
      <c r="AP5" s="1945"/>
      <c r="AQ5" s="1945"/>
      <c r="AR5" s="1945"/>
      <c r="AS5" s="1945"/>
      <c r="AT5" s="1945"/>
      <c r="AU5" s="1946"/>
      <c r="AV5" s="1945"/>
      <c r="AW5" s="1945"/>
      <c r="AX5" s="1935"/>
      <c r="AY5" s="1947" t="n">
        <f aca="false">3.6*365*999.24*0.98</f>
        <v>1286741.3328</v>
      </c>
      <c r="AZ5" s="1941" t="s">
        <v>1585</v>
      </c>
      <c r="BA5" s="1941" t="s">
        <v>1585</v>
      </c>
      <c r="BB5" s="934"/>
      <c r="BC5" s="1941" t="s">
        <v>1586</v>
      </c>
      <c r="BD5" s="1948"/>
    </row>
    <row r="6" customFormat="false" ht="18" hidden="false" customHeight="true" outlineLevel="0" collapsed="false">
      <c r="A6" s="1933" t="s">
        <v>1881</v>
      </c>
      <c r="B6" s="965" t="s">
        <v>1589</v>
      </c>
      <c r="C6" s="966" t="s">
        <v>1880</v>
      </c>
      <c r="D6" s="1934" t="s">
        <v>1591</v>
      </c>
      <c r="E6" s="1935"/>
      <c r="F6" s="1935"/>
      <c r="G6" s="1936"/>
      <c r="H6" s="1937" t="n">
        <v>45628</v>
      </c>
      <c r="I6" s="1937" t="n">
        <v>45684</v>
      </c>
      <c r="J6" s="1937" t="s">
        <v>1576</v>
      </c>
      <c r="K6" s="1937" t="n">
        <v>45747</v>
      </c>
      <c r="L6" s="1938"/>
      <c r="M6" s="1937"/>
      <c r="N6" s="934" t="n">
        <v>1</v>
      </c>
      <c r="O6" s="1732"/>
      <c r="P6" s="1939"/>
      <c r="Q6" s="1937"/>
      <c r="R6" s="1937"/>
      <c r="S6" s="1937"/>
      <c r="T6" s="1940" t="n">
        <f aca="false">20000000*999.6</f>
        <v>19992000000</v>
      </c>
      <c r="U6" s="1939" t="n">
        <v>5</v>
      </c>
      <c r="V6" s="1937"/>
      <c r="W6" s="940"/>
      <c r="X6" s="1941" t="s">
        <v>1577</v>
      </c>
      <c r="Y6" s="1942" t="s">
        <v>1578</v>
      </c>
      <c r="Z6" s="1942" t="s">
        <v>1578</v>
      </c>
      <c r="AA6" s="1943" t="n">
        <f aca="false">(AF6/3.305)*AB6*1.8</f>
        <v>358527963.376702</v>
      </c>
      <c r="AB6" s="1944" t="n">
        <f aca="false">13000*3.3058*1.8</f>
        <v>77355.72</v>
      </c>
      <c r="AC6" s="1639" t="n">
        <v>20000000</v>
      </c>
      <c r="AD6" s="1944" t="n">
        <f aca="false">AC6/AF6*3.3058</f>
        <v>7769.21269095182</v>
      </c>
      <c r="AE6" s="1941" t="s">
        <v>1592</v>
      </c>
      <c r="AF6" s="1641" t="n">
        <v>8510</v>
      </c>
      <c r="AG6" s="1942" t="s">
        <v>1580</v>
      </c>
      <c r="AH6" s="1942" t="s">
        <v>1580</v>
      </c>
      <c r="AI6" s="1942" t="s">
        <v>1580</v>
      </c>
      <c r="AJ6" s="1942" t="s">
        <v>1580</v>
      </c>
      <c r="AK6" s="1942" t="s">
        <v>1580</v>
      </c>
      <c r="AL6" s="1942" t="s">
        <v>121</v>
      </c>
      <c r="AM6" s="1942" t="s">
        <v>1582</v>
      </c>
      <c r="AN6" s="1945" t="s">
        <v>1583</v>
      </c>
      <c r="AO6" s="1945"/>
      <c r="AP6" s="1945"/>
      <c r="AQ6" s="1945"/>
      <c r="AR6" s="1945"/>
      <c r="AS6" s="1945"/>
      <c r="AT6" s="1945"/>
      <c r="AU6" s="1946"/>
      <c r="AV6" s="1945"/>
      <c r="AW6" s="1945"/>
      <c r="AX6" s="1935"/>
      <c r="AY6" s="1947" t="n">
        <f aca="false">3.6*365*999.24*0.98</f>
        <v>1286741.3328</v>
      </c>
      <c r="AZ6" s="1941" t="s">
        <v>1585</v>
      </c>
      <c r="BA6" s="1941" t="s">
        <v>1585</v>
      </c>
      <c r="BB6" s="934"/>
      <c r="BC6" s="1941" t="s">
        <v>1586</v>
      </c>
      <c r="BD6" s="1948"/>
    </row>
    <row r="7" customFormat="false" ht="18" hidden="false" customHeight="true" outlineLevel="0" collapsed="false">
      <c r="A7" s="1933" t="s">
        <v>1882</v>
      </c>
      <c r="B7" s="965" t="s">
        <v>1594</v>
      </c>
      <c r="C7" s="1683" t="s">
        <v>1883</v>
      </c>
      <c r="D7" s="1934" t="s">
        <v>1596</v>
      </c>
      <c r="E7" s="1935"/>
      <c r="F7" s="1935"/>
      <c r="G7" s="1936"/>
      <c r="H7" s="1937" t="n">
        <v>45628</v>
      </c>
      <c r="I7" s="1937" t="n">
        <v>45684</v>
      </c>
      <c r="J7" s="1937" t="s">
        <v>1576</v>
      </c>
      <c r="K7" s="1937" t="n">
        <v>45747</v>
      </c>
      <c r="L7" s="1938"/>
      <c r="M7" s="1937"/>
      <c r="N7" s="934" t="n">
        <v>1</v>
      </c>
      <c r="O7" s="1732"/>
      <c r="P7" s="1939"/>
      <c r="Q7" s="1937"/>
      <c r="R7" s="1937"/>
      <c r="S7" s="1937"/>
      <c r="T7" s="1940" t="n">
        <f aca="false">20000000*999.24</f>
        <v>19984800000</v>
      </c>
      <c r="U7" s="1939" t="n">
        <v>5</v>
      </c>
      <c r="V7" s="1937"/>
      <c r="W7" s="940"/>
      <c r="X7" s="1941" t="s">
        <v>1577</v>
      </c>
      <c r="Y7" s="1942" t="s">
        <v>1578</v>
      </c>
      <c r="Z7" s="1942" t="s">
        <v>1578</v>
      </c>
      <c r="AA7" s="1943" t="n">
        <f aca="false">(AF7/3.305)*AB7*1.8</f>
        <v>479091392.795328</v>
      </c>
      <c r="AB7" s="1944" t="n">
        <f aca="false">18110*3.3058*1.8</f>
        <v>107762.4684</v>
      </c>
      <c r="AC7" s="1639" t="n">
        <v>20000000</v>
      </c>
      <c r="AD7" s="1944" t="n">
        <f aca="false">AC7/AF7*3.3058</f>
        <v>8099.47323288007</v>
      </c>
      <c r="AE7" s="1941" t="s">
        <v>1592</v>
      </c>
      <c r="AF7" s="1641" t="n">
        <v>8163</v>
      </c>
      <c r="AG7" s="1942" t="s">
        <v>1580</v>
      </c>
      <c r="AH7" s="1942" t="s">
        <v>1580</v>
      </c>
      <c r="AI7" s="1942" t="s">
        <v>1580</v>
      </c>
      <c r="AJ7" s="1942" t="s">
        <v>1580</v>
      </c>
      <c r="AK7" s="1942" t="s">
        <v>1580</v>
      </c>
      <c r="AL7" s="1942" t="s">
        <v>121</v>
      </c>
      <c r="AM7" s="1942" t="s">
        <v>1582</v>
      </c>
      <c r="AN7" s="1945" t="s">
        <v>1583</v>
      </c>
      <c r="AO7" s="1945"/>
      <c r="AP7" s="1945"/>
      <c r="AQ7" s="1945"/>
      <c r="AR7" s="1945"/>
      <c r="AS7" s="1945"/>
      <c r="AT7" s="1945"/>
      <c r="AU7" s="1946"/>
      <c r="AV7" s="1945"/>
      <c r="AW7" s="1945"/>
      <c r="AX7" s="1935"/>
      <c r="AY7" s="1947" t="n">
        <f aca="false">3.6*365*999.24*0.98</f>
        <v>1286741.3328</v>
      </c>
      <c r="AZ7" s="1941" t="s">
        <v>1600</v>
      </c>
      <c r="BA7" s="1941" t="s">
        <v>1600</v>
      </c>
      <c r="BB7" s="934"/>
      <c r="BC7" s="1941" t="s">
        <v>1586</v>
      </c>
      <c r="BD7" s="1948"/>
    </row>
    <row r="8" customFormat="false" ht="18" hidden="false" customHeight="true" outlineLevel="0" collapsed="false">
      <c r="A8" s="1933" t="s">
        <v>1884</v>
      </c>
      <c r="B8" s="965" t="s">
        <v>1594</v>
      </c>
      <c r="C8" s="1683" t="s">
        <v>1883</v>
      </c>
      <c r="D8" s="1934" t="s">
        <v>1596</v>
      </c>
      <c r="E8" s="1935"/>
      <c r="F8" s="1935"/>
      <c r="G8" s="1936"/>
      <c r="H8" s="1937" t="n">
        <v>45628</v>
      </c>
      <c r="I8" s="1937" t="n">
        <v>45684</v>
      </c>
      <c r="J8" s="1937" t="s">
        <v>1576</v>
      </c>
      <c r="K8" s="1937" t="n">
        <v>45747</v>
      </c>
      <c r="L8" s="1938"/>
      <c r="M8" s="1937"/>
      <c r="N8" s="934" t="n">
        <v>1</v>
      </c>
      <c r="O8" s="1732"/>
      <c r="P8" s="1939"/>
      <c r="Q8" s="1937"/>
      <c r="R8" s="1937"/>
      <c r="S8" s="1937"/>
      <c r="T8" s="1940" t="n">
        <f aca="false">20000000*999.24</f>
        <v>19984800000</v>
      </c>
      <c r="U8" s="1939" t="n">
        <v>5</v>
      </c>
      <c r="V8" s="1937"/>
      <c r="W8" s="940"/>
      <c r="X8" s="1941" t="s">
        <v>1577</v>
      </c>
      <c r="Y8" s="1942" t="s">
        <v>1578</v>
      </c>
      <c r="Z8" s="1942" t="s">
        <v>1578</v>
      </c>
      <c r="AA8" s="1943" t="n">
        <f aca="false">(AF8/3.305)*AB8*1.8</f>
        <v>458549681.723619</v>
      </c>
      <c r="AB8" s="1944" t="n">
        <f aca="false">18110*3.3058*1.8</f>
        <v>107762.4684</v>
      </c>
      <c r="AC8" s="1639" t="n">
        <v>20000000</v>
      </c>
      <c r="AD8" s="1944" t="n">
        <f aca="false">AC8/AF8*3.3058</f>
        <v>8462.30641238961</v>
      </c>
      <c r="AE8" s="1941" t="s">
        <v>1592</v>
      </c>
      <c r="AF8" s="1641" t="n">
        <v>7813</v>
      </c>
      <c r="AG8" s="1942" t="s">
        <v>1580</v>
      </c>
      <c r="AH8" s="1942" t="s">
        <v>1580</v>
      </c>
      <c r="AI8" s="1942" t="s">
        <v>1580</v>
      </c>
      <c r="AJ8" s="1942" t="s">
        <v>1580</v>
      </c>
      <c r="AK8" s="1942" t="s">
        <v>1580</v>
      </c>
      <c r="AL8" s="1942" t="s">
        <v>121</v>
      </c>
      <c r="AM8" s="1942" t="s">
        <v>1582</v>
      </c>
      <c r="AN8" s="1945" t="s">
        <v>1583</v>
      </c>
      <c r="AO8" s="1945"/>
      <c r="AP8" s="1945"/>
      <c r="AQ8" s="1945"/>
      <c r="AR8" s="1945"/>
      <c r="AS8" s="1945"/>
      <c r="AT8" s="1945"/>
      <c r="AU8" s="1946"/>
      <c r="AV8" s="1945"/>
      <c r="AW8" s="1945"/>
      <c r="AX8" s="1935"/>
      <c r="AY8" s="1947" t="n">
        <f aca="false">3.6*365*999.24*0.98</f>
        <v>1286741.3328</v>
      </c>
      <c r="AZ8" s="1941" t="s">
        <v>1602</v>
      </c>
      <c r="BA8" s="1941" t="s">
        <v>1602</v>
      </c>
      <c r="BB8" s="934"/>
      <c r="BC8" s="1941" t="s">
        <v>1586</v>
      </c>
      <c r="BD8" s="1948"/>
    </row>
    <row r="9" customFormat="false" ht="18" hidden="false" customHeight="true" outlineLevel="0" collapsed="false">
      <c r="A9" s="1933" t="s">
        <v>1885</v>
      </c>
      <c r="B9" s="965" t="s">
        <v>1603</v>
      </c>
      <c r="C9" s="1683" t="s">
        <v>1886</v>
      </c>
      <c r="D9" s="1934" t="s">
        <v>1605</v>
      </c>
      <c r="E9" s="1935"/>
      <c r="F9" s="1935"/>
      <c r="G9" s="1936"/>
      <c r="H9" s="1937" t="n">
        <v>45628</v>
      </c>
      <c r="I9" s="1937" t="n">
        <v>45684</v>
      </c>
      <c r="J9" s="1937" t="s">
        <v>1576</v>
      </c>
      <c r="K9" s="1937" t="n">
        <v>45747</v>
      </c>
      <c r="L9" s="1938"/>
      <c r="M9" s="1937"/>
      <c r="N9" s="934" t="n">
        <v>1</v>
      </c>
      <c r="O9" s="1732"/>
      <c r="P9" s="1939"/>
      <c r="Q9" s="1937"/>
      <c r="R9" s="1937"/>
      <c r="S9" s="1937"/>
      <c r="T9" s="1940" t="n">
        <f aca="false">20000000*999.44</f>
        <v>19988800000</v>
      </c>
      <c r="U9" s="1939" t="n">
        <v>5</v>
      </c>
      <c r="V9" s="1937"/>
      <c r="W9" s="940"/>
      <c r="X9" s="1941" t="s">
        <v>1577</v>
      </c>
      <c r="Y9" s="1942" t="s">
        <v>1578</v>
      </c>
      <c r="Z9" s="1942" t="s">
        <v>1578</v>
      </c>
      <c r="AA9" s="1943" t="n">
        <f aca="false">(AF9/3.305)*AB9*1.8</f>
        <v>209528337.229434</v>
      </c>
      <c r="AB9" s="1944" t="n">
        <f aca="false">7510*3.3058*1.8</f>
        <v>44687.8044</v>
      </c>
      <c r="AC9" s="1639" t="n">
        <v>20000000</v>
      </c>
      <c r="AD9" s="1944" t="n">
        <f aca="false">AC9/AF9*3.3058</f>
        <v>7679.86990358927</v>
      </c>
      <c r="AE9" s="1941" t="s">
        <v>1592</v>
      </c>
      <c r="AF9" s="1641" t="n">
        <v>8609</v>
      </c>
      <c r="AG9" s="1942" t="s">
        <v>1580</v>
      </c>
      <c r="AH9" s="1942" t="s">
        <v>1580</v>
      </c>
      <c r="AI9" s="1942" t="s">
        <v>1580</v>
      </c>
      <c r="AJ9" s="1942" t="s">
        <v>1580</v>
      </c>
      <c r="AK9" s="1942" t="s">
        <v>1580</v>
      </c>
      <c r="AL9" s="1942" t="s">
        <v>121</v>
      </c>
      <c r="AM9" s="1942" t="s">
        <v>1582</v>
      </c>
      <c r="AN9" s="1945" t="s">
        <v>1583</v>
      </c>
      <c r="AO9" s="1945"/>
      <c r="AP9" s="1945"/>
      <c r="AQ9" s="1945"/>
      <c r="AR9" s="1945"/>
      <c r="AS9" s="1945"/>
      <c r="AT9" s="1945"/>
      <c r="AU9" s="1946"/>
      <c r="AV9" s="1945"/>
      <c r="AW9" s="1945"/>
      <c r="AX9" s="1935"/>
      <c r="AY9" s="1947" t="n">
        <f aca="false">3.6*365*999.44*0.98</f>
        <v>1286998.8768</v>
      </c>
      <c r="AZ9" s="1941" t="s">
        <v>1608</v>
      </c>
      <c r="BA9" s="1941" t="s">
        <v>1608</v>
      </c>
      <c r="BB9" s="934"/>
      <c r="BC9" s="1941" t="s">
        <v>1586</v>
      </c>
      <c r="BD9" s="1948"/>
    </row>
    <row r="10" s="1708" customFormat="true" ht="18" hidden="false" customHeight="true" outlineLevel="0" collapsed="false">
      <c r="A10" s="1949" t="s">
        <v>1887</v>
      </c>
      <c r="B10" s="1190" t="s">
        <v>1609</v>
      </c>
      <c r="C10" s="1828" t="s">
        <v>1888</v>
      </c>
      <c r="D10" s="1950" t="s">
        <v>1611</v>
      </c>
      <c r="E10" s="1951"/>
      <c r="F10" s="1951"/>
      <c r="G10" s="1952"/>
      <c r="H10" s="1953" t="n">
        <v>45628</v>
      </c>
      <c r="I10" s="1953" t="n">
        <v>45684</v>
      </c>
      <c r="J10" s="1953" t="s">
        <v>1576</v>
      </c>
      <c r="K10" s="1953" t="n">
        <v>45747</v>
      </c>
      <c r="L10" s="1954"/>
      <c r="M10" s="1953"/>
      <c r="N10" s="1955" t="n">
        <v>1</v>
      </c>
      <c r="O10" s="1956"/>
      <c r="P10" s="1957"/>
      <c r="Q10" s="1953"/>
      <c r="R10" s="1953"/>
      <c r="S10" s="1953"/>
      <c r="T10" s="1958" t="n">
        <f aca="false">20000000*999.24</f>
        <v>19984800000</v>
      </c>
      <c r="U10" s="1957" t="n">
        <v>5</v>
      </c>
      <c r="V10" s="1953"/>
      <c r="W10" s="1959"/>
      <c r="X10" s="1955" t="s">
        <v>1577</v>
      </c>
      <c r="Y10" s="1960" t="s">
        <v>1578</v>
      </c>
      <c r="Z10" s="1960" t="s">
        <v>1578</v>
      </c>
      <c r="AA10" s="1961" t="n">
        <f aca="false">(AF10/3.305)*AB10*1.8</f>
        <v>219818507.839516</v>
      </c>
      <c r="AB10" s="1962" t="n">
        <f aca="false">7800*3.3058*1.8</f>
        <v>46413.432</v>
      </c>
      <c r="AC10" s="1963" t="n">
        <v>20000000</v>
      </c>
      <c r="AD10" s="1962" t="n">
        <f aca="false">AC10/AF10*3.3058</f>
        <v>7603.03587856486</v>
      </c>
      <c r="AE10" s="1955" t="s">
        <v>1592</v>
      </c>
      <c r="AF10" s="1964" t="n">
        <f aca="false">385+8311</f>
        <v>8696</v>
      </c>
      <c r="AG10" s="1960" t="s">
        <v>1580</v>
      </c>
      <c r="AH10" s="1960" t="s">
        <v>1580</v>
      </c>
      <c r="AI10" s="1960" t="s">
        <v>1580</v>
      </c>
      <c r="AJ10" s="1960" t="s">
        <v>1580</v>
      </c>
      <c r="AK10" s="1960" t="s">
        <v>1580</v>
      </c>
      <c r="AL10" s="1960" t="s">
        <v>121</v>
      </c>
      <c r="AM10" s="1960" t="s">
        <v>1582</v>
      </c>
      <c r="AN10" s="1965" t="s">
        <v>1583</v>
      </c>
      <c r="AO10" s="1965"/>
      <c r="AP10" s="1965"/>
      <c r="AQ10" s="1965"/>
      <c r="AR10" s="1965"/>
      <c r="AS10" s="1965"/>
      <c r="AT10" s="1965"/>
      <c r="AU10" s="1966"/>
      <c r="AV10" s="1965"/>
      <c r="AW10" s="1965"/>
      <c r="AX10" s="1951"/>
      <c r="AY10" s="1967" t="n">
        <f aca="false">3.6*365*999.44*0.98</f>
        <v>1286998.8768</v>
      </c>
      <c r="AZ10" s="1955" t="s">
        <v>1612</v>
      </c>
      <c r="BA10" s="1955" t="s">
        <v>1612</v>
      </c>
      <c r="BB10" s="1955"/>
      <c r="BC10" s="1955" t="s">
        <v>1586</v>
      </c>
      <c r="BD10" s="1948"/>
    </row>
    <row r="11" customFormat="false" ht="18" hidden="false" customHeight="true" outlineLevel="0" collapsed="false">
      <c r="A11" s="1933" t="s">
        <v>184</v>
      </c>
      <c r="B11" s="965" t="s">
        <v>1889</v>
      </c>
      <c r="C11" s="1683" t="s">
        <v>1890</v>
      </c>
      <c r="D11" s="1934" t="s">
        <v>1615</v>
      </c>
      <c r="E11" s="1935"/>
      <c r="F11" s="1935"/>
      <c r="G11" s="1936"/>
      <c r="H11" s="1937" t="s">
        <v>966</v>
      </c>
      <c r="I11" s="1937" t="s">
        <v>966</v>
      </c>
      <c r="J11" s="1937"/>
      <c r="K11" s="1937"/>
      <c r="L11" s="1938"/>
      <c r="M11" s="1937"/>
      <c r="N11" s="934" t="n">
        <v>1</v>
      </c>
      <c r="O11" s="1732"/>
      <c r="P11" s="1939"/>
      <c r="Q11" s="1937"/>
      <c r="R11" s="1937"/>
      <c r="S11" s="1937"/>
      <c r="T11" s="1940" t="n">
        <f aca="false">20000000*700</f>
        <v>14000000000</v>
      </c>
      <c r="U11" s="1939"/>
      <c r="V11" s="1937"/>
      <c r="W11" s="940"/>
      <c r="X11" s="1941" t="s">
        <v>1616</v>
      </c>
      <c r="Y11" s="1942" t="s">
        <v>362</v>
      </c>
      <c r="Z11" s="1942" t="s">
        <v>362</v>
      </c>
      <c r="AA11" s="1943" t="n">
        <f aca="false">(AF11/3.305)*AB11*1.8</f>
        <v>423979620.206378</v>
      </c>
      <c r="AB11" s="1944" t="n">
        <f aca="false">20480*3.3058*1.8</f>
        <v>121865.0112</v>
      </c>
      <c r="AC11" s="1639" t="n">
        <v>20000000</v>
      </c>
      <c r="AD11" s="1944" t="n">
        <f aca="false">AC11/AF11*3.3058</f>
        <v>10350.0313087038</v>
      </c>
      <c r="AE11" s="1941" t="s">
        <v>1579</v>
      </c>
      <c r="AF11" s="1641" t="n">
        <v>6388</v>
      </c>
      <c r="AG11" s="1942" t="s">
        <v>1580</v>
      </c>
      <c r="AH11" s="1942" t="s">
        <v>1580</v>
      </c>
      <c r="AI11" s="1942" t="s">
        <v>1580</v>
      </c>
      <c r="AJ11" s="1939"/>
      <c r="AK11" s="1942" t="s">
        <v>1580</v>
      </c>
      <c r="AL11" s="1942" t="s">
        <v>121</v>
      </c>
      <c r="AM11" s="1942" t="s">
        <v>1582</v>
      </c>
      <c r="AN11" s="1945"/>
      <c r="AO11" s="1945"/>
      <c r="AP11" s="1945"/>
      <c r="AQ11" s="1945"/>
      <c r="AR11" s="1945"/>
      <c r="AS11" s="1945"/>
      <c r="AT11" s="1945"/>
      <c r="AU11" s="1946"/>
      <c r="AV11" s="1945"/>
      <c r="AW11" s="1945"/>
      <c r="AX11" s="1935"/>
      <c r="AY11" s="1947" t="n">
        <f aca="false">3.6*365*700*0.98</f>
        <v>901404</v>
      </c>
      <c r="AZ11" s="1941" t="s">
        <v>1619</v>
      </c>
      <c r="BA11" s="1941" t="s">
        <v>1619</v>
      </c>
      <c r="BB11" s="934"/>
      <c r="BC11" s="1941" t="s">
        <v>1586</v>
      </c>
      <c r="BD11" s="965"/>
    </row>
    <row r="12" customFormat="false" ht="18" hidden="false" customHeight="true" outlineLevel="0" collapsed="false">
      <c r="A12" s="1933" t="s">
        <v>185</v>
      </c>
      <c r="B12" s="965" t="s">
        <v>1889</v>
      </c>
      <c r="C12" s="1683" t="s">
        <v>1891</v>
      </c>
      <c r="D12" s="1934" t="s">
        <v>1623</v>
      </c>
      <c r="E12" s="1935"/>
      <c r="F12" s="1935"/>
      <c r="G12" s="1936"/>
      <c r="H12" s="1937" t="s">
        <v>966</v>
      </c>
      <c r="I12" s="1937" t="s">
        <v>966</v>
      </c>
      <c r="J12" s="1937"/>
      <c r="K12" s="1937"/>
      <c r="L12" s="1938"/>
      <c r="M12" s="1937"/>
      <c r="N12" s="934" t="n">
        <v>1</v>
      </c>
      <c r="O12" s="1732"/>
      <c r="P12" s="1939"/>
      <c r="Q12" s="1937"/>
      <c r="R12" s="1937"/>
      <c r="S12" s="1937"/>
      <c r="T12" s="1940" t="n">
        <f aca="false">20000000*399.04</f>
        <v>7980800000</v>
      </c>
      <c r="U12" s="1939"/>
      <c r="V12" s="1937"/>
      <c r="W12" s="940"/>
      <c r="X12" s="1941" t="s">
        <v>301</v>
      </c>
      <c r="Y12" s="1942" t="s">
        <v>362</v>
      </c>
      <c r="Z12" s="1942" t="s">
        <v>362</v>
      </c>
      <c r="AA12" s="1943" t="n">
        <f aca="false">(AF12/3.305)*AB12*1.8</f>
        <v>112565659.967129</v>
      </c>
      <c r="AB12" s="1944" t="n">
        <f aca="false">8480*3.3058*1.8</f>
        <v>50459.7312</v>
      </c>
      <c r="AC12" s="1639" t="n">
        <v>20000000</v>
      </c>
      <c r="AD12" s="1944" t="n">
        <f aca="false">AC12/AF12*3.3058</f>
        <v>16141.6015625</v>
      </c>
      <c r="AE12" s="1941" t="s">
        <v>1579</v>
      </c>
      <c r="AF12" s="1641" t="n">
        <v>4096</v>
      </c>
      <c r="AG12" s="1942" t="s">
        <v>1580</v>
      </c>
      <c r="AH12" s="1942" t="s">
        <v>1580</v>
      </c>
      <c r="AI12" s="1942" t="s">
        <v>1580</v>
      </c>
      <c r="AJ12" s="1939"/>
      <c r="AK12" s="1942" t="s">
        <v>1580</v>
      </c>
      <c r="AL12" s="1942" t="s">
        <v>121</v>
      </c>
      <c r="AM12" s="1942" t="s">
        <v>1582</v>
      </c>
      <c r="AN12" s="1945"/>
      <c r="AO12" s="1945"/>
      <c r="AP12" s="1945"/>
      <c r="AQ12" s="1945"/>
      <c r="AR12" s="1945"/>
      <c r="AS12" s="1945"/>
      <c r="AT12" s="1945"/>
      <c r="AU12" s="1946"/>
      <c r="AV12" s="1945"/>
      <c r="AW12" s="1945"/>
      <c r="AX12" s="1935"/>
      <c r="AY12" s="1947" t="n">
        <f aca="false">3.6*365*399.04*0.98</f>
        <v>513851.7888</v>
      </c>
      <c r="AZ12" s="1941" t="s">
        <v>1625</v>
      </c>
      <c r="BA12" s="1941" t="s">
        <v>1625</v>
      </c>
      <c r="BB12" s="934"/>
      <c r="BC12" s="1941" t="s">
        <v>1586</v>
      </c>
      <c r="BD12" s="965"/>
    </row>
    <row r="13" customFormat="false" ht="14.25" hidden="false" customHeight="true" outlineLevel="0" collapsed="false">
      <c r="A13" s="1933" t="s">
        <v>186</v>
      </c>
      <c r="B13" s="965" t="s">
        <v>1889</v>
      </c>
      <c r="C13" s="1683" t="s">
        <v>1892</v>
      </c>
      <c r="D13" s="1934" t="s">
        <v>1628</v>
      </c>
      <c r="E13" s="1935"/>
      <c r="F13" s="1935"/>
      <c r="G13" s="1936"/>
      <c r="H13" s="1937" t="s">
        <v>966</v>
      </c>
      <c r="I13" s="1937" t="s">
        <v>966</v>
      </c>
      <c r="J13" s="1937"/>
      <c r="K13" s="1937"/>
      <c r="L13" s="1938"/>
      <c r="M13" s="1937"/>
      <c r="N13" s="934" t="n">
        <v>1</v>
      </c>
      <c r="O13" s="1732"/>
      <c r="P13" s="1939"/>
      <c r="Q13" s="1937"/>
      <c r="R13" s="1937"/>
      <c r="S13" s="1937"/>
      <c r="T13" s="1940" t="n">
        <f aca="false">20000000*499.96</f>
        <v>9999200000</v>
      </c>
      <c r="U13" s="1939"/>
      <c r="V13" s="1937"/>
      <c r="X13" s="1941" t="s">
        <v>794</v>
      </c>
      <c r="Y13" s="1942" t="s">
        <v>362</v>
      </c>
      <c r="Z13" s="1942" t="s">
        <v>362</v>
      </c>
      <c r="AA13" s="1943" t="n">
        <f aca="false">(AF13/3.305)*AB13*1.8</f>
        <v>114439222.167141</v>
      </c>
      <c r="AB13" s="1944" t="n">
        <f aca="false">7700*3.3058*1.8</f>
        <v>45818.388</v>
      </c>
      <c r="AC13" s="1639" t="n">
        <v>20000000</v>
      </c>
      <c r="AD13" s="1944" t="n">
        <f aca="false">AC13/AF13*3.3058</f>
        <v>14416.9210641082</v>
      </c>
      <c r="AE13" s="1941" t="s">
        <v>1579</v>
      </c>
      <c r="AF13" s="1641" t="n">
        <v>4586</v>
      </c>
      <c r="AG13" s="1942" t="s">
        <v>1580</v>
      </c>
      <c r="AH13" s="1942" t="s">
        <v>1580</v>
      </c>
      <c r="AI13" s="1942" t="s">
        <v>1580</v>
      </c>
      <c r="AJ13" s="1939"/>
      <c r="AK13" s="1942" t="s">
        <v>1580</v>
      </c>
      <c r="AL13" s="1942" t="s">
        <v>121</v>
      </c>
      <c r="AM13" s="1942" t="s">
        <v>1582</v>
      </c>
      <c r="AN13" s="1945"/>
      <c r="AO13" s="1945"/>
      <c r="AP13" s="1945"/>
      <c r="AQ13" s="1945"/>
      <c r="AR13" s="1945"/>
      <c r="AS13" s="1945"/>
      <c r="AT13" s="1945"/>
      <c r="AU13" s="1946"/>
      <c r="AV13" s="1945"/>
      <c r="AW13" s="1945"/>
      <c r="AX13" s="1935"/>
      <c r="AY13" s="1947" t="n">
        <f aca="false">3.6*365*499.96*0.98</f>
        <v>643808.4912</v>
      </c>
      <c r="AZ13" s="1941" t="s">
        <v>644</v>
      </c>
      <c r="BA13" s="1941" t="s">
        <v>644</v>
      </c>
      <c r="BC13" s="1941" t="s">
        <v>1586</v>
      </c>
      <c r="BD13" s="965"/>
    </row>
    <row r="14" customFormat="false" ht="15" hidden="false" customHeight="false" outlineLevel="0" collapsed="false">
      <c r="A14" s="1933" t="s">
        <v>187</v>
      </c>
      <c r="B14" s="965" t="s">
        <v>1889</v>
      </c>
      <c r="C14" s="1683" t="s">
        <v>1893</v>
      </c>
      <c r="D14" s="1934" t="s">
        <v>1644</v>
      </c>
      <c r="E14" s="1935"/>
      <c r="F14" s="1935"/>
      <c r="G14" s="1936"/>
      <c r="H14" s="1937" t="s">
        <v>966</v>
      </c>
      <c r="I14" s="1937" t="s">
        <v>966</v>
      </c>
      <c r="J14" s="1937"/>
      <c r="K14" s="1937"/>
      <c r="L14" s="1938"/>
      <c r="M14" s="1937"/>
      <c r="N14" s="934" t="n">
        <v>4</v>
      </c>
      <c r="O14" s="1732"/>
      <c r="P14" s="1939"/>
      <c r="Q14" s="1937"/>
      <c r="R14" s="1937"/>
      <c r="S14" s="1937"/>
      <c r="T14" s="1940" t="n">
        <f aca="false">20000000*3974.4</f>
        <v>79488000000</v>
      </c>
      <c r="U14" s="1939"/>
      <c r="V14" s="1937"/>
      <c r="X14" s="1941" t="s">
        <v>817</v>
      </c>
      <c r="Y14" s="1942" t="s">
        <v>362</v>
      </c>
      <c r="Z14" s="1942" t="s">
        <v>362</v>
      </c>
      <c r="AA14" s="1943" t="n">
        <f aca="false">(AF14/3.305)*AB14*1.8</f>
        <v>99766461.2149688</v>
      </c>
      <c r="AB14" s="1944" t="n">
        <f aca="false">1298*3.3058*1.8</f>
        <v>7723.67112</v>
      </c>
      <c r="AC14" s="1639" t="n">
        <v>20000000</v>
      </c>
      <c r="AD14" s="1944" t="n">
        <f aca="false">AC14/AF14*3.3058</f>
        <v>2787.70502171438</v>
      </c>
      <c r="AE14" s="1941" t="s">
        <v>1579</v>
      </c>
      <c r="AF14" s="1641" t="n">
        <v>23717</v>
      </c>
      <c r="AG14" s="1942" t="s">
        <v>1580</v>
      </c>
      <c r="AH14" s="1942" t="s">
        <v>1580</v>
      </c>
      <c r="AI14" s="1942" t="s">
        <v>1580</v>
      </c>
      <c r="AJ14" s="1939"/>
      <c r="AK14" s="1942" t="s">
        <v>1580</v>
      </c>
      <c r="AL14" s="1942" t="s">
        <v>121</v>
      </c>
      <c r="AM14" s="1942" t="s">
        <v>1582</v>
      </c>
      <c r="AN14" s="1945"/>
      <c r="AO14" s="1945"/>
      <c r="AP14" s="1945"/>
      <c r="AQ14" s="1945"/>
      <c r="AR14" s="1945"/>
      <c r="AS14" s="1945"/>
      <c r="AT14" s="1945"/>
      <c r="AU14" s="1946"/>
      <c r="AV14" s="1945"/>
      <c r="AW14" s="1945"/>
      <c r="AX14" s="1935"/>
      <c r="AY14" s="1947" t="n">
        <f aca="false">3.6*365*3974.4*0.98</f>
        <v>5117914.368</v>
      </c>
      <c r="AZ14" s="1941" t="s">
        <v>1894</v>
      </c>
      <c r="BA14" s="1941" t="s">
        <v>1894</v>
      </c>
      <c r="BC14" s="1941" t="s">
        <v>1586</v>
      </c>
      <c r="BD14" s="965"/>
    </row>
    <row r="15" customFormat="false" ht="15" hidden="false" customHeight="false" outlineLevel="0" collapsed="false">
      <c r="A15" s="1933" t="s">
        <v>181</v>
      </c>
      <c r="B15" s="965" t="s">
        <v>1631</v>
      </c>
      <c r="C15" s="1683" t="s">
        <v>1895</v>
      </c>
      <c r="D15" s="1934" t="s">
        <v>1658</v>
      </c>
      <c r="E15" s="1935"/>
      <c r="F15" s="1935"/>
      <c r="G15" s="1936"/>
      <c r="H15" s="1937" t="s">
        <v>966</v>
      </c>
      <c r="I15" s="1937" t="s">
        <v>966</v>
      </c>
      <c r="J15" s="1937"/>
      <c r="K15" s="1937"/>
      <c r="L15" s="1938"/>
      <c r="M15" s="1937"/>
      <c r="N15" s="934" t="n">
        <v>3</v>
      </c>
      <c r="O15" s="1732"/>
      <c r="P15" s="1939"/>
      <c r="Q15" s="1937"/>
      <c r="R15" s="1937"/>
      <c r="S15" s="1937"/>
      <c r="T15" s="1940" t="n">
        <f aca="false">20000000*2176.71</f>
        <v>43534200000</v>
      </c>
      <c r="U15" s="1939"/>
      <c r="V15" s="1937"/>
      <c r="X15" s="1941" t="s">
        <v>817</v>
      </c>
      <c r="Y15" s="1942" t="s">
        <v>362</v>
      </c>
      <c r="Z15" s="1942" t="s">
        <v>362</v>
      </c>
      <c r="AA15" s="1943" t="n">
        <f aca="false">(AF15/3.305)*AB15*1.8</f>
        <v>293220067.737077</v>
      </c>
      <c r="AB15" s="1944" t="n">
        <f aca="false">3361*3.3058*1.8</f>
        <v>19999.42884</v>
      </c>
      <c r="AC15" s="1639" t="n">
        <v>20000000</v>
      </c>
      <c r="AD15" s="1944" t="n">
        <f aca="false">AC15/AF15*3.3058</f>
        <v>2456.01783060921</v>
      </c>
      <c r="AE15" s="1941" t="s">
        <v>1579</v>
      </c>
      <c r="AF15" s="1641" t="n">
        <v>26920</v>
      </c>
      <c r="AG15" s="1942" t="s">
        <v>1580</v>
      </c>
      <c r="AH15" s="1942" t="s">
        <v>1580</v>
      </c>
      <c r="AI15" s="1942" t="s">
        <v>1580</v>
      </c>
      <c r="AJ15" s="1939"/>
      <c r="AK15" s="1942" t="s">
        <v>1580</v>
      </c>
      <c r="AL15" s="1942" t="s">
        <v>121</v>
      </c>
      <c r="AM15" s="1942" t="s">
        <v>1582</v>
      </c>
      <c r="AN15" s="1945"/>
      <c r="AO15" s="1945"/>
      <c r="AP15" s="1945"/>
      <c r="AQ15" s="1945"/>
      <c r="AR15" s="1945"/>
      <c r="AS15" s="1945"/>
      <c r="AT15" s="1945"/>
      <c r="AU15" s="1946"/>
      <c r="AV15" s="1945"/>
      <c r="AW15" s="1945"/>
      <c r="AX15" s="1935"/>
      <c r="AY15" s="1947" t="n">
        <f aca="false">3.6*365*2176.71*0.98</f>
        <v>2802993.0012</v>
      </c>
      <c r="AZ15" s="1941" t="s">
        <v>1896</v>
      </c>
      <c r="BA15" s="1941" t="s">
        <v>1896</v>
      </c>
      <c r="BC15" s="1941" t="s">
        <v>1586</v>
      </c>
      <c r="BD15" s="965"/>
    </row>
    <row r="16" customFormat="false" ht="15" hidden="false" customHeight="false" outlineLevel="0" collapsed="false">
      <c r="A16" s="1933" t="s">
        <v>183</v>
      </c>
      <c r="B16" s="965" t="s">
        <v>1638</v>
      </c>
      <c r="C16" s="1683"/>
      <c r="D16" s="1263"/>
      <c r="E16" s="1935"/>
      <c r="F16" s="1935"/>
      <c r="G16" s="1936"/>
      <c r="H16" s="1937"/>
      <c r="I16" s="1937"/>
      <c r="J16" s="1937"/>
      <c r="K16" s="1937"/>
      <c r="L16" s="1938"/>
      <c r="M16" s="1937"/>
      <c r="O16" s="1732"/>
      <c r="P16" s="1939"/>
      <c r="Q16" s="1937"/>
      <c r="R16" s="1937"/>
      <c r="S16" s="1937"/>
      <c r="T16" s="1940"/>
      <c r="U16" s="1939"/>
      <c r="V16" s="1937"/>
      <c r="Y16" s="1939"/>
      <c r="Z16" s="1939"/>
      <c r="AA16" s="1943"/>
      <c r="AB16" s="1944"/>
      <c r="AD16" s="1944"/>
      <c r="AG16" s="1939"/>
      <c r="AH16" s="1939"/>
      <c r="AI16" s="1939"/>
      <c r="AJ16" s="1939"/>
      <c r="AK16" s="1939"/>
      <c r="AL16" s="1942"/>
      <c r="AM16" s="1939"/>
      <c r="AN16" s="1945"/>
      <c r="AO16" s="1945"/>
      <c r="AP16" s="1945"/>
      <c r="AQ16" s="1945"/>
      <c r="AR16" s="1945"/>
      <c r="AS16" s="1945"/>
      <c r="AT16" s="1945"/>
      <c r="AU16" s="1946"/>
      <c r="AV16" s="1945"/>
      <c r="AW16" s="1945"/>
      <c r="AX16" s="1935"/>
      <c r="AY16" s="1947"/>
      <c r="AZ16" s="934"/>
      <c r="BA16" s="934"/>
      <c r="BD16" s="965"/>
    </row>
    <row r="17" customFormat="false" ht="15" hidden="false" customHeight="false" outlineLevel="0" collapsed="false">
      <c r="A17" s="1933" t="s">
        <v>180</v>
      </c>
      <c r="B17" s="965" t="s">
        <v>1626</v>
      </c>
      <c r="C17" s="1683"/>
      <c r="D17" s="1263"/>
      <c r="E17" s="1935"/>
      <c r="F17" s="1935"/>
      <c r="G17" s="1936"/>
      <c r="H17" s="1937"/>
      <c r="I17" s="1937"/>
      <c r="J17" s="1937"/>
      <c r="K17" s="1937"/>
      <c r="L17" s="1938"/>
      <c r="M17" s="1937"/>
      <c r="O17" s="1732"/>
      <c r="P17" s="1939"/>
      <c r="Q17" s="1937"/>
      <c r="R17" s="1937"/>
      <c r="S17" s="1937"/>
      <c r="T17" s="1940"/>
      <c r="U17" s="1939"/>
      <c r="V17" s="1937"/>
      <c r="Y17" s="1939"/>
      <c r="Z17" s="1939"/>
      <c r="AA17" s="1943"/>
      <c r="AB17" s="1944"/>
      <c r="AD17" s="1944"/>
      <c r="AG17" s="1939"/>
      <c r="AH17" s="1939"/>
      <c r="AI17" s="1939"/>
      <c r="AJ17" s="1939"/>
      <c r="AK17" s="1939"/>
      <c r="AL17" s="1942"/>
      <c r="AM17" s="1939"/>
      <c r="AN17" s="1945"/>
      <c r="AO17" s="1945"/>
      <c r="AP17" s="1945"/>
      <c r="AQ17" s="1945"/>
      <c r="AR17" s="1945"/>
      <c r="AS17" s="1945"/>
      <c r="AT17" s="1945"/>
      <c r="AU17" s="1946"/>
      <c r="AV17" s="1945"/>
      <c r="AW17" s="1945"/>
      <c r="AX17" s="1935"/>
      <c r="AY17" s="1947"/>
      <c r="AZ17" s="934"/>
      <c r="BA17" s="934"/>
      <c r="BD17" s="965"/>
    </row>
    <row r="18" customFormat="false" ht="15" hidden="false" customHeight="false" outlineLevel="0" collapsed="false">
      <c r="A18" s="1933" t="s">
        <v>182</v>
      </c>
      <c r="B18" s="965" t="s">
        <v>1635</v>
      </c>
      <c r="C18" s="1683"/>
      <c r="D18" s="1263"/>
      <c r="E18" s="1935"/>
      <c r="F18" s="1935"/>
      <c r="G18" s="1936"/>
      <c r="H18" s="1937"/>
      <c r="I18" s="1937"/>
      <c r="J18" s="1937"/>
      <c r="K18" s="1937"/>
      <c r="L18" s="1938"/>
      <c r="M18" s="1937"/>
      <c r="O18" s="1732"/>
      <c r="P18" s="1939"/>
      <c r="Q18" s="1937"/>
      <c r="R18" s="1937"/>
      <c r="S18" s="1937"/>
      <c r="T18" s="1940"/>
      <c r="U18" s="1939"/>
      <c r="V18" s="1937"/>
      <c r="Y18" s="1939"/>
      <c r="Z18" s="1939"/>
      <c r="AA18" s="1943"/>
      <c r="AB18" s="1944"/>
      <c r="AD18" s="1944"/>
      <c r="AG18" s="1939"/>
      <c r="AH18" s="1939"/>
      <c r="AI18" s="1939"/>
      <c r="AJ18" s="1939"/>
      <c r="AK18" s="1939"/>
      <c r="AL18" s="1942"/>
      <c r="AM18" s="1939"/>
      <c r="AN18" s="1945"/>
      <c r="AO18" s="1945"/>
      <c r="AP18" s="1945"/>
      <c r="AQ18" s="1945"/>
      <c r="AR18" s="1945"/>
      <c r="AS18" s="1945"/>
      <c r="AT18" s="1945"/>
      <c r="AU18" s="1946"/>
      <c r="AV18" s="1945"/>
      <c r="AW18" s="1945"/>
      <c r="AX18" s="1935"/>
      <c r="AY18" s="1947"/>
      <c r="AZ18" s="934"/>
      <c r="BA18" s="934"/>
      <c r="BD18" s="965"/>
    </row>
    <row r="19" customFormat="false" ht="15" hidden="false" customHeight="false" outlineLevel="0" collapsed="false">
      <c r="A19" s="1933" t="s">
        <v>178</v>
      </c>
      <c r="B19" s="965" t="s">
        <v>1613</v>
      </c>
      <c r="C19" s="1683"/>
      <c r="D19" s="1263"/>
      <c r="E19" s="1935"/>
      <c r="F19" s="1935"/>
      <c r="G19" s="1936"/>
      <c r="H19" s="1937"/>
      <c r="I19" s="1937"/>
      <c r="J19" s="1937"/>
      <c r="K19" s="1937"/>
      <c r="L19" s="1938"/>
      <c r="M19" s="1937"/>
      <c r="O19" s="1732"/>
      <c r="P19" s="1939"/>
      <c r="Q19" s="1937"/>
      <c r="R19" s="1937"/>
      <c r="S19" s="1937"/>
      <c r="T19" s="1940"/>
      <c r="U19" s="1939"/>
      <c r="V19" s="1937"/>
      <c r="Y19" s="1939"/>
      <c r="Z19" s="1939"/>
      <c r="AA19" s="1943"/>
      <c r="AB19" s="1944"/>
      <c r="AD19" s="1944"/>
      <c r="AG19" s="1939"/>
      <c r="AH19" s="1939"/>
      <c r="AI19" s="1939"/>
      <c r="AJ19" s="1939"/>
      <c r="AK19" s="1939"/>
      <c r="AL19" s="1942"/>
      <c r="AM19" s="1939"/>
      <c r="AN19" s="1945"/>
      <c r="AO19" s="1945"/>
      <c r="AP19" s="1945"/>
      <c r="AQ19" s="1945"/>
      <c r="AR19" s="1945"/>
      <c r="AS19" s="1945"/>
      <c r="AT19" s="1945"/>
      <c r="AU19" s="1946"/>
      <c r="AV19" s="1945"/>
      <c r="AW19" s="1945"/>
      <c r="AX19" s="1935"/>
      <c r="AY19" s="1947"/>
      <c r="AZ19" s="934"/>
      <c r="BA19" s="934"/>
      <c r="BD19" s="965"/>
    </row>
    <row r="20" s="1708" customFormat="true" ht="15" hidden="false" customHeight="false" outlineLevel="0" collapsed="false">
      <c r="A20" s="1949" t="s">
        <v>179</v>
      </c>
      <c r="B20" s="1190" t="s">
        <v>1621</v>
      </c>
      <c r="C20" s="1828"/>
      <c r="D20" s="1950"/>
      <c r="E20" s="1951"/>
      <c r="F20" s="1951"/>
      <c r="G20" s="1952"/>
      <c r="H20" s="1953"/>
      <c r="I20" s="1953"/>
      <c r="J20" s="1953"/>
      <c r="K20" s="1953"/>
      <c r="L20" s="1954"/>
      <c r="M20" s="1953"/>
      <c r="N20" s="1955"/>
      <c r="O20" s="1956"/>
      <c r="P20" s="1957"/>
      <c r="Q20" s="1953"/>
      <c r="R20" s="1953"/>
      <c r="S20" s="1953"/>
      <c r="T20" s="1958"/>
      <c r="U20" s="1957"/>
      <c r="V20" s="1953"/>
      <c r="W20" s="1955"/>
      <c r="X20" s="1955"/>
      <c r="Y20" s="1957"/>
      <c r="Z20" s="1957"/>
      <c r="AA20" s="1961"/>
      <c r="AB20" s="1962"/>
      <c r="AC20" s="1963"/>
      <c r="AD20" s="1962"/>
      <c r="AE20" s="1955"/>
      <c r="AF20" s="1964"/>
      <c r="AG20" s="1957"/>
      <c r="AH20" s="1957"/>
      <c r="AI20" s="1957"/>
      <c r="AJ20" s="1957"/>
      <c r="AK20" s="1957"/>
      <c r="AL20" s="1960"/>
      <c r="AM20" s="1957"/>
      <c r="AN20" s="1965"/>
      <c r="AO20" s="1965"/>
      <c r="AP20" s="1965"/>
      <c r="AQ20" s="1965"/>
      <c r="AR20" s="1965"/>
      <c r="AS20" s="1965"/>
      <c r="AT20" s="1965"/>
      <c r="AU20" s="1966"/>
      <c r="AV20" s="1965"/>
      <c r="AW20" s="1965"/>
      <c r="AX20" s="1951"/>
      <c r="AY20" s="1967"/>
      <c r="AZ20" s="1955"/>
      <c r="BA20" s="1955"/>
      <c r="BB20" s="4"/>
      <c r="BC20" s="1955"/>
      <c r="BD20" s="1190"/>
    </row>
    <row r="21" customFormat="false" ht="15" hidden="false" customHeight="true" outlineLevel="0" collapsed="false">
      <c r="A21" s="1968" t="s">
        <v>1897</v>
      </c>
      <c r="B21" s="1969" t="s">
        <v>1697</v>
      </c>
      <c r="C21" s="1970"/>
      <c r="D21" s="1970"/>
      <c r="E21" s="1970"/>
      <c r="F21" s="1970"/>
      <c r="G21" s="1971"/>
      <c r="H21" s="1971"/>
      <c r="I21" s="1972"/>
      <c r="J21" s="1972"/>
      <c r="K21" s="1972"/>
      <c r="L21" s="1972"/>
      <c r="M21" s="1973"/>
      <c r="N21" s="1973"/>
      <c r="O21" s="1970"/>
      <c r="P21" s="1973"/>
      <c r="Q21" s="1973"/>
      <c r="R21" s="1972"/>
      <c r="S21" s="1972"/>
      <c r="T21" s="1974"/>
      <c r="U21" s="1973"/>
      <c r="V21" s="1973"/>
      <c r="W21" s="1973"/>
      <c r="X21" s="1973"/>
      <c r="Y21" s="1973"/>
      <c r="Z21" s="1973"/>
      <c r="AA21" s="1974"/>
      <c r="AB21" s="1975"/>
      <c r="AC21" s="1975"/>
      <c r="AD21" s="1975"/>
      <c r="AE21" s="1973"/>
      <c r="AF21" s="1976"/>
      <c r="AG21" s="1973"/>
      <c r="AH21" s="1973"/>
      <c r="AI21" s="1973"/>
      <c r="AJ21" s="1973"/>
      <c r="AK21" s="1973"/>
      <c r="AL21" s="1973"/>
      <c r="AM21" s="1973"/>
      <c r="AN21" s="1977"/>
      <c r="AO21" s="1977"/>
      <c r="AP21" s="1977"/>
      <c r="AQ21" s="1977"/>
      <c r="AR21" s="1977"/>
      <c r="AS21" s="1977"/>
      <c r="AT21" s="1977"/>
      <c r="AU21" s="1977"/>
      <c r="AV21" s="1977"/>
      <c r="AW21" s="1977"/>
      <c r="AX21" s="1978"/>
      <c r="AY21" s="1978"/>
      <c r="AZ21" s="1978"/>
      <c r="BA21" s="1978"/>
      <c r="BB21" s="1978"/>
      <c r="BC21" s="1973"/>
      <c r="BD21" s="1979" t="s">
        <v>1898</v>
      </c>
    </row>
    <row r="22" customFormat="false" ht="15" hidden="false" customHeight="false" outlineLevel="0" collapsed="false">
      <c r="A22" s="1968" t="s">
        <v>1899</v>
      </c>
      <c r="B22" s="1969" t="s">
        <v>1697</v>
      </c>
      <c r="C22" s="1970"/>
      <c r="D22" s="1970"/>
      <c r="E22" s="1970"/>
      <c r="F22" s="1970"/>
      <c r="G22" s="1971"/>
      <c r="H22" s="1971"/>
      <c r="I22" s="1972"/>
      <c r="J22" s="1972"/>
      <c r="K22" s="1972"/>
      <c r="L22" s="1972"/>
      <c r="M22" s="1973"/>
      <c r="N22" s="1973"/>
      <c r="O22" s="1970"/>
      <c r="P22" s="1973"/>
      <c r="Q22" s="1973"/>
      <c r="R22" s="1972"/>
      <c r="S22" s="1972"/>
      <c r="T22" s="1974"/>
      <c r="U22" s="1973"/>
      <c r="V22" s="1973"/>
      <c r="W22" s="1973"/>
      <c r="X22" s="1973"/>
      <c r="Y22" s="1973"/>
      <c r="Z22" s="1973"/>
      <c r="AA22" s="1974"/>
      <c r="AB22" s="1975"/>
      <c r="AC22" s="1975"/>
      <c r="AD22" s="1975"/>
      <c r="AE22" s="1973"/>
      <c r="AF22" s="1976"/>
      <c r="AG22" s="1973"/>
      <c r="AH22" s="1973"/>
      <c r="AI22" s="1973"/>
      <c r="AJ22" s="1973"/>
      <c r="AK22" s="1973"/>
      <c r="AL22" s="1973"/>
      <c r="AM22" s="1973"/>
      <c r="AN22" s="1977"/>
      <c r="AO22" s="1977"/>
      <c r="AP22" s="1977"/>
      <c r="AQ22" s="1977"/>
      <c r="AR22" s="1977"/>
      <c r="AS22" s="1977"/>
      <c r="AT22" s="1977"/>
      <c r="AU22" s="1977"/>
      <c r="AV22" s="1977"/>
      <c r="AW22" s="1977"/>
      <c r="AX22" s="1978"/>
      <c r="AY22" s="1978"/>
      <c r="AZ22" s="1978"/>
      <c r="BA22" s="1978"/>
      <c r="BB22" s="1978"/>
      <c r="BC22" s="1973"/>
      <c r="BD22" s="1979"/>
    </row>
    <row r="23" customFormat="false" ht="15" hidden="false" customHeight="false" outlineLevel="0" collapsed="false">
      <c r="A23" s="1968" t="s">
        <v>1900</v>
      </c>
      <c r="B23" s="1969" t="s">
        <v>1697</v>
      </c>
      <c r="C23" s="1970"/>
      <c r="D23" s="1970"/>
      <c r="E23" s="1970"/>
      <c r="F23" s="1970"/>
      <c r="G23" s="1971"/>
      <c r="H23" s="1971"/>
      <c r="I23" s="1972"/>
      <c r="J23" s="1972"/>
      <c r="K23" s="1972"/>
      <c r="L23" s="1972"/>
      <c r="M23" s="1973"/>
      <c r="N23" s="1973"/>
      <c r="O23" s="1970"/>
      <c r="P23" s="1973"/>
      <c r="Q23" s="1973"/>
      <c r="R23" s="1972"/>
      <c r="S23" s="1972"/>
      <c r="T23" s="1974"/>
      <c r="U23" s="1973"/>
      <c r="V23" s="1973"/>
      <c r="W23" s="1973"/>
      <c r="X23" s="1973"/>
      <c r="Y23" s="1973"/>
      <c r="Z23" s="1973"/>
      <c r="AA23" s="1974"/>
      <c r="AB23" s="1975"/>
      <c r="AC23" s="1975"/>
      <c r="AD23" s="1975"/>
      <c r="AE23" s="1973"/>
      <c r="AF23" s="1976"/>
      <c r="AG23" s="1973"/>
      <c r="AH23" s="1973"/>
      <c r="AI23" s="1973"/>
      <c r="AJ23" s="1973"/>
      <c r="AK23" s="1973"/>
      <c r="AL23" s="1973"/>
      <c r="AM23" s="1973"/>
      <c r="AN23" s="1977"/>
      <c r="AO23" s="1977"/>
      <c r="AP23" s="1977"/>
      <c r="AQ23" s="1977"/>
      <c r="AR23" s="1977"/>
      <c r="AS23" s="1977"/>
      <c r="AT23" s="1977"/>
      <c r="AU23" s="1977"/>
      <c r="AV23" s="1977"/>
      <c r="AW23" s="1977"/>
      <c r="AX23" s="1978"/>
      <c r="AY23" s="1978"/>
      <c r="AZ23" s="1978"/>
      <c r="BA23" s="1978"/>
      <c r="BB23" s="1978"/>
      <c r="BC23" s="1973"/>
      <c r="BD23" s="1979"/>
    </row>
    <row r="24" customFormat="false" ht="15" hidden="false" customHeight="false" outlineLevel="0" collapsed="false">
      <c r="A24" s="1968" t="s">
        <v>1901</v>
      </c>
      <c r="B24" s="1969" t="s">
        <v>1697</v>
      </c>
      <c r="C24" s="1970"/>
      <c r="D24" s="1970"/>
      <c r="E24" s="1970"/>
      <c r="F24" s="1970"/>
      <c r="G24" s="1971"/>
      <c r="H24" s="1971"/>
      <c r="I24" s="1972"/>
      <c r="J24" s="1972"/>
      <c r="K24" s="1972"/>
      <c r="L24" s="1972"/>
      <c r="M24" s="1973"/>
      <c r="N24" s="1973"/>
      <c r="O24" s="1970"/>
      <c r="P24" s="1973"/>
      <c r="Q24" s="1973"/>
      <c r="R24" s="1972"/>
      <c r="S24" s="1972"/>
      <c r="T24" s="1974"/>
      <c r="U24" s="1973"/>
      <c r="V24" s="1973"/>
      <c r="W24" s="1973"/>
      <c r="X24" s="1973"/>
      <c r="Y24" s="1973"/>
      <c r="Z24" s="1973"/>
      <c r="AA24" s="1974"/>
      <c r="AB24" s="1975"/>
      <c r="AC24" s="1975"/>
      <c r="AD24" s="1975"/>
      <c r="AE24" s="1973"/>
      <c r="AF24" s="1976"/>
      <c r="AG24" s="1973"/>
      <c r="AH24" s="1973"/>
      <c r="AI24" s="1973"/>
      <c r="AJ24" s="1973"/>
      <c r="AK24" s="1973"/>
      <c r="AL24" s="1973"/>
      <c r="AM24" s="1973"/>
      <c r="AN24" s="1977"/>
      <c r="AO24" s="1977"/>
      <c r="AP24" s="1977"/>
      <c r="AQ24" s="1977"/>
      <c r="AR24" s="1977"/>
      <c r="AS24" s="1977"/>
      <c r="AT24" s="1977"/>
      <c r="AU24" s="1977"/>
      <c r="AV24" s="1977"/>
      <c r="AW24" s="1977"/>
      <c r="AX24" s="1978"/>
      <c r="AY24" s="1978"/>
      <c r="AZ24" s="1978"/>
      <c r="BA24" s="1978"/>
      <c r="BB24" s="1978"/>
      <c r="BC24" s="1973"/>
      <c r="BD24" s="1979"/>
    </row>
    <row r="25" customFormat="false" ht="15" hidden="false" customHeight="false" outlineLevel="0" collapsed="false">
      <c r="A25" s="1968" t="s">
        <v>1902</v>
      </c>
      <c r="B25" s="1969" t="s">
        <v>1697</v>
      </c>
      <c r="C25" s="1970"/>
      <c r="D25" s="1970"/>
      <c r="E25" s="1970"/>
      <c r="F25" s="1970"/>
      <c r="G25" s="1971"/>
      <c r="H25" s="1971"/>
      <c r="I25" s="1972"/>
      <c r="J25" s="1972"/>
      <c r="K25" s="1972"/>
      <c r="L25" s="1972"/>
      <c r="M25" s="1973"/>
      <c r="N25" s="1973"/>
      <c r="O25" s="1970"/>
      <c r="P25" s="1973"/>
      <c r="Q25" s="1973"/>
      <c r="R25" s="1972"/>
      <c r="S25" s="1972"/>
      <c r="T25" s="1974"/>
      <c r="U25" s="1973"/>
      <c r="V25" s="1973"/>
      <c r="W25" s="1973"/>
      <c r="X25" s="1973"/>
      <c r="Y25" s="1973"/>
      <c r="Z25" s="1973"/>
      <c r="AA25" s="1974"/>
      <c r="AB25" s="1975"/>
      <c r="AC25" s="1975"/>
      <c r="AD25" s="1975"/>
      <c r="AE25" s="1973"/>
      <c r="AF25" s="1976"/>
      <c r="AG25" s="1973"/>
      <c r="AH25" s="1973"/>
      <c r="AI25" s="1973"/>
      <c r="AJ25" s="1973"/>
      <c r="AK25" s="1973"/>
      <c r="AL25" s="1973"/>
      <c r="AM25" s="1973"/>
      <c r="AN25" s="1977"/>
      <c r="AO25" s="1977"/>
      <c r="AP25" s="1977"/>
      <c r="AQ25" s="1977"/>
      <c r="AR25" s="1977"/>
      <c r="AS25" s="1977"/>
      <c r="AT25" s="1977"/>
      <c r="AU25" s="1977"/>
      <c r="AV25" s="1977"/>
      <c r="AW25" s="1977"/>
      <c r="AX25" s="1978"/>
      <c r="AY25" s="1978"/>
      <c r="AZ25" s="1978"/>
      <c r="BA25" s="1978"/>
      <c r="BB25" s="1978"/>
      <c r="BC25" s="1973"/>
      <c r="BD25" s="1979"/>
    </row>
    <row r="26" customFormat="false" ht="15" hidden="false" customHeight="false" outlineLevel="0" collapsed="false">
      <c r="A26" s="1968" t="s">
        <v>1903</v>
      </c>
      <c r="B26" s="1969" t="s">
        <v>1697</v>
      </c>
      <c r="C26" s="1970"/>
      <c r="D26" s="1970"/>
      <c r="E26" s="1970"/>
      <c r="F26" s="1970"/>
      <c r="G26" s="1971"/>
      <c r="H26" s="1971"/>
      <c r="I26" s="1972"/>
      <c r="J26" s="1972"/>
      <c r="K26" s="1972"/>
      <c r="L26" s="1972"/>
      <c r="M26" s="1973"/>
      <c r="N26" s="1973"/>
      <c r="O26" s="1970"/>
      <c r="P26" s="1973"/>
      <c r="Q26" s="1973"/>
      <c r="R26" s="1972"/>
      <c r="S26" s="1972"/>
      <c r="T26" s="1974"/>
      <c r="U26" s="1973"/>
      <c r="V26" s="1973"/>
      <c r="W26" s="1973"/>
      <c r="X26" s="1973"/>
      <c r="Y26" s="1973"/>
      <c r="Z26" s="1973"/>
      <c r="AA26" s="1974"/>
      <c r="AB26" s="1975"/>
      <c r="AC26" s="1975"/>
      <c r="AD26" s="1975"/>
      <c r="AE26" s="1973"/>
      <c r="AF26" s="1976"/>
      <c r="AG26" s="1973"/>
      <c r="AH26" s="1973"/>
      <c r="AI26" s="1973"/>
      <c r="AJ26" s="1973"/>
      <c r="AK26" s="1973"/>
      <c r="AL26" s="1973"/>
      <c r="AM26" s="1973"/>
      <c r="AN26" s="1977"/>
      <c r="AO26" s="1977"/>
      <c r="AP26" s="1977"/>
      <c r="AQ26" s="1977"/>
      <c r="AR26" s="1977"/>
      <c r="AS26" s="1977"/>
      <c r="AT26" s="1977"/>
      <c r="AU26" s="1977"/>
      <c r="AV26" s="1977"/>
      <c r="AW26" s="1977"/>
      <c r="AX26" s="1978"/>
      <c r="AY26" s="1978"/>
      <c r="AZ26" s="1978"/>
      <c r="BA26" s="1978"/>
      <c r="BB26" s="1978"/>
      <c r="BC26" s="1973"/>
      <c r="BD26" s="1979"/>
    </row>
    <row r="27" customFormat="false" ht="15" hidden="false" customHeight="false" outlineLevel="0" collapsed="false">
      <c r="A27" s="1968" t="s">
        <v>1904</v>
      </c>
      <c r="B27" s="1969" t="s">
        <v>1697</v>
      </c>
      <c r="C27" s="1970"/>
      <c r="D27" s="1970"/>
      <c r="E27" s="1970"/>
      <c r="F27" s="1970"/>
      <c r="G27" s="1971"/>
      <c r="H27" s="1971"/>
      <c r="I27" s="1972"/>
      <c r="J27" s="1972"/>
      <c r="K27" s="1972"/>
      <c r="L27" s="1972"/>
      <c r="M27" s="1973"/>
      <c r="N27" s="1973"/>
      <c r="O27" s="1970"/>
      <c r="P27" s="1973"/>
      <c r="Q27" s="1973"/>
      <c r="R27" s="1972"/>
      <c r="S27" s="1972"/>
      <c r="T27" s="1974"/>
      <c r="U27" s="1973"/>
      <c r="V27" s="1973"/>
      <c r="W27" s="1973"/>
      <c r="X27" s="1973"/>
      <c r="Y27" s="1973"/>
      <c r="Z27" s="1973"/>
      <c r="AA27" s="1974"/>
      <c r="AB27" s="1975"/>
      <c r="AC27" s="1975"/>
      <c r="AD27" s="1975"/>
      <c r="AE27" s="1973"/>
      <c r="AF27" s="1976"/>
      <c r="AG27" s="1973"/>
      <c r="AH27" s="1973"/>
      <c r="AI27" s="1973"/>
      <c r="AJ27" s="1973"/>
      <c r="AK27" s="1973"/>
      <c r="AL27" s="1973"/>
      <c r="AM27" s="1973"/>
      <c r="AN27" s="1977"/>
      <c r="AO27" s="1977"/>
      <c r="AP27" s="1977"/>
      <c r="AQ27" s="1977"/>
      <c r="AR27" s="1977"/>
      <c r="AS27" s="1977"/>
      <c r="AT27" s="1977"/>
      <c r="AU27" s="1977"/>
      <c r="AV27" s="1977"/>
      <c r="AW27" s="1977"/>
      <c r="AX27" s="1978"/>
      <c r="AY27" s="1978"/>
      <c r="AZ27" s="1978"/>
      <c r="BA27" s="1978"/>
      <c r="BB27" s="1978"/>
      <c r="BC27" s="1973"/>
      <c r="BD27" s="1979"/>
    </row>
    <row r="28" customFormat="false" ht="15" hidden="false" customHeight="false" outlineLevel="0" collapsed="false">
      <c r="A28" s="1968" t="s">
        <v>1905</v>
      </c>
      <c r="B28" s="1969" t="s">
        <v>1697</v>
      </c>
      <c r="C28" s="1970"/>
      <c r="D28" s="1970"/>
      <c r="E28" s="1970"/>
      <c r="F28" s="1970"/>
      <c r="G28" s="1971"/>
      <c r="H28" s="1971"/>
      <c r="I28" s="1972"/>
      <c r="J28" s="1972"/>
      <c r="K28" s="1972"/>
      <c r="L28" s="1972"/>
      <c r="M28" s="1973"/>
      <c r="N28" s="1973"/>
      <c r="O28" s="1970"/>
      <c r="P28" s="1973"/>
      <c r="Q28" s="1973"/>
      <c r="R28" s="1972"/>
      <c r="S28" s="1972"/>
      <c r="T28" s="1974"/>
      <c r="U28" s="1973"/>
      <c r="V28" s="1973"/>
      <c r="W28" s="1973"/>
      <c r="X28" s="1973"/>
      <c r="Y28" s="1973"/>
      <c r="Z28" s="1973"/>
      <c r="AA28" s="1974"/>
      <c r="AB28" s="1975"/>
      <c r="AC28" s="1975"/>
      <c r="AD28" s="1975"/>
      <c r="AE28" s="1973"/>
      <c r="AF28" s="1976"/>
      <c r="AG28" s="1973"/>
      <c r="AH28" s="1973"/>
      <c r="AI28" s="1973"/>
      <c r="AJ28" s="1973"/>
      <c r="AK28" s="1973"/>
      <c r="AL28" s="1973"/>
      <c r="AM28" s="1973"/>
      <c r="AN28" s="1977"/>
      <c r="AO28" s="1977"/>
      <c r="AP28" s="1977"/>
      <c r="AQ28" s="1977"/>
      <c r="AR28" s="1977"/>
      <c r="AS28" s="1977"/>
      <c r="AT28" s="1977"/>
      <c r="AU28" s="1977"/>
      <c r="AV28" s="1977"/>
      <c r="AW28" s="1977"/>
      <c r="AX28" s="1978"/>
      <c r="AY28" s="1978"/>
      <c r="AZ28" s="1978"/>
      <c r="BA28" s="1978"/>
      <c r="BB28" s="1978"/>
      <c r="BC28" s="1973"/>
      <c r="BD28" s="1979"/>
    </row>
    <row r="29" customFormat="false" ht="15" hidden="false" customHeight="false" outlineLevel="0" collapsed="false">
      <c r="A29" s="1968" t="s">
        <v>1906</v>
      </c>
      <c r="B29" s="1969" t="s">
        <v>1697</v>
      </c>
      <c r="C29" s="1970"/>
      <c r="D29" s="1970"/>
      <c r="E29" s="1970"/>
      <c r="F29" s="1970"/>
      <c r="G29" s="1971"/>
      <c r="H29" s="1971"/>
      <c r="I29" s="1972"/>
      <c r="J29" s="1972"/>
      <c r="K29" s="1972"/>
      <c r="L29" s="1972"/>
      <c r="M29" s="1973"/>
      <c r="N29" s="1973"/>
      <c r="O29" s="1970"/>
      <c r="P29" s="1973"/>
      <c r="Q29" s="1973"/>
      <c r="R29" s="1972"/>
      <c r="S29" s="1972"/>
      <c r="T29" s="1974"/>
      <c r="U29" s="1973"/>
      <c r="V29" s="1973"/>
      <c r="W29" s="1973"/>
      <c r="X29" s="1973"/>
      <c r="Y29" s="1973"/>
      <c r="Z29" s="1973"/>
      <c r="AA29" s="1974"/>
      <c r="AB29" s="1975"/>
      <c r="AC29" s="1975"/>
      <c r="AD29" s="1975"/>
      <c r="AE29" s="1973"/>
      <c r="AF29" s="1976"/>
      <c r="AG29" s="1973"/>
      <c r="AH29" s="1973"/>
      <c r="AI29" s="1973"/>
      <c r="AJ29" s="1973"/>
      <c r="AK29" s="1973"/>
      <c r="AL29" s="1973"/>
      <c r="AM29" s="1973"/>
      <c r="AN29" s="1977"/>
      <c r="AO29" s="1977"/>
      <c r="AP29" s="1977"/>
      <c r="AQ29" s="1977"/>
      <c r="AR29" s="1977"/>
      <c r="AS29" s="1977"/>
      <c r="AT29" s="1977"/>
      <c r="AU29" s="1977"/>
      <c r="AV29" s="1977"/>
      <c r="AW29" s="1977"/>
      <c r="AX29" s="1978"/>
      <c r="AY29" s="1978"/>
      <c r="AZ29" s="1978"/>
      <c r="BA29" s="1978"/>
      <c r="BB29" s="1978"/>
      <c r="BC29" s="1973"/>
      <c r="BD29" s="1979"/>
    </row>
    <row r="30" customFormat="false" ht="15" hidden="false" customHeight="false" outlineLevel="0" collapsed="false">
      <c r="A30" s="1980" t="s">
        <v>1907</v>
      </c>
      <c r="Q30" s="934"/>
    </row>
    <row r="31" customFormat="false" ht="15" hidden="false" customHeight="false" outlineLevel="0" collapsed="false">
      <c r="Q31" s="934"/>
    </row>
    <row r="32" customFormat="false" ht="15" hidden="false" customHeight="false" outlineLevel="0" collapsed="false">
      <c r="Q32" s="934"/>
    </row>
    <row r="33" customFormat="false" ht="15" hidden="false" customHeight="false" outlineLevel="0" collapsed="false">
      <c r="Q33" s="934"/>
    </row>
    <row r="34" customFormat="false" ht="15" hidden="false" customHeight="false" outlineLevel="0" collapsed="false">
      <c r="Q34" s="934"/>
    </row>
    <row r="35" customFormat="false" ht="15" hidden="false" customHeight="false" outlineLevel="0" collapsed="false">
      <c r="Q35" s="934"/>
    </row>
    <row r="36" customFormat="false" ht="15" hidden="false" customHeight="false" outlineLevel="0" collapsed="false">
      <c r="Q36" s="934"/>
    </row>
    <row r="37" customFormat="false" ht="15" hidden="false" customHeight="false" outlineLevel="0" collapsed="false">
      <c r="Q37" s="934"/>
    </row>
    <row r="38" customFormat="false" ht="15" hidden="false" customHeight="false" outlineLevel="0" collapsed="false">
      <c r="Q38" s="934"/>
    </row>
    <row r="39" customFormat="false" ht="15" hidden="false" customHeight="false" outlineLevel="0" collapsed="false">
      <c r="Q39" s="934"/>
    </row>
    <row r="40" customFormat="false" ht="15" hidden="false" customHeight="false" outlineLevel="0" collapsed="false">
      <c r="Q40" s="934"/>
    </row>
    <row r="41" customFormat="false" ht="15" hidden="false" customHeight="false" outlineLevel="0" collapsed="false">
      <c r="Q41" s="934"/>
    </row>
    <row r="42" customFormat="false" ht="15" hidden="false" customHeight="false" outlineLevel="0" collapsed="false">
      <c r="Q42" s="934"/>
    </row>
    <row r="43" customFormat="false" ht="15" hidden="false" customHeight="false" outlineLevel="0" collapsed="false">
      <c r="Q43" s="934"/>
    </row>
    <row r="44" customFormat="false" ht="15" hidden="false" customHeight="false" outlineLevel="0" collapsed="false">
      <c r="Q44" s="934"/>
    </row>
    <row r="45" customFormat="false" ht="15" hidden="false" customHeight="false" outlineLevel="0" collapsed="false">
      <c r="Q45" s="934"/>
    </row>
    <row r="46" customFormat="false" ht="15" hidden="false" customHeight="false" outlineLevel="0" collapsed="false">
      <c r="Q46" s="934"/>
    </row>
    <row r="47" customFormat="false" ht="15" hidden="false" customHeight="false" outlineLevel="0" collapsed="false">
      <c r="Q47" s="934"/>
    </row>
    <row r="48" customFormat="false" ht="15" hidden="false" customHeight="false" outlineLevel="0" collapsed="false">
      <c r="Q48" s="934"/>
    </row>
    <row r="49" customFormat="false" ht="15" hidden="false" customHeight="false" outlineLevel="0" collapsed="false">
      <c r="Q49" s="934"/>
    </row>
    <row r="50" customFormat="false" ht="15" hidden="false" customHeight="false" outlineLevel="0" collapsed="false">
      <c r="Q50" s="934"/>
    </row>
    <row r="51" customFormat="false" ht="15" hidden="false" customHeight="false" outlineLevel="0" collapsed="false">
      <c r="Q51" s="934"/>
    </row>
    <row r="52" customFormat="false" ht="15" hidden="false" customHeight="false" outlineLevel="0" collapsed="false">
      <c r="Q52" s="934"/>
    </row>
    <row r="53" customFormat="false" ht="15" hidden="false" customHeight="false" outlineLevel="0" collapsed="false">
      <c r="Q53" s="934"/>
    </row>
    <row r="54" customFormat="false" ht="15" hidden="false" customHeight="false" outlineLevel="0" collapsed="false">
      <c r="Q54" s="934"/>
    </row>
    <row r="55" customFormat="false" ht="15" hidden="false" customHeight="false" outlineLevel="0" collapsed="false">
      <c r="Q55" s="934"/>
    </row>
    <row r="56" customFormat="false" ht="15" hidden="false" customHeight="false" outlineLevel="0" collapsed="false">
      <c r="Q56" s="934"/>
    </row>
    <row r="57" customFormat="false" ht="15" hidden="false" customHeight="false" outlineLevel="0" collapsed="false">
      <c r="Q57" s="934"/>
    </row>
    <row r="58" customFormat="false" ht="15" hidden="false" customHeight="false" outlineLevel="0" collapsed="false">
      <c r="Q58" s="934"/>
    </row>
    <row r="59" customFormat="false" ht="15" hidden="false" customHeight="false" outlineLevel="0" collapsed="false">
      <c r="Q59" s="934"/>
    </row>
    <row r="60" customFormat="false" ht="15" hidden="false" customHeight="false" outlineLevel="0" collapsed="false">
      <c r="Q60" s="934"/>
    </row>
    <row r="61" customFormat="false" ht="15" hidden="false" customHeight="false" outlineLevel="0" collapsed="false">
      <c r="Q61" s="934"/>
    </row>
    <row r="62" customFormat="false" ht="15" hidden="false" customHeight="false" outlineLevel="0" collapsed="false">
      <c r="Q62" s="934"/>
    </row>
    <row r="63" customFormat="false" ht="15" hidden="false" customHeight="false" outlineLevel="0" collapsed="false">
      <c r="Q63" s="934"/>
    </row>
    <row r="64" customFormat="false" ht="15" hidden="false" customHeight="false" outlineLevel="0" collapsed="false">
      <c r="Q64" s="934"/>
    </row>
    <row r="65" customFormat="false" ht="15" hidden="false" customHeight="false" outlineLevel="0" collapsed="false">
      <c r="Q65" s="934"/>
    </row>
    <row r="66" customFormat="false" ht="15" hidden="false" customHeight="false" outlineLevel="0" collapsed="false">
      <c r="Q66" s="934"/>
    </row>
    <row r="67" customFormat="false" ht="15" hidden="false" customHeight="false" outlineLevel="0" collapsed="false">
      <c r="Q67" s="934"/>
    </row>
    <row r="68" customFormat="false" ht="15" hidden="false" customHeight="false" outlineLevel="0" collapsed="false">
      <c r="Q68" s="934"/>
    </row>
    <row r="69" customFormat="false" ht="15" hidden="false" customHeight="false" outlineLevel="0" collapsed="false">
      <c r="Q69" s="934"/>
    </row>
    <row r="70" customFormat="false" ht="15" hidden="false" customHeight="false" outlineLevel="0" collapsed="false">
      <c r="Q70" s="934"/>
    </row>
    <row r="71" customFormat="false" ht="15" hidden="false" customHeight="false" outlineLevel="0" collapsed="false">
      <c r="Q71" s="934"/>
    </row>
    <row r="72" customFormat="false" ht="15" hidden="false" customHeight="false" outlineLevel="0" collapsed="false">
      <c r="Q72" s="934"/>
    </row>
    <row r="73" customFormat="false" ht="15" hidden="false" customHeight="false" outlineLevel="0" collapsed="false">
      <c r="Q73" s="934"/>
    </row>
    <row r="74" customFormat="false" ht="15" hidden="false" customHeight="false" outlineLevel="0" collapsed="false">
      <c r="Q74" s="934"/>
    </row>
    <row r="75" customFormat="false" ht="15" hidden="false" customHeight="false" outlineLevel="0" collapsed="false">
      <c r="Q75" s="934"/>
    </row>
    <row r="76" customFormat="false" ht="15" hidden="false" customHeight="false" outlineLevel="0" collapsed="false">
      <c r="Q76" s="934"/>
    </row>
    <row r="77" customFormat="false" ht="15" hidden="false" customHeight="false" outlineLevel="0" collapsed="false">
      <c r="Q77" s="934"/>
    </row>
    <row r="78" customFormat="false" ht="15" hidden="false" customHeight="false" outlineLevel="0" collapsed="false">
      <c r="Q78" s="934"/>
    </row>
    <row r="79" customFormat="false" ht="15" hidden="false" customHeight="false" outlineLevel="0" collapsed="false">
      <c r="Q79" s="934"/>
    </row>
    <row r="80" customFormat="false" ht="15" hidden="false" customHeight="false" outlineLevel="0" collapsed="false">
      <c r="Q80" s="934"/>
    </row>
    <row r="81" customFormat="false" ht="15" hidden="false" customHeight="false" outlineLevel="0" collapsed="false">
      <c r="Q81" s="934"/>
    </row>
    <row r="82" customFormat="false" ht="15" hidden="false" customHeight="false" outlineLevel="0" collapsed="false">
      <c r="Q82" s="934"/>
    </row>
    <row r="83" customFormat="false" ht="15" hidden="false" customHeight="false" outlineLevel="0" collapsed="false">
      <c r="Q83" s="934"/>
    </row>
    <row r="84" customFormat="false" ht="15" hidden="false" customHeight="false" outlineLevel="0" collapsed="false">
      <c r="Q84" s="934"/>
    </row>
    <row r="85" customFormat="false" ht="15" hidden="false" customHeight="false" outlineLevel="0" collapsed="false">
      <c r="Q85" s="934"/>
    </row>
    <row r="86" customFormat="false" ht="15" hidden="false" customHeight="false" outlineLevel="0" collapsed="false">
      <c r="Q86" s="934"/>
    </row>
    <row r="87" customFormat="false" ht="15" hidden="false" customHeight="false" outlineLevel="0" collapsed="false">
      <c r="Q87" s="934"/>
    </row>
    <row r="88" customFormat="false" ht="15" hidden="false" customHeight="false" outlineLevel="0" collapsed="false">
      <c r="Q88" s="934"/>
    </row>
    <row r="89" customFormat="false" ht="15" hidden="false" customHeight="false" outlineLevel="0" collapsed="false">
      <c r="Q89" s="934"/>
    </row>
    <row r="90" customFormat="false" ht="15" hidden="false" customHeight="false" outlineLevel="0" collapsed="false">
      <c r="Q90" s="934"/>
    </row>
    <row r="91" customFormat="false" ht="15" hidden="false" customHeight="false" outlineLevel="0" collapsed="false">
      <c r="Q91" s="934"/>
    </row>
    <row r="92" customFormat="false" ht="15" hidden="false" customHeight="false" outlineLevel="0" collapsed="false">
      <c r="Q92" s="934"/>
    </row>
    <row r="93" customFormat="false" ht="15" hidden="false" customHeight="false" outlineLevel="0" collapsed="false">
      <c r="Q93" s="934"/>
    </row>
    <row r="94" customFormat="false" ht="15" hidden="false" customHeight="false" outlineLevel="0" collapsed="false">
      <c r="Q94" s="934"/>
    </row>
    <row r="95" customFormat="false" ht="15" hidden="false" customHeight="false" outlineLevel="0" collapsed="false">
      <c r="Q95" s="934"/>
    </row>
    <row r="96" customFormat="false" ht="15" hidden="false" customHeight="false" outlineLevel="0" collapsed="false">
      <c r="Q96" s="934"/>
    </row>
    <row r="97" customFormat="false" ht="15" hidden="false" customHeight="false" outlineLevel="0" collapsed="false">
      <c r="Q97" s="934"/>
    </row>
    <row r="98" customFormat="false" ht="15" hidden="false" customHeight="false" outlineLevel="0" collapsed="false">
      <c r="Q98" s="934"/>
    </row>
    <row r="99" customFormat="false" ht="15" hidden="false" customHeight="false" outlineLevel="0" collapsed="false">
      <c r="Q99" s="934"/>
    </row>
    <row r="100" customFormat="false" ht="15" hidden="false" customHeight="false" outlineLevel="0" collapsed="false">
      <c r="Q100" s="934"/>
    </row>
    <row r="101" customFormat="false" ht="15" hidden="false" customHeight="false" outlineLevel="0" collapsed="false">
      <c r="Q101" s="934"/>
    </row>
    <row r="102" customFormat="false" ht="15" hidden="false" customHeight="false" outlineLevel="0" collapsed="false">
      <c r="Q102" s="934"/>
    </row>
    <row r="103" customFormat="false" ht="15" hidden="false" customHeight="false" outlineLevel="0" collapsed="false">
      <c r="Q103" s="934"/>
    </row>
    <row r="104" customFormat="false" ht="15" hidden="false" customHeight="false" outlineLevel="0" collapsed="false">
      <c r="Q104" s="934"/>
    </row>
    <row r="105" customFormat="false" ht="15" hidden="false" customHeight="false" outlineLevel="0" collapsed="false">
      <c r="Q105" s="934"/>
    </row>
    <row r="106" customFormat="false" ht="15" hidden="false" customHeight="false" outlineLevel="0" collapsed="false">
      <c r="Q106" s="934"/>
    </row>
    <row r="107" customFormat="false" ht="15" hidden="false" customHeight="false" outlineLevel="0" collapsed="false">
      <c r="Q107" s="934"/>
    </row>
    <row r="108" customFormat="false" ht="15" hidden="false" customHeight="false" outlineLevel="0" collapsed="false">
      <c r="Q108" s="934"/>
    </row>
    <row r="109" customFormat="false" ht="15" hidden="false" customHeight="false" outlineLevel="0" collapsed="false">
      <c r="Q109" s="934"/>
    </row>
    <row r="110" customFormat="false" ht="15" hidden="false" customHeight="false" outlineLevel="0" collapsed="false">
      <c r="Q110" s="934"/>
    </row>
  </sheetData>
  <autoFilter ref="A2:BD13"/>
  <mergeCells count="2">
    <mergeCell ref="BD3:BD10"/>
    <mergeCell ref="BD21:BD29"/>
  </mergeCells>
  <dataValidations count="2">
    <dataValidation allowBlank="true" errorStyle="stop" operator="between" showDropDown="false" showErrorMessage="true" showInputMessage="true" sqref="AL3:AL1030" type="list">
      <formula1>"YES,NO,-"</formula1>
      <formula2>0</formula2>
    </dataValidation>
    <dataValidation allowBlank="false" errorStyle="stop" operator="between" showDropDown="false" showErrorMessage="true" showInputMessage="true" sqref="O9:O20" type="list">
      <formula1>'Back up'!$D$3:$D$8</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F3" activePane="bottomRight" state="frozen"/>
      <selection pane="topLeft" activeCell="A1" activeCellId="0" sqref="A1"/>
      <selection pane="topRight" activeCell="F1" activeCellId="0" sqref="F1"/>
      <selection pane="bottomLeft" activeCell="A3" activeCellId="0" sqref="A3"/>
      <selection pane="bottomRight" activeCell="D30" activeCellId="0" sqref="D30"/>
    </sheetView>
  </sheetViews>
  <sheetFormatPr defaultColWidth="14.25390625" defaultRowHeight="15" zeroHeight="false" outlineLevelRow="0" outlineLevelCol="0"/>
  <cols>
    <col collapsed="false" customWidth="true" hidden="false" outlineLevel="0" max="1" min="1" style="931" width="17.12"/>
    <col collapsed="false" customWidth="true" hidden="true" outlineLevel="0" max="3" min="2" style="934" width="5.88"/>
    <col collapsed="false" customWidth="true" hidden="false" outlineLevel="0" max="4" min="4" style="932" width="54.62"/>
    <col collapsed="false" customWidth="true" hidden="false" outlineLevel="0" max="5" min="5" style="932" width="30.25"/>
    <col collapsed="false" customWidth="true" hidden="false" outlineLevel="0" max="6" min="6" style="932" width="19.88"/>
    <col collapsed="false" customWidth="true" hidden="false" outlineLevel="0" max="7" min="7" style="932" width="15.63"/>
    <col collapsed="false" customWidth="true" hidden="false" outlineLevel="0" max="8" min="8" style="932" width="7.75"/>
    <col collapsed="false" customWidth="true" hidden="false" outlineLevel="0" max="9" min="9" style="939" width="15.88"/>
    <col collapsed="false" customWidth="true" hidden="false" outlineLevel="0" max="10" min="10" style="940" width="12.75"/>
    <col collapsed="false" customWidth="true" hidden="false" outlineLevel="0" max="11" min="11" style="940" width="13.12"/>
    <col collapsed="false" customWidth="true" hidden="false" outlineLevel="0" max="12" min="12" style="934" width="12.25"/>
    <col collapsed="false" customWidth="true" hidden="false" outlineLevel="0" max="13" min="13" style="934" width="8.88"/>
    <col collapsed="false" customWidth="true" hidden="false" outlineLevel="0" max="14" min="14" style="932" width="11.12"/>
    <col collapsed="false" customWidth="true" hidden="false" outlineLevel="0" max="15" min="15" style="934" width="9.62"/>
    <col collapsed="false" customWidth="true" hidden="false" outlineLevel="0" max="16" min="16" style="940" width="10.12"/>
    <col collapsed="false" customWidth="true" hidden="false" outlineLevel="0" max="17" min="17" style="940" width="10.88"/>
    <col collapsed="false" customWidth="true" hidden="false" outlineLevel="0" max="18" min="18" style="940" width="12"/>
    <col collapsed="false" customWidth="true" hidden="false" outlineLevel="0" max="19" min="19" style="1638" width="15.25"/>
    <col collapsed="false" customWidth="true" hidden="false" outlineLevel="0" max="20" min="20" style="934" width="19.25"/>
    <col collapsed="false" customWidth="true" hidden="false" outlineLevel="0" max="22" min="21" style="934" width="12.25"/>
    <col collapsed="false" customWidth="true" hidden="false" outlineLevel="0" max="23" min="23" style="934" width="17.25"/>
    <col collapsed="false" customWidth="true" hidden="false" outlineLevel="0" max="24" min="24" style="934" width="11"/>
    <col collapsed="false" customWidth="true" hidden="false" outlineLevel="0" max="25" min="25" style="934" width="16.25"/>
    <col collapsed="false" customWidth="true" hidden="false" outlineLevel="0" max="26" min="26" style="1638" width="9.37"/>
    <col collapsed="false" customWidth="true" hidden="false" outlineLevel="0" max="27" min="27" style="1639" width="10"/>
    <col collapsed="false" customWidth="true" hidden="false" outlineLevel="0" max="28" min="28" style="1639" width="14.37"/>
    <col collapsed="false" customWidth="true" hidden="false" outlineLevel="0" max="29" min="29" style="1639" width="13.88"/>
    <col collapsed="false" customWidth="true" hidden="false" outlineLevel="0" max="30" min="30" style="934" width="15.37"/>
    <col collapsed="false" customWidth="true" hidden="false" outlineLevel="0" max="31" min="31" style="1641" width="11"/>
    <col collapsed="false" customWidth="true" hidden="false" outlineLevel="0" max="32" min="32" style="934" width="10.75"/>
    <col collapsed="false" customWidth="true" hidden="false" outlineLevel="0" max="33" min="33" style="934" width="14.37"/>
    <col collapsed="false" customWidth="true" hidden="false" outlineLevel="0" max="34" min="34" style="934" width="7.63"/>
    <col collapsed="false" customWidth="true" hidden="false" outlineLevel="0" max="35" min="35" style="934" width="15"/>
    <col collapsed="false" customWidth="true" hidden="false" outlineLevel="0" max="36" min="36" style="934" width="10.75"/>
    <col collapsed="false" customWidth="true" hidden="false" outlineLevel="0" max="37" min="37" style="934" width="18.88"/>
    <col collapsed="false" customWidth="true" hidden="false" outlineLevel="0" max="38" min="38" style="917" width="16.63"/>
    <col collapsed="false" customWidth="true" hidden="false" outlineLevel="0" max="41" min="39" style="917" width="11.62"/>
    <col collapsed="false" customWidth="true" hidden="false" outlineLevel="0" max="46" min="42" style="917" width="13.88"/>
    <col collapsed="false" customWidth="true" hidden="false" outlineLevel="0" max="47" min="47" style="917" width="8.12"/>
    <col collapsed="false" customWidth="true" hidden="false" outlineLevel="0" max="48" min="48" style="935" width="13.12"/>
    <col collapsed="false" customWidth="true" hidden="false" outlineLevel="0" max="49" min="49" style="935" width="17"/>
    <col collapsed="false" customWidth="true" hidden="false" outlineLevel="0" max="50" min="50" style="935" width="14.88"/>
    <col collapsed="false" customWidth="true" hidden="false" outlineLevel="0" max="51" min="51" style="935" width="16"/>
    <col collapsed="false" customWidth="true" hidden="false" outlineLevel="0" max="52" min="52" style="935" width="11.75"/>
    <col collapsed="false" customWidth="true" hidden="false" outlineLevel="0" max="53" min="53" style="934" width="11.25"/>
    <col collapsed="false" customWidth="true" hidden="false" outlineLevel="0" max="54" min="54" style="932" width="29.75"/>
    <col collapsed="false" customWidth="false" hidden="false" outlineLevel="0" max="16384" min="55" style="932" width="14.25"/>
  </cols>
  <sheetData>
    <row r="1" customFormat="false" ht="33.75" hidden="false" customHeight="true" outlineLevel="0" collapsed="false">
      <c r="A1" s="1642" t="s">
        <v>1908</v>
      </c>
      <c r="G1" s="932" t="s">
        <v>71</v>
      </c>
      <c r="L1" s="940"/>
      <c r="M1" s="1908"/>
      <c r="N1" s="941"/>
      <c r="P1" s="1644" t="s">
        <v>750</v>
      </c>
      <c r="Q1" s="943"/>
      <c r="R1" s="943"/>
      <c r="S1" s="943"/>
      <c r="T1" s="943"/>
      <c r="U1" s="1909"/>
      <c r="V1" s="943"/>
      <c r="W1" s="943"/>
      <c r="X1" s="943"/>
      <c r="Y1" s="943"/>
      <c r="Z1" s="1645" t="s">
        <v>751</v>
      </c>
      <c r="AA1" s="1647"/>
      <c r="AB1" s="1646"/>
      <c r="AC1" s="1647"/>
      <c r="AD1" s="1647"/>
      <c r="AE1" s="1647"/>
      <c r="AF1" s="1647"/>
      <c r="AG1" s="1649"/>
      <c r="AH1" s="1910" t="s">
        <v>1540</v>
      </c>
      <c r="AI1" s="947" t="s">
        <v>753</v>
      </c>
      <c r="AJ1" s="948"/>
      <c r="AK1" s="948"/>
      <c r="AL1" s="948"/>
      <c r="AM1" s="948"/>
      <c r="AN1" s="948"/>
      <c r="AO1" s="1652"/>
      <c r="AP1" s="947" t="s">
        <v>1541</v>
      </c>
      <c r="AQ1" s="948"/>
      <c r="AR1" s="948"/>
      <c r="AS1" s="948"/>
      <c r="AT1" s="948"/>
      <c r="AU1" s="948"/>
      <c r="AV1" s="948"/>
      <c r="AW1" s="948"/>
      <c r="AX1" s="1652"/>
      <c r="AY1" s="947" t="s">
        <v>1542</v>
      </c>
      <c r="AZ1" s="948"/>
      <c r="BA1" s="948"/>
      <c r="BB1" s="948"/>
      <c r="BC1" s="948"/>
      <c r="BD1" s="948"/>
      <c r="BE1" s="1652"/>
    </row>
    <row r="2" s="1932" customFormat="true" ht="48.75" hidden="false" customHeight="true" outlineLevel="0" collapsed="false">
      <c r="A2" s="1912" t="s">
        <v>1909</v>
      </c>
      <c r="B2" s="1912" t="s">
        <v>1910</v>
      </c>
      <c r="C2" s="1912" t="s">
        <v>1911</v>
      </c>
      <c r="D2" s="1912" t="s">
        <v>757</v>
      </c>
      <c r="E2" s="1912" t="s">
        <v>758</v>
      </c>
      <c r="F2" s="1912" t="s">
        <v>1543</v>
      </c>
      <c r="G2" s="1913" t="s">
        <v>766</v>
      </c>
      <c r="H2" s="1914" t="s">
        <v>1853</v>
      </c>
      <c r="I2" s="1914" t="s">
        <v>1545</v>
      </c>
      <c r="J2" s="1912" t="s">
        <v>769</v>
      </c>
      <c r="K2" s="1915" t="s">
        <v>770</v>
      </c>
      <c r="L2" s="1915" t="s">
        <v>771</v>
      </c>
      <c r="M2" s="1916" t="s">
        <v>1855</v>
      </c>
      <c r="N2" s="1912" t="s">
        <v>772</v>
      </c>
      <c r="O2" s="1912" t="s">
        <v>773</v>
      </c>
      <c r="P2" s="1917" t="s">
        <v>1856</v>
      </c>
      <c r="Q2" s="1918" t="s">
        <v>1857</v>
      </c>
      <c r="R2" s="1918" t="s">
        <v>1858</v>
      </c>
      <c r="S2" s="1918" t="s">
        <v>1859</v>
      </c>
      <c r="T2" s="1918" t="s">
        <v>1860</v>
      </c>
      <c r="U2" s="1918" t="s">
        <v>1546</v>
      </c>
      <c r="V2" s="1918" t="s">
        <v>1861</v>
      </c>
      <c r="W2" s="1918" t="s">
        <v>1862</v>
      </c>
      <c r="X2" s="1916" t="s">
        <v>1862</v>
      </c>
      <c r="Y2" s="1918" t="s">
        <v>776</v>
      </c>
      <c r="Z2" s="1917" t="s">
        <v>1548</v>
      </c>
      <c r="AA2" s="1918" t="s">
        <v>1549</v>
      </c>
      <c r="AB2" s="1918" t="s">
        <v>1550</v>
      </c>
      <c r="AC2" s="1918" t="s">
        <v>1551</v>
      </c>
      <c r="AD2" s="1918" t="s">
        <v>1552</v>
      </c>
      <c r="AE2" s="1918" t="s">
        <v>1553</v>
      </c>
      <c r="AF2" s="1918" t="s">
        <v>1555</v>
      </c>
      <c r="AG2" s="1919" t="s">
        <v>1863</v>
      </c>
      <c r="AH2" s="1920" t="s">
        <v>306</v>
      </c>
      <c r="AI2" s="1921" t="s">
        <v>1557</v>
      </c>
      <c r="AJ2" s="1922" t="s">
        <v>1912</v>
      </c>
      <c r="AK2" s="1922" t="s">
        <v>1559</v>
      </c>
      <c r="AL2" s="1923" t="s">
        <v>1865</v>
      </c>
      <c r="AM2" s="1923" t="s">
        <v>1562</v>
      </c>
      <c r="AN2" s="1924" t="s">
        <v>1563</v>
      </c>
      <c r="AO2" s="1925" t="s">
        <v>1564</v>
      </c>
      <c r="AP2" s="1926" t="s">
        <v>1565</v>
      </c>
      <c r="AQ2" s="1926" t="s">
        <v>1866</v>
      </c>
      <c r="AR2" s="1926" t="s">
        <v>1567</v>
      </c>
      <c r="AS2" s="1926" t="s">
        <v>571</v>
      </c>
      <c r="AT2" s="1927" t="s">
        <v>1867</v>
      </c>
      <c r="AU2" s="1927" t="s">
        <v>1868</v>
      </c>
      <c r="AV2" s="1927" t="s">
        <v>1869</v>
      </c>
      <c r="AW2" s="1927" t="s">
        <v>1870</v>
      </c>
      <c r="AX2" s="1927" t="s">
        <v>1871</v>
      </c>
      <c r="AY2" s="1928" t="s">
        <v>1568</v>
      </c>
      <c r="AZ2" s="1929" t="s">
        <v>1872</v>
      </c>
      <c r="BA2" s="1930" t="s">
        <v>1570</v>
      </c>
      <c r="BB2" s="1931" t="s">
        <v>1571</v>
      </c>
      <c r="BC2" s="1928" t="s">
        <v>1873</v>
      </c>
      <c r="BD2" s="1928" t="s">
        <v>1572</v>
      </c>
      <c r="BE2" s="1919" t="s">
        <v>370</v>
      </c>
    </row>
    <row r="3" customFormat="false" ht="18" hidden="false" customHeight="true" outlineLevel="0" collapsed="false">
      <c r="A3" s="1746"/>
      <c r="B3" s="1981"/>
      <c r="C3" s="1981"/>
      <c r="D3" s="965"/>
      <c r="E3" s="1683"/>
      <c r="G3" s="1683"/>
      <c r="I3" s="932"/>
      <c r="J3" s="932"/>
      <c r="K3" s="939"/>
      <c r="L3" s="940"/>
      <c r="M3" s="940"/>
      <c r="N3" s="1732"/>
      <c r="O3" s="1939"/>
      <c r="P3" s="1937"/>
      <c r="Q3" s="1937"/>
      <c r="R3" s="1937"/>
      <c r="S3" s="1939"/>
      <c r="T3" s="1939"/>
      <c r="U3" s="1940"/>
      <c r="V3" s="940"/>
      <c r="Z3" s="1982"/>
      <c r="AA3" s="1939"/>
      <c r="AB3" s="1943"/>
      <c r="AC3" s="1944"/>
      <c r="AD3" s="1983"/>
      <c r="AE3" s="1944"/>
      <c r="AH3" s="1939"/>
      <c r="AI3" s="1939"/>
      <c r="AJ3" s="1939"/>
      <c r="AK3" s="1939"/>
      <c r="AL3" s="1945"/>
      <c r="AM3" s="1945"/>
      <c r="AN3" s="1945"/>
      <c r="AO3" s="1945"/>
      <c r="AP3" s="1945"/>
      <c r="AQ3" s="1945"/>
      <c r="AR3" s="1945"/>
      <c r="AS3" s="1946"/>
      <c r="AT3" s="1945"/>
      <c r="AU3" s="1945"/>
      <c r="AV3" s="1935"/>
      <c r="AW3" s="1984"/>
      <c r="AX3" s="934"/>
      <c r="AY3" s="934"/>
      <c r="AZ3" s="934"/>
      <c r="BB3" s="1263"/>
      <c r="BD3" s="934"/>
    </row>
    <row r="4" customFormat="false" ht="18" hidden="false" customHeight="true" outlineLevel="0" collapsed="false">
      <c r="A4" s="1746"/>
      <c r="B4" s="1981"/>
      <c r="C4" s="1981"/>
      <c r="D4" s="965"/>
      <c r="E4" s="1683"/>
      <c r="I4" s="1826"/>
      <c r="J4" s="1826"/>
      <c r="L4" s="940"/>
      <c r="M4" s="940"/>
      <c r="S4" s="932"/>
      <c r="U4" s="940"/>
      <c r="V4" s="940"/>
      <c r="Z4" s="1943"/>
      <c r="AA4" s="1944"/>
      <c r="AC4" s="1944"/>
      <c r="AL4" s="1985"/>
      <c r="AM4" s="1985"/>
      <c r="AN4" s="1985"/>
      <c r="AO4" s="1986"/>
      <c r="AP4" s="1986"/>
      <c r="AQ4" s="1986"/>
      <c r="AR4" s="1986"/>
      <c r="AS4" s="1987"/>
      <c r="AT4" s="1986"/>
      <c r="AU4" s="1986"/>
      <c r="AV4" s="1988"/>
      <c r="AW4" s="1984"/>
      <c r="AX4" s="934"/>
      <c r="AY4" s="934"/>
      <c r="AZ4" s="934"/>
      <c r="BB4" s="1263"/>
    </row>
    <row r="5" customFormat="false" ht="18" hidden="false" customHeight="true" outlineLevel="0" collapsed="false">
      <c r="A5" s="1746"/>
      <c r="B5" s="1981"/>
      <c r="C5" s="1981"/>
      <c r="D5" s="965"/>
      <c r="E5" s="1683"/>
      <c r="G5" s="1826"/>
      <c r="H5" s="1826"/>
      <c r="I5" s="940"/>
      <c r="S5" s="932"/>
      <c r="U5" s="940"/>
      <c r="V5" s="940"/>
      <c r="Z5" s="1943"/>
      <c r="AA5" s="1944"/>
      <c r="AC5" s="1944"/>
      <c r="AL5" s="1985"/>
      <c r="AM5" s="1985"/>
      <c r="AN5" s="1985"/>
      <c r="AO5" s="1986"/>
      <c r="AP5" s="1986"/>
      <c r="AQ5" s="1986"/>
      <c r="AR5" s="1986"/>
      <c r="AS5" s="1987"/>
      <c r="AT5" s="1986"/>
      <c r="AU5" s="1986"/>
      <c r="AV5" s="1988"/>
      <c r="AW5" s="1984"/>
      <c r="AX5" s="934"/>
      <c r="AY5" s="934"/>
      <c r="AZ5" s="934"/>
      <c r="BB5" s="1263"/>
    </row>
    <row r="6" customFormat="false" ht="18" hidden="false" customHeight="true" outlineLevel="0" collapsed="false">
      <c r="A6" s="1746"/>
      <c r="B6" s="1981"/>
      <c r="C6" s="1981"/>
      <c r="D6" s="965"/>
      <c r="E6" s="1683"/>
      <c r="G6" s="1826"/>
      <c r="H6" s="1826"/>
      <c r="I6" s="940"/>
      <c r="S6" s="932"/>
      <c r="U6" s="940"/>
      <c r="V6" s="940"/>
      <c r="Z6" s="934"/>
      <c r="AA6" s="1944"/>
      <c r="AC6" s="1944"/>
      <c r="AL6" s="1985"/>
      <c r="AM6" s="1985"/>
      <c r="AN6" s="1985"/>
      <c r="AO6" s="1986"/>
      <c r="AP6" s="1986"/>
      <c r="AQ6" s="1986"/>
      <c r="AR6" s="1986"/>
      <c r="AS6" s="1987"/>
      <c r="AT6" s="1986"/>
      <c r="AU6" s="1986"/>
      <c r="AV6" s="1988"/>
      <c r="AW6" s="1984"/>
      <c r="AX6" s="934"/>
      <c r="AY6" s="934"/>
      <c r="AZ6" s="934"/>
      <c r="BB6" s="1263"/>
    </row>
    <row r="7" customFormat="false" ht="18" hidden="false" customHeight="true" outlineLevel="0" collapsed="false">
      <c r="A7" s="1989"/>
      <c r="B7" s="1669"/>
      <c r="C7" s="1669"/>
      <c r="D7" s="1990"/>
      <c r="E7" s="1683"/>
      <c r="S7" s="1641"/>
      <c r="T7" s="1641"/>
      <c r="U7" s="940"/>
      <c r="V7" s="940"/>
      <c r="AB7" s="1944"/>
      <c r="AC7" s="1944"/>
      <c r="AL7" s="1985"/>
      <c r="AM7" s="1985"/>
      <c r="AN7" s="1985"/>
      <c r="AO7" s="1985"/>
      <c r="AP7" s="1985"/>
      <c r="AQ7" s="1985"/>
      <c r="AR7" s="1985"/>
      <c r="AS7" s="1991"/>
      <c r="AT7" s="1985"/>
      <c r="AU7" s="1985"/>
      <c r="AV7" s="1992"/>
      <c r="AW7" s="1984"/>
      <c r="AX7" s="934"/>
      <c r="AY7" s="934"/>
      <c r="AZ7" s="934"/>
      <c r="BB7" s="1263"/>
    </row>
    <row r="8" customFormat="false" ht="18" hidden="false" customHeight="true" outlineLevel="0" collapsed="false">
      <c r="A8" s="1989"/>
      <c r="B8" s="1669"/>
      <c r="C8" s="1669"/>
      <c r="D8" s="965"/>
      <c r="G8" s="1826"/>
      <c r="H8" s="1826"/>
      <c r="I8" s="940"/>
      <c r="S8" s="1641"/>
      <c r="U8" s="940"/>
      <c r="V8" s="940"/>
      <c r="AB8" s="1944"/>
      <c r="AC8" s="1944"/>
      <c r="AL8" s="1985"/>
      <c r="AM8" s="1985"/>
      <c r="AN8" s="1985"/>
      <c r="AO8" s="1985"/>
      <c r="AP8" s="1985"/>
      <c r="AQ8" s="1985"/>
      <c r="AR8" s="1985"/>
      <c r="AS8" s="1991"/>
      <c r="AT8" s="1985"/>
      <c r="AU8" s="1985"/>
      <c r="AV8" s="1826"/>
      <c r="AW8" s="1984"/>
      <c r="AX8" s="934"/>
      <c r="AY8" s="934"/>
      <c r="AZ8" s="934"/>
      <c r="BB8" s="1993"/>
    </row>
    <row r="9" customFormat="false" ht="14.25" hidden="false" customHeight="true" outlineLevel="0" collapsed="false">
      <c r="P9" s="934"/>
    </row>
    <row r="10" customFormat="false" ht="15" hidden="false" customHeight="false" outlineLevel="0" collapsed="false">
      <c r="P10" s="934"/>
      <c r="AE10" s="1994"/>
    </row>
    <row r="11" s="965" customFormat="true" ht="16.5" hidden="false" customHeight="true" outlineLevel="0" collapsed="false">
      <c r="A11" s="1746"/>
      <c r="B11" s="1669"/>
      <c r="C11" s="1669"/>
      <c r="I11" s="1995"/>
      <c r="J11" s="1674"/>
      <c r="K11" s="1674"/>
      <c r="L11" s="1669"/>
      <c r="M11" s="1669"/>
      <c r="O11" s="1669"/>
      <c r="P11" s="1669"/>
      <c r="Q11" s="1674"/>
      <c r="R11" s="1674"/>
      <c r="S11" s="1996"/>
      <c r="T11" s="1669"/>
      <c r="U11" s="1669"/>
      <c r="V11" s="1669"/>
      <c r="W11" s="1669"/>
      <c r="X11" s="1669"/>
      <c r="Y11" s="1669"/>
      <c r="Z11" s="1996"/>
      <c r="AA11" s="1823"/>
      <c r="AB11" s="1823"/>
      <c r="AC11" s="1823"/>
      <c r="AD11" s="1669"/>
      <c r="AE11" s="1997"/>
      <c r="AF11" s="1669"/>
      <c r="AG11" s="1669"/>
      <c r="AH11" s="1669"/>
      <c r="AI11" s="1669"/>
      <c r="AJ11" s="1266"/>
      <c r="AK11" s="1669"/>
      <c r="AL11" s="1260"/>
      <c r="AM11" s="1260"/>
      <c r="AN11" s="1260"/>
      <c r="AO11" s="1260"/>
      <c r="AP11" s="1260"/>
      <c r="AQ11" s="1260"/>
      <c r="AR11" s="1260"/>
      <c r="AS11" s="1260"/>
      <c r="AT11" s="1260"/>
      <c r="AU11" s="1260"/>
      <c r="AV11" s="1998"/>
      <c r="AW11" s="1998"/>
      <c r="AX11" s="1998"/>
      <c r="AY11" s="1998"/>
      <c r="AZ11" s="1998"/>
      <c r="BA11" s="1669"/>
    </row>
    <row r="12" customFormat="false" ht="15" hidden="false" customHeight="false" outlineLevel="0" collapsed="false">
      <c r="P12" s="934"/>
      <c r="AE12" s="1994"/>
    </row>
    <row r="13" customFormat="false" ht="15" hidden="false" customHeight="false" outlineLevel="0" collapsed="false">
      <c r="P13" s="934"/>
      <c r="AE13" s="1994"/>
    </row>
    <row r="14" customFormat="false" ht="15" hidden="false" customHeight="false" outlineLevel="0" collapsed="false">
      <c r="P14" s="934"/>
      <c r="AE14" s="1994"/>
    </row>
    <row r="15" customFormat="false" ht="15" hidden="false" customHeight="false" outlineLevel="0" collapsed="false">
      <c r="P15" s="934"/>
      <c r="AE15" s="1994"/>
    </row>
    <row r="16" customFormat="false" ht="15" hidden="false" customHeight="false" outlineLevel="0" collapsed="false">
      <c r="P16" s="934"/>
      <c r="Q16" s="940" t="s">
        <v>71</v>
      </c>
    </row>
    <row r="17" customFormat="false" ht="15" hidden="false" customHeight="false" outlineLevel="0" collapsed="false">
      <c r="P17" s="934"/>
    </row>
    <row r="18" customFormat="false" ht="15" hidden="false" customHeight="false" outlineLevel="0" collapsed="false">
      <c r="P18" s="934"/>
    </row>
    <row r="19" customFormat="false" ht="15" hidden="false" customHeight="false" outlineLevel="0" collapsed="false">
      <c r="P19" s="934"/>
    </row>
    <row r="20" customFormat="false" ht="15" hidden="false" customHeight="false" outlineLevel="0" collapsed="false">
      <c r="P20" s="934"/>
    </row>
    <row r="21" customFormat="false" ht="15" hidden="false" customHeight="false" outlineLevel="0" collapsed="false">
      <c r="P21" s="934"/>
    </row>
    <row r="22" customFormat="false" ht="15" hidden="false" customHeight="false" outlineLevel="0" collapsed="false">
      <c r="P22" s="934"/>
    </row>
    <row r="23" customFormat="false" ht="15" hidden="false" customHeight="false" outlineLevel="0" collapsed="false">
      <c r="P23" s="934"/>
    </row>
    <row r="24" customFormat="false" ht="15" hidden="false" customHeight="false" outlineLevel="0" collapsed="false">
      <c r="P24" s="934"/>
    </row>
    <row r="25" customFormat="false" ht="15" hidden="false" customHeight="false" outlineLevel="0" collapsed="false">
      <c r="P25" s="934"/>
    </row>
    <row r="26" customFormat="false" ht="15" hidden="false" customHeight="false" outlineLevel="0" collapsed="false">
      <c r="P26" s="934"/>
    </row>
    <row r="27" customFormat="false" ht="15" hidden="false" customHeight="false" outlineLevel="0" collapsed="false">
      <c r="P27" s="934"/>
    </row>
    <row r="28" customFormat="false" ht="15" hidden="false" customHeight="false" outlineLevel="0" collapsed="false">
      <c r="P28" s="934"/>
    </row>
    <row r="29" customFormat="false" ht="15" hidden="false" customHeight="false" outlineLevel="0" collapsed="false">
      <c r="P29" s="934"/>
    </row>
    <row r="30" customFormat="false" ht="15" hidden="false" customHeight="false" outlineLevel="0" collapsed="false">
      <c r="P30" s="934"/>
    </row>
    <row r="31" customFormat="false" ht="15" hidden="false" customHeight="false" outlineLevel="0" collapsed="false">
      <c r="P31" s="934"/>
    </row>
    <row r="32" customFormat="false" ht="15" hidden="false" customHeight="false" outlineLevel="0" collapsed="false">
      <c r="P32" s="934"/>
    </row>
    <row r="33" customFormat="false" ht="15" hidden="false" customHeight="false" outlineLevel="0" collapsed="false">
      <c r="P33" s="934"/>
    </row>
    <row r="34" customFormat="false" ht="15" hidden="false" customHeight="false" outlineLevel="0" collapsed="false">
      <c r="P34" s="934"/>
    </row>
    <row r="35" customFormat="false" ht="15" hidden="false" customHeight="false" outlineLevel="0" collapsed="false">
      <c r="P35" s="934"/>
    </row>
    <row r="36" customFormat="false" ht="15" hidden="false" customHeight="false" outlineLevel="0" collapsed="false">
      <c r="P36" s="934"/>
    </row>
    <row r="37" customFormat="false" ht="15" hidden="false" customHeight="false" outlineLevel="0" collapsed="false">
      <c r="P37" s="934"/>
    </row>
    <row r="38" customFormat="false" ht="15" hidden="false" customHeight="false" outlineLevel="0" collapsed="false">
      <c r="P38" s="934"/>
    </row>
    <row r="39" customFormat="false" ht="15" hidden="false" customHeight="false" outlineLevel="0" collapsed="false">
      <c r="P39" s="934"/>
    </row>
    <row r="40" customFormat="false" ht="15" hidden="false" customHeight="false" outlineLevel="0" collapsed="false">
      <c r="P40" s="934"/>
    </row>
    <row r="41" customFormat="false" ht="15" hidden="false" customHeight="false" outlineLevel="0" collapsed="false">
      <c r="P41" s="934"/>
    </row>
    <row r="42" customFormat="false" ht="15" hidden="false" customHeight="false" outlineLevel="0" collapsed="false">
      <c r="P42" s="934"/>
    </row>
    <row r="43" customFormat="false" ht="15" hidden="false" customHeight="false" outlineLevel="0" collapsed="false">
      <c r="P43" s="934"/>
    </row>
    <row r="44" customFormat="false" ht="15" hidden="false" customHeight="false" outlineLevel="0" collapsed="false">
      <c r="P44" s="934"/>
    </row>
    <row r="45" customFormat="false" ht="15" hidden="false" customHeight="false" outlineLevel="0" collapsed="false">
      <c r="P45" s="934"/>
    </row>
    <row r="46" customFormat="false" ht="15" hidden="false" customHeight="false" outlineLevel="0" collapsed="false">
      <c r="P46" s="934"/>
    </row>
    <row r="47" customFormat="false" ht="15" hidden="false" customHeight="false" outlineLevel="0" collapsed="false">
      <c r="P47" s="934"/>
    </row>
    <row r="48" customFormat="false" ht="15" hidden="false" customHeight="false" outlineLevel="0" collapsed="false">
      <c r="P48" s="934"/>
    </row>
    <row r="49" customFormat="false" ht="15" hidden="false" customHeight="false" outlineLevel="0" collapsed="false">
      <c r="P49" s="934"/>
    </row>
    <row r="50" customFormat="false" ht="15" hidden="false" customHeight="false" outlineLevel="0" collapsed="false">
      <c r="P50" s="934"/>
    </row>
    <row r="51" customFormat="false" ht="15" hidden="false" customHeight="false" outlineLevel="0" collapsed="false">
      <c r="P51" s="934"/>
    </row>
    <row r="52" customFormat="false" ht="15" hidden="false" customHeight="false" outlineLevel="0" collapsed="false">
      <c r="P52" s="934"/>
    </row>
    <row r="53" customFormat="false" ht="15" hidden="false" customHeight="false" outlineLevel="0" collapsed="false">
      <c r="P53" s="934"/>
    </row>
    <row r="54" customFormat="false" ht="15" hidden="false" customHeight="false" outlineLevel="0" collapsed="false">
      <c r="P54" s="934"/>
    </row>
    <row r="55" customFormat="false" ht="15" hidden="false" customHeight="false" outlineLevel="0" collapsed="false">
      <c r="P55" s="934"/>
    </row>
    <row r="56" customFormat="false" ht="15" hidden="false" customHeight="false" outlineLevel="0" collapsed="false">
      <c r="P56" s="934"/>
    </row>
    <row r="57" customFormat="false" ht="15" hidden="false" customHeight="false" outlineLevel="0" collapsed="false">
      <c r="P57" s="934"/>
    </row>
    <row r="58" customFormat="false" ht="15" hidden="false" customHeight="false" outlineLevel="0" collapsed="false">
      <c r="P58" s="934"/>
    </row>
    <row r="59" customFormat="false" ht="15" hidden="false" customHeight="false" outlineLevel="0" collapsed="false">
      <c r="P59" s="934"/>
    </row>
    <row r="60" customFormat="false" ht="15" hidden="false" customHeight="false" outlineLevel="0" collapsed="false">
      <c r="P60" s="934"/>
    </row>
    <row r="61" customFormat="false" ht="15" hidden="false" customHeight="false" outlineLevel="0" collapsed="false">
      <c r="P61" s="934"/>
    </row>
    <row r="62" customFormat="false" ht="15" hidden="false" customHeight="false" outlineLevel="0" collapsed="false">
      <c r="P62" s="934"/>
    </row>
    <row r="63" customFormat="false" ht="15" hidden="false" customHeight="false" outlineLevel="0" collapsed="false">
      <c r="P63" s="934"/>
    </row>
    <row r="64" customFormat="false" ht="15" hidden="false" customHeight="false" outlineLevel="0" collapsed="false">
      <c r="P64" s="934"/>
    </row>
    <row r="65" customFormat="false" ht="15" hidden="false" customHeight="false" outlineLevel="0" collapsed="false">
      <c r="P65" s="934"/>
    </row>
    <row r="66" customFormat="false" ht="15" hidden="false" customHeight="false" outlineLevel="0" collapsed="false">
      <c r="P66" s="934"/>
    </row>
    <row r="67" customFormat="false" ht="15" hidden="false" customHeight="false" outlineLevel="0" collapsed="false">
      <c r="P67" s="934"/>
    </row>
    <row r="68" customFormat="false" ht="15" hidden="false" customHeight="false" outlineLevel="0" collapsed="false">
      <c r="P68" s="934"/>
    </row>
    <row r="69" customFormat="false" ht="15" hidden="false" customHeight="false" outlineLevel="0" collapsed="false">
      <c r="P69" s="934"/>
    </row>
    <row r="70" customFormat="false" ht="15" hidden="false" customHeight="false" outlineLevel="0" collapsed="false">
      <c r="P70" s="934"/>
    </row>
    <row r="71" customFormat="false" ht="15" hidden="false" customHeight="false" outlineLevel="0" collapsed="false">
      <c r="P71" s="934"/>
    </row>
    <row r="72" customFormat="false" ht="15" hidden="false" customHeight="false" outlineLevel="0" collapsed="false">
      <c r="P72" s="934"/>
    </row>
    <row r="73" customFormat="false" ht="15" hidden="false" customHeight="false" outlineLevel="0" collapsed="false">
      <c r="P73" s="934"/>
    </row>
    <row r="74" customFormat="false" ht="15" hidden="false" customHeight="false" outlineLevel="0" collapsed="false">
      <c r="P74" s="934"/>
    </row>
    <row r="75" customFormat="false" ht="15" hidden="false" customHeight="false" outlineLevel="0" collapsed="false">
      <c r="P75" s="934"/>
    </row>
    <row r="76" customFormat="false" ht="15" hidden="false" customHeight="false" outlineLevel="0" collapsed="false">
      <c r="P76" s="934"/>
    </row>
    <row r="77" customFormat="false" ht="15" hidden="false" customHeight="false" outlineLevel="0" collapsed="false">
      <c r="P77" s="934"/>
    </row>
    <row r="78" customFormat="false" ht="15" hidden="false" customHeight="false" outlineLevel="0" collapsed="false">
      <c r="P78" s="934"/>
    </row>
    <row r="79" customFormat="false" ht="15" hidden="false" customHeight="false" outlineLevel="0" collapsed="false">
      <c r="P79" s="934"/>
    </row>
    <row r="80" customFormat="false" ht="15" hidden="false" customHeight="false" outlineLevel="0" collapsed="false">
      <c r="P80" s="934"/>
    </row>
    <row r="81" customFormat="false" ht="15" hidden="false" customHeight="false" outlineLevel="0" collapsed="false">
      <c r="P81" s="934"/>
    </row>
    <row r="82" customFormat="false" ht="15" hidden="false" customHeight="false" outlineLevel="0" collapsed="false">
      <c r="P82" s="934"/>
    </row>
    <row r="83" customFormat="false" ht="15" hidden="false" customHeight="false" outlineLevel="0" collapsed="false">
      <c r="P83" s="934"/>
    </row>
    <row r="84" customFormat="false" ht="15" hidden="false" customHeight="false" outlineLevel="0" collapsed="false">
      <c r="P84" s="934"/>
    </row>
    <row r="85" customFormat="false" ht="15" hidden="false" customHeight="false" outlineLevel="0" collapsed="false">
      <c r="P85" s="934"/>
    </row>
    <row r="86" customFormat="false" ht="15" hidden="false" customHeight="false" outlineLevel="0" collapsed="false">
      <c r="P86" s="934"/>
    </row>
    <row r="87" customFormat="false" ht="15" hidden="false" customHeight="false" outlineLevel="0" collapsed="false">
      <c r="P87" s="934"/>
    </row>
    <row r="88" customFormat="false" ht="15" hidden="false" customHeight="false" outlineLevel="0" collapsed="false">
      <c r="P88" s="934"/>
    </row>
    <row r="89" customFormat="false" ht="15" hidden="false" customHeight="false" outlineLevel="0" collapsed="false">
      <c r="P89" s="934"/>
    </row>
    <row r="90" customFormat="false" ht="15" hidden="false" customHeight="false" outlineLevel="0" collapsed="false">
      <c r="P90" s="934"/>
    </row>
    <row r="91" customFormat="false" ht="15" hidden="false" customHeight="false" outlineLevel="0" collapsed="false">
      <c r="P91" s="934"/>
    </row>
    <row r="92" customFormat="false" ht="15" hidden="false" customHeight="false" outlineLevel="0" collapsed="false">
      <c r="P92" s="934"/>
    </row>
    <row r="93" customFormat="false" ht="15" hidden="false" customHeight="false" outlineLevel="0" collapsed="false">
      <c r="P93" s="934"/>
    </row>
    <row r="94" customFormat="false" ht="15" hidden="false" customHeight="false" outlineLevel="0" collapsed="false">
      <c r="P94" s="934"/>
    </row>
    <row r="95" customFormat="false" ht="15" hidden="false" customHeight="false" outlineLevel="0" collapsed="false">
      <c r="P95" s="934"/>
    </row>
    <row r="96" customFormat="false" ht="15" hidden="false" customHeight="false" outlineLevel="0" collapsed="false">
      <c r="P96" s="934"/>
    </row>
    <row r="97" customFormat="false" ht="15" hidden="false" customHeight="false" outlineLevel="0" collapsed="false">
      <c r="P97" s="934"/>
    </row>
    <row r="98" customFormat="false" ht="15" hidden="false" customHeight="false" outlineLevel="0" collapsed="false">
      <c r="P98" s="934"/>
    </row>
    <row r="99" customFormat="false" ht="15" hidden="false" customHeight="false" outlineLevel="0" collapsed="false">
      <c r="P99" s="934"/>
    </row>
    <row r="100" customFormat="false" ht="15" hidden="false" customHeight="false" outlineLevel="0" collapsed="false">
      <c r="P100" s="934"/>
    </row>
    <row r="101" customFormat="false" ht="15" hidden="false" customHeight="false" outlineLevel="0" collapsed="false">
      <c r="P101" s="934"/>
    </row>
    <row r="102" customFormat="false" ht="15" hidden="false" customHeight="false" outlineLevel="0" collapsed="false">
      <c r="P102" s="934"/>
    </row>
    <row r="103" customFormat="false" ht="15" hidden="false" customHeight="false" outlineLevel="0" collapsed="false">
      <c r="P103" s="934"/>
    </row>
    <row r="104" customFormat="false" ht="15" hidden="false" customHeight="false" outlineLevel="0" collapsed="false">
      <c r="P104" s="934"/>
    </row>
    <row r="105" customFormat="false" ht="15" hidden="false" customHeight="false" outlineLevel="0" collapsed="false">
      <c r="P105" s="934"/>
    </row>
    <row r="106" customFormat="false" ht="15" hidden="false" customHeight="false" outlineLevel="0" collapsed="false">
      <c r="P106" s="934"/>
    </row>
    <row r="107" customFormat="false" ht="15" hidden="false" customHeight="false" outlineLevel="0" collapsed="false">
      <c r="P107" s="934"/>
    </row>
    <row r="108" customFormat="false" ht="15" hidden="false" customHeight="false" outlineLevel="0" collapsed="false">
      <c r="P108" s="934"/>
    </row>
    <row r="109" customFormat="false" ht="15" hidden="false" customHeight="false" outlineLevel="0" collapsed="false">
      <c r="P109" s="934"/>
    </row>
    <row r="110" customFormat="false" ht="15" hidden="false" customHeight="false" outlineLevel="0" collapsed="false">
      <c r="P110" s="934"/>
    </row>
  </sheetData>
  <autoFilter ref="A2:BB8"/>
  <dataValidations count="2">
    <dataValidation allowBlank="true" errorStyle="stop" operator="between" showDropDown="false" showErrorMessage="true" showInputMessage="true" sqref="AJ3:AJ1016" type="list">
      <formula1>"YES,NO,-"</formula1>
      <formula2>0</formula2>
    </dataValidation>
    <dataValidation allowBlank="false" errorStyle="stop" operator="between" showDropDown="false" showErrorMessage="true" showInputMessage="true" sqref="N3:N8" type="list">
      <formula1>'Back up'!$D$3:$D$8</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BF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S63" activeCellId="0" sqref="S63"/>
    </sheetView>
  </sheetViews>
  <sheetFormatPr defaultColWidth="14.25390625" defaultRowHeight="15" zeroHeight="false" outlineLevelRow="1" outlineLevelCol="2"/>
  <cols>
    <col collapsed="false" customWidth="true" hidden="false" outlineLevel="0" max="1" min="1" style="932" width="18.38"/>
    <col collapsed="false" customWidth="true" hidden="false" outlineLevel="0" max="2" min="2" style="931" width="12.5"/>
    <col collapsed="false" customWidth="true" hidden="true" outlineLevel="1" max="3" min="3" style="932" width="23.62"/>
    <col collapsed="false" customWidth="true" hidden="true" outlineLevel="1" max="4" min="4" style="932" width="34.25"/>
    <col collapsed="false" customWidth="true" hidden="true" outlineLevel="1" max="5" min="5" style="932" width="20.5"/>
    <col collapsed="false" customWidth="true" hidden="false" outlineLevel="0" max="7" min="6" style="912" width="8"/>
    <col collapsed="false" customWidth="true" hidden="false" outlineLevel="0" max="8" min="8" style="912" width="12.5"/>
    <col collapsed="false" customWidth="true" hidden="false" outlineLevel="0" max="9" min="9" style="917" width="5.12"/>
    <col collapsed="false" customWidth="true" hidden="false" outlineLevel="0" max="10" min="10" style="939" width="5.12"/>
    <col collapsed="false" customWidth="true" hidden="true" outlineLevel="1" max="11" min="11" style="932" width="9.88"/>
    <col collapsed="false" customWidth="true" hidden="false" outlineLevel="0" max="12" min="12" style="939" width="8.88"/>
    <col collapsed="false" customWidth="true" hidden="false" outlineLevel="0" max="13" min="13" style="940" width="9.25"/>
    <col collapsed="false" customWidth="true" hidden="true" outlineLevel="2" max="15" min="14" style="934" width="9.25"/>
    <col collapsed="true" customWidth="true" hidden="false" outlineLevel="1" max="16" min="16" style="934" width="9.5"/>
    <col collapsed="false" customWidth="true" hidden="false" outlineLevel="0" max="17" min="17" style="940" width="4.88"/>
    <col collapsed="false" customWidth="true" hidden="false" outlineLevel="0" max="18" min="18" style="934" width="13.63"/>
    <col collapsed="false" customWidth="true" hidden="false" outlineLevel="0" max="19" min="19" style="934" width="9.62"/>
    <col collapsed="false" customWidth="true" hidden="true" outlineLevel="1" max="20" min="20" style="1638" width="15.63"/>
    <col collapsed="false" customWidth="true" hidden="false" outlineLevel="0" max="21" min="21" style="1639" width="7.88"/>
    <col collapsed="false" customWidth="true" hidden="false" outlineLevel="0" max="22" min="22" style="1639" width="13.88"/>
    <col collapsed="false" customWidth="true" hidden="false" outlineLevel="0" max="23" min="23" style="934" width="13.12"/>
    <col collapsed="false" customWidth="true" hidden="false" outlineLevel="0" max="24" min="24" style="1641" width="9.88"/>
    <col collapsed="false" customWidth="true" hidden="false" outlineLevel="0" max="25" min="25" style="934" width="9.88"/>
    <col collapsed="false" customWidth="true" hidden="false" outlineLevel="0" max="26" min="26" style="934" width="11.62"/>
    <col collapsed="false" customWidth="true" hidden="false" outlineLevel="0" max="27" min="27" style="934" width="16.51"/>
    <col collapsed="false" customWidth="true" hidden="false" outlineLevel="0" max="28" min="28" style="934" width="27"/>
    <col collapsed="false" customWidth="true" hidden="true" outlineLevel="1" max="29" min="29" style="934" width="12.37"/>
    <col collapsed="false" customWidth="true" hidden="true" outlineLevel="0" max="30" min="30" style="934" width="11.37"/>
    <col collapsed="false" customWidth="true" hidden="true" outlineLevel="0" max="31" min="31" style="934" width="11.62"/>
    <col collapsed="false" customWidth="true" hidden="true" outlineLevel="0" max="32" min="32" style="917" width="16.63"/>
    <col collapsed="false" customWidth="true" hidden="true" outlineLevel="0" max="33" min="33" style="917" width="11"/>
    <col collapsed="false" customWidth="true" hidden="true" outlineLevel="0" max="34" min="34" style="917" width="11.62"/>
    <col collapsed="false" customWidth="true" hidden="false" outlineLevel="0" max="35" min="35" style="917" width="11.62"/>
    <col collapsed="false" customWidth="true" hidden="false" outlineLevel="0" max="36" min="36" style="917" width="12.37"/>
    <col collapsed="false" customWidth="true" hidden="false" outlineLevel="0" max="37" min="37" style="939" width="9.88"/>
    <col collapsed="false" customWidth="true" hidden="false" outlineLevel="0" max="38" min="38" style="939" width="12.5"/>
    <col collapsed="false" customWidth="true" hidden="false" outlineLevel="0" max="39" min="39" style="939" width="8.37"/>
    <col collapsed="false" customWidth="true" hidden="true" outlineLevel="1" max="41" min="40" style="917" width="13.88"/>
    <col collapsed="false" customWidth="true" hidden="false" outlineLevel="0" max="46" min="42" style="917" width="11.62"/>
    <col collapsed="false" customWidth="true" hidden="false" outlineLevel="0" max="48" min="47" style="935" width="11.62"/>
    <col collapsed="false" customWidth="true" hidden="false" outlineLevel="0" max="49" min="49" style="935" width="114.75"/>
    <col collapsed="false" customWidth="true" hidden="false" outlineLevel="0" max="50" min="50" style="935" width="16"/>
    <col collapsed="false" customWidth="true" hidden="false" outlineLevel="0" max="51" min="51" style="935" width="11.75"/>
    <col collapsed="false" customWidth="true" hidden="false" outlineLevel="0" max="52" min="52" style="931" width="11.75"/>
    <col collapsed="false" customWidth="true" hidden="false" outlineLevel="0" max="53" min="53" style="934" width="19"/>
    <col collapsed="false" customWidth="true" hidden="false" outlineLevel="0" max="54" min="54" style="932" width="16"/>
    <col collapsed="false" customWidth="false" hidden="false" outlineLevel="0" max="16384" min="55" style="932" width="14.25"/>
  </cols>
  <sheetData>
    <row r="1" s="2011" customFormat="true" ht="33.75" hidden="false" customHeight="true" outlineLevel="0" collapsed="false">
      <c r="A1" s="1642" t="s">
        <v>1913</v>
      </c>
      <c r="B1" s="931"/>
      <c r="C1" s="1999"/>
      <c r="D1" s="1999"/>
      <c r="E1" s="1999"/>
      <c r="F1" s="934"/>
      <c r="G1" s="934"/>
      <c r="H1" s="932"/>
      <c r="I1" s="1999"/>
      <c r="J1" s="1999"/>
      <c r="K1" s="1999" t="s">
        <v>71</v>
      </c>
      <c r="L1" s="1999"/>
      <c r="M1" s="2000"/>
      <c r="N1" s="2000"/>
      <c r="O1" s="2000"/>
      <c r="P1" s="2000"/>
      <c r="Q1" s="936"/>
      <c r="R1" s="2001" t="s">
        <v>750</v>
      </c>
      <c r="S1" s="2001"/>
      <c r="T1" s="2001"/>
      <c r="U1" s="2002" t="s">
        <v>751</v>
      </c>
      <c r="V1" s="2003" t="s">
        <v>1914</v>
      </c>
      <c r="W1" s="1649"/>
      <c r="X1" s="1650" t="s">
        <v>1540</v>
      </c>
      <c r="Y1" s="1651" t="s">
        <v>753</v>
      </c>
      <c r="Z1" s="948"/>
      <c r="AA1" s="948"/>
      <c r="AB1" s="948"/>
      <c r="AC1" s="1652"/>
      <c r="AD1" s="948"/>
      <c r="AE1" s="948"/>
      <c r="AF1" s="948"/>
      <c r="AG1" s="948"/>
      <c r="AH1" s="1652"/>
      <c r="AI1" s="2004" t="s">
        <v>1542</v>
      </c>
      <c r="AJ1" s="2004"/>
      <c r="AK1" s="2004"/>
      <c r="AL1" s="2004"/>
      <c r="AM1" s="2004"/>
      <c r="AN1" s="2005"/>
      <c r="AO1" s="2006"/>
      <c r="AP1" s="2007" t="s">
        <v>754</v>
      </c>
      <c r="AQ1" s="2007"/>
      <c r="AR1" s="2007"/>
      <c r="AS1" s="2007"/>
      <c r="AT1" s="2007"/>
      <c r="AU1" s="2007"/>
      <c r="AV1" s="2007"/>
      <c r="AW1" s="2008"/>
      <c r="AX1" s="2009"/>
      <c r="AY1" s="2009"/>
      <c r="AZ1" s="2009"/>
      <c r="BA1" s="2009"/>
      <c r="BB1" s="2009"/>
      <c r="BC1" s="2010"/>
      <c r="BD1" s="1999"/>
      <c r="BE1" s="1999"/>
      <c r="BF1" s="1999"/>
    </row>
    <row r="2" s="962" customFormat="true" ht="68.65" hidden="false" customHeight="true" outlineLevel="0" collapsed="false">
      <c r="A2" s="1655" t="s">
        <v>755</v>
      </c>
      <c r="B2" s="1655" t="s">
        <v>756</v>
      </c>
      <c r="C2" s="1655" t="s">
        <v>757</v>
      </c>
      <c r="D2" s="1655" t="s">
        <v>758</v>
      </c>
      <c r="E2" s="1655" t="s">
        <v>759</v>
      </c>
      <c r="F2" s="1655" t="s">
        <v>761</v>
      </c>
      <c r="G2" s="1655" t="s">
        <v>763</v>
      </c>
      <c r="H2" s="1655" t="s">
        <v>1544</v>
      </c>
      <c r="I2" s="1656" t="s">
        <v>1915</v>
      </c>
      <c r="J2" s="1656"/>
      <c r="K2" s="1655" t="s">
        <v>766</v>
      </c>
      <c r="L2" s="1655" t="s">
        <v>767</v>
      </c>
      <c r="M2" s="1655" t="s">
        <v>769</v>
      </c>
      <c r="N2" s="1655" t="s">
        <v>770</v>
      </c>
      <c r="O2" s="1655" t="s">
        <v>771</v>
      </c>
      <c r="P2" s="1655" t="s">
        <v>772</v>
      </c>
      <c r="Q2" s="1655" t="s">
        <v>773</v>
      </c>
      <c r="R2" s="1655" t="s">
        <v>774</v>
      </c>
      <c r="S2" s="1655" t="s">
        <v>1547</v>
      </c>
      <c r="T2" s="1655" t="s">
        <v>776</v>
      </c>
      <c r="U2" s="1655" t="s">
        <v>1549</v>
      </c>
      <c r="V2" s="1655" t="s">
        <v>1916</v>
      </c>
      <c r="W2" s="1655" t="s">
        <v>1917</v>
      </c>
      <c r="X2" s="2012" t="s">
        <v>306</v>
      </c>
      <c r="Y2" s="2012" t="s">
        <v>1557</v>
      </c>
      <c r="Z2" s="2012" t="s">
        <v>1558</v>
      </c>
      <c r="AA2" s="2013" t="s">
        <v>781</v>
      </c>
      <c r="AB2" s="2013"/>
      <c r="AC2" s="2014" t="s">
        <v>1564</v>
      </c>
      <c r="AD2" s="2014" t="s">
        <v>1867</v>
      </c>
      <c r="AE2" s="2014" t="s">
        <v>1868</v>
      </c>
      <c r="AF2" s="2014" t="s">
        <v>1869</v>
      </c>
      <c r="AG2" s="2014" t="s">
        <v>1870</v>
      </c>
      <c r="AH2" s="2015" t="s">
        <v>1871</v>
      </c>
      <c r="AI2" s="2012" t="s">
        <v>1918</v>
      </c>
      <c r="AJ2" s="2012" t="s">
        <v>487</v>
      </c>
      <c r="AK2" s="2012" t="s">
        <v>768</v>
      </c>
      <c r="AL2" s="2012" t="s">
        <v>1919</v>
      </c>
      <c r="AM2" s="2012" t="s">
        <v>1920</v>
      </c>
      <c r="AN2" s="2012" t="s">
        <v>1570</v>
      </c>
      <c r="AO2" s="2012" t="s">
        <v>1571</v>
      </c>
      <c r="AP2" s="2012" t="s">
        <v>783</v>
      </c>
      <c r="AQ2" s="2012" t="s">
        <v>784</v>
      </c>
      <c r="AR2" s="2012" t="s">
        <v>785</v>
      </c>
      <c r="AS2" s="2012" t="s">
        <v>508</v>
      </c>
      <c r="AT2" s="2012" t="s">
        <v>786</v>
      </c>
      <c r="AU2" s="955" t="s">
        <v>787</v>
      </c>
      <c r="AV2" s="2012" t="s">
        <v>571</v>
      </c>
      <c r="AW2" s="2012" t="s">
        <v>216</v>
      </c>
    </row>
    <row r="3" s="914" customFormat="true" ht="26.85" hidden="false" customHeight="false" outlineLevel="1" collapsed="false">
      <c r="A3" s="2016" t="str">
        <f aca="false">"POSN2HO M&amp;A - 5PJT                         "
&amp;ROUND(SUM(L3:L7),2)</f>
        <v>POSN2HO M&amp;A - 5PJT                         1668.87</v>
      </c>
      <c r="B3" s="2017" t="s">
        <v>1921</v>
      </c>
      <c r="C3" s="2018" t="s">
        <v>1922</v>
      </c>
      <c r="D3" s="2019" t="s">
        <v>1923</v>
      </c>
      <c r="E3" s="2020" t="s">
        <v>1924</v>
      </c>
      <c r="F3" s="2021" t="n">
        <v>0.0719</v>
      </c>
      <c r="G3" s="970"/>
      <c r="H3" s="1087" t="n">
        <v>465.5</v>
      </c>
      <c r="I3" s="2022" t="n">
        <v>1347</v>
      </c>
      <c r="J3" s="2023" t="n">
        <f aca="false">I3/365</f>
        <v>3.69041095890411</v>
      </c>
      <c r="K3" s="974" t="n">
        <v>45664</v>
      </c>
      <c r="L3" s="2024" t="n">
        <v>362.88</v>
      </c>
      <c r="M3" s="2025" t="n">
        <v>45839</v>
      </c>
      <c r="N3" s="974" t="s">
        <v>966</v>
      </c>
      <c r="O3" s="2025"/>
      <c r="P3" s="2025" t="n">
        <f aca="false">EDATE(M3,6)</f>
        <v>46023</v>
      </c>
      <c r="Q3" s="2026" t="n">
        <v>1</v>
      </c>
      <c r="R3" s="2027" t="n">
        <v>40000000</v>
      </c>
      <c r="S3" s="2028" t="n">
        <v>6</v>
      </c>
      <c r="T3" s="994" t="s">
        <v>1925</v>
      </c>
      <c r="U3" s="2029" t="s">
        <v>795</v>
      </c>
      <c r="V3" s="2030" t="n">
        <v>30000000</v>
      </c>
      <c r="W3" s="2031" t="n">
        <v>1566.18</v>
      </c>
      <c r="X3" s="2032" t="s">
        <v>1926</v>
      </c>
      <c r="Y3" s="2033" t="s">
        <v>795</v>
      </c>
      <c r="Z3" s="2026" t="s">
        <v>1927</v>
      </c>
      <c r="AA3" s="2033" t="s">
        <v>1928</v>
      </c>
      <c r="AB3" s="2032" t="s">
        <v>1929</v>
      </c>
      <c r="AC3" s="2034" t="n">
        <v>8370116</v>
      </c>
      <c r="AD3" s="1988"/>
      <c r="AE3" s="2035"/>
      <c r="AF3" s="2035"/>
      <c r="AG3" s="2035"/>
      <c r="AH3" s="1666"/>
      <c r="AI3" s="2025" t="n">
        <f aca="true">TODAY()</f>
        <v>46051</v>
      </c>
      <c r="AJ3" s="2025" t="s">
        <v>1930</v>
      </c>
      <c r="AK3" s="2036" t="s">
        <v>1931</v>
      </c>
      <c r="AL3" s="2037" t="s">
        <v>1932</v>
      </c>
      <c r="AM3" s="987" t="n">
        <v>576</v>
      </c>
      <c r="AN3" s="1087" t="s">
        <v>1930</v>
      </c>
      <c r="AO3" s="1087" t="s">
        <v>1930</v>
      </c>
      <c r="AP3" s="987" t="n">
        <v>30000</v>
      </c>
      <c r="AQ3" s="2038" t="n">
        <f aca="false">+L3*30000</f>
        <v>10886400</v>
      </c>
      <c r="AR3" s="2039" t="n">
        <v>5</v>
      </c>
      <c r="AS3" s="2040" t="n">
        <f aca="false">30000000*90%*L3/1000*AR3</f>
        <v>48988800</v>
      </c>
      <c r="AT3" s="2041" t="n">
        <f aca="false">+L3*100000000/1000</f>
        <v>36288000</v>
      </c>
      <c r="AU3" s="2041" t="n">
        <f aca="false">+L3*300000000/1000</f>
        <v>108864000</v>
      </c>
      <c r="AV3" s="2041" t="n">
        <f aca="false">+L3*1050000000/1000</f>
        <v>381024000</v>
      </c>
      <c r="AW3" s="2042" t="s">
        <v>1933</v>
      </c>
      <c r="AX3" s="914" t="s">
        <v>71</v>
      </c>
    </row>
    <row r="4" s="914" customFormat="true" ht="15" hidden="false" customHeight="false" outlineLevel="1" collapsed="false">
      <c r="A4" s="2016"/>
      <c r="B4" s="2017" t="s">
        <v>1934</v>
      </c>
      <c r="C4" s="2018" t="s">
        <v>1935</v>
      </c>
      <c r="D4" s="2043" t="s">
        <v>1936</v>
      </c>
      <c r="E4" s="2025" t="s">
        <v>1924</v>
      </c>
      <c r="F4" s="970" t="n">
        <v>0.0799</v>
      </c>
      <c r="G4" s="970"/>
      <c r="H4" s="1087" t="n">
        <v>204.47</v>
      </c>
      <c r="I4" s="2022" t="n">
        <v>1437</v>
      </c>
      <c r="J4" s="2023" t="n">
        <f aca="false">I4/365</f>
        <v>3.93698630136986</v>
      </c>
      <c r="K4" s="974" t="n">
        <v>45664</v>
      </c>
      <c r="L4" s="2024" t="n">
        <v>141.12</v>
      </c>
      <c r="M4" s="2025" t="n">
        <v>45839</v>
      </c>
      <c r="N4" s="974" t="s">
        <v>966</v>
      </c>
      <c r="O4" s="2025"/>
      <c r="P4" s="2025" t="n">
        <f aca="false">EDATE(M4,6)</f>
        <v>46023</v>
      </c>
      <c r="Q4" s="2026" t="n">
        <v>1</v>
      </c>
      <c r="R4" s="2028" t="n">
        <v>40000000</v>
      </c>
      <c r="S4" s="2028" t="n">
        <v>6</v>
      </c>
      <c r="T4" s="994" t="s">
        <v>1937</v>
      </c>
      <c r="U4" s="2029" t="s">
        <v>795</v>
      </c>
      <c r="V4" s="2030" t="n">
        <v>30000000</v>
      </c>
      <c r="W4" s="2044" t="n">
        <v>625</v>
      </c>
      <c r="X4" s="2032" t="s">
        <v>1938</v>
      </c>
      <c r="Y4" s="2033" t="s">
        <v>795</v>
      </c>
      <c r="Z4" s="2026" t="s">
        <v>1939</v>
      </c>
      <c r="AA4" s="2033" t="s">
        <v>1928</v>
      </c>
      <c r="AB4" s="2032" t="s">
        <v>1940</v>
      </c>
      <c r="AC4" s="2034" t="n">
        <v>3417797</v>
      </c>
      <c r="AD4" s="1988"/>
      <c r="AE4" s="2035"/>
      <c r="AF4" s="2035"/>
      <c r="AG4" s="2035"/>
      <c r="AH4" s="1666"/>
      <c r="AI4" s="2025" t="n">
        <f aca="true">TODAY()</f>
        <v>46051</v>
      </c>
      <c r="AJ4" s="2025" t="s">
        <v>1930</v>
      </c>
      <c r="AK4" s="2036" t="s">
        <v>1931</v>
      </c>
      <c r="AL4" s="2037" t="s">
        <v>1941</v>
      </c>
      <c r="AM4" s="987" t="n">
        <v>224</v>
      </c>
      <c r="AN4" s="1087" t="s">
        <v>1930</v>
      </c>
      <c r="AO4" s="1087" t="s">
        <v>1930</v>
      </c>
      <c r="AP4" s="987" t="n">
        <v>30000</v>
      </c>
      <c r="AQ4" s="2038" t="n">
        <f aca="false">+L4*30000</f>
        <v>4233600</v>
      </c>
      <c r="AR4" s="2039" t="n">
        <v>5</v>
      </c>
      <c r="AS4" s="2040" t="n">
        <f aca="false">30000000*90%*L4/1000*AR4</f>
        <v>19051200</v>
      </c>
      <c r="AT4" s="2041" t="n">
        <f aca="false">+L4*100000000/1000</f>
        <v>14112000</v>
      </c>
      <c r="AU4" s="2041" t="n">
        <f aca="false">+L4*300000000/1000</f>
        <v>42336000</v>
      </c>
      <c r="AV4" s="2041" t="n">
        <f aca="false">+L4*1050000000/1000</f>
        <v>148176000</v>
      </c>
      <c r="AW4" s="2042" t="s">
        <v>1942</v>
      </c>
    </row>
    <row r="5" s="914" customFormat="true" ht="15" hidden="false" customHeight="false" outlineLevel="1" collapsed="false">
      <c r="A5" s="2016"/>
      <c r="B5" s="2017" t="s">
        <v>1943</v>
      </c>
      <c r="C5" s="2018" t="s">
        <v>1944</v>
      </c>
      <c r="D5" s="2019" t="s">
        <v>1945</v>
      </c>
      <c r="E5" s="2025" t="s">
        <v>1946</v>
      </c>
      <c r="F5" s="970" t="n">
        <v>0.0736</v>
      </c>
      <c r="G5" s="970"/>
      <c r="H5" s="1087" t="n">
        <v>1076.5</v>
      </c>
      <c r="I5" s="2022" t="n">
        <v>1351</v>
      </c>
      <c r="J5" s="2023" t="n">
        <f aca="false">I5/365</f>
        <v>3.7013698630137</v>
      </c>
      <c r="K5" s="974" t="n">
        <v>45664</v>
      </c>
      <c r="L5" s="2024" t="n">
        <v>790.65</v>
      </c>
      <c r="M5" s="2025" t="n">
        <v>45839</v>
      </c>
      <c r="N5" s="974" t="s">
        <v>966</v>
      </c>
      <c r="O5" s="2025"/>
      <c r="P5" s="2025" t="n">
        <f aca="false">EDATE(M5,6)</f>
        <v>46023</v>
      </c>
      <c r="Q5" s="2026" t="n">
        <v>1</v>
      </c>
      <c r="R5" s="2028" t="n">
        <v>40000000</v>
      </c>
      <c r="S5" s="2028" t="n">
        <v>6</v>
      </c>
      <c r="T5" s="994" t="s">
        <v>1947</v>
      </c>
      <c r="U5" s="2029" t="s">
        <v>795</v>
      </c>
      <c r="V5" s="2030" t="n">
        <v>30000000</v>
      </c>
      <c r="W5" s="2044" t="n">
        <v>3464</v>
      </c>
      <c r="X5" s="2032" t="s">
        <v>1948</v>
      </c>
      <c r="Y5" s="2033" t="s">
        <v>795</v>
      </c>
      <c r="Z5" s="2026" t="s">
        <v>1939</v>
      </c>
      <c r="AA5" s="2033" t="s">
        <v>1928</v>
      </c>
      <c r="AB5" s="2032" t="s">
        <v>1949</v>
      </c>
      <c r="AC5" s="2034" t="n">
        <v>19148820</v>
      </c>
      <c r="AD5" s="1988"/>
      <c r="AE5" s="2035"/>
      <c r="AF5" s="2035"/>
      <c r="AG5" s="2035"/>
      <c r="AH5" s="1666"/>
      <c r="AI5" s="2025" t="n">
        <f aca="true">TODAY()</f>
        <v>46051</v>
      </c>
      <c r="AJ5" s="2025" t="s">
        <v>1930</v>
      </c>
      <c r="AK5" s="2036" t="s">
        <v>1950</v>
      </c>
      <c r="AL5" s="2037" t="s">
        <v>1941</v>
      </c>
      <c r="AM5" s="987" t="n">
        <v>1255</v>
      </c>
      <c r="AN5" s="1087" t="s">
        <v>1930</v>
      </c>
      <c r="AO5" s="1087" t="s">
        <v>1930</v>
      </c>
      <c r="AP5" s="987" t="n">
        <v>30000</v>
      </c>
      <c r="AQ5" s="2038" t="n">
        <f aca="false">+L5*30000</f>
        <v>23719500</v>
      </c>
      <c r="AR5" s="2039" t="n">
        <v>5</v>
      </c>
      <c r="AS5" s="2040" t="n">
        <f aca="false">30000000*90%*L5/1000*AR5</f>
        <v>106737750</v>
      </c>
      <c r="AT5" s="2041" t="n">
        <f aca="false">+L5*100000000/1000</f>
        <v>79065000</v>
      </c>
      <c r="AU5" s="2041" t="n">
        <f aca="false">+L5*300000000/1000</f>
        <v>237195000</v>
      </c>
      <c r="AV5" s="2041" t="n">
        <f aca="false">+L5*1050000000/1000</f>
        <v>830182500</v>
      </c>
      <c r="AW5" s="2045" t="s">
        <v>1951</v>
      </c>
    </row>
    <row r="6" s="914" customFormat="true" ht="15" hidden="false" customHeight="false" outlineLevel="1" collapsed="false">
      <c r="A6" s="2016"/>
      <c r="B6" s="2017" t="s">
        <v>1952</v>
      </c>
      <c r="C6" s="2018" t="s">
        <v>1953</v>
      </c>
      <c r="D6" s="2019" t="s">
        <v>1954</v>
      </c>
      <c r="E6" s="2025" t="s">
        <v>1955</v>
      </c>
      <c r="F6" s="970" t="n">
        <v>0.0749</v>
      </c>
      <c r="G6" s="970"/>
      <c r="H6" s="1087" t="n">
        <v>177</v>
      </c>
      <c r="I6" s="2022" t="n">
        <v>1401</v>
      </c>
      <c r="J6" s="2023" t="n">
        <f aca="false">I6/365</f>
        <v>3.83835616438356</v>
      </c>
      <c r="K6" s="974" t="n">
        <v>45664</v>
      </c>
      <c r="L6" s="2024" t="n">
        <v>125.37</v>
      </c>
      <c r="M6" s="2025" t="n">
        <v>45839</v>
      </c>
      <c r="N6" s="974" t="s">
        <v>966</v>
      </c>
      <c r="O6" s="2025"/>
      <c r="P6" s="2025" t="n">
        <f aca="false">EDATE(M6,6)</f>
        <v>46023</v>
      </c>
      <c r="Q6" s="2026" t="n">
        <v>1</v>
      </c>
      <c r="R6" s="2028" t="n">
        <v>40000000</v>
      </c>
      <c r="S6" s="2028" t="n">
        <v>6</v>
      </c>
      <c r="T6" s="994" t="s">
        <v>1956</v>
      </c>
      <c r="U6" s="2029" t="s">
        <v>795</v>
      </c>
      <c r="V6" s="2030" t="n">
        <v>30000000</v>
      </c>
      <c r="W6" s="2044" t="n">
        <v>537</v>
      </c>
      <c r="X6" s="2032" t="s">
        <v>1957</v>
      </c>
      <c r="Y6" s="2033" t="s">
        <v>795</v>
      </c>
      <c r="Z6" s="2026" t="s">
        <v>1958</v>
      </c>
      <c r="AA6" s="2033" t="s">
        <v>1928</v>
      </c>
      <c r="AB6" s="2032" t="s">
        <v>1959</v>
      </c>
      <c r="AC6" s="2034" t="n">
        <v>3036347</v>
      </c>
      <c r="AD6" s="1988"/>
      <c r="AE6" s="2035"/>
      <c r="AF6" s="2035"/>
      <c r="AG6" s="2035"/>
      <c r="AH6" s="1666"/>
      <c r="AI6" s="2025" t="n">
        <f aca="true">TODAY()</f>
        <v>46051</v>
      </c>
      <c r="AJ6" s="2025" t="s">
        <v>1930</v>
      </c>
      <c r="AK6" s="2036" t="s">
        <v>1931</v>
      </c>
      <c r="AL6" s="2037" t="s">
        <v>1941</v>
      </c>
      <c r="AM6" s="987" t="n">
        <v>199</v>
      </c>
      <c r="AN6" s="1087" t="s">
        <v>1930</v>
      </c>
      <c r="AO6" s="1087" t="s">
        <v>1930</v>
      </c>
      <c r="AP6" s="987" t="n">
        <v>30000</v>
      </c>
      <c r="AQ6" s="2038" t="n">
        <f aca="false">+L6*30000</f>
        <v>3761100</v>
      </c>
      <c r="AR6" s="2039" t="n">
        <v>5</v>
      </c>
      <c r="AS6" s="2040" t="n">
        <f aca="false">30000000*90%*L6/1000*AR6</f>
        <v>16924950</v>
      </c>
      <c r="AT6" s="2041" t="n">
        <f aca="false">+L6*100000000/1000</f>
        <v>12537000</v>
      </c>
      <c r="AU6" s="2041" t="n">
        <f aca="false">+L6*300000000/1000</f>
        <v>37611000</v>
      </c>
      <c r="AV6" s="2041" t="n">
        <f aca="false">+L6*1050000000/1000</f>
        <v>131638500</v>
      </c>
      <c r="AW6" s="2045" t="s">
        <v>1951</v>
      </c>
    </row>
    <row r="7" s="914" customFormat="true" ht="15" hidden="false" customHeight="false" outlineLevel="1" collapsed="false">
      <c r="A7" s="2016"/>
      <c r="B7" s="2046" t="s">
        <v>1960</v>
      </c>
      <c r="C7" s="2047" t="s">
        <v>1961</v>
      </c>
      <c r="D7" s="2048" t="s">
        <v>1962</v>
      </c>
      <c r="E7" s="2049" t="s">
        <v>1963</v>
      </c>
      <c r="F7" s="1216" t="n">
        <v>0.0788</v>
      </c>
      <c r="G7" s="1216"/>
      <c r="H7" s="2050" t="n">
        <v>351.83</v>
      </c>
      <c r="I7" s="2051" t="n">
        <v>1410</v>
      </c>
      <c r="J7" s="2052" t="n">
        <f aca="false">I7/365</f>
        <v>3.86301369863014</v>
      </c>
      <c r="K7" s="2053" t="n">
        <v>45664</v>
      </c>
      <c r="L7" s="2054" t="n">
        <v>248.85</v>
      </c>
      <c r="M7" s="2049" t="n">
        <v>45839</v>
      </c>
      <c r="N7" s="2053" t="s">
        <v>966</v>
      </c>
      <c r="O7" s="2049"/>
      <c r="P7" s="2049" t="n">
        <f aca="false">EDATE(M7,6)</f>
        <v>46023</v>
      </c>
      <c r="Q7" s="2055" t="n">
        <v>1</v>
      </c>
      <c r="R7" s="2056" t="n">
        <v>40000000</v>
      </c>
      <c r="S7" s="2056" t="n">
        <v>6</v>
      </c>
      <c r="T7" s="2057" t="s">
        <v>1964</v>
      </c>
      <c r="U7" s="2058" t="s">
        <v>795</v>
      </c>
      <c r="V7" s="2059" t="n">
        <v>30000000</v>
      </c>
      <c r="W7" s="2060" t="n">
        <f aca="false">320+740+310+330+320</f>
        <v>2020</v>
      </c>
      <c r="X7" s="2061" t="s">
        <v>1965</v>
      </c>
      <c r="Y7" s="2062" t="s">
        <v>795</v>
      </c>
      <c r="Z7" s="2055" t="s">
        <v>1966</v>
      </c>
      <c r="AA7" s="2063" t="s">
        <v>1928</v>
      </c>
      <c r="AB7" s="2061" t="s">
        <v>1967</v>
      </c>
      <c r="AC7" s="2064" t="n">
        <v>6026920</v>
      </c>
      <c r="AD7" s="2065"/>
      <c r="AE7" s="2066"/>
      <c r="AF7" s="2066"/>
      <c r="AG7" s="2066"/>
      <c r="AH7" s="2067"/>
      <c r="AI7" s="2049" t="n">
        <f aca="true">TODAY()</f>
        <v>46051</v>
      </c>
      <c r="AJ7" s="2049" t="s">
        <v>1930</v>
      </c>
      <c r="AK7" s="2068" t="s">
        <v>1931</v>
      </c>
      <c r="AL7" s="2069" t="s">
        <v>1941</v>
      </c>
      <c r="AM7" s="2070" t="n">
        <v>395</v>
      </c>
      <c r="AN7" s="2071" t="s">
        <v>1930</v>
      </c>
      <c r="AO7" s="2071" t="s">
        <v>1930</v>
      </c>
      <c r="AP7" s="2070" t="n">
        <v>30000</v>
      </c>
      <c r="AQ7" s="2072" t="n">
        <f aca="false">+L7*30000</f>
        <v>7465500</v>
      </c>
      <c r="AR7" s="2073" t="n">
        <v>5</v>
      </c>
      <c r="AS7" s="2074" t="n">
        <f aca="false">30000000*90%*L7/1000*AR7</f>
        <v>33594750</v>
      </c>
      <c r="AT7" s="2075" t="n">
        <f aca="false">+L7*100000000/1000</f>
        <v>24885000</v>
      </c>
      <c r="AU7" s="2075" t="n">
        <f aca="false">+L7*300000000/1000</f>
        <v>74655000</v>
      </c>
      <c r="AV7" s="2075" t="n">
        <f aca="false">+L7*1050000000/1000</f>
        <v>261292500</v>
      </c>
      <c r="AW7" s="2076" t="s">
        <v>1951</v>
      </c>
    </row>
    <row r="8" customFormat="false" ht="18" hidden="false" customHeight="true" outlineLevel="0" collapsed="false">
      <c r="A8" s="965"/>
      <c r="B8" s="2077" t="n">
        <f aca="false">SUM(L3:L7)</f>
        <v>1668.87</v>
      </c>
      <c r="C8" s="965"/>
      <c r="D8" s="966"/>
      <c r="E8" s="1263"/>
      <c r="F8" s="1662"/>
      <c r="G8" s="1662"/>
      <c r="H8" s="969"/>
      <c r="I8" s="2078"/>
      <c r="L8" s="918" t="n">
        <f aca="false">+SUM(L3:L7)</f>
        <v>1668.87</v>
      </c>
      <c r="M8" s="974"/>
      <c r="P8" s="932"/>
      <c r="Q8" s="934"/>
      <c r="R8" s="940"/>
      <c r="S8" s="1639"/>
      <c r="T8" s="2079"/>
      <c r="V8" s="1944"/>
      <c r="X8" s="994"/>
      <c r="Y8" s="936"/>
      <c r="Z8" s="994"/>
      <c r="AA8" s="936"/>
      <c r="AB8" s="936"/>
      <c r="AC8" s="1986"/>
      <c r="AD8" s="1986"/>
      <c r="AE8" s="1986"/>
      <c r="AF8" s="1986"/>
      <c r="AG8" s="1986"/>
      <c r="AH8" s="1986"/>
      <c r="AI8" s="1987"/>
      <c r="AJ8" s="1987"/>
      <c r="AN8" s="2080"/>
      <c r="AO8" s="2080"/>
      <c r="AP8" s="2080"/>
      <c r="AQ8" s="1986"/>
      <c r="AR8" s="1986"/>
      <c r="AS8" s="1986"/>
      <c r="AT8" s="1986"/>
      <c r="AU8" s="1986"/>
      <c r="AV8" s="2081"/>
      <c r="AW8" s="934"/>
      <c r="AX8" s="934"/>
      <c r="AY8" s="934"/>
      <c r="BB8" s="1263"/>
    </row>
    <row r="9" customFormat="false" ht="18" hidden="false" customHeight="true" outlineLevel="0" collapsed="false">
      <c r="A9" s="965"/>
      <c r="C9" s="965"/>
      <c r="D9" s="966"/>
      <c r="E9" s="1263"/>
      <c r="F9" s="1662"/>
      <c r="G9" s="1662"/>
      <c r="H9" s="969"/>
      <c r="I9" s="1985"/>
      <c r="P9" s="932"/>
      <c r="Q9" s="934"/>
      <c r="R9" s="940"/>
      <c r="S9" s="1639"/>
      <c r="T9" s="1639"/>
      <c r="V9" s="1944"/>
      <c r="AC9" s="1985"/>
      <c r="AD9" s="1985"/>
      <c r="AE9" s="1985"/>
      <c r="AF9" s="1985"/>
      <c r="AG9" s="1985"/>
      <c r="AH9" s="1985"/>
      <c r="AI9" s="1991"/>
      <c r="AJ9" s="939"/>
      <c r="AN9" s="1985"/>
      <c r="AO9" s="1826"/>
      <c r="AP9" s="1985"/>
      <c r="AQ9" s="1985"/>
      <c r="AR9" s="1985"/>
      <c r="AS9" s="2082"/>
      <c r="AT9" s="1985"/>
      <c r="AU9" s="1985"/>
      <c r="AV9" s="1984"/>
      <c r="AW9" s="934"/>
      <c r="AX9" s="934"/>
      <c r="AY9" s="934"/>
      <c r="BB9" s="1263"/>
    </row>
    <row r="10" customFormat="false" ht="18" hidden="false" customHeight="true" outlineLevel="0" collapsed="false">
      <c r="A10" s="965"/>
      <c r="B10" s="1746"/>
      <c r="C10" s="965"/>
      <c r="D10" s="966"/>
      <c r="E10" s="1263"/>
      <c r="F10" s="1662"/>
      <c r="G10" s="1662"/>
      <c r="H10" s="969"/>
      <c r="I10" s="1985"/>
      <c r="P10" s="932"/>
      <c r="Q10" s="934"/>
      <c r="R10" s="940"/>
      <c r="S10" s="1639"/>
      <c r="T10" s="1639"/>
      <c r="V10" s="1944"/>
      <c r="AC10" s="1985"/>
      <c r="AD10" s="1985"/>
      <c r="AE10" s="1985"/>
      <c r="AF10" s="1985"/>
      <c r="AG10" s="1985"/>
      <c r="AH10" s="1985"/>
      <c r="AI10" s="1991"/>
      <c r="AJ10" s="939"/>
      <c r="AN10" s="1985"/>
      <c r="AO10" s="1826"/>
      <c r="AP10" s="1985"/>
      <c r="AQ10" s="1985"/>
      <c r="AR10" s="2082"/>
      <c r="AS10" s="1985"/>
      <c r="AT10" s="1985"/>
      <c r="AU10" s="1985"/>
      <c r="AV10" s="1984"/>
      <c r="AW10" s="934"/>
      <c r="AX10" s="934"/>
      <c r="AY10" s="934"/>
      <c r="BB10" s="1263"/>
    </row>
    <row r="11" customFormat="false" ht="18" hidden="false" customHeight="true" outlineLevel="0" collapsed="false">
      <c r="A11" s="965"/>
      <c r="B11" s="1746"/>
      <c r="C11" s="965"/>
      <c r="D11" s="1683"/>
      <c r="F11" s="1662"/>
      <c r="G11" s="1662"/>
      <c r="H11" s="969"/>
      <c r="I11" s="1985"/>
      <c r="P11" s="932"/>
      <c r="Q11" s="934"/>
      <c r="R11" s="940"/>
      <c r="S11" s="1639"/>
      <c r="T11" s="1639"/>
      <c r="V11" s="1944"/>
      <c r="AC11" s="1985"/>
      <c r="AD11" s="1985"/>
      <c r="AE11" s="1985"/>
      <c r="AF11" s="1985"/>
      <c r="AG11" s="1985"/>
      <c r="AH11" s="1985"/>
      <c r="AI11" s="1991"/>
      <c r="AJ11" s="939"/>
      <c r="AN11" s="1985"/>
      <c r="AO11" s="1826"/>
      <c r="AP11" s="1985"/>
      <c r="AQ11" s="1985"/>
      <c r="AR11" s="2082"/>
      <c r="AS11" s="1985"/>
      <c r="AT11" s="1985"/>
      <c r="AU11" s="1985"/>
      <c r="AV11" s="1984"/>
      <c r="AW11" s="934"/>
      <c r="AX11" s="934"/>
      <c r="AY11" s="934"/>
    </row>
    <row r="12" customFormat="false" ht="18" hidden="false" customHeight="true" outlineLevel="0" collapsed="false">
      <c r="A12" s="965"/>
      <c r="B12" s="1746"/>
      <c r="C12" s="965"/>
      <c r="D12" s="1683"/>
      <c r="F12" s="1662"/>
      <c r="G12" s="1662"/>
      <c r="H12" s="2083"/>
      <c r="I12" s="1985"/>
      <c r="P12" s="932"/>
      <c r="Q12" s="934"/>
      <c r="R12" s="940"/>
      <c r="S12" s="1639"/>
      <c r="T12" s="1639"/>
      <c r="V12" s="1944"/>
      <c r="AC12" s="1985"/>
      <c r="AD12" s="1985"/>
      <c r="AE12" s="1985"/>
      <c r="AF12" s="1985"/>
      <c r="AG12" s="1985"/>
      <c r="AH12" s="1985"/>
      <c r="AI12" s="1991"/>
      <c r="AJ12" s="939"/>
      <c r="AN12" s="1985"/>
      <c r="AO12" s="1826"/>
      <c r="AP12" s="1985"/>
      <c r="AQ12" s="1985"/>
      <c r="AR12" s="2082"/>
      <c r="AS12" s="1985"/>
      <c r="AT12" s="1985"/>
      <c r="AU12" s="1985"/>
      <c r="AV12" s="1984"/>
      <c r="AW12" s="934"/>
      <c r="AX12" s="934"/>
      <c r="AY12" s="934"/>
    </row>
    <row r="13" customFormat="false" ht="18" hidden="false" customHeight="true" outlineLevel="0" collapsed="false">
      <c r="A13" s="965"/>
      <c r="B13" s="1746"/>
      <c r="C13" s="2084"/>
      <c r="D13" s="1683"/>
      <c r="F13" s="1662"/>
      <c r="G13" s="1662"/>
      <c r="H13" s="2083"/>
      <c r="I13" s="1985"/>
      <c r="P13" s="932"/>
      <c r="Q13" s="934"/>
      <c r="R13" s="940"/>
      <c r="S13" s="1639"/>
      <c r="T13" s="1639"/>
      <c r="U13" s="1983"/>
      <c r="V13" s="1944"/>
      <c r="AC13" s="1985"/>
      <c r="AD13" s="1985"/>
      <c r="AE13" s="1985"/>
      <c r="AF13" s="1985"/>
      <c r="AG13" s="1985"/>
      <c r="AH13" s="1985"/>
      <c r="AI13" s="1991"/>
      <c r="AJ13" s="939"/>
      <c r="AN13" s="1985"/>
      <c r="AO13" s="1826"/>
      <c r="AP13" s="1985"/>
      <c r="AQ13" s="1985"/>
      <c r="AR13" s="1985"/>
      <c r="AS13" s="1985"/>
      <c r="AT13" s="1985"/>
      <c r="AU13" s="1985"/>
      <c r="AV13" s="1984"/>
      <c r="AW13" s="934"/>
      <c r="AX13" s="934"/>
      <c r="AY13" s="934"/>
      <c r="BB13" s="1263"/>
    </row>
    <row r="14" customFormat="false" ht="15" hidden="false" customHeight="false" outlineLevel="0" collapsed="false">
      <c r="A14" s="965"/>
      <c r="B14" s="1746"/>
      <c r="C14" s="965"/>
      <c r="D14" s="1683"/>
      <c r="F14" s="1662"/>
      <c r="G14" s="1662"/>
      <c r="H14" s="969"/>
      <c r="I14" s="1985"/>
      <c r="P14" s="932"/>
      <c r="Q14" s="934"/>
      <c r="R14" s="940"/>
      <c r="S14" s="1639"/>
      <c r="T14" s="1639"/>
      <c r="V14" s="1944"/>
      <c r="X14" s="2085"/>
      <c r="AC14" s="1985"/>
      <c r="AD14" s="1985"/>
      <c r="AE14" s="1985"/>
      <c r="AF14" s="1985"/>
      <c r="AG14" s="1985"/>
      <c r="AH14" s="1985"/>
      <c r="AI14" s="1991"/>
      <c r="AJ14" s="939"/>
      <c r="AN14" s="1985"/>
      <c r="AO14" s="1826"/>
      <c r="AP14" s="1985"/>
      <c r="AQ14" s="1985"/>
      <c r="AR14" s="1985"/>
      <c r="AS14" s="1985"/>
      <c r="AT14" s="1985"/>
      <c r="AU14" s="1985"/>
      <c r="AW14" s="934"/>
      <c r="AX14" s="934"/>
      <c r="AY14" s="934"/>
      <c r="BB14" s="2086"/>
    </row>
    <row r="15" customFormat="false" ht="18" hidden="false" customHeight="true" outlineLevel="0" collapsed="false">
      <c r="A15" s="965"/>
      <c r="B15" s="1746"/>
      <c r="C15" s="965"/>
      <c r="D15" s="1683"/>
      <c r="F15" s="1734"/>
      <c r="G15" s="1734"/>
      <c r="H15" s="969"/>
      <c r="I15" s="1985"/>
      <c r="P15" s="932"/>
      <c r="Q15" s="934"/>
      <c r="R15" s="940"/>
      <c r="S15" s="1639"/>
      <c r="T15" s="1639"/>
      <c r="V15" s="1944"/>
      <c r="AC15" s="1985"/>
      <c r="AD15" s="1985"/>
      <c r="AE15" s="1985"/>
      <c r="AF15" s="1985"/>
      <c r="AG15" s="1985"/>
      <c r="AH15" s="1985"/>
      <c r="AI15" s="1991"/>
      <c r="AJ15" s="939"/>
      <c r="AN15" s="1985"/>
      <c r="AO15" s="1826"/>
      <c r="AP15" s="1985"/>
      <c r="AQ15" s="1985"/>
      <c r="AR15" s="1985"/>
      <c r="AS15" s="1985"/>
      <c r="AT15" s="1985"/>
      <c r="AU15" s="1985"/>
      <c r="AV15" s="1984"/>
      <c r="AW15" s="934"/>
      <c r="AX15" s="934"/>
      <c r="AY15" s="934"/>
      <c r="BB15" s="1263"/>
    </row>
    <row r="16" customFormat="false" ht="18" hidden="false" customHeight="true" outlineLevel="0" collapsed="false">
      <c r="A16" s="965"/>
      <c r="B16" s="1746"/>
      <c r="C16" s="965"/>
      <c r="D16" s="1683"/>
      <c r="F16" s="1734"/>
      <c r="G16" s="1734"/>
      <c r="H16" s="969"/>
      <c r="I16" s="1985"/>
      <c r="P16" s="932"/>
      <c r="Q16" s="934"/>
      <c r="R16" s="940"/>
      <c r="S16" s="1639"/>
      <c r="T16" s="1639"/>
      <c r="V16" s="1944"/>
      <c r="AC16" s="1985"/>
      <c r="AD16" s="1985"/>
      <c r="AE16" s="1985"/>
      <c r="AF16" s="1985"/>
      <c r="AG16" s="1985"/>
      <c r="AH16" s="1985"/>
      <c r="AI16" s="1991"/>
      <c r="AJ16" s="1991"/>
      <c r="AN16" s="1985"/>
      <c r="AO16" s="1826"/>
      <c r="AP16" s="1985"/>
      <c r="AQ16" s="1985"/>
      <c r="AR16" s="1985"/>
      <c r="AS16" s="1985"/>
      <c r="AT16" s="1985"/>
      <c r="AU16" s="1985"/>
      <c r="AV16" s="1984"/>
      <c r="AW16" s="934"/>
      <c r="AX16" s="934"/>
      <c r="AY16" s="934"/>
      <c r="BB16" s="1263"/>
    </row>
    <row r="17" customFormat="false" ht="18" hidden="false" customHeight="true" outlineLevel="0" collapsed="false">
      <c r="A17" s="965"/>
      <c r="B17" s="1746"/>
      <c r="C17" s="965"/>
      <c r="D17" s="1683"/>
      <c r="F17" s="1734"/>
      <c r="G17" s="1734"/>
      <c r="H17" s="969"/>
      <c r="I17" s="1985"/>
      <c r="P17" s="932"/>
      <c r="Q17" s="934"/>
      <c r="R17" s="940"/>
      <c r="S17" s="1639"/>
      <c r="T17" s="1639"/>
      <c r="V17" s="1944"/>
      <c r="AC17" s="1985"/>
      <c r="AD17" s="1985"/>
      <c r="AE17" s="1985"/>
      <c r="AF17" s="1985"/>
      <c r="AG17" s="1985"/>
      <c r="AH17" s="1985"/>
      <c r="AI17" s="1991"/>
      <c r="AJ17" s="1991"/>
      <c r="AN17" s="1985"/>
      <c r="AO17" s="1826"/>
      <c r="AP17" s="1985"/>
      <c r="AQ17" s="1985"/>
      <c r="AR17" s="1985"/>
      <c r="AS17" s="1985"/>
      <c r="AT17" s="1985"/>
      <c r="AU17" s="1985"/>
      <c r="AV17" s="1984"/>
      <c r="AW17" s="934"/>
      <c r="AX17" s="934"/>
      <c r="AY17" s="934"/>
      <c r="BB17" s="1263"/>
    </row>
    <row r="18" customFormat="false" ht="27.75" hidden="false" customHeight="true" outlineLevel="0" collapsed="false">
      <c r="A18" s="965"/>
      <c r="B18" s="934"/>
      <c r="C18" s="934"/>
      <c r="D18" s="934"/>
      <c r="E18" s="934"/>
      <c r="F18" s="934"/>
      <c r="G18" s="934"/>
      <c r="H18" s="939"/>
      <c r="I18" s="939"/>
      <c r="P18" s="932"/>
      <c r="Q18" s="934"/>
      <c r="R18" s="940"/>
      <c r="S18" s="1639"/>
      <c r="T18" s="1639"/>
      <c r="V18" s="1944"/>
      <c r="AC18" s="1985"/>
      <c r="AD18" s="1985"/>
      <c r="AE18" s="1985"/>
      <c r="AF18" s="1985"/>
      <c r="AG18" s="1985"/>
      <c r="AH18" s="1985"/>
      <c r="AI18" s="1991"/>
      <c r="AJ18" s="1991"/>
      <c r="AN18" s="1985"/>
      <c r="AO18" s="1826"/>
      <c r="AP18" s="1985"/>
      <c r="AQ18" s="1985"/>
      <c r="AR18" s="1985"/>
      <c r="AS18" s="1985"/>
      <c r="AT18" s="1985"/>
      <c r="AU18" s="1985"/>
      <c r="AV18" s="1984"/>
      <c r="AW18" s="934"/>
      <c r="AX18" s="934"/>
      <c r="AY18" s="934"/>
      <c r="BB18" s="1263"/>
    </row>
    <row r="19" customFormat="false" ht="18" hidden="false" customHeight="true" outlineLevel="0" collapsed="false">
      <c r="A19" s="965"/>
      <c r="B19" s="1746"/>
      <c r="C19" s="965"/>
      <c r="D19" s="1683"/>
      <c r="F19" s="1662"/>
      <c r="G19" s="1662"/>
      <c r="H19" s="1087"/>
      <c r="I19" s="1985"/>
      <c r="P19" s="932"/>
      <c r="Q19" s="934"/>
      <c r="R19" s="940"/>
      <c r="S19" s="1639"/>
      <c r="T19" s="1639"/>
      <c r="V19" s="1944"/>
      <c r="AC19" s="1985"/>
      <c r="AD19" s="1985"/>
      <c r="AE19" s="1985"/>
      <c r="AF19" s="1985"/>
      <c r="AG19" s="1985"/>
      <c r="AH19" s="1985"/>
      <c r="AI19" s="1991"/>
      <c r="AJ19" s="1991"/>
      <c r="AN19" s="1985"/>
      <c r="AO19" s="1826"/>
      <c r="AP19" s="1985"/>
      <c r="AQ19" s="1985"/>
      <c r="AR19" s="1985"/>
      <c r="AS19" s="1985"/>
      <c r="AT19" s="1985"/>
      <c r="AU19" s="1985"/>
      <c r="AV19" s="1984"/>
      <c r="AW19" s="934"/>
      <c r="AX19" s="934"/>
      <c r="AY19" s="934"/>
      <c r="BB19" s="1263"/>
    </row>
    <row r="20" customFormat="false" ht="18" hidden="false" customHeight="true" outlineLevel="0" collapsed="false">
      <c r="A20" s="965"/>
      <c r="B20" s="1989"/>
      <c r="C20" s="1990"/>
      <c r="D20" s="1683"/>
      <c r="F20" s="1662"/>
      <c r="G20" s="1662"/>
      <c r="H20" s="2083"/>
      <c r="I20" s="1985"/>
      <c r="P20" s="932"/>
      <c r="Q20" s="934"/>
      <c r="R20" s="940"/>
      <c r="S20" s="1639"/>
      <c r="T20" s="1639"/>
      <c r="U20" s="1944"/>
      <c r="V20" s="1944"/>
      <c r="AF20" s="1985"/>
      <c r="AG20" s="1985"/>
      <c r="AH20" s="1985"/>
      <c r="AI20" s="1985"/>
      <c r="AJ20" s="1985"/>
      <c r="AN20" s="1985"/>
      <c r="AO20" s="1985"/>
      <c r="AP20" s="1985"/>
      <c r="AQ20" s="1985"/>
      <c r="AR20" s="1985"/>
      <c r="AS20" s="1985"/>
      <c r="AT20" s="1985"/>
      <c r="AU20" s="1985"/>
      <c r="AV20" s="1984"/>
      <c r="AW20" s="934"/>
      <c r="AX20" s="934"/>
      <c r="AY20" s="934"/>
      <c r="BB20" s="1263"/>
    </row>
    <row r="21" customFormat="false" ht="18" hidden="false" customHeight="true" outlineLevel="0" collapsed="false">
      <c r="A21" s="965"/>
      <c r="B21" s="1989"/>
      <c r="C21" s="965"/>
      <c r="F21" s="1662"/>
      <c r="G21" s="1662"/>
      <c r="H21" s="969"/>
      <c r="I21" s="1985"/>
      <c r="R21" s="940"/>
      <c r="S21" s="1639"/>
      <c r="T21" s="1639"/>
      <c r="U21" s="1944"/>
      <c r="V21" s="1944"/>
      <c r="AF21" s="1985"/>
      <c r="AG21" s="1985"/>
      <c r="AH21" s="1985"/>
      <c r="AI21" s="1985"/>
      <c r="AJ21" s="1985"/>
      <c r="AN21" s="1985"/>
      <c r="AO21" s="1985"/>
      <c r="AP21" s="1985"/>
      <c r="AQ21" s="1985"/>
      <c r="AR21" s="1985"/>
      <c r="AS21" s="1985"/>
      <c r="AT21" s="1985"/>
      <c r="AU21" s="917"/>
      <c r="AV21" s="1984"/>
      <c r="AW21" s="934"/>
      <c r="AX21" s="934"/>
      <c r="AY21" s="934"/>
      <c r="BB21" s="1993"/>
    </row>
    <row r="22" customFormat="false" ht="14.25" hidden="false" customHeight="true" outlineLevel="0" collapsed="false">
      <c r="F22" s="1662"/>
      <c r="G22" s="1662"/>
      <c r="H22" s="969"/>
      <c r="Q22" s="934"/>
      <c r="S22" s="1639"/>
      <c r="T22" s="1639"/>
      <c r="AU22" s="917"/>
      <c r="AW22" s="934"/>
      <c r="AX22" s="934"/>
    </row>
    <row r="23" customFormat="false" ht="15" hidden="false" customHeight="false" outlineLevel="0" collapsed="false">
      <c r="F23" s="1662"/>
      <c r="G23" s="1662"/>
      <c r="H23" s="969"/>
      <c r="Q23" s="934"/>
      <c r="S23" s="1639"/>
      <c r="T23" s="1639"/>
      <c r="X23" s="1994"/>
    </row>
    <row r="24" customFormat="false" ht="16.5" hidden="false" customHeight="true" outlineLevel="0" collapsed="false">
      <c r="F24" s="1662"/>
      <c r="G24" s="1662"/>
      <c r="H24" s="969"/>
      <c r="Q24" s="934"/>
      <c r="S24" s="1639"/>
      <c r="T24" s="1639"/>
      <c r="X24" s="1994"/>
    </row>
    <row r="25" customFormat="false" ht="15" hidden="false" customHeight="false" outlineLevel="0" collapsed="false">
      <c r="F25" s="1662"/>
      <c r="G25" s="1662"/>
      <c r="H25" s="969"/>
      <c r="Q25" s="934"/>
      <c r="S25" s="1639"/>
      <c r="T25" s="1639"/>
      <c r="X25" s="1994"/>
    </row>
    <row r="26" customFormat="false" ht="15" hidden="false" customHeight="false" outlineLevel="0" collapsed="false">
      <c r="F26" s="1662"/>
      <c r="G26" s="1662"/>
      <c r="H26" s="969"/>
      <c r="Q26" s="934"/>
      <c r="S26" s="1639"/>
      <c r="T26" s="1639"/>
      <c r="X26" s="1994"/>
    </row>
    <row r="27" customFormat="false" ht="15" hidden="false" customHeight="false" outlineLevel="0" collapsed="false">
      <c r="F27" s="1662"/>
      <c r="G27" s="1662"/>
      <c r="H27" s="969"/>
      <c r="Q27" s="934"/>
      <c r="S27" s="1639"/>
      <c r="T27" s="1639"/>
      <c r="X27" s="1994"/>
    </row>
    <row r="28" customFormat="false" ht="15" hidden="false" customHeight="false" outlineLevel="0" collapsed="false">
      <c r="F28" s="1662"/>
      <c r="G28" s="1662"/>
      <c r="H28" s="969"/>
      <c r="Q28" s="934"/>
      <c r="S28" s="1639"/>
      <c r="T28" s="1639"/>
      <c r="X28" s="1994"/>
    </row>
    <row r="29" customFormat="false" ht="15" hidden="false" customHeight="false" outlineLevel="0" collapsed="false">
      <c r="F29" s="1662"/>
      <c r="G29" s="1662"/>
      <c r="H29" s="969"/>
      <c r="Q29" s="934"/>
      <c r="S29" s="1639"/>
      <c r="T29" s="1639"/>
    </row>
    <row r="30" customFormat="false" ht="15" hidden="false" customHeight="false" outlineLevel="0" collapsed="false">
      <c r="F30" s="1662"/>
      <c r="G30" s="1662"/>
      <c r="H30" s="969"/>
      <c r="Q30" s="934"/>
      <c r="S30" s="1639"/>
      <c r="T30" s="1639"/>
    </row>
    <row r="31" customFormat="false" ht="15" hidden="false" customHeight="false" outlineLevel="0" collapsed="false">
      <c r="F31" s="1662"/>
      <c r="G31" s="1662"/>
      <c r="H31" s="1087"/>
      <c r="Q31" s="934"/>
      <c r="S31" s="1639"/>
      <c r="T31" s="1639"/>
    </row>
    <row r="32" customFormat="false" ht="15" hidden="false" customHeight="false" outlineLevel="0" collapsed="false">
      <c r="F32" s="1662"/>
      <c r="G32" s="1662"/>
      <c r="H32" s="1087"/>
      <c r="Q32" s="934"/>
    </row>
    <row r="33" customFormat="false" ht="15" hidden="false" customHeight="false" outlineLevel="0" collapsed="false">
      <c r="F33" s="1662"/>
      <c r="G33" s="1662"/>
      <c r="H33" s="1087"/>
      <c r="Q33" s="934"/>
    </row>
    <row r="34" customFormat="false" ht="15" hidden="false" customHeight="false" outlineLevel="0" collapsed="false">
      <c r="F34" s="1662"/>
      <c r="G34" s="1662"/>
      <c r="H34" s="1087"/>
      <c r="Q34" s="934"/>
    </row>
    <row r="35" customFormat="false" ht="15" hidden="false" customHeight="false" outlineLevel="0" collapsed="false">
      <c r="F35" s="1662"/>
      <c r="G35" s="1662"/>
      <c r="H35" s="1087"/>
      <c r="Q35" s="934"/>
    </row>
    <row r="36" customFormat="false" ht="15" hidden="false" customHeight="false" outlineLevel="0" collapsed="false">
      <c r="F36" s="1662"/>
      <c r="G36" s="1662"/>
      <c r="H36" s="1087"/>
      <c r="Q36" s="934"/>
    </row>
    <row r="37" customFormat="false" ht="15" hidden="false" customHeight="false" outlineLevel="0" collapsed="false">
      <c r="F37" s="1662"/>
      <c r="G37" s="1662"/>
      <c r="H37" s="1087"/>
      <c r="Q37" s="934"/>
    </row>
    <row r="38" customFormat="false" ht="15" hidden="false" customHeight="false" outlineLevel="0" collapsed="false">
      <c r="F38" s="2087"/>
      <c r="G38" s="2087"/>
      <c r="H38" s="2088"/>
      <c r="Q38" s="934"/>
    </row>
    <row r="39" customFormat="false" ht="15" hidden="false" customHeight="false" outlineLevel="0" collapsed="false">
      <c r="F39" s="1662"/>
      <c r="G39" s="1662"/>
      <c r="H39" s="1087"/>
      <c r="Q39" s="934"/>
    </row>
    <row r="40" customFormat="false" ht="15" hidden="false" customHeight="false" outlineLevel="0" collapsed="false">
      <c r="F40" s="1662"/>
      <c r="G40" s="1662"/>
      <c r="H40" s="1087"/>
      <c r="Q40" s="934"/>
    </row>
    <row r="41" customFormat="false" ht="15" hidden="false" customHeight="false" outlineLevel="0" collapsed="false">
      <c r="F41" s="1662"/>
      <c r="G41" s="1662"/>
      <c r="H41" s="1087"/>
      <c r="Q41" s="934"/>
    </row>
    <row r="42" customFormat="false" ht="15" hidden="false" customHeight="false" outlineLevel="0" collapsed="false">
      <c r="F42" s="1662"/>
      <c r="G42" s="1662"/>
      <c r="H42" s="1087"/>
      <c r="Q42" s="934"/>
    </row>
    <row r="43" customFormat="false" ht="15" hidden="false" customHeight="false" outlineLevel="0" collapsed="false">
      <c r="F43" s="1662"/>
      <c r="G43" s="1662"/>
      <c r="H43" s="1087"/>
      <c r="Q43" s="934"/>
    </row>
    <row r="44" customFormat="false" ht="15" hidden="false" customHeight="false" outlineLevel="0" collapsed="false">
      <c r="F44" s="1662"/>
      <c r="G44" s="1662"/>
      <c r="H44" s="1087"/>
      <c r="Q44" s="934"/>
    </row>
    <row r="45" customFormat="false" ht="15" hidden="false" customHeight="false" outlineLevel="0" collapsed="false">
      <c r="F45" s="1662"/>
      <c r="G45" s="1662"/>
      <c r="H45" s="1087"/>
      <c r="Q45" s="934"/>
    </row>
    <row r="46" customFormat="false" ht="15" hidden="false" customHeight="false" outlineLevel="0" collapsed="false">
      <c r="F46" s="1662"/>
      <c r="G46" s="1662"/>
      <c r="H46" s="1087"/>
      <c r="Q46" s="934"/>
    </row>
    <row r="47" customFormat="false" ht="15" hidden="false" customHeight="false" outlineLevel="0" collapsed="false">
      <c r="F47" s="1662"/>
      <c r="G47" s="1662"/>
      <c r="H47" s="1087"/>
      <c r="Q47" s="934"/>
    </row>
    <row r="48" customFormat="false" ht="15" hidden="false" customHeight="false" outlineLevel="0" collapsed="false">
      <c r="F48" s="1662"/>
      <c r="G48" s="1662"/>
      <c r="H48" s="1087"/>
      <c r="Q48" s="934"/>
    </row>
    <row r="49" customFormat="false" ht="15" hidden="false" customHeight="false" outlineLevel="0" collapsed="false">
      <c r="F49" s="1662"/>
      <c r="G49" s="1662"/>
      <c r="H49" s="1087"/>
      <c r="Q49" s="934"/>
    </row>
    <row r="50" customFormat="false" ht="15" hidden="false" customHeight="false" outlineLevel="0" collapsed="false">
      <c r="F50" s="1662"/>
      <c r="G50" s="1662"/>
      <c r="H50" s="1087"/>
      <c r="Q50" s="934"/>
    </row>
    <row r="51" customFormat="false" ht="15" hidden="false" customHeight="false" outlineLevel="0" collapsed="false">
      <c r="F51" s="1662"/>
      <c r="G51" s="1662"/>
      <c r="H51" s="1087"/>
      <c r="Q51" s="934"/>
    </row>
    <row r="52" customFormat="false" ht="15" hidden="false" customHeight="false" outlineLevel="0" collapsed="false">
      <c r="F52" s="1662"/>
      <c r="G52" s="1662"/>
      <c r="H52" s="1087"/>
      <c r="Q52" s="934"/>
    </row>
    <row r="53" customFormat="false" ht="15" hidden="false" customHeight="false" outlineLevel="0" collapsed="false">
      <c r="F53" s="1662"/>
      <c r="G53" s="1662"/>
      <c r="H53" s="1087"/>
      <c r="Q53" s="934"/>
    </row>
    <row r="54" customFormat="false" ht="15" hidden="false" customHeight="false" outlineLevel="0" collapsed="false">
      <c r="F54" s="1662"/>
      <c r="G54" s="1662"/>
      <c r="H54" s="1087"/>
      <c r="Q54" s="934"/>
    </row>
    <row r="55" customFormat="false" ht="15" hidden="false" customHeight="false" outlineLevel="0" collapsed="false">
      <c r="F55" s="1662"/>
      <c r="G55" s="1662"/>
      <c r="H55" s="1087"/>
      <c r="Q55" s="934"/>
    </row>
    <row r="56" customFormat="false" ht="15" hidden="false" customHeight="false" outlineLevel="0" collapsed="false">
      <c r="F56" s="1662"/>
      <c r="G56" s="1662"/>
      <c r="H56" s="1087"/>
      <c r="Q56" s="934"/>
    </row>
    <row r="57" customFormat="false" ht="15" hidden="false" customHeight="false" outlineLevel="0" collapsed="false">
      <c r="F57" s="1662"/>
      <c r="G57" s="1662"/>
      <c r="H57" s="1087"/>
      <c r="Q57" s="934"/>
    </row>
    <row r="58" customFormat="false" ht="15" hidden="false" customHeight="false" outlineLevel="0" collapsed="false">
      <c r="F58" s="1662"/>
      <c r="G58" s="1662"/>
      <c r="H58" s="1087"/>
      <c r="Q58" s="934"/>
    </row>
    <row r="59" customFormat="false" ht="15" hidden="false" customHeight="false" outlineLevel="0" collapsed="false">
      <c r="F59" s="1662"/>
      <c r="G59" s="1662"/>
      <c r="H59" s="1087"/>
      <c r="Q59" s="934"/>
    </row>
    <row r="60" customFormat="false" ht="15" hidden="false" customHeight="false" outlineLevel="0" collapsed="false">
      <c r="F60" s="1662"/>
      <c r="G60" s="1662"/>
      <c r="H60" s="1087"/>
      <c r="Q60" s="934"/>
    </row>
    <row r="61" customFormat="false" ht="15" hidden="false" customHeight="false" outlineLevel="0" collapsed="false">
      <c r="F61" s="1662"/>
      <c r="G61" s="1662"/>
      <c r="H61" s="1087"/>
      <c r="Q61" s="934"/>
    </row>
    <row r="62" customFormat="false" ht="15" hidden="false" customHeight="false" outlineLevel="0" collapsed="false">
      <c r="F62" s="1662"/>
      <c r="G62" s="1662"/>
      <c r="H62" s="1087"/>
      <c r="Q62" s="934"/>
    </row>
    <row r="63" customFormat="false" ht="15" hidden="false" customHeight="false" outlineLevel="0" collapsed="false">
      <c r="F63" s="1662"/>
      <c r="G63" s="1662"/>
      <c r="H63" s="1087"/>
      <c r="Q63" s="934"/>
    </row>
    <row r="64" customFormat="false" ht="15" hidden="false" customHeight="false" outlineLevel="0" collapsed="false">
      <c r="F64" s="1662"/>
      <c r="G64" s="1662"/>
      <c r="H64" s="1087"/>
      <c r="Q64" s="934"/>
    </row>
    <row r="65" customFormat="false" ht="15" hidden="false" customHeight="false" outlineLevel="0" collapsed="false">
      <c r="F65" s="1662"/>
      <c r="G65" s="1662"/>
      <c r="H65" s="1087"/>
      <c r="Q65" s="934"/>
    </row>
    <row r="66" customFormat="false" ht="15" hidden="false" customHeight="false" outlineLevel="0" collapsed="false">
      <c r="F66" s="1662"/>
      <c r="G66" s="1662"/>
      <c r="H66" s="1087"/>
      <c r="Q66" s="934"/>
    </row>
    <row r="67" customFormat="false" ht="15" hidden="false" customHeight="false" outlineLevel="0" collapsed="false">
      <c r="F67" s="1662"/>
      <c r="G67" s="1662"/>
      <c r="H67" s="1087"/>
      <c r="Q67" s="934"/>
    </row>
    <row r="68" customFormat="false" ht="15" hidden="false" customHeight="false" outlineLevel="0" collapsed="false">
      <c r="F68" s="1662"/>
      <c r="G68" s="1662"/>
      <c r="H68" s="1087"/>
      <c r="Q68" s="934"/>
    </row>
    <row r="69" customFormat="false" ht="15" hidden="false" customHeight="false" outlineLevel="0" collapsed="false">
      <c r="F69" s="1662"/>
      <c r="G69" s="1662"/>
      <c r="H69" s="1087"/>
      <c r="Q69" s="934"/>
    </row>
    <row r="70" customFormat="false" ht="15" hidden="false" customHeight="false" outlineLevel="0" collapsed="false">
      <c r="F70" s="1662"/>
      <c r="G70" s="1662"/>
      <c r="H70" s="1087"/>
      <c r="Q70" s="934"/>
    </row>
    <row r="71" customFormat="false" ht="15" hidden="false" customHeight="false" outlineLevel="0" collapsed="false">
      <c r="F71" s="1662"/>
      <c r="G71" s="1662"/>
      <c r="H71" s="1087"/>
      <c r="Q71" s="934"/>
    </row>
    <row r="72" customFormat="false" ht="15" hidden="false" customHeight="false" outlineLevel="0" collapsed="false">
      <c r="F72" s="1662"/>
      <c r="G72" s="1662"/>
      <c r="H72" s="1087"/>
      <c r="Q72" s="934"/>
    </row>
    <row r="73" customFormat="false" ht="15" hidden="false" customHeight="false" outlineLevel="0" collapsed="false">
      <c r="F73" s="1662"/>
      <c r="G73" s="1662"/>
      <c r="H73" s="1087"/>
      <c r="Q73" s="934"/>
    </row>
    <row r="74" customFormat="false" ht="15" hidden="false" customHeight="false" outlineLevel="0" collapsed="false">
      <c r="F74" s="2087"/>
      <c r="G74" s="2087"/>
      <c r="H74" s="2088"/>
      <c r="Q74" s="934"/>
    </row>
    <row r="75" customFormat="false" ht="15" hidden="false" customHeight="false" outlineLevel="0" collapsed="false">
      <c r="F75" s="1662"/>
      <c r="G75" s="1662"/>
      <c r="H75" s="1087"/>
      <c r="Q75" s="934"/>
    </row>
    <row r="76" customFormat="false" ht="15" hidden="false" customHeight="false" outlineLevel="0" collapsed="false">
      <c r="F76" s="1662"/>
      <c r="G76" s="1662"/>
      <c r="H76" s="1087"/>
      <c r="Q76" s="934"/>
    </row>
    <row r="77" customFormat="false" ht="15" hidden="false" customHeight="false" outlineLevel="0" collapsed="false">
      <c r="F77" s="1662"/>
      <c r="G77" s="1662"/>
      <c r="H77" s="1087"/>
      <c r="Q77" s="934"/>
    </row>
    <row r="78" customFormat="false" ht="15" hidden="false" customHeight="false" outlineLevel="0" collapsed="false">
      <c r="F78" s="1662"/>
      <c r="G78" s="1662"/>
      <c r="H78" s="1087"/>
      <c r="Q78" s="934"/>
    </row>
    <row r="79" customFormat="false" ht="15" hidden="false" customHeight="false" outlineLevel="0" collapsed="false">
      <c r="F79" s="1662"/>
      <c r="G79" s="1662"/>
      <c r="H79" s="1087"/>
      <c r="Q79" s="934"/>
    </row>
    <row r="80" customFormat="false" ht="15" hidden="false" customHeight="false" outlineLevel="0" collapsed="false">
      <c r="F80" s="1662"/>
      <c r="G80" s="1662"/>
      <c r="H80" s="1087"/>
      <c r="Q80" s="934"/>
    </row>
    <row r="81" customFormat="false" ht="15" hidden="false" customHeight="false" outlineLevel="0" collapsed="false">
      <c r="F81" s="1662"/>
      <c r="G81" s="1662"/>
      <c r="H81" s="1087"/>
      <c r="Q81" s="934"/>
    </row>
    <row r="82" customFormat="false" ht="15" hidden="false" customHeight="false" outlineLevel="0" collapsed="false">
      <c r="F82" s="1662"/>
      <c r="G82" s="1662"/>
      <c r="H82" s="1087"/>
      <c r="Q82" s="934"/>
    </row>
    <row r="83" customFormat="false" ht="15" hidden="false" customHeight="false" outlineLevel="0" collapsed="false">
      <c r="F83" s="1662"/>
      <c r="G83" s="1662"/>
      <c r="H83" s="1087"/>
      <c r="Q83" s="934"/>
    </row>
    <row r="84" customFormat="false" ht="15" hidden="false" customHeight="false" outlineLevel="0" collapsed="false">
      <c r="F84" s="1662"/>
      <c r="G84" s="1662"/>
      <c r="H84" s="1087"/>
      <c r="Q84" s="934"/>
    </row>
    <row r="85" customFormat="false" ht="15" hidden="false" customHeight="false" outlineLevel="0" collapsed="false">
      <c r="F85" s="1662"/>
      <c r="G85" s="1662"/>
      <c r="H85" s="1087"/>
      <c r="Q85" s="934"/>
    </row>
    <row r="86" customFormat="false" ht="15" hidden="false" customHeight="false" outlineLevel="0" collapsed="false">
      <c r="F86" s="1662"/>
      <c r="G86" s="1662"/>
      <c r="H86" s="1087"/>
      <c r="Q86" s="934"/>
    </row>
    <row r="87" customFormat="false" ht="15" hidden="false" customHeight="false" outlineLevel="0" collapsed="false">
      <c r="F87" s="1662"/>
      <c r="G87" s="1662"/>
      <c r="H87" s="1087"/>
      <c r="Q87" s="934"/>
    </row>
    <row r="88" customFormat="false" ht="15" hidden="false" customHeight="false" outlineLevel="0" collapsed="false">
      <c r="F88" s="1662"/>
      <c r="G88" s="1662"/>
      <c r="H88" s="1087"/>
      <c r="Q88" s="934"/>
    </row>
    <row r="89" customFormat="false" ht="15" hidden="false" customHeight="false" outlineLevel="0" collapsed="false">
      <c r="F89" s="1662"/>
      <c r="G89" s="1662"/>
      <c r="H89" s="1087"/>
      <c r="Q89" s="934"/>
    </row>
    <row r="90" customFormat="false" ht="15" hidden="false" customHeight="false" outlineLevel="0" collapsed="false">
      <c r="F90" s="2087"/>
      <c r="G90" s="2087"/>
      <c r="H90" s="2088"/>
      <c r="Q90" s="934"/>
    </row>
    <row r="91" customFormat="false" ht="15" hidden="false" customHeight="false" outlineLevel="0" collapsed="false">
      <c r="F91" s="1662"/>
      <c r="G91" s="1662"/>
      <c r="H91" s="1087"/>
      <c r="Q91" s="934"/>
    </row>
    <row r="92" customFormat="false" ht="15" hidden="false" customHeight="false" outlineLevel="0" collapsed="false">
      <c r="F92" s="1662"/>
      <c r="G92" s="1662"/>
      <c r="H92" s="1087"/>
      <c r="Q92" s="934"/>
    </row>
    <row r="93" customFormat="false" ht="15" hidden="false" customHeight="false" outlineLevel="0" collapsed="false">
      <c r="F93" s="1662"/>
      <c r="G93" s="1662"/>
      <c r="H93" s="1087"/>
      <c r="Q93" s="934"/>
    </row>
    <row r="94" customFormat="false" ht="15" hidden="false" customHeight="false" outlineLevel="0" collapsed="false">
      <c r="F94" s="1662"/>
      <c r="G94" s="1662"/>
      <c r="H94" s="1087"/>
      <c r="Q94" s="934"/>
    </row>
    <row r="95" customFormat="false" ht="15" hidden="false" customHeight="false" outlineLevel="0" collapsed="false">
      <c r="F95" s="1662"/>
      <c r="G95" s="1662"/>
      <c r="H95" s="1087"/>
      <c r="Q95" s="934"/>
    </row>
    <row r="96" customFormat="false" ht="15" hidden="false" customHeight="false" outlineLevel="0" collapsed="false">
      <c r="F96" s="1662"/>
      <c r="G96" s="1662"/>
      <c r="H96" s="1087"/>
      <c r="Q96" s="934"/>
    </row>
    <row r="97" customFormat="false" ht="15" hidden="false" customHeight="false" outlineLevel="0" collapsed="false">
      <c r="F97" s="1662"/>
      <c r="G97" s="1662"/>
      <c r="H97" s="1087"/>
      <c r="Q97" s="934"/>
    </row>
    <row r="98" customFormat="false" ht="15" hidden="false" customHeight="false" outlineLevel="0" collapsed="false">
      <c r="F98" s="1662"/>
      <c r="G98" s="1662"/>
      <c r="H98" s="1087"/>
      <c r="Q98" s="934"/>
    </row>
    <row r="99" customFormat="false" ht="15" hidden="false" customHeight="false" outlineLevel="0" collapsed="false">
      <c r="F99" s="1662"/>
      <c r="G99" s="1662"/>
      <c r="H99" s="1087"/>
      <c r="Q99" s="934"/>
    </row>
    <row r="100" customFormat="false" ht="15" hidden="false" customHeight="false" outlineLevel="0" collapsed="false">
      <c r="F100" s="1662"/>
      <c r="G100" s="1662"/>
      <c r="H100" s="1087"/>
      <c r="Q100" s="934"/>
    </row>
    <row r="101" customFormat="false" ht="15" hidden="false" customHeight="false" outlineLevel="0" collapsed="false">
      <c r="F101" s="1662"/>
      <c r="G101" s="1662"/>
      <c r="H101" s="1087"/>
      <c r="Q101" s="934"/>
    </row>
    <row r="102" customFormat="false" ht="15" hidden="false" customHeight="false" outlineLevel="0" collapsed="false">
      <c r="F102" s="1662"/>
      <c r="G102" s="1662"/>
      <c r="H102" s="1087"/>
      <c r="Q102" s="934"/>
    </row>
    <row r="103" customFormat="false" ht="15" hidden="false" customHeight="false" outlineLevel="0" collapsed="false">
      <c r="F103" s="1662"/>
      <c r="G103" s="1662"/>
      <c r="H103" s="1087"/>
      <c r="Q103" s="934"/>
    </row>
    <row r="104" customFormat="false" ht="15" hidden="false" customHeight="false" outlineLevel="0" collapsed="false">
      <c r="F104" s="1662"/>
      <c r="G104" s="1662"/>
      <c r="H104" s="1087"/>
      <c r="Q104" s="934"/>
    </row>
    <row r="105" customFormat="false" ht="15" hidden="false" customHeight="false" outlineLevel="0" collapsed="false">
      <c r="F105" s="1662"/>
      <c r="G105" s="1662"/>
      <c r="H105" s="1087"/>
      <c r="Q105" s="934"/>
    </row>
    <row r="106" customFormat="false" ht="15" hidden="false" customHeight="false" outlineLevel="0" collapsed="false">
      <c r="F106" s="1662"/>
      <c r="G106" s="1662"/>
      <c r="H106" s="1087"/>
      <c r="Q106" s="934"/>
    </row>
    <row r="107" customFormat="false" ht="15" hidden="false" customHeight="false" outlineLevel="0" collapsed="false">
      <c r="F107" s="1662"/>
      <c r="G107" s="1662"/>
      <c r="H107" s="1087"/>
      <c r="Q107" s="934"/>
    </row>
    <row r="108" customFormat="false" ht="15" hidden="false" customHeight="false" outlineLevel="0" collapsed="false">
      <c r="F108" s="1662"/>
      <c r="G108" s="1662"/>
      <c r="H108" s="1087"/>
      <c r="Q108" s="934"/>
    </row>
    <row r="109" customFormat="false" ht="15" hidden="false" customHeight="false" outlineLevel="0" collapsed="false">
      <c r="F109" s="2087"/>
      <c r="G109" s="2087"/>
      <c r="H109" s="2088"/>
      <c r="Q109" s="934"/>
    </row>
    <row r="110" customFormat="false" ht="15" hidden="false" customHeight="false" outlineLevel="0" collapsed="false">
      <c r="F110" s="1258"/>
      <c r="G110" s="1258"/>
      <c r="H110" s="1669"/>
      <c r="Q110" s="934"/>
    </row>
    <row r="111" customFormat="false" ht="16.5" hidden="false" customHeight="false" outlineLevel="0" collapsed="false">
      <c r="F111" s="1269"/>
      <c r="G111" s="1269"/>
      <c r="Q111" s="934"/>
    </row>
    <row r="112" customFormat="false" ht="16.5" hidden="false" customHeight="false" outlineLevel="0" collapsed="false">
      <c r="F112" s="1269"/>
      <c r="G112" s="1269"/>
      <c r="Q112" s="934"/>
    </row>
    <row r="113" customFormat="false" ht="16.5" hidden="false" customHeight="false" outlineLevel="0" collapsed="false">
      <c r="F113" s="1269"/>
      <c r="G113" s="1269"/>
      <c r="Q113" s="934"/>
    </row>
    <row r="114" customFormat="false" ht="16.5" hidden="false" customHeight="false" outlineLevel="0" collapsed="false">
      <c r="Q114" s="934"/>
    </row>
    <row r="115" customFormat="false" ht="16.5" hidden="false" customHeight="false" outlineLevel="0" collapsed="false">
      <c r="Q115" s="934"/>
    </row>
    <row r="116" customFormat="false" ht="16.5" hidden="false" customHeight="false" outlineLevel="0" collapsed="false">
      <c r="Q116" s="934"/>
    </row>
    <row r="117" customFormat="false" ht="16.5" hidden="false" customHeight="false" outlineLevel="0" collapsed="false">
      <c r="Q117" s="934"/>
    </row>
    <row r="118" customFormat="false" ht="16.5" hidden="false" customHeight="false" outlineLevel="0" collapsed="false">
      <c r="Q118" s="934"/>
    </row>
    <row r="119" customFormat="false" ht="16.5" hidden="false" customHeight="false" outlineLevel="0" collapsed="false">
      <c r="Q119" s="934"/>
    </row>
    <row r="120" customFormat="false" ht="16.5" hidden="false" customHeight="false" outlineLevel="0" collapsed="false">
      <c r="F120" s="1269"/>
      <c r="G120" s="1269"/>
      <c r="Q120" s="934"/>
    </row>
    <row r="121" customFormat="false" ht="16.5" hidden="false" customHeight="false" outlineLevel="0" collapsed="false">
      <c r="F121" s="1269"/>
      <c r="G121" s="1269"/>
      <c r="Q121" s="934"/>
    </row>
    <row r="122" customFormat="false" ht="16.5" hidden="false" customHeight="false" outlineLevel="0" collapsed="false">
      <c r="F122" s="1269"/>
      <c r="G122" s="1269"/>
      <c r="Q122" s="934"/>
    </row>
    <row r="123" customFormat="false" ht="16.5" hidden="false" customHeight="false" outlineLevel="0" collapsed="false">
      <c r="F123" s="1269"/>
      <c r="G123" s="1269"/>
      <c r="Q123" s="934"/>
    </row>
    <row r="124" customFormat="false" ht="15" hidden="false" customHeight="true" outlineLevel="0" collapsed="false">
      <c r="F124" s="1269"/>
      <c r="G124" s="1269"/>
    </row>
    <row r="125" customFormat="false" ht="15" hidden="false" customHeight="true" outlineLevel="0" collapsed="false">
      <c r="F125" s="1269"/>
      <c r="G125" s="1269"/>
    </row>
    <row r="126" customFormat="false" ht="15" hidden="false" customHeight="true" outlineLevel="0" collapsed="false">
      <c r="F126" s="1269"/>
      <c r="G126" s="1269"/>
    </row>
    <row r="127" customFormat="false" ht="15" hidden="false" customHeight="true" outlineLevel="0" collapsed="false">
      <c r="F127" s="1269"/>
      <c r="G127" s="1269"/>
    </row>
    <row r="128" customFormat="false" ht="15" hidden="false" customHeight="true" outlineLevel="0" collapsed="false">
      <c r="F128" s="1269"/>
      <c r="G128" s="1269"/>
    </row>
    <row r="129" customFormat="false" ht="15" hidden="false" customHeight="true" outlineLevel="0" collapsed="false">
      <c r="F129" s="1269"/>
      <c r="G129" s="1269"/>
    </row>
    <row r="130" customFormat="false" ht="15" hidden="false" customHeight="true" outlineLevel="0" collapsed="false">
      <c r="F130" s="1269"/>
      <c r="G130" s="1269"/>
    </row>
    <row r="131" customFormat="false" ht="15" hidden="false" customHeight="true" outlineLevel="0" collapsed="false">
      <c r="F131" s="1269"/>
      <c r="G131" s="1269"/>
    </row>
    <row r="132" customFormat="false" ht="15" hidden="false" customHeight="true" outlineLevel="0" collapsed="false">
      <c r="F132" s="1269"/>
      <c r="G132" s="1269"/>
    </row>
    <row r="133" customFormat="false" ht="15" hidden="false" customHeight="true" outlineLevel="0" collapsed="false">
      <c r="F133" s="1269"/>
      <c r="G133" s="1269"/>
    </row>
    <row r="134" customFormat="false" ht="15" hidden="false" customHeight="true" outlineLevel="0" collapsed="false">
      <c r="F134" s="1269"/>
      <c r="G134" s="1269"/>
    </row>
    <row r="135" customFormat="false" ht="15" hidden="false" customHeight="true" outlineLevel="0" collapsed="false">
      <c r="F135" s="1269"/>
      <c r="G135" s="1269"/>
    </row>
    <row r="136" customFormat="false" ht="15" hidden="false" customHeight="true" outlineLevel="0" collapsed="false">
      <c r="F136" s="1269"/>
      <c r="G136" s="1269"/>
    </row>
    <row r="137" customFormat="false" ht="15" hidden="false" customHeight="true" outlineLevel="0" collapsed="false">
      <c r="F137" s="1269"/>
      <c r="G137" s="1269"/>
    </row>
  </sheetData>
  <autoFilter ref="A2:BB21"/>
  <mergeCells count="6">
    <mergeCell ref="R1:T1"/>
    <mergeCell ref="AI1:AM1"/>
    <mergeCell ref="AP1:AV1"/>
    <mergeCell ref="I2:J2"/>
    <mergeCell ref="AA2:AB2"/>
    <mergeCell ref="A3:A7"/>
  </mergeCells>
  <dataValidations count="1">
    <dataValidation allowBlank="true" errorStyle="stop" operator="between" showDropDown="false" showErrorMessage="true" showInputMessage="true" sqref="AD8:AD1109" type="list">
      <formula1>"YES,NO,-"</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5D6"/>
    <pageSetUpPr fitToPage="false"/>
  </sheetPr>
  <dimension ref="A1:G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8" activePane="bottomRight" state="frozen"/>
      <selection pane="topLeft" activeCell="A1" activeCellId="0" sqref="A1"/>
      <selection pane="topRight" activeCell="G1" activeCellId="0" sqref="G1"/>
      <selection pane="bottomLeft" activeCell="A8" activeCellId="0" sqref="A8"/>
      <selection pane="bottomRight" activeCell="G28" activeCellId="0" sqref="G28"/>
    </sheetView>
  </sheetViews>
  <sheetFormatPr defaultColWidth="14.25390625" defaultRowHeight="15" zeroHeight="false" outlineLevelRow="0" outlineLevelCol="0"/>
  <cols>
    <col collapsed="false" customWidth="true" hidden="false" outlineLevel="0" max="2" min="1" style="932" width="3.25"/>
    <col collapsed="false" customWidth="true" hidden="false" outlineLevel="0" max="3" min="3" style="2089" width="35.12"/>
    <col collapsed="false" customWidth="true" hidden="false" outlineLevel="0" max="5" min="4" style="934" width="5.88"/>
    <col collapsed="false" customWidth="true" hidden="true" outlineLevel="0" max="6" min="6" style="932" width="54.62"/>
    <col collapsed="false" customWidth="true" hidden="false" outlineLevel="0" max="7" min="7" style="932" width="110.25"/>
    <col collapsed="false" customWidth="true" hidden="false" outlineLevel="0" max="57" min="8" style="932" width="9"/>
    <col collapsed="false" customWidth="false" hidden="false" outlineLevel="0" max="16384" min="58" style="932" width="14.25"/>
  </cols>
  <sheetData>
    <row r="1" customFormat="false" ht="15" hidden="false" customHeight="false" outlineLevel="0" collapsed="false">
      <c r="G1" s="1911" t="s">
        <v>1851</v>
      </c>
    </row>
    <row r="2" s="1932" customFormat="true" ht="17.9" hidden="false" customHeight="false" outlineLevel="0" collapsed="false">
      <c r="A2" s="2090"/>
      <c r="B2" s="2090"/>
      <c r="C2" s="1912" t="s">
        <v>1909</v>
      </c>
      <c r="D2" s="1912" t="s">
        <v>1910</v>
      </c>
      <c r="E2" s="1912" t="s">
        <v>1911</v>
      </c>
      <c r="F2" s="1912" t="s">
        <v>757</v>
      </c>
      <c r="G2" s="1919" t="s">
        <v>1874</v>
      </c>
    </row>
    <row r="3" customFormat="false" ht="17.25" hidden="false" customHeight="true" outlineLevel="0" collapsed="false">
      <c r="C3" s="2091" t="s">
        <v>1968</v>
      </c>
      <c r="D3" s="1981"/>
      <c r="E3" s="1981"/>
      <c r="F3" s="965" t="s">
        <v>1969</v>
      </c>
      <c r="G3" s="965" t="s">
        <v>1970</v>
      </c>
    </row>
    <row r="4" customFormat="false" ht="17.25" hidden="false" customHeight="true" outlineLevel="0" collapsed="false">
      <c r="C4" s="2091" t="s">
        <v>1971</v>
      </c>
      <c r="D4" s="1981"/>
      <c r="E4" s="1981"/>
      <c r="F4" s="965" t="s">
        <v>1972</v>
      </c>
      <c r="G4" s="965" t="s">
        <v>1973</v>
      </c>
    </row>
    <row r="5" customFormat="false" ht="39.55" hidden="false" customHeight="false" outlineLevel="0" collapsed="false">
      <c r="C5" s="2092" t="s">
        <v>1974</v>
      </c>
      <c r="D5" s="1981"/>
      <c r="E5" s="1981"/>
      <c r="F5" s="965" t="s">
        <v>1975</v>
      </c>
      <c r="G5" s="1098" t="s">
        <v>1976</v>
      </c>
    </row>
    <row r="6" customFormat="false" ht="39.55" hidden="false" customHeight="false" outlineLevel="0" collapsed="false">
      <c r="C6" s="2092" t="s">
        <v>1977</v>
      </c>
      <c r="D6" s="1981"/>
      <c r="E6" s="1981"/>
      <c r="F6" s="965" t="s">
        <v>1978</v>
      </c>
      <c r="G6" s="1098" t="s">
        <v>1979</v>
      </c>
    </row>
    <row r="7" customFormat="false" ht="17.25" hidden="false" customHeight="true" outlineLevel="0" collapsed="false">
      <c r="C7" s="2093" t="s">
        <v>1128</v>
      </c>
      <c r="D7" s="1981"/>
      <c r="E7" s="1981"/>
      <c r="F7" s="965" t="s">
        <v>1129</v>
      </c>
      <c r="G7" s="965" t="s">
        <v>1980</v>
      </c>
    </row>
    <row r="8" customFormat="false" ht="17.25" hidden="false" customHeight="true" outlineLevel="0" collapsed="false">
      <c r="C8" s="2093" t="s">
        <v>460</v>
      </c>
      <c r="D8" s="1981"/>
      <c r="E8" s="1981"/>
      <c r="F8" s="965"/>
      <c r="G8" s="965" t="s">
        <v>1981</v>
      </c>
    </row>
    <row r="9" customFormat="false" ht="17.25" hidden="false" customHeight="true" outlineLevel="0" collapsed="false">
      <c r="C9" s="2093" t="s">
        <v>1982</v>
      </c>
      <c r="D9" s="1981"/>
      <c r="E9" s="1981"/>
      <c r="F9" s="965"/>
      <c r="G9" s="965"/>
    </row>
    <row r="10" customFormat="false" ht="17.25" hidden="false" customHeight="true" outlineLevel="0" collapsed="false">
      <c r="C10" s="2093" t="s">
        <v>1983</v>
      </c>
      <c r="D10" s="1981"/>
      <c r="E10" s="1981"/>
      <c r="F10" s="965"/>
      <c r="G10" s="2084" t="s">
        <v>1984</v>
      </c>
    </row>
    <row r="11" customFormat="false" ht="17.25" hidden="false" customHeight="true" outlineLevel="0" collapsed="false">
      <c r="C11" s="2093" t="s">
        <v>1985</v>
      </c>
      <c r="D11" s="1981"/>
      <c r="E11" s="1981"/>
      <c r="F11" s="965"/>
      <c r="G11" s="965"/>
    </row>
    <row r="12" customFormat="false" ht="17.25" hidden="false" customHeight="true" outlineLevel="0" collapsed="false">
      <c r="C12" s="2093" t="s">
        <v>1986</v>
      </c>
      <c r="D12" s="1981"/>
      <c r="E12" s="1981"/>
      <c r="F12" s="965"/>
      <c r="G12" s="965" t="s">
        <v>1987</v>
      </c>
    </row>
    <row r="13" customFormat="false" ht="17.25" hidden="false" customHeight="true" outlineLevel="0" collapsed="false">
      <c r="C13" s="2093" t="s">
        <v>1988</v>
      </c>
      <c r="D13" s="1981"/>
      <c r="E13" s="1981"/>
      <c r="F13" s="965"/>
      <c r="G13" s="965" t="s">
        <v>1987</v>
      </c>
    </row>
    <row r="14" customFormat="false" ht="17.25" hidden="false" customHeight="true" outlineLevel="0" collapsed="false">
      <c r="C14" s="1933" t="s">
        <v>1989</v>
      </c>
      <c r="D14" s="1981"/>
      <c r="E14" s="1981"/>
      <c r="F14" s="965"/>
      <c r="G14" s="965" t="s">
        <v>1987</v>
      </c>
    </row>
    <row r="15" customFormat="false" ht="17.25" hidden="false" customHeight="true" outlineLevel="0" collapsed="false">
      <c r="C15" s="2093" t="s">
        <v>1050</v>
      </c>
      <c r="D15" s="1981"/>
      <c r="E15" s="1981"/>
      <c r="F15" s="965"/>
      <c r="G15" s="965"/>
    </row>
    <row r="16" customFormat="false" ht="17.25" hidden="false" customHeight="true" outlineLevel="0" collapsed="false">
      <c r="C16" s="1933" t="s">
        <v>1056</v>
      </c>
      <c r="D16" s="1981"/>
      <c r="E16" s="1981"/>
      <c r="G16" s="965"/>
    </row>
    <row r="17" customFormat="false" ht="17.25" hidden="false" customHeight="true" outlineLevel="0" collapsed="false">
      <c r="C17" s="2093" t="s">
        <v>886</v>
      </c>
      <c r="D17" s="1981"/>
      <c r="E17" s="1981"/>
      <c r="G17" s="965"/>
    </row>
    <row r="18" customFormat="false" ht="17.25" hidden="false" customHeight="true" outlineLevel="0" collapsed="false">
      <c r="C18" s="2093" t="s">
        <v>440</v>
      </c>
      <c r="D18" s="1981"/>
      <c r="E18" s="1981"/>
      <c r="G18" s="965"/>
    </row>
    <row r="19" customFormat="false" ht="17.25" hidden="false" customHeight="true" outlineLevel="0" collapsed="false">
      <c r="C19" s="2093" t="s">
        <v>1134</v>
      </c>
      <c r="D19" s="1981"/>
      <c r="E19" s="1981"/>
      <c r="G19" s="2084" t="s">
        <v>1984</v>
      </c>
    </row>
    <row r="20" customFormat="false" ht="17.25" hidden="false" customHeight="true" outlineLevel="0" collapsed="false">
      <c r="C20" s="2093" t="s">
        <v>1990</v>
      </c>
      <c r="D20" s="1981"/>
      <c r="E20" s="1981"/>
      <c r="G20" s="2084" t="s">
        <v>1991</v>
      </c>
    </row>
    <row r="21" customFormat="false" ht="17.25" hidden="false" customHeight="true" outlineLevel="0" collapsed="false">
      <c r="C21" s="2093" t="s">
        <v>1517</v>
      </c>
      <c r="D21" s="1981"/>
      <c r="E21" s="1981"/>
      <c r="G21" s="965" t="s">
        <v>1992</v>
      </c>
    </row>
    <row r="22" customFormat="false" ht="17.25" hidden="false" customHeight="true" outlineLevel="0" collapsed="false">
      <c r="C22" s="2093" t="s">
        <v>1993</v>
      </c>
      <c r="D22" s="1981"/>
      <c r="E22" s="1981"/>
      <c r="G22" s="965" t="s">
        <v>1992</v>
      </c>
    </row>
    <row r="23" customFormat="false" ht="17.25" hidden="false" customHeight="true" outlineLevel="0" collapsed="false">
      <c r="C23" s="2093" t="s">
        <v>1994</v>
      </c>
      <c r="D23" s="1981"/>
      <c r="E23" s="1981"/>
      <c r="G23" s="965" t="s">
        <v>1992</v>
      </c>
    </row>
    <row r="24" customFormat="false" ht="17.25" hidden="false" customHeight="true" outlineLevel="0" collapsed="false">
      <c r="C24" s="2093" t="s">
        <v>1081</v>
      </c>
      <c r="D24" s="1981"/>
      <c r="E24" s="1981"/>
      <c r="G24" s="965" t="s">
        <v>1992</v>
      </c>
    </row>
    <row r="25" customFormat="false" ht="15" hidden="false" customHeight="false" outlineLevel="0" collapsed="false">
      <c r="C25" s="2093" t="s">
        <v>1995</v>
      </c>
      <c r="G25" s="965" t="s">
        <v>1992</v>
      </c>
    </row>
    <row r="26" customFormat="false" ht="15" hidden="false" customHeight="false" outlineLevel="0" collapsed="false">
      <c r="C26" s="2093" t="s">
        <v>1996</v>
      </c>
      <c r="G26" s="965" t="s">
        <v>1992</v>
      </c>
    </row>
    <row r="27" customFormat="false" ht="15" hidden="false" customHeight="false" outlineLevel="0" collapsed="false">
      <c r="C27" s="2093" t="s">
        <v>1061</v>
      </c>
      <c r="G27" s="965" t="s">
        <v>1992</v>
      </c>
    </row>
    <row r="28" customFormat="false" ht="15" hidden="false" customHeight="false" outlineLevel="0" collapsed="false">
      <c r="C28" s="2093" t="s">
        <v>1066</v>
      </c>
      <c r="G28" s="965" t="s">
        <v>1992</v>
      </c>
    </row>
    <row r="29" customFormat="false" ht="15" hidden="false" customHeight="false" outlineLevel="0" collapsed="false">
      <c r="C29" s="2093" t="s">
        <v>1071</v>
      </c>
      <c r="G29" s="965" t="s">
        <v>1992</v>
      </c>
    </row>
    <row r="30" customFormat="false" ht="15" hidden="false" customHeight="false" outlineLevel="0" collapsed="false">
      <c r="C30" s="2093" t="s">
        <v>1076</v>
      </c>
      <c r="G30" s="965" t="s">
        <v>1992</v>
      </c>
    </row>
    <row r="31" customFormat="false" ht="15" hidden="false" customHeight="false" outlineLevel="0" collapsed="false">
      <c r="C31" s="2093" t="s">
        <v>1381</v>
      </c>
      <c r="G31" s="965" t="s">
        <v>1992</v>
      </c>
    </row>
    <row r="32" customFormat="false" ht="15" hidden="false" customHeight="false" outlineLevel="0" collapsed="false">
      <c r="C32" s="2093" t="s">
        <v>1386</v>
      </c>
      <c r="G32" s="965" t="s">
        <v>1992</v>
      </c>
    </row>
    <row r="33" customFormat="false" ht="15" hidden="false" customHeight="false" outlineLevel="0" collapsed="false">
      <c r="C33" s="2093" t="s">
        <v>1391</v>
      </c>
      <c r="G33" s="965" t="s">
        <v>1992</v>
      </c>
    </row>
    <row r="34" customFormat="false" ht="15" hidden="false" customHeight="false" outlineLevel="0" collapsed="false">
      <c r="C34" s="2093" t="s">
        <v>1229</v>
      </c>
      <c r="G34" s="965" t="s">
        <v>1992</v>
      </c>
    </row>
    <row r="35" customFormat="false" ht="15" hidden="false" customHeight="false" outlineLevel="0" collapsed="false">
      <c r="C35" s="2093" t="s">
        <v>1235</v>
      </c>
      <c r="G35" s="965" t="s">
        <v>1992</v>
      </c>
    </row>
    <row r="36" customFormat="false" ht="15" hidden="false" customHeight="false" outlineLevel="0" collapsed="false">
      <c r="C36" s="2093" t="s">
        <v>1997</v>
      </c>
      <c r="G36" s="965" t="s">
        <v>1992</v>
      </c>
    </row>
    <row r="37" customFormat="false" ht="15" hidden="false" customHeight="false" outlineLevel="0" collapsed="false">
      <c r="C37" s="2093" t="s">
        <v>1998</v>
      </c>
      <c r="G37" s="965" t="s">
        <v>1992</v>
      </c>
    </row>
    <row r="38" customFormat="false" ht="15" hidden="false" customHeight="false" outlineLevel="0" collapsed="false">
      <c r="C38" s="2093" t="s">
        <v>1999</v>
      </c>
      <c r="G38" s="965" t="s">
        <v>1992</v>
      </c>
    </row>
    <row r="39" customFormat="false" ht="15" hidden="false" customHeight="false" outlineLevel="0" collapsed="false">
      <c r="C39" s="2093" t="s">
        <v>1240</v>
      </c>
      <c r="G39" s="965" t="s">
        <v>1992</v>
      </c>
    </row>
    <row r="40" customFormat="false" ht="15" hidden="false" customHeight="false" outlineLevel="0" collapsed="false">
      <c r="C40" s="2093" t="s">
        <v>2000</v>
      </c>
      <c r="G40" s="965" t="s">
        <v>1992</v>
      </c>
    </row>
    <row r="41" customFormat="false" ht="15" hidden="false" customHeight="false" outlineLevel="0" collapsed="false">
      <c r="C41" s="2093"/>
      <c r="G41" s="965"/>
    </row>
    <row r="42" customFormat="false" ht="15" hidden="false" customHeight="false" outlineLevel="0" collapsed="false">
      <c r="C42" s="2093"/>
      <c r="G42" s="965"/>
    </row>
    <row r="43" customFormat="false" ht="15" hidden="false" customHeight="false" outlineLevel="0" collapsed="false">
      <c r="C43" s="2093"/>
      <c r="G43" s="965"/>
    </row>
    <row r="44" customFormat="false" ht="15" hidden="false" customHeight="false" outlineLevel="0" collapsed="false">
      <c r="C44" s="2093"/>
      <c r="G44" s="965"/>
    </row>
    <row r="45" customFormat="false" ht="15" hidden="false" customHeight="false" outlineLevel="0" collapsed="false">
      <c r="C45" s="2093"/>
      <c r="G45" s="965"/>
    </row>
    <row r="46" customFormat="false" ht="15" hidden="false" customHeight="false" outlineLevel="0" collapsed="false">
      <c r="C46" s="2093"/>
      <c r="G46" s="965"/>
    </row>
    <row r="47" customFormat="false" ht="15" hidden="false" customHeight="false" outlineLevel="0" collapsed="false">
      <c r="C47" s="2093"/>
      <c r="G47" s="965"/>
    </row>
    <row r="48" customFormat="false" ht="15" hidden="false" customHeight="false" outlineLevel="0" collapsed="false">
      <c r="C48" s="2093"/>
      <c r="G48" s="965"/>
    </row>
    <row r="49" customFormat="false" ht="15" hidden="false" customHeight="false" outlineLevel="0" collapsed="false">
      <c r="C49" s="2093"/>
      <c r="G49" s="965"/>
    </row>
    <row r="50" customFormat="false" ht="15" hidden="false" customHeight="false" outlineLevel="0" collapsed="false">
      <c r="C50" s="2093"/>
      <c r="G50" s="965"/>
    </row>
    <row r="51" customFormat="false" ht="15" hidden="false" customHeight="false" outlineLevel="0" collapsed="false">
      <c r="C51" s="2093"/>
      <c r="G51" s="965"/>
    </row>
    <row r="52" customFormat="false" ht="15" hidden="false" customHeight="false" outlineLevel="0" collapsed="false">
      <c r="C52" s="2093"/>
      <c r="G52" s="965"/>
    </row>
    <row r="53" customFormat="false" ht="15" hidden="false" customHeight="false" outlineLevel="0" collapsed="false">
      <c r="C53" s="2093"/>
      <c r="G53" s="965"/>
    </row>
    <row r="54" customFormat="false" ht="15" hidden="false" customHeight="false" outlineLevel="0" collapsed="false">
      <c r="C54" s="2093"/>
      <c r="G54" s="965"/>
    </row>
    <row r="55" customFormat="false" ht="15" hidden="false" customHeight="false" outlineLevel="0" collapsed="false">
      <c r="C55" s="2093"/>
      <c r="G55" s="965"/>
    </row>
    <row r="56" customFormat="false" ht="15" hidden="false" customHeight="false" outlineLevel="0" collapsed="false">
      <c r="C56" s="2093"/>
    </row>
    <row r="57" customFormat="false" ht="15" hidden="false" customHeight="false" outlineLevel="0" collapsed="false">
      <c r="C57" s="2093"/>
    </row>
    <row r="58" customFormat="false" ht="15" hidden="false" customHeight="false" outlineLevel="0" collapsed="false">
      <c r="C58" s="2093"/>
    </row>
    <row r="59" customFormat="false" ht="15" hidden="false" customHeight="false" outlineLevel="0" collapsed="false">
      <c r="C59" s="2093"/>
    </row>
    <row r="60" customFormat="false" ht="15" hidden="false" customHeight="false" outlineLevel="0" collapsed="false">
      <c r="C60" s="2093"/>
    </row>
    <row r="61" customFormat="false" ht="15" hidden="false" customHeight="false" outlineLevel="0" collapsed="false">
      <c r="C61" s="2093"/>
    </row>
    <row r="62" customFormat="false" ht="15" hidden="false" customHeight="false" outlineLevel="0" collapsed="false">
      <c r="C62" s="2093"/>
    </row>
    <row r="63" customFormat="false" ht="15" hidden="false" customHeight="false" outlineLevel="0" collapsed="false">
      <c r="C63" s="2093"/>
    </row>
    <row r="64" customFormat="false" ht="15" hidden="false" customHeight="false" outlineLevel="0" collapsed="false">
      <c r="C64" s="2093"/>
    </row>
    <row r="65" customFormat="false" ht="15" hidden="false" customHeight="false" outlineLevel="0" collapsed="false">
      <c r="C65" s="2093"/>
    </row>
    <row r="66" customFormat="false" ht="15" hidden="false" customHeight="false" outlineLevel="0" collapsed="false">
      <c r="C66" s="2093"/>
    </row>
    <row r="67" customFormat="false" ht="15" hidden="false" customHeight="false" outlineLevel="0" collapsed="false">
      <c r="C67" s="2093"/>
    </row>
    <row r="68" customFormat="false" ht="15" hidden="false" customHeight="false" outlineLevel="0" collapsed="false">
      <c r="C68" s="2093"/>
    </row>
    <row r="69" customFormat="false" ht="15" hidden="false" customHeight="false" outlineLevel="0" collapsed="false">
      <c r="C69" s="2093"/>
    </row>
    <row r="70" customFormat="false" ht="15" hidden="false" customHeight="false" outlineLevel="0" collapsed="false">
      <c r="C70" s="2093"/>
    </row>
    <row r="71" customFormat="false" ht="15" hidden="false" customHeight="false" outlineLevel="0" collapsed="false">
      <c r="C71" s="2093"/>
    </row>
    <row r="72" customFormat="false" ht="15" hidden="false" customHeight="false" outlineLevel="0" collapsed="false">
      <c r="C72" s="2093"/>
    </row>
    <row r="73" customFormat="false" ht="15" hidden="false" customHeight="false" outlineLevel="0" collapsed="false">
      <c r="C73" s="2093"/>
    </row>
    <row r="74" customFormat="false" ht="15" hidden="false" customHeight="false" outlineLevel="0" collapsed="false">
      <c r="C74" s="2093"/>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4"/>
  <sheetViews>
    <sheetView showFormulas="false" showGridLines="false" showRowColHeaders="true" showZeros="true" rightToLeft="false" tabSelected="false" showOutlineSymbols="true" defaultGridColor="true" view="normal" topLeftCell="E1" colorId="64" zoomScale="115" zoomScaleNormal="115" zoomScalePageLayoutView="100" workbookViewId="0">
      <selection pane="topLeft" activeCell="M27" activeCellId="0" sqref="M27"/>
    </sheetView>
  </sheetViews>
  <sheetFormatPr defaultColWidth="8.57421875" defaultRowHeight="16.5" zeroHeight="false" outlineLevelRow="0" outlineLevelCol="0"/>
  <cols>
    <col collapsed="false" customWidth="true" hidden="false" outlineLevel="0" max="1" min="1" style="9" width="4.75"/>
    <col collapsed="false" customWidth="true" hidden="false" outlineLevel="0" max="2" min="2" style="0" width="70.88"/>
    <col collapsed="false" customWidth="true" hidden="false" outlineLevel="0" max="3" min="3" style="9" width="9"/>
    <col collapsed="false" customWidth="true" hidden="false" outlineLevel="0" max="4" min="4" style="9" width="11.88"/>
    <col collapsed="false" customWidth="true" hidden="false" outlineLevel="0" max="5" min="5" style="9" width="18.51"/>
    <col collapsed="false" customWidth="true" hidden="false" outlineLevel="0" max="6" min="6" style="0" width="9.88"/>
    <col collapsed="false" customWidth="true" hidden="false" outlineLevel="0" max="7" min="7" style="0" width="9.75"/>
    <col collapsed="false" customWidth="true" hidden="false" outlineLevel="0" max="9" min="9" style="2094" width="11.5"/>
    <col collapsed="false" customWidth="true" hidden="false" outlineLevel="0" max="10" min="10" style="0" width="4.63"/>
    <col collapsed="false" customWidth="true" hidden="false" outlineLevel="0" max="11" min="11" style="0" width="4.75"/>
    <col collapsed="false" customWidth="true" hidden="false" outlineLevel="0" max="12" min="12" style="0" width="23"/>
    <col collapsed="false" customWidth="true" hidden="false" outlineLevel="0" max="13" min="13" style="0" width="18.12"/>
    <col collapsed="false" customWidth="true" hidden="false" outlineLevel="0" max="14" min="14" style="0" width="11.12"/>
    <col collapsed="false" customWidth="true" hidden="false" outlineLevel="0" max="15" min="15" style="0" width="25.25"/>
    <col collapsed="false" customWidth="true" hidden="false" outlineLevel="0" max="17" min="17" style="0" width="8.75"/>
    <col collapsed="false" customWidth="true" hidden="false" outlineLevel="0" max="18" min="18" style="0" width="1.12"/>
  </cols>
  <sheetData>
    <row r="1" customFormat="false" ht="16.5" hidden="false" customHeight="false" outlineLevel="0" collapsed="false">
      <c r="A1" s="2095" t="s">
        <v>24</v>
      </c>
      <c r="B1" s="2096" t="s">
        <v>282</v>
      </c>
      <c r="C1" s="2097" t="s">
        <v>2001</v>
      </c>
      <c r="D1" s="2098" t="s">
        <v>609</v>
      </c>
      <c r="E1" s="2097" t="s">
        <v>2002</v>
      </c>
      <c r="F1" s="2096" t="s">
        <v>2003</v>
      </c>
      <c r="G1" s="2099" t="s">
        <v>2004</v>
      </c>
      <c r="J1" s="2100" t="s">
        <v>2005</v>
      </c>
      <c r="K1" s="2100" t="s">
        <v>2006</v>
      </c>
      <c r="L1" s="2101" t="s">
        <v>1909</v>
      </c>
      <c r="M1" s="2102" t="s">
        <v>2002</v>
      </c>
      <c r="N1" s="2101" t="s">
        <v>2007</v>
      </c>
      <c r="O1" s="2100" t="s">
        <v>2008</v>
      </c>
    </row>
    <row r="2" customFormat="false" ht="16.5" hidden="false" customHeight="false" outlineLevel="0" collapsed="false">
      <c r="A2" s="2103" t="n">
        <v>1</v>
      </c>
      <c r="B2" s="2104" t="s">
        <v>2009</v>
      </c>
      <c r="C2" s="2105" t="n">
        <v>1041</v>
      </c>
      <c r="D2" s="2106"/>
      <c r="E2" s="2107" t="s">
        <v>300</v>
      </c>
      <c r="F2" s="2104" t="s">
        <v>2010</v>
      </c>
      <c r="G2" s="2108" t="s">
        <v>2011</v>
      </c>
      <c r="J2" s="2109" t="s">
        <v>2012</v>
      </c>
      <c r="K2" s="2110" t="n">
        <v>1</v>
      </c>
      <c r="L2" s="2111" t="s">
        <v>921</v>
      </c>
      <c r="M2" s="2112" t="s">
        <v>926</v>
      </c>
      <c r="N2" s="2113" t="n">
        <v>2743.2</v>
      </c>
      <c r="O2" s="2114" t="s">
        <v>2013</v>
      </c>
    </row>
    <row r="3" customFormat="false" ht="16.5" hidden="false" customHeight="false" outlineLevel="0" collapsed="false">
      <c r="A3" s="2103" t="n">
        <v>2</v>
      </c>
      <c r="B3" s="2104" t="s">
        <v>2014</v>
      </c>
      <c r="C3" s="2105"/>
      <c r="D3" s="2107"/>
      <c r="E3" s="2107" t="s">
        <v>300</v>
      </c>
      <c r="F3" s="2104" t="s">
        <v>2015</v>
      </c>
      <c r="G3" s="2108" t="s">
        <v>2016</v>
      </c>
      <c r="J3" s="2115" t="s">
        <v>2017</v>
      </c>
      <c r="K3" s="2116" t="n">
        <v>2</v>
      </c>
      <c r="L3" s="2117" t="s">
        <v>468</v>
      </c>
      <c r="M3" s="2118" t="s">
        <v>302</v>
      </c>
      <c r="N3" s="2119" t="n">
        <v>210.82</v>
      </c>
      <c r="O3" s="2120" t="s">
        <v>2013</v>
      </c>
    </row>
    <row r="4" customFormat="false" ht="16.5" hidden="false" customHeight="false" outlineLevel="0" collapsed="false">
      <c r="A4" s="2103" t="n">
        <v>3</v>
      </c>
      <c r="B4" s="2104" t="s">
        <v>848</v>
      </c>
      <c r="C4" s="2107" t="n">
        <v>406</v>
      </c>
      <c r="D4" s="2107"/>
      <c r="E4" s="2107" t="s">
        <v>301</v>
      </c>
      <c r="F4" s="2104" t="s">
        <v>2015</v>
      </c>
      <c r="G4" s="2108" t="s">
        <v>2016</v>
      </c>
      <c r="J4" s="2121" t="s">
        <v>2018</v>
      </c>
      <c r="K4" s="2116" t="n">
        <v>3</v>
      </c>
      <c r="L4" s="2117" t="s">
        <v>896</v>
      </c>
      <c r="M4" s="2118" t="s">
        <v>901</v>
      </c>
      <c r="N4" s="2119" t="n">
        <v>650.24</v>
      </c>
      <c r="O4" s="2120" t="s">
        <v>2019</v>
      </c>
    </row>
    <row r="5" customFormat="false" ht="16.5" hidden="false" customHeight="true" outlineLevel="0" collapsed="false">
      <c r="A5" s="2103" t="n">
        <v>5</v>
      </c>
      <c r="B5" s="2104" t="s">
        <v>852</v>
      </c>
      <c r="C5" s="2107" t="n">
        <v>158.75</v>
      </c>
      <c r="D5" s="2107"/>
      <c r="E5" s="2107" t="s">
        <v>301</v>
      </c>
      <c r="F5" s="2104" t="s">
        <v>2015</v>
      </c>
      <c r="G5" s="2108" t="s">
        <v>2016</v>
      </c>
      <c r="J5" s="2122" t="s">
        <v>2020</v>
      </c>
      <c r="K5" s="2123" t="n">
        <v>4</v>
      </c>
      <c r="L5" s="2124" t="s">
        <v>915</v>
      </c>
      <c r="M5" s="2125" t="s">
        <v>794</v>
      </c>
      <c r="N5" s="2126" t="n">
        <v>243.84</v>
      </c>
      <c r="O5" s="2127" t="s">
        <v>2021</v>
      </c>
      <c r="Q5" s="2128" t="n">
        <v>2743.2</v>
      </c>
      <c r="S5" s="11" t="s">
        <v>921</v>
      </c>
      <c r="U5" s="11" t="s">
        <v>926</v>
      </c>
    </row>
    <row r="6" customFormat="false" ht="16.5" hidden="false" customHeight="false" outlineLevel="0" collapsed="false">
      <c r="A6" s="2103" t="n">
        <v>7</v>
      </c>
      <c r="B6" s="2104" t="s">
        <v>2022</v>
      </c>
      <c r="C6" s="2107" t="n">
        <v>545.46</v>
      </c>
      <c r="D6" s="2107"/>
      <c r="E6" s="2107" t="s">
        <v>302</v>
      </c>
      <c r="F6" s="2104" t="s">
        <v>2023</v>
      </c>
      <c r="G6" s="2108" t="s">
        <v>2024</v>
      </c>
      <c r="J6" s="2122"/>
      <c r="K6" s="2129" t="n">
        <v>5</v>
      </c>
      <c r="L6" s="2130" t="s">
        <v>908</v>
      </c>
      <c r="M6" s="2125"/>
      <c r="N6" s="2131" t="n">
        <v>522.6</v>
      </c>
      <c r="O6" s="2132" t="s">
        <v>2025</v>
      </c>
      <c r="Q6" s="2128" t="n">
        <v>210.82</v>
      </c>
      <c r="S6" s="11" t="s">
        <v>468</v>
      </c>
      <c r="U6" s="11" t="s">
        <v>302</v>
      </c>
    </row>
    <row r="7" customFormat="false" ht="16.5" hidden="false" customHeight="false" outlineLevel="0" collapsed="false">
      <c r="A7" s="2103" t="n">
        <v>9</v>
      </c>
      <c r="B7" s="2104" t="s">
        <v>2026</v>
      </c>
      <c r="C7" s="2107" t="n">
        <v>150</v>
      </c>
      <c r="D7" s="2107"/>
      <c r="E7" s="2107" t="s">
        <v>302</v>
      </c>
      <c r="F7" s="2104" t="s">
        <v>2023</v>
      </c>
      <c r="G7" s="2108" t="s">
        <v>2024</v>
      </c>
      <c r="J7" s="2122"/>
      <c r="K7" s="2123" t="n">
        <v>6</v>
      </c>
      <c r="L7" s="2124" t="s">
        <v>928</v>
      </c>
      <c r="M7" s="2125"/>
      <c r="N7" s="2126" t="n">
        <v>909.32</v>
      </c>
      <c r="O7" s="2127" t="s">
        <v>2027</v>
      </c>
      <c r="Q7" s="2128" t="n">
        <v>650.24</v>
      </c>
      <c r="S7" s="11" t="s">
        <v>896</v>
      </c>
      <c r="U7" s="11" t="s">
        <v>901</v>
      </c>
    </row>
    <row r="8" customFormat="false" ht="16.5" hidden="false" customHeight="false" outlineLevel="0" collapsed="false">
      <c r="A8" s="2103" t="n">
        <v>10</v>
      </c>
      <c r="B8" s="2104" t="s">
        <v>2028</v>
      </c>
      <c r="C8" s="2107" t="n">
        <v>144.15</v>
      </c>
      <c r="D8" s="2107"/>
      <c r="E8" s="2107" t="s">
        <v>302</v>
      </c>
      <c r="F8" s="2104"/>
      <c r="G8" s="2108"/>
      <c r="J8" s="2122"/>
      <c r="K8" s="2116" t="n">
        <v>7</v>
      </c>
      <c r="L8" s="2117" t="s">
        <v>933</v>
      </c>
      <c r="M8" s="2125"/>
      <c r="N8" s="2119" t="n">
        <v>355.6</v>
      </c>
      <c r="O8" s="2120" t="s">
        <v>2029</v>
      </c>
      <c r="Q8" s="2128"/>
    </row>
    <row r="9" customFormat="false" ht="16.5" hidden="false" customHeight="true" outlineLevel="0" collapsed="false">
      <c r="A9" s="2103" t="n">
        <v>11</v>
      </c>
      <c r="B9" s="2104" t="s">
        <v>2030</v>
      </c>
      <c r="C9" s="2107" t="n">
        <v>138.43</v>
      </c>
      <c r="D9" s="2107"/>
      <c r="E9" s="2107" t="s">
        <v>302</v>
      </c>
      <c r="F9" s="2104"/>
      <c r="G9" s="2108"/>
      <c r="J9" s="2133" t="s">
        <v>2031</v>
      </c>
      <c r="K9" s="2123" t="n">
        <v>8</v>
      </c>
      <c r="L9" s="2124" t="s">
        <v>886</v>
      </c>
      <c r="M9" s="2125" t="s">
        <v>817</v>
      </c>
      <c r="N9" s="2126" t="n">
        <v>328.3</v>
      </c>
      <c r="O9" s="2127" t="s">
        <v>2032</v>
      </c>
      <c r="Q9" s="2128" t="n">
        <v>243.84</v>
      </c>
      <c r="S9" s="11" t="s">
        <v>915</v>
      </c>
      <c r="U9" s="11" t="s">
        <v>794</v>
      </c>
    </row>
    <row r="10" customFormat="false" ht="16.5" hidden="false" customHeight="false" outlineLevel="0" collapsed="false">
      <c r="A10" s="2103" t="n">
        <v>12</v>
      </c>
      <c r="B10" s="2104" t="s">
        <v>2033</v>
      </c>
      <c r="C10" s="2107" t="n">
        <v>151.13</v>
      </c>
      <c r="D10" s="2107"/>
      <c r="E10" s="2107" t="s">
        <v>810</v>
      </c>
      <c r="F10" s="2104"/>
      <c r="G10" s="2108"/>
      <c r="J10" s="2133"/>
      <c r="K10" s="2134" t="n">
        <v>9</v>
      </c>
      <c r="L10" s="2135" t="s">
        <v>440</v>
      </c>
      <c r="M10" s="2125"/>
      <c r="N10" s="2136" t="n">
        <v>509.6</v>
      </c>
      <c r="O10" s="2137" t="s">
        <v>2034</v>
      </c>
      <c r="Q10" s="2128" t="n">
        <v>522.605</v>
      </c>
      <c r="S10" s="11" t="s">
        <v>908</v>
      </c>
      <c r="U10" s="11" t="s">
        <v>794</v>
      </c>
    </row>
    <row r="11" customFormat="false" ht="16.5" hidden="false" customHeight="true" outlineLevel="0" collapsed="false">
      <c r="A11" s="2103" t="n">
        <v>8</v>
      </c>
      <c r="B11" s="2104" t="s">
        <v>2035</v>
      </c>
      <c r="C11" s="2138" t="n">
        <v>3201.02</v>
      </c>
      <c r="D11" s="2107"/>
      <c r="E11" s="2107" t="s">
        <v>864</v>
      </c>
      <c r="F11" s="2104" t="s">
        <v>2023</v>
      </c>
      <c r="G11" s="2108" t="s">
        <v>2024</v>
      </c>
      <c r="J11" s="2139" t="s">
        <v>2036</v>
      </c>
      <c r="K11" s="2123" t="n">
        <v>10</v>
      </c>
      <c r="L11" s="2124" t="s">
        <v>938</v>
      </c>
      <c r="M11" s="2125" t="s">
        <v>300</v>
      </c>
      <c r="N11" s="2126" t="n">
        <v>913.76</v>
      </c>
      <c r="O11" s="2127" t="s">
        <v>2037</v>
      </c>
      <c r="Q11" s="2128" t="n">
        <v>909.32</v>
      </c>
      <c r="S11" s="11" t="s">
        <v>928</v>
      </c>
      <c r="U11" s="11" t="s">
        <v>794</v>
      </c>
    </row>
    <row r="12" customFormat="false" ht="16.5" hidden="false" customHeight="false" outlineLevel="0" collapsed="false">
      <c r="A12" s="2103" t="n">
        <v>4</v>
      </c>
      <c r="B12" s="2104" t="s">
        <v>2038</v>
      </c>
      <c r="C12" s="2107" t="n">
        <v>319.2</v>
      </c>
      <c r="D12" s="2107"/>
      <c r="E12" s="2107" t="s">
        <v>794</v>
      </c>
      <c r="F12" s="2104" t="s">
        <v>2015</v>
      </c>
      <c r="G12" s="2108" t="s">
        <v>2016</v>
      </c>
      <c r="J12" s="2139"/>
      <c r="K12" s="2134" t="n">
        <v>10</v>
      </c>
      <c r="L12" s="2135" t="s">
        <v>942</v>
      </c>
      <c r="M12" s="2125"/>
      <c r="N12" s="2136" t="n">
        <v>654.05</v>
      </c>
      <c r="O12" s="2137" t="s">
        <v>2025</v>
      </c>
      <c r="Q12" s="2128" t="n">
        <v>355.6</v>
      </c>
      <c r="S12" s="11" t="s">
        <v>933</v>
      </c>
      <c r="U12" s="11" t="s">
        <v>794</v>
      </c>
    </row>
    <row r="13" customFormat="false" ht="16.5" hidden="false" customHeight="false" outlineLevel="0" collapsed="false">
      <c r="A13" s="2103" t="n">
        <v>6</v>
      </c>
      <c r="B13" s="2104" t="s">
        <v>2039</v>
      </c>
      <c r="C13" s="2138" t="n">
        <v>110.08</v>
      </c>
      <c r="D13" s="2107"/>
      <c r="E13" s="2107" t="s">
        <v>817</v>
      </c>
      <c r="F13" s="2104" t="s">
        <v>2015</v>
      </c>
      <c r="G13" s="2108" t="s">
        <v>2016</v>
      </c>
      <c r="Q13" s="2128" t="n">
        <v>328.3</v>
      </c>
      <c r="S13" s="11" t="s">
        <v>886</v>
      </c>
      <c r="U13" s="11" t="s">
        <v>817</v>
      </c>
    </row>
    <row r="14" customFormat="false" ht="16.5" hidden="false" customHeight="false" outlineLevel="0" collapsed="false">
      <c r="A14" s="2103" t="n">
        <v>13</v>
      </c>
      <c r="B14" s="2104" t="s">
        <v>866</v>
      </c>
      <c r="C14" s="2107" t="n">
        <v>300.08</v>
      </c>
      <c r="D14" s="2107"/>
      <c r="E14" s="2107" t="s">
        <v>817</v>
      </c>
      <c r="F14" s="2104"/>
      <c r="G14" s="2108"/>
      <c r="Q14" s="2128" t="n">
        <v>509.6</v>
      </c>
      <c r="S14" s="11" t="s">
        <v>440</v>
      </c>
      <c r="U14" s="11" t="s">
        <v>817</v>
      </c>
    </row>
    <row r="15" customFormat="false" ht="16.5" hidden="false" customHeight="false" outlineLevel="0" collapsed="false">
      <c r="A15" s="2103" t="n">
        <v>14</v>
      </c>
      <c r="B15" s="2140" t="s">
        <v>872</v>
      </c>
      <c r="C15" s="2141" t="n">
        <v>160</v>
      </c>
      <c r="D15" s="2141"/>
      <c r="E15" s="2140" t="s">
        <v>817</v>
      </c>
      <c r="F15" s="2140"/>
      <c r="G15" s="2142"/>
      <c r="Q15" s="2128" t="n">
        <v>913.765</v>
      </c>
      <c r="S15" s="11" t="s">
        <v>938</v>
      </c>
      <c r="U15" s="11" t="s">
        <v>300</v>
      </c>
    </row>
    <row r="16" customFormat="false" ht="16.5" hidden="false" customHeight="false" outlineLevel="0" collapsed="false">
      <c r="A16" s="2107"/>
      <c r="B16" s="2104"/>
      <c r="C16" s="2107"/>
      <c r="D16" s="2107"/>
      <c r="E16" s="2107"/>
      <c r="F16" s="848"/>
      <c r="G16" s="848"/>
      <c r="Q16" s="2128" t="n">
        <v>654.05</v>
      </c>
      <c r="S16" s="11" t="s">
        <v>942</v>
      </c>
      <c r="U16" s="11" t="s">
        <v>300</v>
      </c>
    </row>
    <row r="17" customFormat="false" ht="16.5" hidden="false" customHeight="false" outlineLevel="0" collapsed="false">
      <c r="A17" s="2143" t="s">
        <v>24</v>
      </c>
      <c r="B17" s="2144" t="s">
        <v>282</v>
      </c>
      <c r="C17" s="2145" t="s">
        <v>2001</v>
      </c>
      <c r="D17" s="2145" t="s">
        <v>2040</v>
      </c>
      <c r="E17" s="2145" t="s">
        <v>2002</v>
      </c>
      <c r="F17" s="2144" t="s">
        <v>2003</v>
      </c>
      <c r="G17" s="2146" t="s">
        <v>2004</v>
      </c>
      <c r="Q17" s="2128"/>
    </row>
    <row r="18" customFormat="false" ht="16.5" hidden="false" customHeight="false" outlineLevel="0" collapsed="false">
      <c r="A18" s="2103" t="n">
        <v>1</v>
      </c>
      <c r="B18" s="2104" t="s">
        <v>1056</v>
      </c>
      <c r="C18" s="2147" t="n">
        <v>3181.5</v>
      </c>
      <c r="D18" s="2148" t="n">
        <f aca="false">SUM(C18:C32)</f>
        <v>19837.3</v>
      </c>
      <c r="E18" s="2107" t="s">
        <v>300</v>
      </c>
      <c r="F18" s="848"/>
      <c r="G18" s="2149" t="s">
        <v>609</v>
      </c>
    </row>
    <row r="19" customFormat="false" ht="16.5" hidden="false" customHeight="false" outlineLevel="0" collapsed="false">
      <c r="A19" s="2103" t="n">
        <v>2</v>
      </c>
      <c r="B19" s="2104" t="s">
        <v>1061</v>
      </c>
      <c r="C19" s="2107" t="n">
        <v>275.88</v>
      </c>
      <c r="D19" s="2148"/>
      <c r="E19" s="2107" t="s">
        <v>300</v>
      </c>
      <c r="F19" s="848"/>
      <c r="G19" s="2149" t="s">
        <v>609</v>
      </c>
      <c r="L19" s="11" t="s">
        <v>2041</v>
      </c>
    </row>
    <row r="20" customFormat="false" ht="16.5" hidden="false" customHeight="false" outlineLevel="0" collapsed="false">
      <c r="A20" s="2103" t="n">
        <v>3</v>
      </c>
      <c r="B20" s="2104" t="s">
        <v>1066</v>
      </c>
      <c r="C20" s="2147" t="n">
        <v>4535.52</v>
      </c>
      <c r="D20" s="2148"/>
      <c r="E20" s="2107" t="s">
        <v>300</v>
      </c>
      <c r="F20" s="848"/>
      <c r="G20" s="2149" t="s">
        <v>609</v>
      </c>
    </row>
    <row r="21" customFormat="false" ht="16.5" hidden="false" customHeight="false" outlineLevel="0" collapsed="false">
      <c r="A21" s="2103" t="n">
        <v>4</v>
      </c>
      <c r="B21" s="2104" t="s">
        <v>1076</v>
      </c>
      <c r="C21" s="2107" t="n">
        <v>453.42</v>
      </c>
      <c r="D21" s="2148"/>
      <c r="E21" s="2107" t="s">
        <v>300</v>
      </c>
      <c r="F21" s="848"/>
      <c r="G21" s="2149" t="s">
        <v>609</v>
      </c>
    </row>
    <row r="22" customFormat="false" ht="16.5" hidden="false" customHeight="false" outlineLevel="0" collapsed="false">
      <c r="A22" s="2103" t="n">
        <v>5</v>
      </c>
      <c r="B22" s="2104" t="s">
        <v>1386</v>
      </c>
      <c r="C22" s="2107" t="n">
        <v>773.5</v>
      </c>
      <c r="D22" s="2148"/>
      <c r="E22" s="2107" t="s">
        <v>300</v>
      </c>
      <c r="F22" s="848"/>
      <c r="G22" s="2149" t="s">
        <v>609</v>
      </c>
    </row>
    <row r="23" customFormat="false" ht="16.5" hidden="false" customHeight="false" outlineLevel="0" collapsed="false">
      <c r="A23" s="2103" t="n">
        <v>6</v>
      </c>
      <c r="B23" s="2104" t="s">
        <v>1297</v>
      </c>
      <c r="C23" s="2138" t="n">
        <v>1341.12</v>
      </c>
      <c r="D23" s="2148"/>
      <c r="E23" s="2107" t="s">
        <v>300</v>
      </c>
      <c r="F23" s="848"/>
      <c r="G23" s="2149" t="s">
        <v>609</v>
      </c>
    </row>
    <row r="24" customFormat="false" ht="16.5" hidden="false" customHeight="false" outlineLevel="0" collapsed="false">
      <c r="A24" s="2103" t="n">
        <v>7</v>
      </c>
      <c r="B24" s="2104" t="s">
        <v>1302</v>
      </c>
      <c r="C24" s="2107" t="n">
        <v>406.4</v>
      </c>
      <c r="D24" s="2148"/>
      <c r="E24" s="2107" t="s">
        <v>300</v>
      </c>
      <c r="F24" s="848"/>
      <c r="G24" s="2149" t="s">
        <v>609</v>
      </c>
      <c r="I24" s="2094" t="s">
        <v>2042</v>
      </c>
    </row>
    <row r="25" customFormat="false" ht="16.5" hidden="false" customHeight="false" outlineLevel="0" collapsed="false">
      <c r="A25" s="2103" t="n">
        <v>8</v>
      </c>
      <c r="B25" s="2104" t="s">
        <v>2043</v>
      </c>
      <c r="C25" s="2138" t="n">
        <v>1224.6</v>
      </c>
      <c r="D25" s="2148"/>
      <c r="E25" s="2107" t="s">
        <v>300</v>
      </c>
      <c r="F25" s="848"/>
      <c r="G25" s="2149" t="s">
        <v>609</v>
      </c>
      <c r="I25" s="2150" t="n">
        <f aca="false">D18</f>
        <v>19837.3</v>
      </c>
    </row>
    <row r="26" customFormat="false" ht="16.5" hidden="false" customHeight="false" outlineLevel="0" collapsed="false">
      <c r="A26" s="2103" t="n">
        <v>9</v>
      </c>
      <c r="B26" s="2104" t="s">
        <v>1358</v>
      </c>
      <c r="C26" s="2107" t="n">
        <v>483.7</v>
      </c>
      <c r="D26" s="2148"/>
      <c r="E26" s="2107" t="s">
        <v>300</v>
      </c>
      <c r="F26" s="848"/>
      <c r="G26" s="2149" t="s">
        <v>609</v>
      </c>
    </row>
    <row r="27" customFormat="false" ht="16.5" hidden="false" customHeight="false" outlineLevel="0" collapsed="false">
      <c r="A27" s="2103" t="n">
        <v>10</v>
      </c>
      <c r="B27" s="2104" t="s">
        <v>1362</v>
      </c>
      <c r="C27" s="2147" t="n">
        <v>1602.48</v>
      </c>
      <c r="D27" s="2148"/>
      <c r="E27" s="2107" t="s">
        <v>300</v>
      </c>
      <c r="F27" s="848"/>
      <c r="G27" s="2149" t="s">
        <v>609</v>
      </c>
    </row>
    <row r="28" customFormat="false" ht="16.5" hidden="false" customHeight="false" outlineLevel="0" collapsed="false">
      <c r="A28" s="2103" t="n">
        <v>11</v>
      </c>
      <c r="B28" s="2104" t="s">
        <v>1366</v>
      </c>
      <c r="C28" s="2107" t="n">
        <v>483.12</v>
      </c>
      <c r="D28" s="2148"/>
      <c r="E28" s="2107" t="s">
        <v>300</v>
      </c>
      <c r="F28" s="848"/>
      <c r="G28" s="2149" t="s">
        <v>609</v>
      </c>
    </row>
    <row r="29" customFormat="false" ht="16.5" hidden="false" customHeight="false" outlineLevel="0" collapsed="false">
      <c r="A29" s="2103" t="n">
        <v>12</v>
      </c>
      <c r="B29" s="2104" t="s">
        <v>2044</v>
      </c>
      <c r="C29" s="2107" t="n">
        <v>320.76</v>
      </c>
      <c r="D29" s="2148"/>
      <c r="E29" s="2107" t="s">
        <v>300</v>
      </c>
      <c r="F29" s="848"/>
      <c r="G29" s="2149" t="s">
        <v>609</v>
      </c>
    </row>
    <row r="30" customFormat="false" ht="16.5" hidden="false" customHeight="false" outlineLevel="0" collapsed="false">
      <c r="A30" s="2103" t="n">
        <v>13</v>
      </c>
      <c r="B30" s="2104" t="s">
        <v>2045</v>
      </c>
      <c r="C30" s="2107" t="n">
        <v>326.7</v>
      </c>
      <c r="D30" s="2148"/>
      <c r="E30" s="2107" t="s">
        <v>300</v>
      </c>
      <c r="F30" s="848"/>
      <c r="G30" s="2149" t="s">
        <v>609</v>
      </c>
    </row>
    <row r="31" customFormat="false" ht="16.5" hidden="false" customHeight="false" outlineLevel="0" collapsed="false">
      <c r="A31" s="2103" t="n">
        <v>14</v>
      </c>
      <c r="B31" s="2104" t="s">
        <v>1139</v>
      </c>
      <c r="C31" s="2138" t="n">
        <v>4098</v>
      </c>
      <c r="D31" s="2148"/>
      <c r="E31" s="2107" t="s">
        <v>300</v>
      </c>
      <c r="F31" s="848"/>
      <c r="G31" s="2149" t="s">
        <v>609</v>
      </c>
    </row>
    <row r="32" customFormat="false" ht="16.5" hidden="false" customHeight="false" outlineLevel="0" collapsed="false">
      <c r="A32" s="2151" t="n">
        <v>15</v>
      </c>
      <c r="B32" s="2140" t="s">
        <v>1181</v>
      </c>
      <c r="C32" s="2141" t="n">
        <v>330.6</v>
      </c>
      <c r="D32" s="2148"/>
      <c r="E32" s="2141" t="s">
        <v>300</v>
      </c>
      <c r="F32" s="2152" t="s">
        <v>609</v>
      </c>
      <c r="G32" s="1884" t="s">
        <v>609</v>
      </c>
    </row>
    <row r="33" customFormat="false" ht="16.5" hidden="false" customHeight="false" outlineLevel="0" collapsed="false">
      <c r="A33" s="2107"/>
      <c r="B33" s="2104"/>
      <c r="C33" s="2107"/>
      <c r="D33" s="2107"/>
      <c r="E33" s="2107"/>
      <c r="F33" s="848"/>
      <c r="G33" s="848"/>
    </row>
    <row r="34" customFormat="false" ht="16.5" hidden="false" customHeight="false" outlineLevel="0" collapsed="false">
      <c r="A34" s="2095" t="s">
        <v>24</v>
      </c>
      <c r="B34" s="2096" t="s">
        <v>282</v>
      </c>
      <c r="C34" s="2097" t="s">
        <v>2001</v>
      </c>
      <c r="D34" s="2097" t="s">
        <v>2040</v>
      </c>
      <c r="E34" s="2097" t="s">
        <v>2002</v>
      </c>
      <c r="F34" s="2096" t="s">
        <v>2003</v>
      </c>
      <c r="G34" s="2099" t="s">
        <v>2004</v>
      </c>
    </row>
    <row r="35" customFormat="false" ht="16.5" hidden="false" customHeight="false" outlineLevel="0" collapsed="false">
      <c r="A35" s="2103" t="n">
        <v>1</v>
      </c>
      <c r="B35" s="2104" t="s">
        <v>2046</v>
      </c>
      <c r="C35" s="2107" t="n">
        <v>277.2</v>
      </c>
      <c r="D35" s="2148" t="n">
        <f aca="false">SUM(C35:C37)</f>
        <v>1427.82</v>
      </c>
      <c r="E35" s="2107" t="s">
        <v>301</v>
      </c>
      <c r="F35" s="848"/>
      <c r="G35" s="2149" t="s">
        <v>609</v>
      </c>
    </row>
    <row r="36" customFormat="false" ht="16.5" hidden="false" customHeight="false" outlineLevel="0" collapsed="false">
      <c r="A36" s="2103" t="n">
        <v>2</v>
      </c>
      <c r="B36" s="2104" t="s">
        <v>1318</v>
      </c>
      <c r="C36" s="2138" t="n">
        <v>1036.32</v>
      </c>
      <c r="D36" s="2148"/>
      <c r="E36" s="2107" t="s">
        <v>301</v>
      </c>
      <c r="F36" s="848"/>
      <c r="G36" s="2149" t="s">
        <v>609</v>
      </c>
      <c r="I36" s="2094" t="s">
        <v>2047</v>
      </c>
    </row>
    <row r="37" customFormat="false" ht="16.5" hidden="false" customHeight="false" outlineLevel="0" collapsed="false">
      <c r="A37" s="2153" t="n">
        <v>3</v>
      </c>
      <c r="B37" s="2140" t="s">
        <v>2048</v>
      </c>
      <c r="C37" s="2141" t="n">
        <v>114.3</v>
      </c>
      <c r="D37" s="2148"/>
      <c r="E37" s="2141" t="s">
        <v>301</v>
      </c>
      <c r="F37" s="2152"/>
      <c r="G37" s="1884" t="s">
        <v>609</v>
      </c>
      <c r="I37" s="2150" t="n">
        <f aca="false">D35</f>
        <v>1427.82</v>
      </c>
    </row>
    <row r="38" customFormat="false" ht="16.5" hidden="false" customHeight="false" outlineLevel="0" collapsed="false">
      <c r="A38" s="2103" t="n">
        <v>1</v>
      </c>
      <c r="B38" s="2104" t="s">
        <v>2000</v>
      </c>
      <c r="C38" s="2138" t="n">
        <v>1183</v>
      </c>
      <c r="D38" s="2154" t="n">
        <f aca="false">SUM(C38:C42)</f>
        <v>2713.99</v>
      </c>
      <c r="E38" s="2107" t="s">
        <v>1015</v>
      </c>
      <c r="F38" s="848"/>
      <c r="G38" s="2149" t="s">
        <v>609</v>
      </c>
    </row>
    <row r="39" customFormat="false" ht="16.5" hidden="false" customHeight="false" outlineLevel="0" collapsed="false">
      <c r="A39" s="2103" t="n">
        <v>2</v>
      </c>
      <c r="B39" s="2104" t="s">
        <v>1250</v>
      </c>
      <c r="C39" s="2107" t="n">
        <v>318.14</v>
      </c>
      <c r="D39" s="2154"/>
      <c r="E39" s="2107" t="s">
        <v>1015</v>
      </c>
      <c r="F39" s="848"/>
      <c r="G39" s="2149" t="s">
        <v>609</v>
      </c>
    </row>
    <row r="40" customFormat="false" ht="16.5" hidden="false" customHeight="false" outlineLevel="0" collapsed="false">
      <c r="A40" s="2103" t="n">
        <v>3</v>
      </c>
      <c r="B40" s="2104" t="s">
        <v>1144</v>
      </c>
      <c r="C40" s="2107" t="n">
        <v>195</v>
      </c>
      <c r="D40" s="2154"/>
      <c r="E40" s="2107" t="s">
        <v>1015</v>
      </c>
      <c r="F40" s="848" t="s">
        <v>609</v>
      </c>
      <c r="G40" s="2149" t="s">
        <v>609</v>
      </c>
      <c r="I40" s="2094" t="s">
        <v>2049</v>
      </c>
    </row>
    <row r="41" customFormat="false" ht="16.5" hidden="false" customHeight="false" outlineLevel="0" collapsed="false">
      <c r="A41" s="2103" t="n">
        <v>4</v>
      </c>
      <c r="B41" s="2104" t="s">
        <v>1381</v>
      </c>
      <c r="C41" s="2107" t="n">
        <v>769.56</v>
      </c>
      <c r="D41" s="2154"/>
      <c r="E41" s="2107" t="s">
        <v>1015</v>
      </c>
      <c r="F41" s="848"/>
      <c r="G41" s="2149" t="s">
        <v>609</v>
      </c>
      <c r="I41" s="2150" t="n">
        <f aca="false">D38</f>
        <v>2713.99</v>
      </c>
    </row>
    <row r="42" customFormat="false" ht="16.5" hidden="false" customHeight="false" outlineLevel="0" collapsed="false">
      <c r="A42" s="2153" t="n">
        <v>5</v>
      </c>
      <c r="B42" s="2155" t="s">
        <v>1116</v>
      </c>
      <c r="C42" s="2141" t="n">
        <v>248.29</v>
      </c>
      <c r="D42" s="2154"/>
      <c r="E42" s="2141" t="s">
        <v>1015</v>
      </c>
      <c r="F42" s="2152"/>
      <c r="G42" s="1884"/>
    </row>
    <row r="43" customFormat="false" ht="16.5" hidden="false" customHeight="false" outlineLevel="0" collapsed="false">
      <c r="A43" s="2107"/>
      <c r="B43" s="2104"/>
      <c r="C43" s="2107"/>
      <c r="D43" s="2107"/>
      <c r="E43" s="2107"/>
      <c r="F43" s="848"/>
      <c r="G43" s="848"/>
    </row>
    <row r="44" customFormat="false" ht="16.5" hidden="false" customHeight="false" outlineLevel="0" collapsed="false">
      <c r="A44" s="2095" t="s">
        <v>24</v>
      </c>
      <c r="B44" s="2096" t="s">
        <v>282</v>
      </c>
      <c r="C44" s="2097" t="s">
        <v>2001</v>
      </c>
      <c r="D44" s="2097" t="s">
        <v>2040</v>
      </c>
      <c r="E44" s="2097" t="s">
        <v>2002</v>
      </c>
      <c r="F44" s="2096" t="s">
        <v>2003</v>
      </c>
      <c r="G44" s="2099" t="s">
        <v>2004</v>
      </c>
      <c r="I44" s="2094" t="s">
        <v>2050</v>
      </c>
    </row>
    <row r="45" customFormat="false" ht="16.5" hidden="false" customHeight="false" outlineLevel="0" collapsed="false">
      <c r="A45" s="2151" t="n">
        <v>1</v>
      </c>
      <c r="B45" s="2140" t="s">
        <v>1292</v>
      </c>
      <c r="C45" s="2148" t="n">
        <v>1363.98</v>
      </c>
      <c r="D45" s="2148" t="n">
        <v>1363.98</v>
      </c>
      <c r="E45" s="2141" t="s">
        <v>810</v>
      </c>
      <c r="F45" s="2152" t="s">
        <v>609</v>
      </c>
      <c r="G45" s="1884" t="s">
        <v>609</v>
      </c>
      <c r="I45" s="2150" t="n">
        <f aca="false">D45</f>
        <v>1363.98</v>
      </c>
    </row>
    <row r="46" customFormat="false" ht="16.5" hidden="false" customHeight="false" outlineLevel="0" collapsed="false">
      <c r="A46" s="2107"/>
      <c r="B46" s="2104"/>
      <c r="C46" s="2107"/>
      <c r="D46" s="2107"/>
      <c r="E46" s="2107"/>
      <c r="F46" s="848"/>
      <c r="G46" s="848"/>
    </row>
    <row r="47" customFormat="false" ht="16.5" hidden="false" customHeight="false" outlineLevel="0" collapsed="false">
      <c r="A47" s="2095" t="s">
        <v>24</v>
      </c>
      <c r="B47" s="2096" t="s">
        <v>282</v>
      </c>
      <c r="C47" s="2097" t="s">
        <v>2001</v>
      </c>
      <c r="D47" s="2097" t="s">
        <v>2040</v>
      </c>
      <c r="E47" s="2097" t="s">
        <v>2002</v>
      </c>
      <c r="F47" s="2096" t="s">
        <v>2003</v>
      </c>
      <c r="G47" s="2099" t="s">
        <v>2004</v>
      </c>
      <c r="I47" s="2094" t="s">
        <v>2051</v>
      </c>
    </row>
    <row r="48" customFormat="false" ht="16.5" hidden="false" customHeight="false" outlineLevel="0" collapsed="false">
      <c r="A48" s="2151" t="n">
        <v>1</v>
      </c>
      <c r="B48" s="2140" t="s">
        <v>2052</v>
      </c>
      <c r="C48" s="2141" t="n">
        <v>258.42</v>
      </c>
      <c r="D48" s="2141" t="n">
        <v>258.42</v>
      </c>
      <c r="E48" s="2141" t="s">
        <v>1041</v>
      </c>
      <c r="F48" s="2152" t="s">
        <v>609</v>
      </c>
      <c r="G48" s="1884" t="s">
        <v>609</v>
      </c>
      <c r="I48" s="2094" t="n">
        <f aca="false">D48</f>
        <v>258.42</v>
      </c>
    </row>
    <row r="49" customFormat="false" ht="16.5" hidden="false" customHeight="false" outlineLevel="0" collapsed="false">
      <c r="A49" s="2107"/>
      <c r="B49" s="2104"/>
      <c r="C49" s="2107"/>
      <c r="D49" s="2107"/>
      <c r="E49" s="2107"/>
      <c r="F49" s="848"/>
      <c r="G49" s="848"/>
    </row>
    <row r="50" customFormat="false" ht="16.5" hidden="false" customHeight="false" outlineLevel="0" collapsed="false">
      <c r="A50" s="2095" t="s">
        <v>24</v>
      </c>
      <c r="B50" s="2096" t="s">
        <v>282</v>
      </c>
      <c r="C50" s="2097" t="s">
        <v>2001</v>
      </c>
      <c r="D50" s="2097" t="s">
        <v>2040</v>
      </c>
      <c r="E50" s="2097" t="s">
        <v>2002</v>
      </c>
      <c r="F50" s="2096" t="s">
        <v>2003</v>
      </c>
      <c r="G50" s="2099" t="s">
        <v>2004</v>
      </c>
    </row>
    <row r="51" customFormat="false" ht="16.5" hidden="false" customHeight="false" outlineLevel="0" collapsed="false">
      <c r="A51" s="2103" t="n">
        <v>1</v>
      </c>
      <c r="B51" s="2104" t="s">
        <v>1128</v>
      </c>
      <c r="C51" s="2138" t="n">
        <v>1764.67</v>
      </c>
      <c r="D51" s="2154" t="n">
        <f aca="false">SUM(C51:C87)</f>
        <v>25917.85</v>
      </c>
      <c r="E51" s="2107" t="s">
        <v>302</v>
      </c>
      <c r="F51" s="848"/>
      <c r="G51" s="2149" t="s">
        <v>609</v>
      </c>
      <c r="I51" s="2094" t="s">
        <v>2053</v>
      </c>
    </row>
    <row r="52" customFormat="false" ht="16.5" hidden="false" customHeight="false" outlineLevel="0" collapsed="false">
      <c r="A52" s="2103" t="n">
        <v>2</v>
      </c>
      <c r="B52" s="2104" t="s">
        <v>2054</v>
      </c>
      <c r="C52" s="2107" t="n">
        <v>335.28</v>
      </c>
      <c r="D52" s="2154"/>
      <c r="E52" s="2107" t="s">
        <v>302</v>
      </c>
      <c r="F52" s="848"/>
      <c r="G52" s="2149" t="s">
        <v>609</v>
      </c>
      <c r="I52" s="2150" t="n">
        <f aca="false">D51</f>
        <v>25917.85</v>
      </c>
    </row>
    <row r="53" customFormat="false" ht="16.5" hidden="false" customHeight="false" outlineLevel="0" collapsed="false">
      <c r="A53" s="2103" t="n">
        <v>3</v>
      </c>
      <c r="B53" s="2104" t="s">
        <v>2055</v>
      </c>
      <c r="C53" s="2107" t="n">
        <v>210.82</v>
      </c>
      <c r="D53" s="2154"/>
      <c r="E53" s="2107" t="s">
        <v>302</v>
      </c>
      <c r="F53" s="848"/>
      <c r="G53" s="2149" t="s">
        <v>609</v>
      </c>
    </row>
    <row r="54" customFormat="false" ht="16.5" hidden="false" customHeight="false" outlineLevel="0" collapsed="false">
      <c r="A54" s="2103" t="n">
        <v>4</v>
      </c>
      <c r="B54" s="2104" t="s">
        <v>1986</v>
      </c>
      <c r="C54" s="2138" t="n">
        <v>1099.35</v>
      </c>
      <c r="D54" s="2154"/>
      <c r="E54" s="2107" t="s">
        <v>302</v>
      </c>
      <c r="F54" s="848"/>
      <c r="G54" s="2149" t="s">
        <v>609</v>
      </c>
    </row>
    <row r="55" customFormat="false" ht="16.5" hidden="false" customHeight="false" outlineLevel="0" collapsed="false">
      <c r="A55" s="2103" t="n">
        <v>5</v>
      </c>
      <c r="B55" s="2104" t="s">
        <v>1988</v>
      </c>
      <c r="C55" s="2138" t="n">
        <v>1322.37</v>
      </c>
      <c r="D55" s="2154"/>
      <c r="E55" s="2107" t="s">
        <v>302</v>
      </c>
      <c r="F55" s="848"/>
      <c r="G55" s="2149" t="s">
        <v>609</v>
      </c>
    </row>
    <row r="56" customFormat="false" ht="16.5" hidden="false" customHeight="false" outlineLevel="0" collapsed="false">
      <c r="A56" s="2103" t="n">
        <v>6</v>
      </c>
      <c r="B56" s="2104" t="s">
        <v>2056</v>
      </c>
      <c r="C56" s="1853" t="n">
        <v>675.64</v>
      </c>
      <c r="D56" s="2154"/>
      <c r="E56" s="2107" t="s">
        <v>302</v>
      </c>
      <c r="F56" s="848"/>
      <c r="G56" s="2149" t="s">
        <v>609</v>
      </c>
    </row>
    <row r="57" customFormat="false" ht="16.5" hidden="false" customHeight="false" outlineLevel="0" collapsed="false">
      <c r="A57" s="2103" t="n">
        <v>7</v>
      </c>
      <c r="B57" s="2104" t="s">
        <v>2057</v>
      </c>
      <c r="C57" s="2147" t="n">
        <v>1634.49</v>
      </c>
      <c r="D57" s="2154"/>
      <c r="E57" s="2107" t="s">
        <v>302</v>
      </c>
      <c r="F57" s="848"/>
      <c r="G57" s="2149" t="s">
        <v>609</v>
      </c>
    </row>
    <row r="58" customFormat="false" ht="16.5" hidden="false" customHeight="false" outlineLevel="0" collapsed="false">
      <c r="A58" s="2103" t="n">
        <v>8</v>
      </c>
      <c r="B58" s="2104" t="s">
        <v>2058</v>
      </c>
      <c r="C58" s="2107" t="n">
        <v>532</v>
      </c>
      <c r="D58" s="2154"/>
      <c r="E58" s="2107" t="s">
        <v>302</v>
      </c>
      <c r="F58" s="848"/>
      <c r="G58" s="2149" t="s">
        <v>609</v>
      </c>
    </row>
    <row r="59" customFormat="false" ht="16.5" hidden="false" customHeight="false" outlineLevel="0" collapsed="false">
      <c r="A59" s="2103" t="n">
        <v>9</v>
      </c>
      <c r="B59" s="2104" t="s">
        <v>2059</v>
      </c>
      <c r="C59" s="2107" t="n">
        <v>198.12</v>
      </c>
      <c r="D59" s="2154"/>
      <c r="E59" s="2107" t="s">
        <v>302</v>
      </c>
      <c r="F59" s="848"/>
      <c r="G59" s="2149" t="s">
        <v>609</v>
      </c>
    </row>
    <row r="60" customFormat="false" ht="16.5" hidden="false" customHeight="false" outlineLevel="0" collapsed="false">
      <c r="A60" s="2103" t="n">
        <v>10</v>
      </c>
      <c r="B60" s="2104" t="s">
        <v>2060</v>
      </c>
      <c r="C60" s="2107" t="n">
        <v>145.41</v>
      </c>
      <c r="D60" s="2154"/>
      <c r="E60" s="2107" t="s">
        <v>302</v>
      </c>
      <c r="F60" s="848"/>
      <c r="G60" s="2149" t="s">
        <v>609</v>
      </c>
    </row>
    <row r="61" customFormat="false" ht="16.5" hidden="false" customHeight="false" outlineLevel="0" collapsed="false">
      <c r="A61" s="2103" t="n">
        <v>11</v>
      </c>
      <c r="B61" s="2104" t="s">
        <v>2061</v>
      </c>
      <c r="C61" s="2107" t="n">
        <v>233.68</v>
      </c>
      <c r="D61" s="2154"/>
      <c r="E61" s="2107" t="s">
        <v>302</v>
      </c>
      <c r="F61" s="848"/>
      <c r="G61" s="2149" t="s">
        <v>609</v>
      </c>
    </row>
    <row r="62" customFormat="false" ht="16.5" hidden="false" customHeight="false" outlineLevel="0" collapsed="false">
      <c r="A62" s="2103" t="n">
        <v>12</v>
      </c>
      <c r="B62" s="2104" t="s">
        <v>2062</v>
      </c>
      <c r="C62" s="2107" t="n">
        <v>105.41</v>
      </c>
      <c r="D62" s="2154"/>
      <c r="E62" s="2107" t="s">
        <v>302</v>
      </c>
      <c r="F62" s="848"/>
      <c r="G62" s="2149" t="s">
        <v>609</v>
      </c>
    </row>
    <row r="63" customFormat="false" ht="16.5" hidden="false" customHeight="false" outlineLevel="0" collapsed="false">
      <c r="A63" s="2103" t="n">
        <v>13</v>
      </c>
      <c r="B63" s="2104" t="s">
        <v>1245</v>
      </c>
      <c r="C63" s="2107" t="n">
        <v>396.2</v>
      </c>
      <c r="D63" s="2154"/>
      <c r="E63" s="2107" t="s">
        <v>302</v>
      </c>
      <c r="F63" s="848"/>
      <c r="G63" s="2149" t="s">
        <v>609</v>
      </c>
    </row>
    <row r="64" customFormat="false" ht="16.5" hidden="false" customHeight="false" outlineLevel="0" collapsed="false">
      <c r="A64" s="2103" t="n">
        <v>14</v>
      </c>
      <c r="B64" s="2104" t="s">
        <v>2063</v>
      </c>
      <c r="C64" s="2107" t="n">
        <v>142.88</v>
      </c>
      <c r="D64" s="2154"/>
      <c r="E64" s="2107" t="s">
        <v>302</v>
      </c>
      <c r="F64" s="848"/>
      <c r="G64" s="2149" t="s">
        <v>609</v>
      </c>
    </row>
    <row r="65" customFormat="false" ht="16.5" hidden="false" customHeight="false" outlineLevel="0" collapsed="false">
      <c r="A65" s="2103" t="n">
        <v>15</v>
      </c>
      <c r="B65" s="2104" t="s">
        <v>1256</v>
      </c>
      <c r="C65" s="2107" t="n">
        <v>841.38</v>
      </c>
      <c r="D65" s="2154"/>
      <c r="E65" s="2107" t="s">
        <v>302</v>
      </c>
      <c r="F65" s="848"/>
      <c r="G65" s="2149" t="s">
        <v>609</v>
      </c>
    </row>
    <row r="66" customFormat="false" ht="16.5" hidden="false" customHeight="false" outlineLevel="0" collapsed="false">
      <c r="A66" s="2103" t="n">
        <v>16</v>
      </c>
      <c r="B66" s="2104" t="s">
        <v>1261</v>
      </c>
      <c r="C66" s="2107" t="n">
        <v>417.19</v>
      </c>
      <c r="D66" s="2154"/>
      <c r="E66" s="2107" t="s">
        <v>302</v>
      </c>
      <c r="F66" s="848"/>
      <c r="G66" s="2149" t="s">
        <v>609</v>
      </c>
    </row>
    <row r="67" customFormat="false" ht="16.5" hidden="false" customHeight="false" outlineLevel="0" collapsed="false">
      <c r="A67" s="2103" t="n">
        <v>17</v>
      </c>
      <c r="B67" s="2104" t="s">
        <v>1266</v>
      </c>
      <c r="C67" s="2107" t="n">
        <v>417.19</v>
      </c>
      <c r="D67" s="2154"/>
      <c r="E67" s="2107" t="s">
        <v>302</v>
      </c>
      <c r="F67" s="848"/>
      <c r="G67" s="2149" t="s">
        <v>609</v>
      </c>
    </row>
    <row r="68" customFormat="false" ht="16.5" hidden="false" customHeight="false" outlineLevel="0" collapsed="false">
      <c r="A68" s="2103" t="n">
        <v>18</v>
      </c>
      <c r="B68" s="2104" t="s">
        <v>1271</v>
      </c>
      <c r="C68" s="2107" t="n">
        <v>536.58</v>
      </c>
      <c r="D68" s="2154"/>
      <c r="E68" s="2107" t="s">
        <v>302</v>
      </c>
      <c r="F68" s="848"/>
      <c r="G68" s="2149" t="s">
        <v>609</v>
      </c>
    </row>
    <row r="69" customFormat="false" ht="16.5" hidden="false" customHeight="false" outlineLevel="0" collapsed="false">
      <c r="A69" s="2103" t="n">
        <v>19</v>
      </c>
      <c r="B69" s="2104" t="s">
        <v>1276</v>
      </c>
      <c r="C69" s="2138" t="n">
        <v>1083.31</v>
      </c>
      <c r="D69" s="2154"/>
      <c r="E69" s="2107" t="s">
        <v>302</v>
      </c>
      <c r="F69" s="848"/>
      <c r="G69" s="2149" t="s">
        <v>609</v>
      </c>
    </row>
    <row r="70" customFormat="false" ht="16.5" hidden="false" customHeight="false" outlineLevel="0" collapsed="false">
      <c r="A70" s="2103" t="n">
        <v>20</v>
      </c>
      <c r="B70" s="2104" t="s">
        <v>1282</v>
      </c>
      <c r="C70" s="2147" t="n">
        <v>3835.4</v>
      </c>
      <c r="D70" s="2154"/>
      <c r="E70" s="2107" t="s">
        <v>302</v>
      </c>
      <c r="F70" s="848"/>
      <c r="G70" s="2149" t="s">
        <v>609</v>
      </c>
    </row>
    <row r="71" customFormat="false" ht="16.5" hidden="false" customHeight="false" outlineLevel="0" collapsed="false">
      <c r="A71" s="2103" t="n">
        <v>21</v>
      </c>
      <c r="B71" s="2104" t="s">
        <v>1287</v>
      </c>
      <c r="C71" s="2138" t="n">
        <v>1800.23</v>
      </c>
      <c r="D71" s="2154"/>
      <c r="E71" s="2107" t="s">
        <v>302</v>
      </c>
      <c r="F71" s="848"/>
      <c r="G71" s="2149" t="s">
        <v>609</v>
      </c>
    </row>
    <row r="72" customFormat="false" ht="16.5" hidden="false" customHeight="false" outlineLevel="0" collapsed="false">
      <c r="A72" s="2103" t="n">
        <v>22</v>
      </c>
      <c r="B72" s="2104" t="s">
        <v>2064</v>
      </c>
      <c r="C72" s="2107" t="n">
        <v>121.92</v>
      </c>
      <c r="D72" s="2154"/>
      <c r="E72" s="2107" t="s">
        <v>302</v>
      </c>
      <c r="F72" s="848"/>
      <c r="G72" s="2149" t="s">
        <v>609</v>
      </c>
    </row>
    <row r="73" customFormat="false" ht="16.5" hidden="false" customHeight="false" outlineLevel="0" collapsed="false">
      <c r="A73" s="2103" t="n">
        <v>23</v>
      </c>
      <c r="B73" s="2104" t="s">
        <v>2065</v>
      </c>
      <c r="C73" s="2107" t="n">
        <v>102.87</v>
      </c>
      <c r="D73" s="2154"/>
      <c r="E73" s="2107" t="s">
        <v>302</v>
      </c>
      <c r="F73" s="848"/>
      <c r="G73" s="2149" t="s">
        <v>609</v>
      </c>
    </row>
    <row r="74" customFormat="false" ht="16.5" hidden="false" customHeight="false" outlineLevel="0" collapsed="false">
      <c r="A74" s="2103" t="n">
        <v>24</v>
      </c>
      <c r="B74" s="2104" t="s">
        <v>1329</v>
      </c>
      <c r="C74" s="2107" t="n">
        <v>217.81</v>
      </c>
      <c r="D74" s="2154"/>
      <c r="E74" s="2107" t="s">
        <v>302</v>
      </c>
      <c r="F74" s="848"/>
      <c r="G74" s="2149" t="s">
        <v>609</v>
      </c>
    </row>
    <row r="75" customFormat="false" ht="16.5" hidden="false" customHeight="false" outlineLevel="0" collapsed="false">
      <c r="A75" s="2103" t="n">
        <v>25</v>
      </c>
      <c r="B75" s="2104" t="s">
        <v>2066</v>
      </c>
      <c r="C75" s="2107" t="n">
        <v>265.43</v>
      </c>
      <c r="D75" s="2154"/>
      <c r="E75" s="2107" t="s">
        <v>302</v>
      </c>
      <c r="F75" s="848"/>
      <c r="G75" s="2149" t="s">
        <v>609</v>
      </c>
    </row>
    <row r="76" customFormat="false" ht="16.5" hidden="false" customHeight="false" outlineLevel="0" collapsed="false">
      <c r="A76" s="2103" t="n">
        <v>26</v>
      </c>
      <c r="B76" s="2104" t="s">
        <v>2067</v>
      </c>
      <c r="C76" s="2107" t="n">
        <v>118.75</v>
      </c>
      <c r="D76" s="2154"/>
      <c r="E76" s="2107" t="s">
        <v>302</v>
      </c>
      <c r="F76" s="848"/>
      <c r="G76" s="2149" t="s">
        <v>609</v>
      </c>
    </row>
    <row r="77" customFormat="false" ht="16.5" hidden="false" customHeight="false" outlineLevel="0" collapsed="false">
      <c r="A77" s="2103" t="n">
        <v>27</v>
      </c>
      <c r="B77" s="2104" t="s">
        <v>2068</v>
      </c>
      <c r="C77" s="2107" t="n">
        <v>405.13</v>
      </c>
      <c r="D77" s="2154"/>
      <c r="E77" s="2107" t="s">
        <v>302</v>
      </c>
      <c r="F77" s="848"/>
      <c r="G77" s="2149" t="s">
        <v>609</v>
      </c>
    </row>
    <row r="78" customFormat="false" ht="16.5" hidden="false" customHeight="false" outlineLevel="0" collapsed="false">
      <c r="A78" s="2103" t="n">
        <v>28</v>
      </c>
      <c r="B78" s="2104" t="s">
        <v>1347</v>
      </c>
      <c r="C78" s="2147" t="n">
        <v>4029.71</v>
      </c>
      <c r="D78" s="2154"/>
      <c r="E78" s="2107" t="s">
        <v>302</v>
      </c>
      <c r="F78" s="848"/>
      <c r="G78" s="2149" t="s">
        <v>609</v>
      </c>
    </row>
    <row r="79" customFormat="false" ht="16.5" hidden="false" customHeight="false" outlineLevel="0" collapsed="false">
      <c r="A79" s="2103" t="n">
        <v>29</v>
      </c>
      <c r="B79" s="2104" t="s">
        <v>2069</v>
      </c>
      <c r="C79" s="2107" t="n">
        <v>177.17</v>
      </c>
      <c r="D79" s="2154"/>
      <c r="E79" s="2107" t="s">
        <v>302</v>
      </c>
      <c r="F79" s="848"/>
      <c r="G79" s="2149" t="s">
        <v>609</v>
      </c>
    </row>
    <row r="80" customFormat="false" ht="16.5" hidden="false" customHeight="false" outlineLevel="0" collapsed="false">
      <c r="A80" s="2103" t="n">
        <v>30</v>
      </c>
      <c r="B80" s="2104" t="s">
        <v>1396</v>
      </c>
      <c r="C80" s="2107" t="n">
        <v>218.44</v>
      </c>
      <c r="D80" s="2154"/>
      <c r="E80" s="2107" t="s">
        <v>302</v>
      </c>
      <c r="F80" s="848"/>
      <c r="G80" s="2149" t="s">
        <v>609</v>
      </c>
    </row>
    <row r="81" customFormat="false" ht="16.5" hidden="false" customHeight="false" outlineLevel="0" collapsed="false">
      <c r="A81" s="2103" t="n">
        <v>31</v>
      </c>
      <c r="B81" s="2104" t="s">
        <v>1401</v>
      </c>
      <c r="C81" s="2107" t="n">
        <v>286.39</v>
      </c>
      <c r="D81" s="2154"/>
      <c r="E81" s="2107" t="s">
        <v>302</v>
      </c>
      <c r="F81" s="848"/>
      <c r="G81" s="2149" t="s">
        <v>609</v>
      </c>
    </row>
    <row r="82" customFormat="false" ht="16.5" hidden="false" customHeight="false" outlineLevel="0" collapsed="false">
      <c r="A82" s="2103" t="n">
        <v>32</v>
      </c>
      <c r="B82" s="2104" t="s">
        <v>2070</v>
      </c>
      <c r="C82" s="2107" t="n">
        <v>299.72</v>
      </c>
      <c r="D82" s="2154"/>
      <c r="E82" s="2107" t="s">
        <v>302</v>
      </c>
      <c r="F82" s="848"/>
      <c r="G82" s="2149" t="s">
        <v>609</v>
      </c>
    </row>
    <row r="83" customFormat="false" ht="16.5" hidden="false" customHeight="false" outlineLevel="0" collapsed="false">
      <c r="A83" s="2103" t="n">
        <v>33</v>
      </c>
      <c r="B83" s="2104" t="s">
        <v>2071</v>
      </c>
      <c r="C83" s="2107" t="n">
        <v>688.34</v>
      </c>
      <c r="D83" s="2154"/>
      <c r="E83" s="2107" t="s">
        <v>302</v>
      </c>
      <c r="F83" s="848"/>
      <c r="G83" s="2149" t="s">
        <v>609</v>
      </c>
    </row>
    <row r="84" customFormat="false" ht="16.5" hidden="false" customHeight="false" outlineLevel="0" collapsed="false">
      <c r="A84" s="2103" t="n">
        <v>34</v>
      </c>
      <c r="B84" s="2104" t="s">
        <v>1420</v>
      </c>
      <c r="C84" s="2107" t="n">
        <v>316.23</v>
      </c>
      <c r="D84" s="2154"/>
      <c r="E84" s="2107" t="s">
        <v>302</v>
      </c>
      <c r="F84" s="848"/>
      <c r="G84" s="2149" t="s">
        <v>609</v>
      </c>
    </row>
    <row r="85" customFormat="false" ht="16.5" hidden="false" customHeight="false" outlineLevel="0" collapsed="false">
      <c r="A85" s="2103" t="n">
        <v>35</v>
      </c>
      <c r="B85" s="2104" t="s">
        <v>2072</v>
      </c>
      <c r="C85" s="2107" t="n">
        <v>142.24</v>
      </c>
      <c r="D85" s="2154"/>
      <c r="E85" s="2107" t="s">
        <v>302</v>
      </c>
      <c r="F85" s="848" t="s">
        <v>609</v>
      </c>
      <c r="G85" s="2149" t="s">
        <v>609</v>
      </c>
    </row>
    <row r="86" customFormat="false" ht="16.5" hidden="false" customHeight="false" outlineLevel="0" collapsed="false">
      <c r="A86" s="2103" t="n">
        <v>36</v>
      </c>
      <c r="B86" s="2156" t="s">
        <v>1112</v>
      </c>
      <c r="C86" s="2107" t="n">
        <v>582.93</v>
      </c>
      <c r="D86" s="2154"/>
      <c r="E86" s="2107" t="s">
        <v>302</v>
      </c>
      <c r="F86" s="848"/>
      <c r="G86" s="2149"/>
    </row>
    <row r="87" customFormat="false" ht="16.5" hidden="false" customHeight="false" outlineLevel="0" collapsed="false">
      <c r="A87" s="2151" t="n">
        <v>37</v>
      </c>
      <c r="B87" s="2157" t="s">
        <v>1104</v>
      </c>
      <c r="C87" s="2141" t="n">
        <v>217.17</v>
      </c>
      <c r="D87" s="2154"/>
      <c r="E87" s="2141" t="s">
        <v>302</v>
      </c>
      <c r="F87" s="2152"/>
      <c r="G87" s="1884"/>
    </row>
    <row r="88" customFormat="false" ht="16.5" hidden="false" customHeight="false" outlineLevel="0" collapsed="false">
      <c r="A88" s="2107"/>
      <c r="B88" s="2104"/>
      <c r="C88" s="2107"/>
      <c r="D88" s="2107"/>
      <c r="E88" s="2107"/>
      <c r="F88" s="848"/>
      <c r="G88" s="848"/>
    </row>
    <row r="89" customFormat="false" ht="16.5" hidden="false" customHeight="false" outlineLevel="0" collapsed="false">
      <c r="A89" s="2095" t="s">
        <v>24</v>
      </c>
      <c r="B89" s="2096" t="s">
        <v>282</v>
      </c>
      <c r="C89" s="2097" t="s">
        <v>2001</v>
      </c>
      <c r="D89" s="2097" t="s">
        <v>2040</v>
      </c>
      <c r="E89" s="2097" t="s">
        <v>2002</v>
      </c>
      <c r="F89" s="2096" t="s">
        <v>2003</v>
      </c>
      <c r="G89" s="2099" t="s">
        <v>2004</v>
      </c>
    </row>
    <row r="90" customFormat="false" ht="16.5" hidden="false" customHeight="false" outlineLevel="0" collapsed="false">
      <c r="A90" s="2103" t="n">
        <v>1</v>
      </c>
      <c r="B90" s="2104" t="s">
        <v>1415</v>
      </c>
      <c r="C90" s="2138" t="n">
        <v>894.08</v>
      </c>
      <c r="D90" s="2148" t="n">
        <f aca="false">SUM(C90:C97)</f>
        <v>16999.23</v>
      </c>
      <c r="E90" s="2107" t="s">
        <v>817</v>
      </c>
      <c r="F90" s="848"/>
      <c r="G90" s="2149" t="s">
        <v>609</v>
      </c>
    </row>
    <row r="91" customFormat="false" ht="16.5" hidden="false" customHeight="false" outlineLevel="0" collapsed="false">
      <c r="A91" s="2103" t="n">
        <v>2</v>
      </c>
      <c r="B91" s="2104" t="s">
        <v>886</v>
      </c>
      <c r="C91" s="2107" t="n">
        <v>328.3</v>
      </c>
      <c r="D91" s="2148"/>
      <c r="E91" s="2107" t="s">
        <v>817</v>
      </c>
      <c r="F91" s="848"/>
      <c r="G91" s="2149" t="s">
        <v>609</v>
      </c>
    </row>
    <row r="92" customFormat="false" ht="16.5" hidden="false" customHeight="false" outlineLevel="0" collapsed="false">
      <c r="A92" s="2103" t="n">
        <v>3</v>
      </c>
      <c r="B92" s="2104" t="s">
        <v>440</v>
      </c>
      <c r="C92" s="2107" t="n">
        <v>509.6</v>
      </c>
      <c r="D92" s="2148"/>
      <c r="E92" s="2107" t="s">
        <v>817</v>
      </c>
      <c r="F92" s="848"/>
      <c r="G92" s="2149" t="s">
        <v>609</v>
      </c>
    </row>
    <row r="93" customFormat="false" ht="16.5" hidden="false" customHeight="false" outlineLevel="0" collapsed="false">
      <c r="A93" s="2103" t="n">
        <v>4</v>
      </c>
      <c r="B93" s="2104" t="s">
        <v>1134</v>
      </c>
      <c r="C93" s="2107" t="n">
        <v>438.87</v>
      </c>
      <c r="D93" s="2148"/>
      <c r="E93" s="2107" t="s">
        <v>817</v>
      </c>
      <c r="F93" s="848"/>
      <c r="G93" s="2149" t="s">
        <v>609</v>
      </c>
      <c r="I93" s="2094" t="s">
        <v>2073</v>
      </c>
    </row>
    <row r="94" customFormat="false" ht="16.5" hidden="false" customHeight="false" outlineLevel="0" collapsed="false">
      <c r="A94" s="2103" t="n">
        <v>5</v>
      </c>
      <c r="B94" s="2104" t="s">
        <v>1990</v>
      </c>
      <c r="C94" s="2138" t="n">
        <v>1304.93</v>
      </c>
      <c r="D94" s="2148"/>
      <c r="E94" s="2107" t="s">
        <v>817</v>
      </c>
      <c r="F94" s="848"/>
      <c r="G94" s="2149" t="s">
        <v>609</v>
      </c>
      <c r="I94" s="2150" t="n">
        <f aca="false">D90</f>
        <v>16999.23</v>
      </c>
    </row>
    <row r="95" customFormat="false" ht="16.5" hidden="false" customHeight="false" outlineLevel="0" collapsed="false">
      <c r="A95" s="2103" t="n">
        <v>6</v>
      </c>
      <c r="B95" s="2104" t="s">
        <v>2074</v>
      </c>
      <c r="C95" s="2138" t="n">
        <v>1111.32</v>
      </c>
      <c r="D95" s="2148"/>
      <c r="E95" s="2107" t="s">
        <v>817</v>
      </c>
      <c r="F95" s="848"/>
      <c r="G95" s="2149" t="s">
        <v>609</v>
      </c>
    </row>
    <row r="96" customFormat="false" ht="16.5" hidden="false" customHeight="false" outlineLevel="0" collapsed="false">
      <c r="A96" s="2103" t="n">
        <v>7</v>
      </c>
      <c r="B96" s="2104" t="s">
        <v>1240</v>
      </c>
      <c r="C96" s="2138" t="n">
        <v>1040.13</v>
      </c>
      <c r="D96" s="2148"/>
      <c r="E96" s="2107" t="s">
        <v>817</v>
      </c>
      <c r="F96" s="848"/>
      <c r="G96" s="2149" t="s">
        <v>609</v>
      </c>
    </row>
    <row r="97" customFormat="false" ht="16.5" hidden="false" customHeight="false" outlineLevel="0" collapsed="false">
      <c r="A97" s="2151" t="n">
        <v>8</v>
      </c>
      <c r="B97" s="2140" t="s">
        <v>1323</v>
      </c>
      <c r="C97" s="2141" t="n">
        <v>11372</v>
      </c>
      <c r="D97" s="2148"/>
      <c r="E97" s="2141" t="s">
        <v>817</v>
      </c>
      <c r="F97" s="2152"/>
      <c r="G97" s="1884" t="s">
        <v>609</v>
      </c>
    </row>
    <row r="98" customFormat="false" ht="16.5" hidden="false" customHeight="false" outlineLevel="0" collapsed="false">
      <c r="A98" s="2103" t="n">
        <v>1</v>
      </c>
      <c r="B98" s="2104" t="s">
        <v>2075</v>
      </c>
      <c r="C98" s="2107" t="n">
        <v>342.9</v>
      </c>
      <c r="D98" s="2154" t="n">
        <f aca="false">SUM(C98:C113)</f>
        <v>13654.88</v>
      </c>
      <c r="E98" s="2107" t="s">
        <v>794</v>
      </c>
      <c r="F98" s="848"/>
      <c r="G98" s="2149" t="s">
        <v>609</v>
      </c>
    </row>
    <row r="99" customFormat="false" ht="16.5" hidden="false" customHeight="false" outlineLevel="0" collapsed="false">
      <c r="A99" s="2103" t="n">
        <v>2</v>
      </c>
      <c r="B99" s="2104" t="s">
        <v>2076</v>
      </c>
      <c r="C99" s="2107" t="n">
        <v>499.75</v>
      </c>
      <c r="D99" s="2154"/>
      <c r="E99" s="2107" t="s">
        <v>794</v>
      </c>
      <c r="F99" s="848"/>
      <c r="G99" s="2149" t="s">
        <v>609</v>
      </c>
    </row>
    <row r="100" customFormat="false" ht="16.5" hidden="false" customHeight="false" outlineLevel="0" collapsed="false">
      <c r="A100" s="2103" t="n">
        <v>3</v>
      </c>
      <c r="B100" s="2104" t="s">
        <v>1071</v>
      </c>
      <c r="C100" s="2147" t="n">
        <v>3818.5</v>
      </c>
      <c r="D100" s="2154"/>
      <c r="E100" s="2107" t="s">
        <v>794</v>
      </c>
      <c r="F100" s="848"/>
      <c r="G100" s="2149" t="s">
        <v>609</v>
      </c>
      <c r="I100" s="2094" t="s">
        <v>2077</v>
      </c>
    </row>
    <row r="101" customFormat="false" ht="16.5" hidden="false" customHeight="false" outlineLevel="0" collapsed="false">
      <c r="A101" s="2103" t="n">
        <v>4</v>
      </c>
      <c r="B101" s="2104" t="s">
        <v>2078</v>
      </c>
      <c r="C101" s="2107" t="n">
        <v>359.41</v>
      </c>
      <c r="D101" s="2154"/>
      <c r="E101" s="2107" t="s">
        <v>794</v>
      </c>
      <c r="F101" s="848"/>
      <c r="G101" s="2149" t="s">
        <v>609</v>
      </c>
      <c r="I101" s="2150" t="n">
        <f aca="false">D98</f>
        <v>13654.88</v>
      </c>
    </row>
    <row r="102" customFormat="false" ht="16.5" hidden="false" customHeight="false" outlineLevel="0" collapsed="false">
      <c r="A102" s="2103" t="n">
        <v>5</v>
      </c>
      <c r="B102" s="2104" t="s">
        <v>2079</v>
      </c>
      <c r="C102" s="2147" t="n">
        <v>1315.72</v>
      </c>
      <c r="D102" s="2154"/>
      <c r="E102" s="2107" t="s">
        <v>794</v>
      </c>
      <c r="F102" s="848"/>
      <c r="G102" s="2149" t="s">
        <v>609</v>
      </c>
    </row>
    <row r="103" customFormat="false" ht="16.5" hidden="false" customHeight="false" outlineLevel="0" collapsed="false">
      <c r="A103" s="2103" t="n">
        <v>6</v>
      </c>
      <c r="B103" s="2104" t="s">
        <v>2080</v>
      </c>
      <c r="C103" s="2107" t="n">
        <v>219.08</v>
      </c>
      <c r="D103" s="2154"/>
      <c r="E103" s="2107" t="s">
        <v>794</v>
      </c>
      <c r="F103" s="848"/>
      <c r="G103" s="2149" t="s">
        <v>609</v>
      </c>
    </row>
    <row r="104" customFormat="false" ht="16.5" hidden="false" customHeight="false" outlineLevel="0" collapsed="false">
      <c r="A104" s="2103" t="n">
        <v>7</v>
      </c>
      <c r="B104" s="2104" t="s">
        <v>1149</v>
      </c>
      <c r="C104" s="2138" t="n">
        <v>1285.2</v>
      </c>
      <c r="D104" s="2154"/>
      <c r="E104" s="2107" t="s">
        <v>794</v>
      </c>
      <c r="F104" s="848"/>
      <c r="G104" s="2149" t="s">
        <v>609</v>
      </c>
    </row>
    <row r="105" customFormat="false" ht="16.5" hidden="false" customHeight="false" outlineLevel="0" collapsed="false">
      <c r="A105" s="2103" t="n">
        <v>8</v>
      </c>
      <c r="B105" s="2104" t="s">
        <v>1186</v>
      </c>
      <c r="C105" s="2107" t="n">
        <v>618.6</v>
      </c>
      <c r="D105" s="2154"/>
      <c r="E105" s="2107" t="s">
        <v>794</v>
      </c>
      <c r="F105" s="848"/>
      <c r="G105" s="2149" t="s">
        <v>609</v>
      </c>
    </row>
    <row r="106" customFormat="false" ht="16.5" hidden="false" customHeight="false" outlineLevel="0" collapsed="false">
      <c r="A106" s="2103" t="n">
        <v>9</v>
      </c>
      <c r="B106" s="2104" t="s">
        <v>1191</v>
      </c>
      <c r="C106" s="2107" t="n">
        <v>393.6</v>
      </c>
      <c r="D106" s="2154"/>
      <c r="E106" s="2107" t="s">
        <v>794</v>
      </c>
      <c r="F106" s="848"/>
      <c r="G106" s="2149" t="s">
        <v>609</v>
      </c>
    </row>
    <row r="107" customFormat="false" ht="16.5" hidden="false" customHeight="false" outlineLevel="0" collapsed="false">
      <c r="A107" s="2103" t="n">
        <v>10</v>
      </c>
      <c r="B107" s="2104" t="s">
        <v>1195</v>
      </c>
      <c r="C107" s="2138" t="n">
        <v>1473.6</v>
      </c>
      <c r="D107" s="2154"/>
      <c r="E107" s="2107" t="s">
        <v>794</v>
      </c>
      <c r="F107" s="848"/>
      <c r="G107" s="2149" t="s">
        <v>609</v>
      </c>
    </row>
    <row r="108" customFormat="false" ht="16.5" hidden="false" customHeight="false" outlineLevel="0" collapsed="false">
      <c r="A108" s="2103" t="n">
        <v>11</v>
      </c>
      <c r="B108" s="2104" t="s">
        <v>2081</v>
      </c>
      <c r="C108" s="2107" t="n">
        <v>967.2</v>
      </c>
      <c r="D108" s="2154"/>
      <c r="E108" s="2107" t="s">
        <v>794</v>
      </c>
      <c r="F108" s="848"/>
      <c r="G108" s="2149" t="s">
        <v>609</v>
      </c>
    </row>
    <row r="109" customFormat="false" ht="16.5" hidden="false" customHeight="false" outlineLevel="0" collapsed="false">
      <c r="A109" s="2103" t="n">
        <v>12</v>
      </c>
      <c r="B109" s="2104" t="s">
        <v>1086</v>
      </c>
      <c r="C109" s="2107" t="n">
        <v>130.17</v>
      </c>
      <c r="D109" s="2154"/>
      <c r="E109" s="2107" t="s">
        <v>794</v>
      </c>
      <c r="F109" s="848"/>
      <c r="G109" s="2149" t="s">
        <v>609</v>
      </c>
    </row>
    <row r="110" customFormat="false" ht="16.5" hidden="false" customHeight="false" outlineLevel="0" collapsed="false">
      <c r="A110" s="2103" t="n">
        <v>13</v>
      </c>
      <c r="B110" s="2104" t="s">
        <v>1092</v>
      </c>
      <c r="C110" s="2107" t="n">
        <v>182.88</v>
      </c>
      <c r="D110" s="2154"/>
      <c r="E110" s="2107" t="s">
        <v>794</v>
      </c>
      <c r="F110" s="848"/>
      <c r="G110" s="2149" t="s">
        <v>609</v>
      </c>
    </row>
    <row r="111" customFormat="false" ht="16.5" hidden="false" customHeight="false" outlineLevel="0" collapsed="false">
      <c r="A111" s="2103" t="n">
        <v>14</v>
      </c>
      <c r="B111" s="2104" t="s">
        <v>1096</v>
      </c>
      <c r="C111" s="2107" t="n">
        <v>214.63</v>
      </c>
      <c r="D111" s="2154"/>
      <c r="E111" s="2107" t="s">
        <v>794</v>
      </c>
      <c r="F111" s="848"/>
      <c r="G111" s="2149" t="s">
        <v>609</v>
      </c>
    </row>
    <row r="112" customFormat="false" ht="16.5" hidden="false" customHeight="false" outlineLevel="0" collapsed="false">
      <c r="A112" s="2103" t="n">
        <v>15</v>
      </c>
      <c r="B112" s="2104" t="s">
        <v>2082</v>
      </c>
      <c r="C112" s="2107" t="n">
        <v>167.64</v>
      </c>
      <c r="D112" s="2154"/>
      <c r="E112" s="2107" t="s">
        <v>794</v>
      </c>
      <c r="F112" s="848" t="s">
        <v>609</v>
      </c>
      <c r="G112" s="2149" t="s">
        <v>609</v>
      </c>
    </row>
    <row r="113" customFormat="false" ht="16.5" hidden="false" customHeight="false" outlineLevel="0" collapsed="false">
      <c r="A113" s="2151" t="n">
        <v>16</v>
      </c>
      <c r="B113" s="2157" t="s">
        <v>1154</v>
      </c>
      <c r="C113" s="2158" t="n">
        <v>1666</v>
      </c>
      <c r="D113" s="2154"/>
      <c r="E113" s="2141" t="s">
        <v>794</v>
      </c>
      <c r="F113" s="2152"/>
      <c r="G113" s="1884"/>
    </row>
    <row r="114" customFormat="false" ht="16.5" hidden="false" customHeight="false" outlineLevel="0" collapsed="false">
      <c r="A114" s="2107"/>
      <c r="B114" s="2104"/>
      <c r="C114" s="2107"/>
      <c r="D114" s="2107"/>
      <c r="E114" s="2107"/>
      <c r="F114" s="848"/>
      <c r="G114" s="848"/>
    </row>
    <row r="115" customFormat="false" ht="16.5" hidden="false" customHeight="false" outlineLevel="0" collapsed="false">
      <c r="A115" s="2095" t="s">
        <v>24</v>
      </c>
      <c r="B115" s="2096" t="s">
        <v>282</v>
      </c>
      <c r="C115" s="2097" t="s">
        <v>2001</v>
      </c>
      <c r="D115" s="2097" t="s">
        <v>2040</v>
      </c>
      <c r="E115" s="2097" t="s">
        <v>2002</v>
      </c>
      <c r="F115" s="2096" t="s">
        <v>2003</v>
      </c>
      <c r="G115" s="2099" t="s">
        <v>2004</v>
      </c>
      <c r="I115" s="2094" t="s">
        <v>2083</v>
      </c>
    </row>
    <row r="116" customFormat="false" ht="16.5" hidden="false" customHeight="false" outlineLevel="0" collapsed="false">
      <c r="A116" s="2151" t="n">
        <v>1</v>
      </c>
      <c r="B116" s="2140" t="s">
        <v>1307</v>
      </c>
      <c r="C116" s="2148" t="n">
        <v>1036.32</v>
      </c>
      <c r="D116" s="2148" t="n">
        <f aca="false">C116</f>
        <v>1036.32</v>
      </c>
      <c r="E116" s="2141" t="s">
        <v>926</v>
      </c>
      <c r="F116" s="2152" t="s">
        <v>609</v>
      </c>
      <c r="G116" s="1884" t="s">
        <v>609</v>
      </c>
      <c r="I116" s="2150" t="n">
        <f aca="false">D116</f>
        <v>1036.32</v>
      </c>
    </row>
    <row r="117" customFormat="false" ht="16.5" hidden="false" customHeight="false" outlineLevel="0" collapsed="false">
      <c r="A117" s="2107"/>
      <c r="B117" s="2104"/>
      <c r="C117" s="2107"/>
      <c r="D117" s="2107"/>
      <c r="E117" s="2107"/>
      <c r="F117" s="848"/>
      <c r="G117" s="848"/>
    </row>
    <row r="118" customFormat="false" ht="16.5" hidden="false" customHeight="false" outlineLevel="0" collapsed="false">
      <c r="A118" s="2095" t="s">
        <v>24</v>
      </c>
      <c r="B118" s="2096" t="s">
        <v>282</v>
      </c>
      <c r="C118" s="2097" t="s">
        <v>2001</v>
      </c>
      <c r="D118" s="2097" t="s">
        <v>2040</v>
      </c>
      <c r="E118" s="2097" t="s">
        <v>2002</v>
      </c>
      <c r="F118" s="2096" t="s">
        <v>2003</v>
      </c>
      <c r="G118" s="2099" t="s">
        <v>2004</v>
      </c>
    </row>
    <row r="119" customFormat="false" ht="16.5" hidden="false" customHeight="false" outlineLevel="0" collapsed="false">
      <c r="A119" s="2153" t="n">
        <v>1</v>
      </c>
      <c r="B119" s="2140" t="s">
        <v>1312</v>
      </c>
      <c r="C119" s="2141" t="n">
        <v>529.59</v>
      </c>
      <c r="D119" s="2159" t="n">
        <f aca="false">C119</f>
        <v>529.59</v>
      </c>
      <c r="E119" s="2141" t="s">
        <v>1316</v>
      </c>
      <c r="F119" s="2152"/>
      <c r="G119" s="1884" t="s">
        <v>609</v>
      </c>
      <c r="I119" s="2094" t="s">
        <v>2084</v>
      </c>
      <c r="J119" s="2150" t="n">
        <f aca="false">D119</f>
        <v>529.59</v>
      </c>
    </row>
    <row r="120" customFormat="false" ht="16.5" hidden="false" customHeight="false" outlineLevel="0" collapsed="false">
      <c r="A120" s="2151" t="n">
        <v>1</v>
      </c>
      <c r="B120" s="2140" t="s">
        <v>2085</v>
      </c>
      <c r="C120" s="2148" t="n">
        <v>1102.36</v>
      </c>
      <c r="D120" s="2160" t="n">
        <f aca="false">C120</f>
        <v>1102.36</v>
      </c>
      <c r="E120" s="2141" t="s">
        <v>1616</v>
      </c>
      <c r="F120" s="2152" t="s">
        <v>609</v>
      </c>
      <c r="G120" s="1884" t="s">
        <v>609</v>
      </c>
      <c r="I120" s="2094" t="s">
        <v>2086</v>
      </c>
      <c r="J120" s="2150" t="n">
        <f aca="false">D120</f>
        <v>1102.36</v>
      </c>
    </row>
    <row r="121" customFormat="false" ht="16.5" hidden="false" customHeight="false" outlineLevel="0" collapsed="false">
      <c r="A121" s="2107"/>
      <c r="B121" s="2104"/>
      <c r="C121" s="2107"/>
      <c r="D121" s="2107"/>
      <c r="E121" s="2107"/>
      <c r="F121" s="848"/>
      <c r="G121" s="848"/>
    </row>
    <row r="122" customFormat="false" ht="16.5" hidden="false" customHeight="false" outlineLevel="0" collapsed="false">
      <c r="A122" s="2095" t="s">
        <v>24</v>
      </c>
      <c r="B122" s="2096" t="s">
        <v>282</v>
      </c>
      <c r="C122" s="2097" t="s">
        <v>2001</v>
      </c>
      <c r="D122" s="2097" t="s">
        <v>2040</v>
      </c>
      <c r="E122" s="2097" t="s">
        <v>2002</v>
      </c>
      <c r="F122" s="2096" t="s">
        <v>2003</v>
      </c>
      <c r="G122" s="2099" t="s">
        <v>2004</v>
      </c>
      <c r="I122" s="2094" t="s">
        <v>2087</v>
      </c>
    </row>
    <row r="123" customFormat="false" ht="16.5" hidden="false" customHeight="false" outlineLevel="0" collapsed="false">
      <c r="A123" s="2103" t="n">
        <v>1</v>
      </c>
      <c r="B123" s="2104" t="s">
        <v>1050</v>
      </c>
      <c r="C123" s="2138" t="n">
        <v>1078</v>
      </c>
      <c r="D123" s="2154" t="n">
        <f aca="false">SUM(C123:C124)</f>
        <v>1492.12</v>
      </c>
      <c r="E123" s="2107" t="s">
        <v>864</v>
      </c>
      <c r="F123" s="848"/>
      <c r="G123" s="2149" t="s">
        <v>609</v>
      </c>
      <c r="I123" s="2150" t="n">
        <f aca="false">D123</f>
        <v>1492.12</v>
      </c>
    </row>
    <row r="124" customFormat="false" ht="16.5" hidden="false" customHeight="false" outlineLevel="0" collapsed="false">
      <c r="A124" s="2151" t="n">
        <v>2</v>
      </c>
      <c r="B124" s="2140" t="s">
        <v>1391</v>
      </c>
      <c r="C124" s="2141" t="n">
        <v>414.12</v>
      </c>
      <c r="D124" s="2154"/>
      <c r="E124" s="2141" t="s">
        <v>864</v>
      </c>
      <c r="F124" s="2152" t="s">
        <v>609</v>
      </c>
      <c r="G124" s="1884" t="s">
        <v>609</v>
      </c>
    </row>
    <row r="125" customFormat="false" ht="16.5" hidden="false" customHeight="false" outlineLevel="0" collapsed="false">
      <c r="A125" s="2161"/>
      <c r="B125" s="2104"/>
      <c r="C125" s="2107"/>
      <c r="D125" s="2107"/>
      <c r="E125" s="2107"/>
      <c r="F125" s="848"/>
      <c r="G125" s="848"/>
    </row>
    <row r="126" customFormat="false" ht="16.5" hidden="false" customHeight="false" outlineLevel="0" collapsed="false">
      <c r="A126" s="2095" t="s">
        <v>24</v>
      </c>
      <c r="B126" s="2096" t="s">
        <v>282</v>
      </c>
      <c r="C126" s="2097" t="s">
        <v>2001</v>
      </c>
      <c r="D126" s="2097" t="s">
        <v>2040</v>
      </c>
      <c r="E126" s="2097" t="s">
        <v>2002</v>
      </c>
      <c r="F126" s="2096" t="s">
        <v>2003</v>
      </c>
      <c r="G126" s="2099" t="s">
        <v>2004</v>
      </c>
      <c r="I126" s="2094" t="s">
        <v>2088</v>
      </c>
    </row>
    <row r="127" customFormat="false" ht="16.5" hidden="false" customHeight="false" outlineLevel="0" collapsed="false">
      <c r="A127" s="2151" t="n">
        <v>1</v>
      </c>
      <c r="B127" s="2157" t="s">
        <v>2089</v>
      </c>
      <c r="C127" s="2148" t="n">
        <v>650.24</v>
      </c>
      <c r="D127" s="2148" t="n">
        <f aca="false">C127</f>
        <v>650.24</v>
      </c>
      <c r="E127" s="2141" t="s">
        <v>901</v>
      </c>
      <c r="F127" s="2152" t="s">
        <v>609</v>
      </c>
      <c r="G127" s="1884" t="s">
        <v>609</v>
      </c>
      <c r="I127" s="2150" t="n">
        <f aca="false">D127</f>
        <v>650.24</v>
      </c>
    </row>
    <row r="128" customFormat="false" ht="16.5" hidden="false" customHeight="false" outlineLevel="0" collapsed="false">
      <c r="A128" s="2161"/>
      <c r="B128" s="2104"/>
      <c r="C128" s="2107"/>
      <c r="D128" s="2107"/>
      <c r="E128" s="2107"/>
      <c r="F128" s="848"/>
      <c r="G128" s="848"/>
    </row>
    <row r="129" customFormat="false" ht="16.5" hidden="false" customHeight="false" outlineLevel="0" collapsed="false">
      <c r="A129" s="2161"/>
      <c r="B129" s="2104"/>
      <c r="C129" s="2107"/>
      <c r="D129" s="2107"/>
      <c r="E129" s="2107"/>
      <c r="F129" s="848"/>
      <c r="G129" s="848"/>
    </row>
    <row r="130" customFormat="false" ht="16.5" hidden="false" customHeight="false" outlineLevel="0" collapsed="false">
      <c r="A130" s="2161"/>
      <c r="B130" s="2104"/>
      <c r="C130" s="2107"/>
      <c r="D130" s="2107"/>
      <c r="E130" s="2107"/>
      <c r="F130" s="848"/>
      <c r="G130" s="848"/>
    </row>
    <row r="131" customFormat="false" ht="16.5" hidden="false" customHeight="false" outlineLevel="0" collapsed="false">
      <c r="A131" s="2161"/>
      <c r="B131" s="2104"/>
      <c r="C131" s="2107"/>
      <c r="D131" s="2107"/>
      <c r="E131" s="2107"/>
      <c r="F131" s="848"/>
      <c r="G131" s="848"/>
    </row>
    <row r="132" customFormat="false" ht="16.5" hidden="false" customHeight="false" outlineLevel="0" collapsed="false">
      <c r="A132" s="2161"/>
      <c r="B132" s="2104"/>
      <c r="C132" s="2107"/>
      <c r="D132" s="2107"/>
      <c r="E132" s="2107"/>
      <c r="F132" s="848"/>
      <c r="G132" s="848"/>
    </row>
    <row r="133" customFormat="false" ht="16.5" hidden="false" customHeight="false" outlineLevel="0" collapsed="false">
      <c r="A133" s="2161"/>
      <c r="B133" s="2104"/>
      <c r="C133" s="2107"/>
      <c r="D133" s="2107"/>
      <c r="E133" s="2107"/>
      <c r="F133" s="848"/>
      <c r="G133" s="848"/>
    </row>
    <row r="134" customFormat="false" ht="16.5" hidden="false" customHeight="false" outlineLevel="0" collapsed="false">
      <c r="A134" s="2161"/>
      <c r="B134" s="2104"/>
      <c r="C134" s="2107"/>
      <c r="D134" s="2107"/>
      <c r="E134" s="2107"/>
      <c r="F134" s="848"/>
      <c r="G134" s="848"/>
    </row>
  </sheetData>
  <mergeCells count="14">
    <mergeCell ref="C2:C3"/>
    <mergeCell ref="J5:J8"/>
    <mergeCell ref="M5:M8"/>
    <mergeCell ref="J9:J10"/>
    <mergeCell ref="M9:M10"/>
    <mergeCell ref="J11:J12"/>
    <mergeCell ref="M11:M12"/>
    <mergeCell ref="D18:D32"/>
    <mergeCell ref="D35:D37"/>
    <mergeCell ref="D38:D42"/>
    <mergeCell ref="D51:D87"/>
    <mergeCell ref="D90:D97"/>
    <mergeCell ref="D98:D113"/>
    <mergeCell ref="D123:D1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9"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AJ2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0" ySplit="4" topLeftCell="K10" activePane="bottomRight" state="frozen"/>
      <selection pane="topLeft" activeCell="A1" activeCellId="0" sqref="A1"/>
      <selection pane="topRight" activeCell="K1" activeCellId="0" sqref="K1"/>
      <selection pane="bottomLeft" activeCell="A10" activeCellId="0" sqref="A10"/>
      <selection pane="bottomRight" activeCell="S63" activeCellId="0" sqref="S63"/>
    </sheetView>
  </sheetViews>
  <sheetFormatPr defaultColWidth="14.25390625" defaultRowHeight="16.5" zeroHeight="false" outlineLevelRow="2" outlineLevelCol="1"/>
  <cols>
    <col collapsed="false" customWidth="true" hidden="false" outlineLevel="0" max="1" min="1" style="914" width="4.75"/>
    <col collapsed="false" customWidth="true" hidden="false" outlineLevel="0" max="2" min="2" style="914" width="14.37"/>
    <col collapsed="false" customWidth="true" hidden="false" outlineLevel="0" max="3" min="3" style="912" width="4.12"/>
    <col collapsed="false" customWidth="true" hidden="false" outlineLevel="0" max="4" min="4" style="913" width="31.38"/>
    <col collapsed="false" customWidth="true" hidden="true" outlineLevel="1" max="5" min="5" style="914" width="31.75"/>
    <col collapsed="false" customWidth="true" hidden="true" outlineLevel="1" max="6" min="6" style="915" width="42.25"/>
    <col collapsed="false" customWidth="true" hidden="true" outlineLevel="1" max="7" min="7" style="915" width="18.63"/>
    <col collapsed="false" customWidth="true" hidden="true" outlineLevel="1" max="8" min="8" style="915" width="11.25"/>
    <col collapsed="false" customWidth="true" hidden="true" outlineLevel="1" max="9" min="9" style="915" width="16"/>
    <col collapsed="false" customWidth="true" hidden="true" outlineLevel="1" max="10" min="10" style="914" width="17.88"/>
    <col collapsed="false" customWidth="true" hidden="false" outlineLevel="0" max="11" min="11" style="922" width="16.38"/>
    <col collapsed="false" customWidth="true" hidden="false" outlineLevel="1" max="12" min="12" style="2162" width="12"/>
    <col collapsed="false" customWidth="true" hidden="false" outlineLevel="0" max="13" min="13" style="912" width="11.5"/>
    <col collapsed="false" customWidth="true" hidden="false" outlineLevel="0" max="14" min="14" style="912" width="10.25"/>
    <col collapsed="false" customWidth="true" hidden="false" outlineLevel="0" max="15" min="15" style="2162" width="9.62"/>
    <col collapsed="false" customWidth="true" hidden="false" outlineLevel="0" max="16" min="16" style="917" width="9.62"/>
    <col collapsed="false" customWidth="true" hidden="false" outlineLevel="0" max="17" min="17" style="939" width="5.12"/>
    <col collapsed="false" customWidth="true" hidden="false" outlineLevel="0" max="18" min="18" style="912" width="9.62"/>
    <col collapsed="false" customWidth="true" hidden="false" outlineLevel="0" max="20" min="19" style="920" width="9.62"/>
    <col collapsed="false" customWidth="true" hidden="false" outlineLevel="1" max="22" min="21" style="925" width="14.12"/>
    <col collapsed="false" customWidth="true" hidden="false" outlineLevel="0" max="23" min="23" style="925" width="13.88"/>
    <col collapsed="false" customWidth="true" hidden="false" outlineLevel="0" max="24" min="24" style="925" width="11.12"/>
    <col collapsed="false" customWidth="true" hidden="false" outlineLevel="0" max="25" min="25" style="924" width="10.25"/>
    <col collapsed="false" customWidth="true" hidden="false" outlineLevel="0" max="26" min="26" style="925" width="10.62"/>
    <col collapsed="false" customWidth="true" hidden="false" outlineLevel="1" max="27" min="27" style="912" width="18.88"/>
    <col collapsed="false" customWidth="true" hidden="false" outlineLevel="0" max="28" min="28" style="914" width="14.37"/>
    <col collapsed="false" customWidth="true" hidden="false" outlineLevel="0" max="29" min="29" style="914" width="11.88"/>
    <col collapsed="false" customWidth="false" hidden="false" outlineLevel="0" max="30" min="30" style="914" width="14.25"/>
    <col collapsed="false" customWidth="true" hidden="false" outlineLevel="0" max="31" min="31" style="914" width="3.75"/>
    <col collapsed="false" customWidth="true" hidden="false" outlineLevel="0" max="33" min="32" style="914" width="14.37"/>
    <col collapsed="false" customWidth="true" hidden="false" outlineLevel="0" max="34" min="34" style="914" width="15.25"/>
    <col collapsed="false" customWidth="true" hidden="false" outlineLevel="0" max="35" min="35" style="914" width="24.25"/>
    <col collapsed="false" customWidth="true" hidden="false" outlineLevel="0" max="36" min="36" style="914" width="17.38"/>
    <col collapsed="false" customWidth="false" hidden="false" outlineLevel="0" max="16384" min="37" style="914" width="14.25"/>
  </cols>
  <sheetData>
    <row r="1" customFormat="false" ht="41.25" hidden="false" customHeight="true" outlineLevel="0" collapsed="false">
      <c r="A1" s="2163" t="s">
        <v>2090</v>
      </c>
      <c r="B1" s="2163"/>
      <c r="C1" s="2163"/>
      <c r="D1" s="2163"/>
      <c r="E1" s="2163"/>
      <c r="F1" s="2163"/>
      <c r="G1" s="2163"/>
      <c r="H1" s="2163"/>
      <c r="I1" s="2163"/>
      <c r="J1" s="2163"/>
      <c r="K1" s="2163"/>
      <c r="L1" s="2163"/>
      <c r="M1" s="2164"/>
      <c r="N1" s="2164"/>
      <c r="O1" s="2165"/>
      <c r="P1" s="15"/>
      <c r="Q1" s="2166"/>
      <c r="R1" s="2166"/>
      <c r="T1" s="2166"/>
      <c r="U1" s="2166"/>
      <c r="V1" s="2166"/>
      <c r="W1" s="2166"/>
      <c r="X1" s="2166"/>
      <c r="Y1" s="2167"/>
      <c r="Z1" s="2166"/>
      <c r="AA1" s="2168"/>
    </row>
    <row r="2" customFormat="false" ht="18.75" hidden="false" customHeight="true" outlineLevel="0" collapsed="false">
      <c r="A2" s="2166"/>
      <c r="B2" s="2166"/>
      <c r="C2" s="2166"/>
      <c r="D2" s="2166"/>
      <c r="E2" s="2166"/>
      <c r="F2" s="2166"/>
      <c r="G2" s="2166"/>
      <c r="H2" s="2166"/>
      <c r="I2" s="2166"/>
      <c r="J2" s="2166"/>
      <c r="K2" s="2169"/>
      <c r="L2" s="2170"/>
      <c r="M2" s="2166"/>
      <c r="N2" s="2166"/>
      <c r="O2" s="2170"/>
      <c r="P2" s="2166"/>
      <c r="Q2" s="2166"/>
      <c r="R2" s="2166"/>
      <c r="S2" s="2166"/>
      <c r="T2" s="2166"/>
      <c r="U2" s="2171"/>
      <c r="V2" s="2172" t="s">
        <v>2091</v>
      </c>
      <c r="W2" s="2172"/>
      <c r="X2" s="2172"/>
      <c r="Y2" s="2172"/>
      <c r="Z2" s="2173"/>
      <c r="AA2" s="2168"/>
    </row>
    <row r="3" customFormat="false" ht="21.75" hidden="false" customHeight="true" outlineLevel="0" collapsed="false">
      <c r="A3" s="2174"/>
      <c r="B3" s="2174"/>
      <c r="C3" s="2174"/>
      <c r="D3" s="2174"/>
      <c r="E3" s="2174"/>
      <c r="F3" s="2174"/>
      <c r="G3" s="2174"/>
      <c r="H3" s="2174"/>
      <c r="I3" s="2174"/>
      <c r="J3" s="2174"/>
      <c r="K3" s="2169"/>
      <c r="L3" s="2170"/>
      <c r="M3" s="2166"/>
      <c r="N3" s="2166"/>
      <c r="O3" s="2170"/>
      <c r="P3" s="2166"/>
      <c r="Q3" s="2166"/>
      <c r="R3" s="2166"/>
      <c r="S3" s="2166"/>
      <c r="T3" s="2166"/>
      <c r="U3" s="2175" t="s">
        <v>2092</v>
      </c>
      <c r="V3" s="2175"/>
      <c r="W3" s="2175"/>
      <c r="X3" s="2175"/>
      <c r="Y3" s="2175"/>
      <c r="Z3" s="2176"/>
      <c r="AA3" s="2177"/>
      <c r="AB3" s="921"/>
    </row>
    <row r="4" s="2168" customFormat="true" ht="35.25" hidden="false" customHeight="true" outlineLevel="0" collapsed="false">
      <c r="A4" s="2178" t="s">
        <v>2093</v>
      </c>
      <c r="B4" s="2178"/>
      <c r="C4" s="2179" t="s">
        <v>2006</v>
      </c>
      <c r="D4" s="2179" t="s">
        <v>1909</v>
      </c>
      <c r="E4" s="2180" t="s">
        <v>757</v>
      </c>
      <c r="F4" s="2180" t="s">
        <v>758</v>
      </c>
      <c r="G4" s="2180" t="s">
        <v>96</v>
      </c>
      <c r="H4" s="2180" t="s">
        <v>2094</v>
      </c>
      <c r="I4" s="2180" t="s">
        <v>2095</v>
      </c>
      <c r="J4" s="2180" t="s">
        <v>759</v>
      </c>
      <c r="K4" s="2179" t="s">
        <v>2002</v>
      </c>
      <c r="L4" s="2181" t="s">
        <v>1544</v>
      </c>
      <c r="M4" s="2179" t="str">
        <f aca="false">'DG-PV Organic'!G2</f>
        <v>Credit Worthiness</v>
      </c>
      <c r="N4" s="2179" t="s">
        <v>2096</v>
      </c>
      <c r="O4" s="2181" t="s">
        <v>2097</v>
      </c>
      <c r="P4" s="2182" t="s">
        <v>2098</v>
      </c>
      <c r="Q4" s="2179"/>
      <c r="R4" s="2179" t="s">
        <v>2099</v>
      </c>
      <c r="S4" s="2179" t="s">
        <v>2100</v>
      </c>
      <c r="T4" s="2179" t="s">
        <v>2101</v>
      </c>
      <c r="U4" s="2182" t="s">
        <v>2102</v>
      </c>
      <c r="V4" s="2182" t="s">
        <v>2103</v>
      </c>
      <c r="W4" s="2182" t="s">
        <v>2104</v>
      </c>
      <c r="X4" s="2182" t="s">
        <v>2105</v>
      </c>
      <c r="Y4" s="2183" t="s">
        <v>2106</v>
      </c>
      <c r="Z4" s="2183" t="s">
        <v>2107</v>
      </c>
      <c r="AA4" s="2184" t="s">
        <v>508</v>
      </c>
      <c r="AC4" s="914"/>
      <c r="AD4" s="914"/>
    </row>
    <row r="5" customFormat="false" ht="16.5" hidden="false" customHeight="true" outlineLevel="2" collapsed="false">
      <c r="A5" s="2185"/>
      <c r="B5" s="2186"/>
      <c r="C5" s="2187" t="n">
        <f aca="false">SUBTOTAL(103,$D$5:D5)</f>
        <v>1</v>
      </c>
      <c r="D5" s="2188" t="s">
        <v>2108</v>
      </c>
      <c r="E5" s="2189" t="s">
        <v>789</v>
      </c>
      <c r="F5" s="2190" t="s">
        <v>790</v>
      </c>
      <c r="G5" s="2191" t="s">
        <v>792</v>
      </c>
      <c r="H5" s="2191" t="s">
        <v>2109</v>
      </c>
      <c r="I5" s="2190" t="str">
        <f aca="false">+[8]국문법인현황!$I$15</f>
        <v>096301-04-103343</v>
      </c>
      <c r="J5" s="2192" t="s">
        <v>791</v>
      </c>
      <c r="K5" s="2193" t="s">
        <v>794</v>
      </c>
      <c r="L5" s="2194" t="n">
        <f aca="false">'DG-PV Organic'!K3</f>
        <v>425.22</v>
      </c>
      <c r="M5" s="2195" t="str">
        <f aca="false">'DG-PV Organic'!G3</f>
        <v>BB0</v>
      </c>
      <c r="N5" s="2195" t="s">
        <v>362</v>
      </c>
      <c r="O5" s="2196" t="n">
        <f aca="false">'DG-PV Organic'!O3</f>
        <v>319.2</v>
      </c>
      <c r="P5" s="2187" t="n">
        <f aca="false">'DG-PV Organic'!L3</f>
        <v>1405</v>
      </c>
      <c r="Q5" s="2197" t="n">
        <f aca="false">P5/365</f>
        <v>3.84931506849315</v>
      </c>
      <c r="R5" s="2198" t="n">
        <f aca="false">'DG-PV Organic'!H3</f>
        <v>0.0897</v>
      </c>
      <c r="S5" s="2199" t="n">
        <f aca="false">'DG-PV Organic'!Q3</f>
        <v>45816</v>
      </c>
      <c r="T5" s="2199" t="n">
        <f aca="false">+EDATE(S5,6)</f>
        <v>45999</v>
      </c>
      <c r="U5" s="2200" t="n">
        <f aca="false">'DG-PV Organic'!AJ3/1000*1.1</f>
        <v>70224</v>
      </c>
      <c r="V5" s="2201" t="n">
        <f aca="false">'DG-PV Organic'!AK3/1000*1.1</f>
        <v>105336</v>
      </c>
      <c r="W5" s="2201" t="n">
        <f aca="false">SUM(U5:V5)</f>
        <v>175560</v>
      </c>
      <c r="X5" s="2201" t="n">
        <f aca="false">W5/O5*1000</f>
        <v>550000</v>
      </c>
      <c r="Y5" s="2201" t="n">
        <f aca="false">'DG-PV Organic'!AL3/1000*1.1</f>
        <v>368676</v>
      </c>
      <c r="Z5" s="2202" t="n">
        <f aca="false">65000</f>
        <v>65000</v>
      </c>
      <c r="AA5" s="2203" t="n">
        <f aca="false">'DG-PV Organic'!AI3</f>
        <v>89376000</v>
      </c>
      <c r="AD5" s="1187" t="n">
        <f aca="false">+$AD$22*O5/1000=Y5</f>
        <v>0</v>
      </c>
      <c r="AE5" s="2204" t="b">
        <f aca="false">+$AE$22*O5=W5</f>
        <v>0</v>
      </c>
      <c r="AG5" s="914" t="n">
        <v>1.1</v>
      </c>
    </row>
    <row r="6" customFormat="false" ht="16.5" hidden="false" customHeight="false" outlineLevel="2" collapsed="false">
      <c r="A6" s="2205"/>
      <c r="B6" s="2186"/>
      <c r="C6" s="2206" t="n">
        <f aca="false">SUBTOTAL(103,$D$5:D6)</f>
        <v>2</v>
      </c>
      <c r="D6" s="2207" t="s">
        <v>2110</v>
      </c>
      <c r="E6" s="2208" t="s">
        <v>799</v>
      </c>
      <c r="F6" s="2209" t="s">
        <v>800</v>
      </c>
      <c r="G6" s="2191" t="s">
        <v>792</v>
      </c>
      <c r="H6" s="2191" t="s">
        <v>2109</v>
      </c>
      <c r="I6" s="2190" t="str">
        <f aca="false">+[8]국문법인현황!$I$15</f>
        <v>096301-04-103343</v>
      </c>
      <c r="J6" s="2210" t="s">
        <v>801</v>
      </c>
      <c r="K6" s="2211" t="s">
        <v>302</v>
      </c>
      <c r="L6" s="2212" t="n">
        <f aca="false">'DG-PV Organic'!K4</f>
        <v>768.88</v>
      </c>
      <c r="M6" s="2213" t="str">
        <f aca="false">'DG-PV Organic'!G4</f>
        <v>CCC0</v>
      </c>
      <c r="N6" s="2213" t="s">
        <v>362</v>
      </c>
      <c r="O6" s="2214" t="n">
        <f aca="false">'DG-PV Organic'!O4</f>
        <v>515.62</v>
      </c>
      <c r="P6" s="2206" t="n">
        <f aca="false">'DG-PV Organic'!L4</f>
        <v>1408</v>
      </c>
      <c r="Q6" s="2215" t="n">
        <f aca="false">P6/365</f>
        <v>3.85753424657534</v>
      </c>
      <c r="R6" s="2216" t="n">
        <f aca="false">'DG-PV Organic'!H4</f>
        <v>0.0891</v>
      </c>
      <c r="S6" s="2217" t="n">
        <f aca="false">'DG-PV Organic'!Q4</f>
        <v>45816</v>
      </c>
      <c r="T6" s="2217" t="n">
        <f aca="false">+EDATE(S6,6)</f>
        <v>45999</v>
      </c>
      <c r="U6" s="2200" t="n">
        <f aca="false">'DG-PV Organic'!AJ4/1000*1.1</f>
        <v>113436.4</v>
      </c>
      <c r="V6" s="2201" t="n">
        <f aca="false">'DG-PV Organic'!AK4/1000*1.1</f>
        <v>170154.6</v>
      </c>
      <c r="W6" s="2201" t="n">
        <f aca="false">SUM(U6:V6)</f>
        <v>283591</v>
      </c>
      <c r="X6" s="2201" t="n">
        <f aca="false">W6/O6*1000</f>
        <v>550000</v>
      </c>
      <c r="Y6" s="2201" t="n">
        <f aca="false">'DG-PV Organic'!AL4/1000*1.1</f>
        <v>595541.1</v>
      </c>
      <c r="Z6" s="2202" t="n">
        <f aca="false">65000</f>
        <v>65000</v>
      </c>
      <c r="AA6" s="2203" t="n">
        <f aca="false">'DG-PV Organic'!AI4</f>
        <v>103124000</v>
      </c>
      <c r="AC6" s="2201" t="n">
        <v>175560</v>
      </c>
      <c r="AD6" s="1187" t="n">
        <f aca="false">+$AD$22*O6/1000=Y6</f>
        <v>0</v>
      </c>
      <c r="AE6" s="2204" t="b">
        <f aca="false">+$AE$22*O6=W6</f>
        <v>0</v>
      </c>
      <c r="AF6" s="2218" t="n">
        <v>319.2</v>
      </c>
    </row>
    <row r="7" customFormat="false" ht="16.5" hidden="false" customHeight="false" outlineLevel="2" collapsed="false">
      <c r="A7" s="2205"/>
      <c r="B7" s="2219"/>
      <c r="C7" s="2206" t="n">
        <f aca="false">SUBTOTAL(103,$D$5:D7)</f>
        <v>3</v>
      </c>
      <c r="D7" s="2207" t="s">
        <v>2111</v>
      </c>
      <c r="E7" s="2208" t="s">
        <v>806</v>
      </c>
      <c r="F7" s="2220" t="s">
        <v>807</v>
      </c>
      <c r="G7" s="2191" t="s">
        <v>792</v>
      </c>
      <c r="H7" s="2191" t="s">
        <v>2109</v>
      </c>
      <c r="I7" s="2190" t="str">
        <f aca="false">+[8]국문법인현황!$I$15</f>
        <v>096301-04-103343</v>
      </c>
      <c r="J7" s="2210" t="s">
        <v>808</v>
      </c>
      <c r="K7" s="2211" t="s">
        <v>810</v>
      </c>
      <c r="L7" s="2212" t="n">
        <f aca="false">'DG-PV Organic'!K5</f>
        <v>220.62</v>
      </c>
      <c r="M7" s="2213" t="str">
        <f aca="false">'DG-PV Organic'!G5</f>
        <v>B+</v>
      </c>
      <c r="N7" s="2213" t="s">
        <v>362</v>
      </c>
      <c r="O7" s="2214" t="n">
        <f aca="false">'DG-PV Organic'!O5</f>
        <v>148.59</v>
      </c>
      <c r="P7" s="2206" t="n">
        <f aca="false">'DG-PV Organic'!L5</f>
        <v>1448</v>
      </c>
      <c r="Q7" s="2215" t="n">
        <f aca="false">P7/365</f>
        <v>3.96712328767123</v>
      </c>
      <c r="R7" s="2216" t="n">
        <f aca="false">'DG-PV Organic'!H5</f>
        <v>0.0963</v>
      </c>
      <c r="S7" s="2217" t="n">
        <f aca="false">'DG-PV Organic'!Q5</f>
        <v>45816</v>
      </c>
      <c r="T7" s="2217" t="n">
        <f aca="false">+EDATE(S7,6)</f>
        <v>45999</v>
      </c>
      <c r="U7" s="2200" t="n">
        <f aca="false">'DG-PV Organic'!AJ5/1000*1.1</f>
        <v>32689.8</v>
      </c>
      <c r="V7" s="2201" t="n">
        <f aca="false">'DG-PV Organic'!AK5/1000*1.1</f>
        <v>49034.7</v>
      </c>
      <c r="W7" s="2201" t="n">
        <f aca="false">SUM(U7:V7)</f>
        <v>81724.5</v>
      </c>
      <c r="X7" s="2201" t="n">
        <f aca="false">W7/O7*1000</f>
        <v>550000</v>
      </c>
      <c r="Y7" s="2201" t="n">
        <f aca="false">'DG-PV Organic'!AL5/1000*1.1</f>
        <v>171621.45</v>
      </c>
      <c r="Z7" s="2202" t="n">
        <f aca="false">65000</f>
        <v>65000</v>
      </c>
      <c r="AA7" s="2203" t="n">
        <f aca="false">'DG-PV Organic'!AI5</f>
        <v>29718000</v>
      </c>
      <c r="AC7" s="2201" t="n">
        <v>300003</v>
      </c>
      <c r="AD7" s="1187" t="n">
        <f aca="false">+$AD$22*O7/1000=Y7</f>
        <v>0</v>
      </c>
      <c r="AE7" s="2204" t="b">
        <f aca="false">+$AE$22*O7=W7</f>
        <v>0</v>
      </c>
      <c r="AF7" s="2221" t="n">
        <v>545.46</v>
      </c>
    </row>
    <row r="8" customFormat="false" ht="16.5" hidden="false" customHeight="false" outlineLevel="2" collapsed="false">
      <c r="A8" s="2205"/>
      <c r="B8" s="2222" t="str">
        <f aca="false">"DG Batch 1 
- 14PJTs"</f>
        <v>DG Batch 1 
- 14PJTs</v>
      </c>
      <c r="C8" s="2187" t="n">
        <f aca="false">SUBTOTAL(103,$D$5:D8)</f>
        <v>4</v>
      </c>
      <c r="D8" s="2207" t="s">
        <v>2112</v>
      </c>
      <c r="E8" s="2208" t="s">
        <v>822</v>
      </c>
      <c r="F8" s="2223" t="s">
        <v>823</v>
      </c>
      <c r="G8" s="2191" t="s">
        <v>792</v>
      </c>
      <c r="H8" s="2191" t="s">
        <v>2109</v>
      </c>
      <c r="I8" s="2190" t="str">
        <f aca="false">+[8]국문법인현황!$I$15</f>
        <v>096301-04-103343</v>
      </c>
      <c r="J8" s="2210" t="s">
        <v>824</v>
      </c>
      <c r="K8" s="2211" t="s">
        <v>302</v>
      </c>
      <c r="L8" s="2212" t="n">
        <f aca="false">'DG-PV Organic'!K7</f>
        <v>200.252</v>
      </c>
      <c r="M8" s="2213" t="str">
        <f aca="false">'DG-PV Organic'!G7</f>
        <v>CCC-</v>
      </c>
      <c r="N8" s="2213" t="s">
        <v>362</v>
      </c>
      <c r="O8" s="2214" t="n">
        <f aca="false">'DG-PV Organic'!O7</f>
        <v>144.15</v>
      </c>
      <c r="P8" s="2206" t="n">
        <f aca="false">'DG-PV Organic'!L7</f>
        <v>1394</v>
      </c>
      <c r="Q8" s="2215" t="n">
        <f aca="false">P8/365</f>
        <v>3.81917808219178</v>
      </c>
      <c r="R8" s="2216" t="n">
        <f aca="false">'DG-PV Organic'!H7</f>
        <v>0.0914</v>
      </c>
      <c r="S8" s="2217" t="n">
        <f aca="false">'DG-PV Organic'!Q7</f>
        <v>45848</v>
      </c>
      <c r="T8" s="2217" t="n">
        <f aca="false">+EDATE(S8,6)</f>
        <v>46032</v>
      </c>
      <c r="U8" s="2200" t="n">
        <f aca="false">'DG-PV Organic'!AJ7/1000*1.1</f>
        <v>31713</v>
      </c>
      <c r="V8" s="2201" t="n">
        <f aca="false">'DG-PV Organic'!AK7/1000*1.1</f>
        <v>47569.5</v>
      </c>
      <c r="W8" s="2201" t="n">
        <f aca="false">SUM(U8:V8)</f>
        <v>79282.5</v>
      </c>
      <c r="X8" s="2201" t="n">
        <f aca="false">W8/O8*1000</f>
        <v>550000</v>
      </c>
      <c r="Y8" s="2201" t="n">
        <f aca="false">'DG-PV Organic'!AL7/1000*1.1</f>
        <v>166493.25</v>
      </c>
      <c r="Z8" s="2202" t="n">
        <f aca="false">65000</f>
        <v>65000</v>
      </c>
      <c r="AA8" s="2203" t="n">
        <f aca="false">'DG-PV Organic'!AI7</f>
        <v>28830000</v>
      </c>
      <c r="AC8" s="2201" t="n">
        <v>83121.5</v>
      </c>
      <c r="AD8" s="1187" t="n">
        <f aca="false">+$AD$22*O8/1000=Y8</f>
        <v>0</v>
      </c>
      <c r="AE8" s="2204" t="b">
        <f aca="false">+$AE$22*O8=W8</f>
        <v>0</v>
      </c>
      <c r="AF8" s="2221" t="n">
        <v>151.13</v>
      </c>
    </row>
    <row r="9" customFormat="false" ht="16.5" hidden="false" customHeight="false" outlineLevel="2" collapsed="false">
      <c r="A9" s="2224" t="s">
        <v>2113</v>
      </c>
      <c r="B9" s="2222"/>
      <c r="C9" s="2206" t="n">
        <f aca="false">SUBTOTAL(103,$D$5:D9)</f>
        <v>5</v>
      </c>
      <c r="D9" s="2225" t="s">
        <v>2114</v>
      </c>
      <c r="E9" s="2208" t="s">
        <v>830</v>
      </c>
      <c r="F9" s="2223" t="s">
        <v>831</v>
      </c>
      <c r="G9" s="2191" t="s">
        <v>792</v>
      </c>
      <c r="H9" s="2191" t="s">
        <v>2109</v>
      </c>
      <c r="I9" s="2190" t="str">
        <f aca="false">+[8]국문법인현황!$I$15</f>
        <v>096301-04-103343</v>
      </c>
      <c r="J9" s="2210" t="s">
        <v>832</v>
      </c>
      <c r="K9" s="2211" t="s">
        <v>302</v>
      </c>
      <c r="L9" s="2212" t="n">
        <f aca="false">'DG-PV Organic'!K8</f>
        <v>154.46</v>
      </c>
      <c r="M9" s="2213" t="str">
        <f aca="false">'DG-PV Organic'!G8</f>
        <v>CC+</v>
      </c>
      <c r="N9" s="2213" t="s">
        <v>362</v>
      </c>
      <c r="O9" s="2214" t="n">
        <f aca="false">'DG-PV Organic'!O8</f>
        <v>138.43</v>
      </c>
      <c r="P9" s="2206" t="n">
        <f aca="false">'DG-PV Organic'!L8</f>
        <v>1434</v>
      </c>
      <c r="Q9" s="2215" t="n">
        <f aca="false">P9/365</f>
        <v>3.92876712328767</v>
      </c>
      <c r="R9" s="2216" t="n">
        <f aca="false">'DG-PV Organic'!H8</f>
        <v>0.0917</v>
      </c>
      <c r="S9" s="2217" t="n">
        <f aca="false">'DG-PV Organic'!Q8</f>
        <v>45848</v>
      </c>
      <c r="T9" s="2217" t="n">
        <f aca="false">+EDATE(S9,6)</f>
        <v>46032</v>
      </c>
      <c r="U9" s="2200" t="n">
        <f aca="false">'DG-PV Organic'!AJ8/1000*1.1</f>
        <v>30454.6</v>
      </c>
      <c r="V9" s="2201" t="n">
        <f aca="false">'DG-PV Organic'!AK8/1000*1.1</f>
        <v>45681.9</v>
      </c>
      <c r="W9" s="2201" t="n">
        <f aca="false">SUM(U9:V9)</f>
        <v>76136.5</v>
      </c>
      <c r="X9" s="2201" t="n">
        <f aca="false">W9/O9*1000</f>
        <v>550000</v>
      </c>
      <c r="Y9" s="2201" t="n">
        <f aca="false">'DG-PV Organic'!AL8/1000*1.1</f>
        <v>159886.65</v>
      </c>
      <c r="Z9" s="2202" t="n">
        <f aca="false">65000</f>
        <v>65000</v>
      </c>
      <c r="AA9" s="2203" t="n">
        <f aca="false">'DG-PV Organic'!AI8</f>
        <v>27686000</v>
      </c>
      <c r="AB9" s="2226" t="n">
        <f aca="false">478571818*1.1</f>
        <v>526428999.8</v>
      </c>
      <c r="AC9" s="2201" t="n">
        <v>79282.5</v>
      </c>
      <c r="AD9" s="1187" t="n">
        <f aca="false">+$AD$22*O9/1000=Y9</f>
        <v>0</v>
      </c>
      <c r="AE9" s="2204" t="b">
        <f aca="false">+$AE$22*O9=W9</f>
        <v>0</v>
      </c>
      <c r="AF9" s="2221" t="n">
        <v>144.15</v>
      </c>
    </row>
    <row r="10" customFormat="false" ht="16.5" hidden="false" customHeight="false" outlineLevel="2" collapsed="false">
      <c r="A10" s="2205"/>
      <c r="B10" s="2186"/>
      <c r="C10" s="2206" t="n">
        <v>6</v>
      </c>
      <c r="D10" s="2207" t="s">
        <v>2039</v>
      </c>
      <c r="E10" s="2208" t="s">
        <v>814</v>
      </c>
      <c r="F10" s="2227" t="s">
        <v>815</v>
      </c>
      <c r="G10" s="2191" t="s">
        <v>792</v>
      </c>
      <c r="H10" s="2191" t="s">
        <v>2109</v>
      </c>
      <c r="I10" s="2190" t="str">
        <f aca="false">+[8]국문법인현황!$I$15</f>
        <v>096301-04-103343</v>
      </c>
      <c r="J10" s="2210" t="s">
        <v>816</v>
      </c>
      <c r="K10" s="2211" t="s">
        <v>817</v>
      </c>
      <c r="L10" s="2212" t="n">
        <f aca="false">'DG-PV Organic'!K6</f>
        <v>156.56</v>
      </c>
      <c r="M10" s="2213" t="str">
        <f aca="false">'DG-PV Organic'!G6</f>
        <v>B+</v>
      </c>
      <c r="N10" s="2213" t="s">
        <v>362</v>
      </c>
      <c r="O10" s="2214" t="n">
        <f aca="false">'DG-PV Organic'!O6</f>
        <v>110.08</v>
      </c>
      <c r="P10" s="2206" t="n">
        <f aca="false">'DG-PV Organic'!L6</f>
        <v>1431</v>
      </c>
      <c r="Q10" s="2215" t="n">
        <f aca="false">P10/365</f>
        <v>3.92054794520548</v>
      </c>
      <c r="R10" s="2216" t="n">
        <f aca="false">'DG-PV Organic'!H6</f>
        <v>0.0865</v>
      </c>
      <c r="S10" s="2217" t="n">
        <f aca="false">'DG-PV Organic'!Q6</f>
        <v>45848</v>
      </c>
      <c r="T10" s="2217" t="n">
        <f aca="false">+EDATE(S10,6)</f>
        <v>46032</v>
      </c>
      <c r="U10" s="2200" t="n">
        <f aca="false">'DG-PV Organic'!AJ6/1000*1.1</f>
        <v>24217.6</v>
      </c>
      <c r="V10" s="2201" t="n">
        <f aca="false">'DG-PV Organic'!AK6/1000*1.1</f>
        <v>36326.4</v>
      </c>
      <c r="W10" s="2201" t="n">
        <f aca="false">SUM(U10:V10)</f>
        <v>60544</v>
      </c>
      <c r="X10" s="2201" t="n">
        <f aca="false">W10/O10*1000</f>
        <v>550000</v>
      </c>
      <c r="Y10" s="2201" t="n">
        <f aca="false">'DG-PV Organic'!AL6/1000*1.1</f>
        <v>127142.4</v>
      </c>
      <c r="Z10" s="2202" t="n">
        <f aca="false">65000</f>
        <v>65000</v>
      </c>
      <c r="AA10" s="2203" t="n">
        <f aca="false">'DG-PV Organic'!AI6</f>
        <v>22016000</v>
      </c>
      <c r="AC10" s="2201" t="n">
        <v>76136.5</v>
      </c>
      <c r="AD10" s="1187" t="n">
        <f aca="false">+$AD$22*O10/1000=Y10</f>
        <v>0</v>
      </c>
      <c r="AE10" s="2204" t="b">
        <f aca="false">+$AE$22*O10=W10</f>
        <v>0</v>
      </c>
      <c r="AF10" s="2221" t="n">
        <v>138.43</v>
      </c>
    </row>
    <row r="11" customFormat="false" ht="16.5" hidden="false" customHeight="true" outlineLevel="2" collapsed="false">
      <c r="A11" s="2224" t="n">
        <v>2025</v>
      </c>
      <c r="B11" s="2228" t="n">
        <f aca="false">SUM(O5:O15,O19)</f>
        <v>6197.12</v>
      </c>
      <c r="C11" s="2206" t="n">
        <v>7</v>
      </c>
      <c r="D11" s="2229" t="s">
        <v>835</v>
      </c>
      <c r="E11" s="2208" t="s">
        <v>836</v>
      </c>
      <c r="F11" s="2220" t="s">
        <v>2115</v>
      </c>
      <c r="G11" s="2191" t="s">
        <v>792</v>
      </c>
      <c r="H11" s="2191" t="s">
        <v>2109</v>
      </c>
      <c r="I11" s="2190" t="str">
        <f aca="false">+[8]국문법인현황!$I$15</f>
        <v>096301-04-103343</v>
      </c>
      <c r="J11" s="2210" t="s">
        <v>838</v>
      </c>
      <c r="K11" s="2230" t="s">
        <v>300</v>
      </c>
      <c r="L11" s="2212" t="n">
        <f aca="false">'DG-PV Organic'!K9</f>
        <v>1083.386</v>
      </c>
      <c r="M11" s="2213" t="s">
        <v>840</v>
      </c>
      <c r="N11" s="2213" t="s">
        <v>362</v>
      </c>
      <c r="O11" s="2214" t="n">
        <f aca="false">'DG-PV Organic'!O9</f>
        <v>1041</v>
      </c>
      <c r="P11" s="2206" t="n">
        <f aca="false">'DG-PV Organic'!L9</f>
        <v>1427</v>
      </c>
      <c r="Q11" s="2215" t="n">
        <f aca="false">P11/365</f>
        <v>3.90958904109589</v>
      </c>
      <c r="R11" s="2216" t="n">
        <f aca="false">'DG-PV Organic'!H9</f>
        <v>0.1033</v>
      </c>
      <c r="S11" s="2217" t="n">
        <f aca="false">'DG-PV Organic'!Q9</f>
        <v>45848</v>
      </c>
      <c r="T11" s="2217" t="n">
        <f aca="false">+EDATE(S11,6)</f>
        <v>46032</v>
      </c>
      <c r="U11" s="2231" t="n">
        <f aca="false">'DG-PV Organic'!AJ9/1000*1.1</f>
        <v>57255</v>
      </c>
      <c r="V11" s="2231" t="n">
        <f aca="false">'DG-PV Organic'!AK9/1000*1.1</f>
        <v>343530</v>
      </c>
      <c r="W11" s="2231" t="n">
        <f aca="false">SUM(U11:V12)</f>
        <v>400785</v>
      </c>
      <c r="X11" s="2231" t="n">
        <f aca="false">W11/O11*1000</f>
        <v>385000</v>
      </c>
      <c r="Y11" s="2231" t="n">
        <f aca="false">'DG-PV Organic'!AL9/1000*1.1</f>
        <v>1202355</v>
      </c>
      <c r="Z11" s="2232" t="n">
        <f aca="false">65000</f>
        <v>65000</v>
      </c>
      <c r="AA11" s="2233" t="n">
        <f aca="false">'DG-PV Organic'!AI9</f>
        <v>182175000</v>
      </c>
      <c r="AC11" s="2201" t="n">
        <v>60544</v>
      </c>
      <c r="AD11" s="1187" t="n">
        <f aca="false">+$AD$22*O11/1000=Y11</f>
        <v>0</v>
      </c>
      <c r="AE11" s="2204" t="b">
        <f aca="false">+$AE$21*O11=W11</f>
        <v>0</v>
      </c>
      <c r="AF11" s="2221" t="n">
        <v>110.08</v>
      </c>
    </row>
    <row r="12" customFormat="false" ht="16.5" hidden="false" customHeight="false" outlineLevel="2" collapsed="false">
      <c r="A12" s="2205"/>
      <c r="B12" s="2234"/>
      <c r="C12" s="2206"/>
      <c r="D12" s="2229"/>
      <c r="E12" s="2208" t="s">
        <v>844</v>
      </c>
      <c r="F12" s="2220" t="s">
        <v>2116</v>
      </c>
      <c r="G12" s="2209" t="str">
        <f aca="false">+'DG-PV Organic'!F10</f>
        <v>Bolt Taeyanggwang 2HO</v>
      </c>
      <c r="H12" s="2235" t="s">
        <v>2109</v>
      </c>
      <c r="I12" s="2209" t="str">
        <f aca="false">+[8]국문법인현황!$D$15</f>
        <v>096301-04-103327</v>
      </c>
      <c r="J12" s="2210" t="s">
        <v>846</v>
      </c>
      <c r="K12" s="2230"/>
      <c r="L12" s="2212" t="n">
        <f aca="false">'DG-PV Organic'!K10</f>
        <v>366.696</v>
      </c>
      <c r="M12" s="2213"/>
      <c r="N12" s="2213"/>
      <c r="O12" s="2214"/>
      <c r="P12" s="2206" t="n">
        <f aca="false">'DG-PV Organic'!L10</f>
        <v>1403</v>
      </c>
      <c r="Q12" s="2215" t="n">
        <f aca="false">P12/365</f>
        <v>3.84383561643836</v>
      </c>
      <c r="R12" s="2216" t="n">
        <f aca="false">'DG-PV Organic'!H10</f>
        <v>0.0978</v>
      </c>
      <c r="S12" s="2217" t="n">
        <f aca="false">'DG-PV Organic'!Q10</f>
        <v>45848</v>
      </c>
      <c r="T12" s="2217" t="n">
        <f aca="false">+EDATE(S12,6)</f>
        <v>46032</v>
      </c>
      <c r="U12" s="2231" t="n">
        <f aca="false">'DG-PV Organic'!AJ10/1000</f>
        <v>0</v>
      </c>
      <c r="V12" s="2231" t="n">
        <f aca="false">'DG-PV Organic'!AK10/1000</f>
        <v>0</v>
      </c>
      <c r="W12" s="2231"/>
      <c r="X12" s="2231"/>
      <c r="Y12" s="2231"/>
      <c r="Z12" s="2232" t="n">
        <f aca="false">65000</f>
        <v>65000</v>
      </c>
      <c r="AA12" s="2233"/>
      <c r="AB12" s="929"/>
      <c r="AC12" s="2231" t="n">
        <v>400785</v>
      </c>
      <c r="AD12" s="1187" t="n">
        <f aca="false">+$AD$22*O12/1000=Y12</f>
        <v>1</v>
      </c>
      <c r="AE12" s="2204" t="b">
        <f aca="false">+$AE$22*O12=W12</f>
        <v>1</v>
      </c>
      <c r="AF12" s="2236" t="n">
        <v>1041</v>
      </c>
    </row>
    <row r="13" customFormat="false" ht="16.5" hidden="false" customHeight="false" outlineLevel="2" collapsed="false">
      <c r="A13" s="2205"/>
      <c r="B13" s="2234"/>
      <c r="C13" s="2206" t="n">
        <f aca="false">SUBTOTAL(103,$D$5:D13)</f>
        <v>8</v>
      </c>
      <c r="D13" s="2207" t="str">
        <f aca="false">'DG-PV Organic'!B11</f>
        <v>Kairos</v>
      </c>
      <c r="E13" s="2208" t="s">
        <v>849</v>
      </c>
      <c r="F13" s="2227" t="s">
        <v>2117</v>
      </c>
      <c r="G13" s="2209" t="str">
        <f aca="false">+'DG-PV Organic'!F11</f>
        <v>Bolt Taeyanggwang 2HO</v>
      </c>
      <c r="H13" s="2235" t="s">
        <v>2109</v>
      </c>
      <c r="I13" s="2209" t="str">
        <f aca="false">+[8]국문법인현황!$D$15</f>
        <v>096301-04-103327</v>
      </c>
      <c r="J13" s="2210" t="s">
        <v>2118</v>
      </c>
      <c r="K13" s="2211" t="s">
        <v>301</v>
      </c>
      <c r="L13" s="2212" t="n">
        <f aca="false">'DG-PV Organic'!K11</f>
        <v>538.065</v>
      </c>
      <c r="M13" s="2213" t="str">
        <f aca="false">'DG-PV Organic'!G11</f>
        <v>B+</v>
      </c>
      <c r="N13" s="2213" t="s">
        <v>362</v>
      </c>
      <c r="O13" s="2214" t="n">
        <f aca="false">'DG-PV Organic'!O11</f>
        <v>406</v>
      </c>
      <c r="P13" s="2206" t="n">
        <f aca="false">'DG-PV Organic'!L11</f>
        <v>1350.5</v>
      </c>
      <c r="Q13" s="2237" t="s">
        <v>966</v>
      </c>
      <c r="R13" s="2216" t="n">
        <f aca="false">'DG-PV Organic'!H11</f>
        <v>0.0925</v>
      </c>
      <c r="S13" s="2217" t="n">
        <f aca="false">'DG-PV Organic'!Q11</f>
        <v>45848</v>
      </c>
      <c r="T13" s="2217" t="n">
        <f aca="false">+EDATE(S13,6)</f>
        <v>46032</v>
      </c>
      <c r="U13" s="2231" t="n">
        <f aca="false">'DG-PV Organic'!AJ11/1000*1.1</f>
        <v>22330</v>
      </c>
      <c r="V13" s="2238" t="n">
        <f aca="false">'DG-PV Organic'!AK11/1000*1.1</f>
        <v>133980</v>
      </c>
      <c r="W13" s="2238" t="n">
        <f aca="false">SUM(U13:V13)</f>
        <v>156310</v>
      </c>
      <c r="X13" s="2201" t="n">
        <f aca="false">W13/O13*1000</f>
        <v>385000</v>
      </c>
      <c r="Y13" s="2201" t="n">
        <f aca="false">'DG-PV Organic'!AL11/1000*1.1</f>
        <v>468930</v>
      </c>
      <c r="Z13" s="2239" t="n">
        <f aca="false">65000</f>
        <v>65000</v>
      </c>
      <c r="AA13" s="2203" t="n">
        <f aca="false">'DG-PV Organic'!AI11</f>
        <v>71050000</v>
      </c>
      <c r="AB13" s="929"/>
      <c r="AC13" s="2231"/>
      <c r="AD13" s="1187" t="n">
        <f aca="false">+$AD$22*O13/1000=Y13</f>
        <v>0</v>
      </c>
      <c r="AE13" s="2204" t="b">
        <f aca="false">+$AE$21*O13=W13</f>
        <v>0</v>
      </c>
      <c r="AF13" s="2236"/>
    </row>
    <row r="14" customFormat="false" ht="16.5" hidden="false" customHeight="false" outlineLevel="2" collapsed="false">
      <c r="A14" s="2205"/>
      <c r="B14" s="2234"/>
      <c r="C14" s="2206" t="n">
        <f aca="false">SUBTOTAL(103,$D$5:D14)</f>
        <v>9</v>
      </c>
      <c r="D14" s="2207" t="s">
        <v>852</v>
      </c>
      <c r="E14" s="2208" t="s">
        <v>853</v>
      </c>
      <c r="F14" s="2227" t="s">
        <v>854</v>
      </c>
      <c r="G14" s="2209" t="str">
        <f aca="false">+'DG-PV Organic'!F12</f>
        <v>Bolt Taeyanggwang 7HO</v>
      </c>
      <c r="H14" s="2235" t="s">
        <v>2109</v>
      </c>
      <c r="I14" s="2190" t="str">
        <f aca="false">+[8]국문법인현황!$I$15</f>
        <v>096301-04-103343</v>
      </c>
      <c r="J14" s="2210" t="s">
        <v>855</v>
      </c>
      <c r="K14" s="2211" t="s">
        <v>301</v>
      </c>
      <c r="L14" s="2212" t="n">
        <f aca="false">'DG-PV Organic'!K12</f>
        <v>227.2</v>
      </c>
      <c r="M14" s="2213" t="str">
        <f aca="false">'DG-PV Organic'!G12</f>
        <v>B-</v>
      </c>
      <c r="N14" s="2213" t="s">
        <v>362</v>
      </c>
      <c r="O14" s="2214" t="n">
        <f aca="false">'DG-PV Organic'!O12</f>
        <v>158.75</v>
      </c>
      <c r="P14" s="2206" t="n">
        <f aca="false">'DG-PV Organic'!L12</f>
        <v>1449</v>
      </c>
      <c r="Q14" s="2215" t="n">
        <f aca="false">P14/365</f>
        <v>3.96986301369863</v>
      </c>
      <c r="R14" s="2216" t="n">
        <f aca="false">'DG-PV Organic'!H12</f>
        <v>0.0999</v>
      </c>
      <c r="S14" s="2217" t="n">
        <f aca="false">'DG-PV Organic'!Q12</f>
        <v>45877</v>
      </c>
      <c r="T14" s="2217" t="n">
        <f aca="false">+EDATE(S14,6)</f>
        <v>46061</v>
      </c>
      <c r="U14" s="2240" t="n">
        <f aca="false">'DG-PV Organic'!AJ12/1000*1.1</f>
        <v>34925</v>
      </c>
      <c r="V14" s="2241" t="n">
        <f aca="false">'DG-PV Organic'!AK12/1000*1.1</f>
        <v>52387.5</v>
      </c>
      <c r="W14" s="2241" t="n">
        <f aca="false">SUM(U14:V14)</f>
        <v>87312.5</v>
      </c>
      <c r="X14" s="2242" t="n">
        <f aca="false">W14/O14*1000</f>
        <v>550000</v>
      </c>
      <c r="Y14" s="2242" t="n">
        <f aca="false">'DG-PV Organic'!AL12/1000*1.1</f>
        <v>183356.25</v>
      </c>
      <c r="Z14" s="2232" t="n">
        <f aca="false">65000</f>
        <v>65000</v>
      </c>
      <c r="AA14" s="2203" t="n">
        <f aca="false">'DG-PV Organic'!AI12</f>
        <v>31750000</v>
      </c>
      <c r="AB14" s="929"/>
      <c r="AC14" s="2238" t="n">
        <v>156310</v>
      </c>
      <c r="AD14" s="1187" t="n">
        <f aca="false">+$AD$22*O14/1000=Y14</f>
        <v>0</v>
      </c>
      <c r="AE14" s="2204" t="b">
        <f aca="false">+$AE$22*O14=W14</f>
        <v>0</v>
      </c>
      <c r="AF14" s="2221" t="n">
        <v>406</v>
      </c>
    </row>
    <row r="15" s="1016" customFormat="true" ht="16.5" hidden="false" customHeight="false" outlineLevel="2" collapsed="false">
      <c r="A15" s="2205"/>
      <c r="B15" s="2234"/>
      <c r="C15" s="2206" t="n">
        <f aca="false">SUBTOTAL(103,$D$5:D15)</f>
        <v>10</v>
      </c>
      <c r="D15" s="2207" t="s">
        <v>2119</v>
      </c>
      <c r="E15" s="2208" t="s">
        <v>859</v>
      </c>
      <c r="F15" s="2209" t="s">
        <v>860</v>
      </c>
      <c r="G15" s="2209" t="str">
        <f aca="false">+'DG-PV Organic'!F13</f>
        <v>Bolt Taeyanggwang 3HO</v>
      </c>
      <c r="H15" s="2235" t="s">
        <v>2109</v>
      </c>
      <c r="I15" s="2209" t="str">
        <f aca="false">+[8]국문법인현황!$E$15</f>
        <v>096301-04-103330</v>
      </c>
      <c r="J15" s="2210" t="s">
        <v>861</v>
      </c>
      <c r="K15" s="2211" t="s">
        <v>864</v>
      </c>
      <c r="L15" s="2212" t="n">
        <f aca="false">'DG-PV Organic'!K13</f>
        <v>4637</v>
      </c>
      <c r="M15" s="2213" t="str">
        <f aca="false">'DG-PV Organic'!G13</f>
        <v>BB+</v>
      </c>
      <c r="N15" s="2213" t="s">
        <v>795</v>
      </c>
      <c r="O15" s="2214" t="n">
        <f aca="false">'DG-PV Organic'!O13</f>
        <v>3065.3</v>
      </c>
      <c r="P15" s="2206" t="n">
        <f aca="false">'DG-PV Organic'!L13</f>
        <v>1442</v>
      </c>
      <c r="Q15" s="2215" t="n">
        <f aca="false">P15/365</f>
        <v>3.95068493150685</v>
      </c>
      <c r="R15" s="2216" t="n">
        <f aca="false">'DG-PV Organic'!H13</f>
        <v>0.0907</v>
      </c>
      <c r="S15" s="2217" t="n">
        <f aca="false">'DG-PV Organic'!Q13</f>
        <v>45938</v>
      </c>
      <c r="T15" s="2217" t="n">
        <f aca="false">+EDATE(S15,6)</f>
        <v>46120</v>
      </c>
      <c r="U15" s="2240" t="n">
        <f aca="false">'DG-PV Organic'!AJ13/1000*1.1</f>
        <v>674366</v>
      </c>
      <c r="V15" s="2241" t="n">
        <f aca="false">'DG-PV Organic'!AK13/1000*1.1</f>
        <v>1011549</v>
      </c>
      <c r="W15" s="2241" t="n">
        <f aca="false">SUM(U15:V15)</f>
        <v>1685915</v>
      </c>
      <c r="X15" s="2242" t="n">
        <f aca="false">W15/O15*1000</f>
        <v>550000</v>
      </c>
      <c r="Y15" s="2242" t="n">
        <f aca="false">'DG-PV Organic'!AL13/1000*1.1</f>
        <v>3540421.5</v>
      </c>
      <c r="Z15" s="2232" t="n">
        <f aca="false">65000</f>
        <v>65000</v>
      </c>
      <c r="AA15" s="2203" t="n">
        <f aca="false">'DG-PV Organic'!AI13</f>
        <v>613060000</v>
      </c>
      <c r="AB15" s="2226"/>
      <c r="AC15" s="2238" t="n">
        <v>87312.5</v>
      </c>
      <c r="AD15" s="1187" t="n">
        <f aca="false">+$AD$22*O15/1000=Y15</f>
        <v>0</v>
      </c>
      <c r="AE15" s="2243" t="b">
        <f aca="false">+$AE$22*O15=W15</f>
        <v>0</v>
      </c>
      <c r="AF15" s="2221" t="n">
        <v>158.75</v>
      </c>
      <c r="AG15" s="914"/>
    </row>
    <row r="16" s="1043" customFormat="true" ht="16.5" hidden="false" customHeight="false" outlineLevel="2" collapsed="false">
      <c r="A16" s="2244"/>
      <c r="B16" s="2245"/>
      <c r="C16" s="2246" t="n">
        <f aca="false">SUBTOTAL(103,$D$5:D16)</f>
        <v>11</v>
      </c>
      <c r="D16" s="2247" t="str">
        <f aca="false">'DG-PV Organic'!B14</f>
        <v>Daeheung Industry</v>
      </c>
      <c r="E16" s="2248" t="s">
        <v>867</v>
      </c>
      <c r="F16" s="2249" t="s">
        <v>868</v>
      </c>
      <c r="G16" s="2249" t="str">
        <f aca="false">+'DG-PV Organic'!F14</f>
        <v>Bolt Taeyanggwang 7HO</v>
      </c>
      <c r="H16" s="2250" t="s">
        <v>2109</v>
      </c>
      <c r="I16" s="2250" t="s">
        <v>2120</v>
      </c>
      <c r="J16" s="2250" t="s">
        <v>869</v>
      </c>
      <c r="K16" s="2251" t="s">
        <v>817</v>
      </c>
      <c r="L16" s="2252" t="n">
        <f aca="false">'DG-PV Organic'!K14</f>
        <v>430.54</v>
      </c>
      <c r="M16" s="2253" t="str">
        <f aca="false">'DG-PV Organic'!G14</f>
        <v>BB-</v>
      </c>
      <c r="N16" s="2253" t="s">
        <v>362</v>
      </c>
      <c r="O16" s="2254" t="n">
        <f aca="false">'DG-PV Organic'!O14</f>
        <v>300.8</v>
      </c>
      <c r="P16" s="2246" t="n">
        <f aca="false">'DG-PV Organic'!L14</f>
        <v>1437</v>
      </c>
      <c r="Q16" s="2255" t="n">
        <f aca="false">P16/365</f>
        <v>3.93698630136986</v>
      </c>
      <c r="R16" s="2256" t="n">
        <f aca="false">'DG-PV Organic'!H14</f>
        <v>0.0914</v>
      </c>
      <c r="S16" s="2257" t="n">
        <f aca="false">'DG-PV Organic'!Q14</f>
        <v>45910</v>
      </c>
      <c r="T16" s="2257" t="n">
        <f aca="false">+EDATE(S16,6)</f>
        <v>46091</v>
      </c>
      <c r="U16" s="2258" t="n">
        <f aca="false">'DG-PV Organic'!AJ14/1000*1.1</f>
        <v>66176</v>
      </c>
      <c r="V16" s="2258" t="n">
        <f aca="false">'DG-PV Organic'!AK14/1000*1.1</f>
        <v>99264</v>
      </c>
      <c r="W16" s="2258" t="n">
        <f aca="false">SUM(U16:V16)</f>
        <v>165440</v>
      </c>
      <c r="X16" s="2259" t="n">
        <f aca="false">W16/O16*1000</f>
        <v>550000</v>
      </c>
      <c r="Y16" s="2259" t="n">
        <f aca="false">'DG-PV Organic'!AL14/1000*1.1</f>
        <v>347424</v>
      </c>
      <c r="Z16" s="2260" t="n">
        <f aca="false">65000</f>
        <v>65000</v>
      </c>
      <c r="AA16" s="2261" t="n">
        <f aca="false">'DG-PV Organic'!AI14</f>
        <v>60160000</v>
      </c>
      <c r="AC16" s="2262" t="n">
        <v>1685915</v>
      </c>
      <c r="AD16" s="2263" t="n">
        <f aca="false">+$AD$22*O16/1000=Y16</f>
        <v>0</v>
      </c>
      <c r="AE16" s="2264" t="b">
        <f aca="false">+$AE$22*O16=W16</f>
        <v>0</v>
      </c>
      <c r="AF16" s="2265" t="n">
        <v>3065.3</v>
      </c>
    </row>
    <row r="17" s="1043" customFormat="true" ht="16.5" hidden="false" customHeight="false" outlineLevel="2" collapsed="false">
      <c r="A17" s="2244"/>
      <c r="B17" s="2245"/>
      <c r="C17" s="2246" t="n">
        <f aca="false">SUBTOTAL(103,$D$5:D17)</f>
        <v>12</v>
      </c>
      <c r="D17" s="2247" t="str">
        <f aca="false">'DG-PV Organic'!B15</f>
        <v>Jeonjin Tech</v>
      </c>
      <c r="E17" s="2248" t="s">
        <v>873</v>
      </c>
      <c r="F17" s="2249" t="s">
        <v>874</v>
      </c>
      <c r="G17" s="2250" t="str">
        <f aca="false">+'DG-PV Organic'!F15</f>
        <v>Bolt Taeyanggwang 7HO</v>
      </c>
      <c r="H17" s="2250" t="s">
        <v>2109</v>
      </c>
      <c r="I17" s="2250" t="s">
        <v>2120</v>
      </c>
      <c r="J17" s="2250" t="s">
        <v>875</v>
      </c>
      <c r="K17" s="2251" t="s">
        <v>817</v>
      </c>
      <c r="L17" s="2252" t="n">
        <f aca="false">'DG-PV Organic'!K15</f>
        <v>229.36</v>
      </c>
      <c r="M17" s="2253" t="str">
        <f aca="false">'DG-PV Organic'!G15</f>
        <v>B-</v>
      </c>
      <c r="N17" s="2253" t="s">
        <v>362</v>
      </c>
      <c r="O17" s="2254" t="n">
        <f aca="false">'DG-PV Organic'!O15</f>
        <v>160</v>
      </c>
      <c r="P17" s="2246" t="n">
        <f aca="false">'DG-PV Organic'!L15</f>
        <v>1422</v>
      </c>
      <c r="Q17" s="2255" t="n">
        <f aca="false">P17/365</f>
        <v>3.8958904109589</v>
      </c>
      <c r="R17" s="2256" t="n">
        <f aca="false">'DG-PV Organic'!H15</f>
        <v>0.0907</v>
      </c>
      <c r="S17" s="2257" t="n">
        <f aca="false">'DG-PV Organic'!Q15</f>
        <v>45910</v>
      </c>
      <c r="T17" s="2257" t="n">
        <f aca="false">+EDATE(S17,6)</f>
        <v>46091</v>
      </c>
      <c r="U17" s="2258" t="n">
        <f aca="false">'DG-PV Organic'!AJ15/1000*1.1</f>
        <v>35200</v>
      </c>
      <c r="V17" s="2258" t="n">
        <f aca="false">'DG-PV Organic'!AK15/1000*1.1</f>
        <v>52800</v>
      </c>
      <c r="W17" s="2258" t="n">
        <f aca="false">SUM(U17:V17)</f>
        <v>88000</v>
      </c>
      <c r="X17" s="2259" t="n">
        <f aca="false">W17/O17*1000</f>
        <v>550000</v>
      </c>
      <c r="Y17" s="2259" t="n">
        <f aca="false">'DG-PV Organic'!AL15/1000*1.1</f>
        <v>184800</v>
      </c>
      <c r="Z17" s="2260" t="n">
        <f aca="false">65000</f>
        <v>65000</v>
      </c>
      <c r="AA17" s="2261" t="n">
        <f aca="false">'DG-PV Organic'!AI15</f>
        <v>32000000</v>
      </c>
      <c r="AB17" s="2266"/>
      <c r="AC17" s="2267" t="n">
        <v>165440</v>
      </c>
      <c r="AD17" s="2263" t="n">
        <f aca="false">+$AD$22*O17/1000=Y17</f>
        <v>0</v>
      </c>
      <c r="AE17" s="2264" t="b">
        <f aca="false">+$AE$22*O17=W17</f>
        <v>0</v>
      </c>
      <c r="AF17" s="2268" t="n">
        <v>300.08</v>
      </c>
    </row>
    <row r="18" s="1043" customFormat="true" ht="16.5" hidden="false" customHeight="false" outlineLevel="2" collapsed="false">
      <c r="A18" s="2244"/>
      <c r="B18" s="2245"/>
      <c r="C18" s="2246" t="n">
        <f aca="false">SUBTOTAL(103,$D$5:D18)</f>
        <v>13</v>
      </c>
      <c r="D18" s="2247" t="str">
        <f aca="false">'DG-PV Organic'!B16</f>
        <v>Fine Precision Industrial</v>
      </c>
      <c r="E18" s="2248" t="s">
        <v>878</v>
      </c>
      <c r="F18" s="2269" t="s">
        <v>879</v>
      </c>
      <c r="G18" s="2250" t="str">
        <f aca="false">+'DG-PV Organic'!F16</f>
        <v>Bolt Taeyanggwang 7HO</v>
      </c>
      <c r="H18" s="2250" t="s">
        <v>2109</v>
      </c>
      <c r="I18" s="2250" t="s">
        <v>2120</v>
      </c>
      <c r="J18" s="2250" t="s">
        <v>880</v>
      </c>
      <c r="K18" s="2251" t="s">
        <v>302</v>
      </c>
      <c r="L18" s="2252" t="n">
        <f aca="false">'DG-PV Organic'!K16</f>
        <v>358.32</v>
      </c>
      <c r="M18" s="2253" t="str">
        <f aca="false">'DG-PV Organic'!G16</f>
        <v>B+</v>
      </c>
      <c r="N18" s="2253" t="s">
        <v>362</v>
      </c>
      <c r="O18" s="2254" t="n">
        <f aca="false">'DG-PV Organic'!O16</f>
        <v>247.04</v>
      </c>
      <c r="P18" s="2246" t="n">
        <f aca="false">'DG-PV Organic'!L16</f>
        <v>1458</v>
      </c>
      <c r="Q18" s="2255" t="n">
        <f aca="false">P18/365</f>
        <v>3.99452054794521</v>
      </c>
      <c r="R18" s="2256" t="n">
        <f aca="false">'DG-PV Organic'!H16</f>
        <v>0.0943</v>
      </c>
      <c r="S18" s="2257" t="n">
        <f aca="false">'DG-PV Organic'!Q16</f>
        <v>45910</v>
      </c>
      <c r="T18" s="2257" t="n">
        <f aca="false">+EDATE(S18,6)</f>
        <v>46091</v>
      </c>
      <c r="U18" s="2267" t="n">
        <f aca="false">'DG-PV Organic'!AJ16/1000*1.1</f>
        <v>54348.8</v>
      </c>
      <c r="V18" s="2267" t="n">
        <f aca="false">'DG-PV Organic'!AK16/1000*1.1</f>
        <v>81523.2</v>
      </c>
      <c r="W18" s="2267" t="n">
        <f aca="false">SUM(U18:V18)</f>
        <v>135872</v>
      </c>
      <c r="X18" s="2270" t="n">
        <f aca="false">W18/O18*1000</f>
        <v>550000</v>
      </c>
      <c r="Y18" s="2270" t="n">
        <f aca="false">'DG-PV Organic'!AL16/1000*1.1</f>
        <v>285331.2</v>
      </c>
      <c r="Z18" s="2260" t="n">
        <f aca="false">65000</f>
        <v>65000</v>
      </c>
      <c r="AA18" s="2261" t="n">
        <f aca="false">'DG-PV Organic'!AI16</f>
        <v>49408000</v>
      </c>
      <c r="AC18" s="2267" t="n">
        <v>88000</v>
      </c>
      <c r="AD18" s="2263" t="n">
        <f aca="false">+$AD$22*O18/1000=Y18</f>
        <v>0</v>
      </c>
      <c r="AE18" s="2264" t="b">
        <f aca="false">+$AE$22*O18=W18</f>
        <v>0</v>
      </c>
      <c r="AF18" s="2268" t="n">
        <v>160</v>
      </c>
    </row>
    <row r="19" customFormat="false" ht="16.5" hidden="false" customHeight="false" outlineLevel="2" collapsed="false">
      <c r="A19" s="2271"/>
      <c r="B19" s="2272"/>
      <c r="C19" s="2273" t="n">
        <f aca="false">SUBTOTAL(103,$D$5:D19)</f>
        <v>14</v>
      </c>
      <c r="D19" s="2274" t="s">
        <v>2121</v>
      </c>
      <c r="E19" s="2275" t="s">
        <v>882</v>
      </c>
      <c r="F19" s="2276" t="s">
        <v>883</v>
      </c>
      <c r="G19" s="2276" t="str">
        <f aca="false">+'DG-PV Organic'!F17</f>
        <v>Bolt Taeyanggwang 6HO</v>
      </c>
      <c r="H19" s="2277" t="s">
        <v>2109</v>
      </c>
      <c r="I19" s="2277" t="str">
        <f aca="false">+[8]국문법인현황!$H$15</f>
        <v>096337-04-011223</v>
      </c>
      <c r="J19" s="2278" t="s">
        <v>884</v>
      </c>
      <c r="K19" s="2279" t="s">
        <v>302</v>
      </c>
      <c r="L19" s="2280" t="n">
        <f aca="false">'DG-PV Organic'!K17</f>
        <v>300.486</v>
      </c>
      <c r="M19" s="2281" t="str">
        <f aca="false">'DG-PV Organic'!G17</f>
        <v>B+</v>
      </c>
      <c r="N19" s="2281" t="s">
        <v>362</v>
      </c>
      <c r="O19" s="2282" t="n">
        <f aca="false">'DG-PV Organic'!O17</f>
        <v>150</v>
      </c>
      <c r="P19" s="2273" t="n">
        <f aca="false">'DG-PV Organic'!L17</f>
        <v>1420</v>
      </c>
      <c r="Q19" s="2283" t="n">
        <f aca="false">P19/365</f>
        <v>3.89041095890411</v>
      </c>
      <c r="R19" s="2284" t="n">
        <f aca="false">'DG-PV Organic'!H17</f>
        <v>0.0892</v>
      </c>
      <c r="S19" s="2285" t="n">
        <f aca="false">'DG-PV Organic'!Q17</f>
        <v>45999</v>
      </c>
      <c r="T19" s="2285" t="n">
        <f aca="false">+EDATE(S19,6)</f>
        <v>46181</v>
      </c>
      <c r="U19" s="2286" t="n">
        <f aca="false">'DG-PV Organic'!AJ17/1000*1.1</f>
        <v>33000</v>
      </c>
      <c r="V19" s="2287" t="n">
        <f aca="false">'DG-PV Organic'!AK17/1000*1.1</f>
        <v>49500</v>
      </c>
      <c r="W19" s="2287" t="n">
        <f aca="false">SUM(U19:V19)</f>
        <v>82500</v>
      </c>
      <c r="X19" s="2287" t="n">
        <f aca="false">W19/O19*1000</f>
        <v>550000</v>
      </c>
      <c r="Y19" s="2287" t="n">
        <f aca="false">'DG-PV Organic'!AL17/1000*1.1</f>
        <v>173250</v>
      </c>
      <c r="Z19" s="2288" t="n">
        <f aca="false">65000</f>
        <v>65000</v>
      </c>
      <c r="AA19" s="2289" t="n">
        <f aca="false">'DG-PV Organic'!AI17</f>
        <v>30000000</v>
      </c>
      <c r="AB19" s="2226"/>
      <c r="AC19" s="2238" t="n">
        <v>135872</v>
      </c>
      <c r="AD19" s="1187" t="n">
        <f aca="false">+$AD$22*O19/1000=Y19</f>
        <v>0</v>
      </c>
      <c r="AE19" s="2204" t="b">
        <f aca="false">+$AE$22*O19=W19</f>
        <v>0</v>
      </c>
      <c r="AF19" s="2221" t="n">
        <v>247.04</v>
      </c>
    </row>
    <row r="20" customFormat="false" ht="16.5" hidden="false" customHeight="true" outlineLevel="1" collapsed="false">
      <c r="A20" s="2290" t="s">
        <v>2122</v>
      </c>
      <c r="B20" s="2290"/>
      <c r="C20" s="2187"/>
      <c r="D20" s="2188"/>
      <c r="E20" s="2189"/>
      <c r="F20" s="2190"/>
      <c r="G20" s="2190"/>
      <c r="H20" s="2190"/>
      <c r="I20" s="2190"/>
      <c r="J20" s="2192"/>
      <c r="K20" s="2193"/>
      <c r="L20" s="2194"/>
      <c r="M20" s="2195"/>
      <c r="N20" s="2195"/>
      <c r="O20" s="2291" t="n">
        <f aca="false">SUM(O23:O30,O32:O40)</f>
        <v>9994.115</v>
      </c>
      <c r="P20" s="2187"/>
      <c r="Q20" s="2197"/>
      <c r="R20" s="2198"/>
      <c r="S20" s="2199"/>
      <c r="T20" s="2199"/>
      <c r="U20" s="2200"/>
      <c r="V20" s="2201"/>
      <c r="W20" s="2292"/>
      <c r="X20" s="2292"/>
      <c r="Y20" s="2293"/>
      <c r="Z20" s="2202"/>
      <c r="AA20" s="2203"/>
    </row>
    <row r="21" customFormat="false" ht="16.5" hidden="false" customHeight="true" outlineLevel="1" collapsed="false">
      <c r="A21" s="2224" t="s">
        <v>2123</v>
      </c>
      <c r="B21" s="2224"/>
      <c r="C21" s="2187"/>
      <c r="D21" s="2188"/>
      <c r="E21" s="2189"/>
      <c r="F21" s="2190"/>
      <c r="G21" s="2190"/>
      <c r="H21" s="2190"/>
      <c r="I21" s="2190"/>
      <c r="J21" s="2192"/>
      <c r="K21" s="2193"/>
      <c r="L21" s="2194"/>
      <c r="M21" s="2195"/>
      <c r="N21" s="2195"/>
      <c r="O21" s="2196"/>
      <c r="P21" s="2187"/>
      <c r="Q21" s="2197"/>
      <c r="R21" s="2294" t="n">
        <f aca="false">AVERAGE(R23:R40)</f>
        <v>0.0894944444444445</v>
      </c>
      <c r="S21" s="2199"/>
      <c r="T21" s="2199"/>
      <c r="U21" s="2200"/>
      <c r="V21" s="2201"/>
      <c r="W21" s="2201"/>
      <c r="X21" s="2201"/>
      <c r="Y21" s="2295"/>
      <c r="Z21" s="2202"/>
      <c r="AA21" s="2203"/>
    </row>
    <row r="22" customFormat="false" ht="16.5" hidden="false" customHeight="true" outlineLevel="1" collapsed="false">
      <c r="A22" s="2296" t="s">
        <v>2124</v>
      </c>
      <c r="B22" s="2296"/>
      <c r="C22" s="2297"/>
      <c r="D22" s="2298"/>
      <c r="E22" s="1048"/>
      <c r="F22" s="2299"/>
      <c r="G22" s="2299"/>
      <c r="H22" s="2299"/>
      <c r="I22" s="2299"/>
      <c r="J22" s="2300"/>
      <c r="K22" s="2301"/>
      <c r="L22" s="2302"/>
      <c r="M22" s="2303"/>
      <c r="N22" s="2303"/>
      <c r="O22" s="2304"/>
      <c r="P22" s="2297"/>
      <c r="Q22" s="2305"/>
      <c r="R22" s="2306"/>
      <c r="S22" s="2307"/>
      <c r="T22" s="2307"/>
      <c r="U22" s="2308"/>
      <c r="V22" s="2309"/>
      <c r="W22" s="2310" t="s">
        <v>2125</v>
      </c>
      <c r="X22" s="2310"/>
      <c r="Y22" s="2310"/>
      <c r="Z22" s="2311"/>
      <c r="AA22" s="2203"/>
      <c r="AB22" s="2312" t="n">
        <v>1470</v>
      </c>
    </row>
    <row r="23" customFormat="false" ht="16.5" hidden="false" customHeight="true" outlineLevel="1" collapsed="false">
      <c r="A23" s="2313"/>
      <c r="B23" s="2314"/>
      <c r="C23" s="2315" t="n">
        <f aca="false">SUBTOTAL(103,$D$23:J23)</f>
        <v>4</v>
      </c>
      <c r="D23" s="2316" t="s">
        <v>886</v>
      </c>
      <c r="E23" s="2317"/>
      <c r="F23" s="2318"/>
      <c r="G23" s="2319" t="s">
        <v>862</v>
      </c>
      <c r="H23" s="2320" t="s">
        <v>2109</v>
      </c>
      <c r="I23" s="2319" t="s">
        <v>2126</v>
      </c>
      <c r="J23" s="2321"/>
      <c r="K23" s="2193" t="str">
        <f aca="false">'DG-PV Organic'!X18</f>
        <v>Gyeongsangbuk-do</v>
      </c>
      <c r="L23" s="2322"/>
      <c r="M23" s="2323" t="s">
        <v>809</v>
      </c>
      <c r="N23" s="2323" t="s">
        <v>362</v>
      </c>
      <c r="O23" s="2324" t="n">
        <f aca="false">'DG-PV Organic'!O18</f>
        <v>351.155</v>
      </c>
      <c r="P23" s="2315" t="n">
        <v>1399</v>
      </c>
      <c r="Q23" s="2325" t="n">
        <v>3.83287671232877</v>
      </c>
      <c r="R23" s="2326" t="n">
        <v>0.0879</v>
      </c>
      <c r="S23" s="2327" t="n">
        <f aca="false">'DG-PV Organic'!Q18</f>
        <v>45962</v>
      </c>
      <c r="T23" s="2328" t="n">
        <f aca="false">+EDATE(S23,6)</f>
        <v>46143</v>
      </c>
      <c r="U23" s="2329" t="n">
        <f aca="false">'DG-PV Organic'!AJ18*1.1/1000</f>
        <v>77254.1</v>
      </c>
      <c r="V23" s="2329" t="n">
        <f aca="false">'DG-PV Organic'!AK18*1.1/1000</f>
        <v>115881.15</v>
      </c>
      <c r="W23" s="2330" t="n">
        <f aca="false">SUM(U23:V23)</f>
        <v>193135.25</v>
      </c>
      <c r="X23" s="2330" t="n">
        <f aca="false">W23/O23*1000/1.1</f>
        <v>500000</v>
      </c>
      <c r="Y23" s="2331" t="n">
        <f aca="false">'DG-PV Organic'!AL18/1000*1.1</f>
        <v>405584.025</v>
      </c>
      <c r="Z23" s="2331" t="n">
        <v>65000</v>
      </c>
      <c r="AA23" s="2203"/>
      <c r="AB23" s="2332" t="n">
        <f aca="false">SUM(W23:W40)*1000</f>
        <v>5559846050</v>
      </c>
      <c r="AC23" s="2333" t="s">
        <v>104</v>
      </c>
      <c r="AD23" s="929" t="n">
        <f aca="false">+P23*O23</f>
        <v>491265.845</v>
      </c>
      <c r="AF23" s="2334" t="n">
        <f aca="false">+SUM(O23:O33)</f>
        <v>7940.675</v>
      </c>
      <c r="AG23" s="2334"/>
      <c r="AH23" s="2334" t="n">
        <v>500000000</v>
      </c>
      <c r="AI23" s="2334" t="n">
        <f aca="false">+AF23*AH23</f>
        <v>3970337500000</v>
      </c>
      <c r="AJ23" s="2335"/>
    </row>
    <row r="24" customFormat="false" ht="16.5" hidden="false" customHeight="true" outlineLevel="1" collapsed="false">
      <c r="A24" s="2205"/>
      <c r="B24" s="2186"/>
      <c r="C24" s="2187" t="n">
        <f aca="false">SUBTOTAL(103,$D$23:J24)</f>
        <v>8</v>
      </c>
      <c r="D24" s="2207" t="str">
        <f aca="false">'DG-PV Organic'!B19</f>
        <v>Seun Steel Gyeongju</v>
      </c>
      <c r="E24" s="2208"/>
      <c r="F24" s="2209"/>
      <c r="G24" s="2336" t="s">
        <v>862</v>
      </c>
      <c r="H24" s="2235" t="s">
        <v>2109</v>
      </c>
      <c r="I24" s="2336" t="s">
        <v>2126</v>
      </c>
      <c r="J24" s="2210"/>
      <c r="K24" s="2193" t="str">
        <f aca="false">'DG-PV Organic'!X19</f>
        <v>Gyeongsangbuk-do</v>
      </c>
      <c r="L24" s="2212"/>
      <c r="M24" s="2213" t="str">
        <f aca="false">'DG-PV Organic'!G19</f>
        <v>BB-</v>
      </c>
      <c r="N24" s="2213" t="s">
        <v>362</v>
      </c>
      <c r="O24" s="2337" t="n">
        <f aca="false">'DG-PV Organic'!O19</f>
        <v>709.295</v>
      </c>
      <c r="P24" s="2206" t="n">
        <f aca="false">'DG-PV Organic'!L19</f>
        <v>1389</v>
      </c>
      <c r="Q24" s="2215" t="n">
        <f aca="false">P24/365</f>
        <v>3.80547945205479</v>
      </c>
      <c r="R24" s="2216" t="n">
        <f aca="false">'DG-PV Organic'!H19</f>
        <v>0.087</v>
      </c>
      <c r="S24" s="2338" t="n">
        <f aca="false">'DG-PV Organic'!Q19</f>
        <v>45962</v>
      </c>
      <c r="T24" s="2339" t="n">
        <f aca="false">+EDATE(S24,6)</f>
        <v>46143</v>
      </c>
      <c r="U24" s="2340" t="n">
        <f aca="false">'DG-PV Organic'!AJ19*1.1/1000</f>
        <v>156044.9</v>
      </c>
      <c r="V24" s="2340" t="n">
        <f aca="false">'DG-PV Organic'!AK19*1.1/1000</f>
        <v>234067.35</v>
      </c>
      <c r="W24" s="2341" t="n">
        <f aca="false">SUM(U24:V24)</f>
        <v>390112.25</v>
      </c>
      <c r="X24" s="2341" t="n">
        <f aca="false">W24/O24*1000/1.1</f>
        <v>500000</v>
      </c>
      <c r="Y24" s="2342" t="n">
        <f aca="false">'DG-PV Organic'!AL19/1000*1.1</f>
        <v>819235.725</v>
      </c>
      <c r="Z24" s="2342" t="n">
        <f aca="false">65000</f>
        <v>65000</v>
      </c>
      <c r="AA24" s="2203"/>
      <c r="AB24" s="2343" t="n">
        <f aca="false">AB23/AB22</f>
        <v>3782208.19727891</v>
      </c>
      <c r="AC24" s="2344" t="s">
        <v>106</v>
      </c>
      <c r="AD24" s="929" t="n">
        <f aca="false">+P24*O24</f>
        <v>985210.755</v>
      </c>
      <c r="AF24" s="2334" t="n">
        <f aca="false">+SUM(O34:O40)</f>
        <v>2409.04</v>
      </c>
      <c r="AG24" s="2334" t="n">
        <f aca="false">+AF24+AF23</f>
        <v>10349.715</v>
      </c>
      <c r="AH24" s="2334" t="n">
        <v>450000000</v>
      </c>
      <c r="AI24" s="2334" t="n">
        <f aca="false">+AF24*AH24</f>
        <v>1084068000000</v>
      </c>
      <c r="AJ24" s="2335"/>
    </row>
    <row r="25" customFormat="false" ht="16.5" hidden="false" customHeight="true" outlineLevel="1" collapsed="false">
      <c r="A25" s="2205"/>
      <c r="B25" s="2186"/>
      <c r="C25" s="2187" t="n">
        <f aca="false">SUBTOTAL(103,$D$23:J25)</f>
        <v>12</v>
      </c>
      <c r="D25" s="2207" t="str">
        <f aca="false">'DG-PV Organic'!B20</f>
        <v>Tyson Foods Korea </v>
      </c>
      <c r="E25" s="2208"/>
      <c r="F25" s="2209"/>
      <c r="G25" s="2336" t="s">
        <v>862</v>
      </c>
      <c r="H25" s="2235" t="s">
        <v>2109</v>
      </c>
      <c r="I25" s="2336" t="s">
        <v>2126</v>
      </c>
      <c r="J25" s="2210"/>
      <c r="K25" s="2193" t="str">
        <f aca="false">'DG-PV Organic'!X20</f>
        <v>Sejong</v>
      </c>
      <c r="L25" s="2212"/>
      <c r="M25" s="2213" t="str">
        <f aca="false">'DG-PV Organic'!G20</f>
        <v>BBB0</v>
      </c>
      <c r="N25" s="2213" t="s">
        <v>362</v>
      </c>
      <c r="O25" s="2337" t="n">
        <f aca="false">'DG-PV Organic'!O20</f>
        <v>650.24</v>
      </c>
      <c r="P25" s="2206" t="n">
        <f aca="false">'DG-PV Organic'!L20</f>
        <v>1434</v>
      </c>
      <c r="Q25" s="2215" t="n">
        <f aca="false">P25/365</f>
        <v>3.92876712328767</v>
      </c>
      <c r="R25" s="2216" t="n">
        <f aca="false">'DG-PV Organic'!H20</f>
        <v>0.0916</v>
      </c>
      <c r="S25" s="2338" t="n">
        <f aca="false">'DG-PV Organic'!Q20</f>
        <v>45962</v>
      </c>
      <c r="T25" s="2339" t="n">
        <f aca="false">+EDATE(S25,6)</f>
        <v>46143</v>
      </c>
      <c r="U25" s="2340" t="n">
        <f aca="false">'DG-PV Organic'!AJ20*1.1/1000</f>
        <v>143052.8</v>
      </c>
      <c r="V25" s="2340" t="n">
        <f aca="false">'DG-PV Organic'!AK20*1.1/1000</f>
        <v>214579.2</v>
      </c>
      <c r="W25" s="2341" t="n">
        <f aca="false">SUM(U25:V25)</f>
        <v>357632</v>
      </c>
      <c r="X25" s="2341" t="n">
        <f aca="false">W25/O25*1000/1.1</f>
        <v>500000</v>
      </c>
      <c r="Y25" s="2342" t="n">
        <f aca="false">'DG-PV Organic'!AL20/1000*1.1</f>
        <v>751027.2</v>
      </c>
      <c r="Z25" s="2342" t="n">
        <f aca="false">65000</f>
        <v>65000</v>
      </c>
      <c r="AA25" s="2203"/>
      <c r="AC25" s="1683"/>
      <c r="AD25" s="929" t="n">
        <f aca="false">+P25*O25</f>
        <v>932444.16</v>
      </c>
      <c r="AF25" s="2334" t="n">
        <f aca="false">+AF23+AF24</f>
        <v>10349.715</v>
      </c>
      <c r="AG25" s="2334"/>
      <c r="AH25" s="2334"/>
      <c r="AI25" s="2334" t="n">
        <f aca="false">+AI23+AI24</f>
        <v>5054405500000</v>
      </c>
      <c r="AJ25" s="2345" t="n">
        <f aca="false">+AI25/AF25</f>
        <v>488361805.131832</v>
      </c>
    </row>
    <row r="26" customFormat="false" ht="16.5" hidden="false" customHeight="true" outlineLevel="1" collapsed="false">
      <c r="A26" s="2205"/>
      <c r="B26" s="2186"/>
      <c r="C26" s="2187" t="n">
        <f aca="false">SUBTOTAL(103,$D$23:J26)</f>
        <v>16</v>
      </c>
      <c r="D26" s="2207" t="str">
        <f aca="false">'DG-PV Organic'!B21</f>
        <v>MPM Trade</v>
      </c>
      <c r="E26" s="2208"/>
      <c r="F26" s="2209"/>
      <c r="G26" s="2336" t="s">
        <v>792</v>
      </c>
      <c r="H26" s="2235" t="s">
        <v>2109</v>
      </c>
      <c r="I26" s="2336" t="str">
        <f aca="false">+[8]국문법인현황!$I$15</f>
        <v>096301-04-103343</v>
      </c>
      <c r="J26" s="2210"/>
      <c r="K26" s="2193" t="str">
        <f aca="false">'DG-PV Organic'!X21</f>
        <v>Gyeonggi-do</v>
      </c>
      <c r="L26" s="2212"/>
      <c r="M26" s="2213" t="str">
        <f aca="false">'DG-PV Organic'!G21</f>
        <v>B+</v>
      </c>
      <c r="N26" s="2213" t="s">
        <v>362</v>
      </c>
      <c r="O26" s="2337" t="n">
        <f aca="false">'DG-PV Organic'!O21</f>
        <v>210.82</v>
      </c>
      <c r="P26" s="2206" t="n">
        <f aca="false">'DG-PV Organic'!L21</f>
        <v>1453</v>
      </c>
      <c r="Q26" s="2215" t="n">
        <f aca="false">P26/365</f>
        <v>3.98082191780822</v>
      </c>
      <c r="R26" s="2216" t="n">
        <f aca="false">'DG-PV Organic'!H21</f>
        <v>0.0934</v>
      </c>
      <c r="S26" s="2338" t="n">
        <f aca="false">'DG-PV Organic'!Q21</f>
        <v>45962</v>
      </c>
      <c r="T26" s="2339" t="n">
        <f aca="false">+EDATE(S26,6)</f>
        <v>46143</v>
      </c>
      <c r="U26" s="2340" t="n">
        <f aca="false">'DG-PV Organic'!AJ21*1.1/1000</f>
        <v>46380.4</v>
      </c>
      <c r="V26" s="2340" t="n">
        <f aca="false">'DG-PV Organic'!AK21*1.1/1000</f>
        <v>69570.6</v>
      </c>
      <c r="W26" s="2341" t="n">
        <f aca="false">SUM(U26:V26)</f>
        <v>115951</v>
      </c>
      <c r="X26" s="2341" t="n">
        <f aca="false">W26/O26*1000/1.1</f>
        <v>500000</v>
      </c>
      <c r="Y26" s="2342" t="n">
        <f aca="false">'DG-PV Organic'!AL21/1000*1.1</f>
        <v>243497.1</v>
      </c>
      <c r="Z26" s="2342" t="n">
        <f aca="false">65000</f>
        <v>65000</v>
      </c>
      <c r="AA26" s="2203"/>
      <c r="AB26" s="2332" t="n">
        <f aca="false">SUM(Y23:Y40)*1000</f>
        <v>11953920825</v>
      </c>
      <c r="AC26" s="2333" t="s">
        <v>2127</v>
      </c>
      <c r="AD26" s="929" t="n">
        <f aca="false">+P26*O26</f>
        <v>306321.46</v>
      </c>
    </row>
    <row r="27" customFormat="false" ht="16.5" hidden="false" customHeight="true" outlineLevel="1" collapsed="false">
      <c r="A27" s="2205"/>
      <c r="C27" s="2187" t="n">
        <f aca="false">SUBTOTAL(103,$D$23:J27)</f>
        <v>20</v>
      </c>
      <c r="D27" s="2207" t="str">
        <f aca="false">'DG-PV Organic'!B22</f>
        <v>Oneel </v>
      </c>
      <c r="E27" s="2208"/>
      <c r="F27" s="2209"/>
      <c r="G27" s="2336" t="s">
        <v>862</v>
      </c>
      <c r="H27" s="2235" t="s">
        <v>2109</v>
      </c>
      <c r="I27" s="2336" t="s">
        <v>2126</v>
      </c>
      <c r="J27" s="2210"/>
      <c r="K27" s="2193" t="str">
        <f aca="false">'DG-PV Organic'!X22</f>
        <v>Gyeongsangnam-do</v>
      </c>
      <c r="L27" s="2212"/>
      <c r="M27" s="2213" t="str">
        <f aca="false">'DG-PV Organic'!G22</f>
        <v>BBB</v>
      </c>
      <c r="N27" s="2213" t="s">
        <v>362</v>
      </c>
      <c r="O27" s="2337" t="n">
        <f aca="false">'DG-PV Organic'!O22</f>
        <v>522.605</v>
      </c>
      <c r="P27" s="2206" t="n">
        <f aca="false">'DG-PV Organic'!L22</f>
        <v>1373</v>
      </c>
      <c r="Q27" s="2215" t="n">
        <f aca="false">P27/365</f>
        <v>3.76164383561644</v>
      </c>
      <c r="R27" s="2216" t="n">
        <f aca="false">'DG-PV Organic'!H22</f>
        <v>0.0855</v>
      </c>
      <c r="S27" s="2338" t="n">
        <f aca="false">'DG-PV Organic'!Q22</f>
        <v>45962</v>
      </c>
      <c r="T27" s="2339" t="n">
        <f aca="false">+EDATE(S27,6)</f>
        <v>46143</v>
      </c>
      <c r="U27" s="2340" t="n">
        <f aca="false">'DG-PV Organic'!AJ22*1.1/1000</f>
        <v>114973.1</v>
      </c>
      <c r="V27" s="2340" t="n">
        <f aca="false">'DG-PV Organic'!AK22*1.1/1000</f>
        <v>172459.65</v>
      </c>
      <c r="W27" s="2341" t="n">
        <f aca="false">SUM(U27:V27)</f>
        <v>287432.75</v>
      </c>
      <c r="X27" s="2341" t="n">
        <f aca="false">W27/O27*1000/1.1</f>
        <v>500000</v>
      </c>
      <c r="Y27" s="2342" t="n">
        <f aca="false">'DG-PV Organic'!AL22/1000*1.1</f>
        <v>603608.775</v>
      </c>
      <c r="Z27" s="2342" t="n">
        <f aca="false">65000</f>
        <v>65000</v>
      </c>
      <c r="AA27" s="2203"/>
      <c r="AB27" s="2343" t="n">
        <f aca="false">AB26/AB22</f>
        <v>8131918.92857143</v>
      </c>
      <c r="AC27" s="2344" t="s">
        <v>2128</v>
      </c>
      <c r="AD27" s="929" t="n">
        <f aca="false">+P27*O27</f>
        <v>717536.665</v>
      </c>
    </row>
    <row r="28" customFormat="false" ht="16.5" hidden="false" customHeight="true" outlineLevel="1" collapsed="false">
      <c r="A28" s="2205"/>
      <c r="C28" s="2187" t="n">
        <f aca="false">SUBTOTAL(103,$D$23:J28)</f>
        <v>24</v>
      </c>
      <c r="D28" s="2207" t="str">
        <f aca="false">'DG-PV Organic'!B23</f>
        <v>BNB Composite</v>
      </c>
      <c r="E28" s="2208"/>
      <c r="F28" s="2209"/>
      <c r="G28" s="2336" t="s">
        <v>862</v>
      </c>
      <c r="H28" s="2235" t="s">
        <v>2109</v>
      </c>
      <c r="I28" s="2336" t="s">
        <v>2126</v>
      </c>
      <c r="J28" s="2210"/>
      <c r="K28" s="2193" t="str">
        <f aca="false">'DG-PV Organic'!X23</f>
        <v>Gyeongsangnam-do</v>
      </c>
      <c r="L28" s="2212"/>
      <c r="M28" s="2213" t="str">
        <f aca="false">'DG-PV Organic'!G23</f>
        <v>BB-</v>
      </c>
      <c r="N28" s="2213" t="s">
        <v>362</v>
      </c>
      <c r="O28" s="2337" t="n">
        <f aca="false">'DG-PV Organic'!O23</f>
        <v>243.84</v>
      </c>
      <c r="P28" s="2206" t="n">
        <f aca="false">'DG-PV Organic'!L23</f>
        <v>1388</v>
      </c>
      <c r="Q28" s="2215" t="n">
        <f aca="false">P28/365</f>
        <v>3.8027397260274</v>
      </c>
      <c r="R28" s="2216" t="n">
        <f aca="false">'DG-PV Organic'!H23</f>
        <v>0.0872</v>
      </c>
      <c r="S28" s="2338" t="n">
        <f aca="false">'DG-PV Organic'!Q23</f>
        <v>45992</v>
      </c>
      <c r="T28" s="2339" t="n">
        <f aca="false">+EDATE(S28,6)</f>
        <v>46174</v>
      </c>
      <c r="U28" s="2340" t="n">
        <f aca="false">'DG-PV Organic'!AJ23*1.1/1000</f>
        <v>53644.8</v>
      </c>
      <c r="V28" s="2340" t="n">
        <f aca="false">'DG-PV Organic'!AK23*1.1/1000</f>
        <v>80467.2</v>
      </c>
      <c r="W28" s="2341" t="n">
        <f aca="false">SUM(U28:V28)</f>
        <v>134112</v>
      </c>
      <c r="X28" s="2341" t="n">
        <f aca="false">W28/O28*1000/1.1</f>
        <v>500000</v>
      </c>
      <c r="Y28" s="2342" t="n">
        <f aca="false">'DG-PV Organic'!AL23/1000*1.1</f>
        <v>281635.2</v>
      </c>
      <c r="Z28" s="2342" t="n">
        <f aca="false">65000</f>
        <v>65000</v>
      </c>
      <c r="AA28" s="2203"/>
      <c r="AB28" s="2332" t="n">
        <f aca="false">AI25</f>
        <v>5054405500000</v>
      </c>
      <c r="AC28" s="2333" t="s">
        <v>2129</v>
      </c>
      <c r="AD28" s="929" t="n">
        <f aca="false">+P28*O28</f>
        <v>338449.92</v>
      </c>
    </row>
    <row r="29" customFormat="false" ht="16.5" hidden="false" customHeight="true" outlineLevel="1" collapsed="false">
      <c r="A29" s="2346"/>
      <c r="B29" s="2347" t="str">
        <f aca="false">"DG Batch 2
18 PJTs"</f>
        <v>DG Batch 2
18 PJTs</v>
      </c>
      <c r="C29" s="2187" t="n">
        <f aca="false">SUBTOTAL(103,$D$23:J29)</f>
        <v>28</v>
      </c>
      <c r="D29" s="2207" t="str">
        <f aca="false">'DG-PV Organic'!B24</f>
        <v>Sammi </v>
      </c>
      <c r="E29" s="2208"/>
      <c r="F29" s="2209"/>
      <c r="G29" s="2336" t="s">
        <v>862</v>
      </c>
      <c r="H29" s="2235" t="s">
        <v>2109</v>
      </c>
      <c r="I29" s="2336" t="s">
        <v>2126</v>
      </c>
      <c r="J29" s="2210"/>
      <c r="K29" s="2193" t="str">
        <f aca="false">'DG-PV Organic'!X24</f>
        <v>Incheon</v>
      </c>
      <c r="L29" s="2212"/>
      <c r="M29" s="2213" t="str">
        <f aca="false">'DG-PV Organic'!G24</f>
        <v>BBB-</v>
      </c>
      <c r="N29" s="2213" t="s">
        <v>362</v>
      </c>
      <c r="O29" s="2337" t="n">
        <f aca="false">'DG-PV Organic'!O24</f>
        <v>2743.2</v>
      </c>
      <c r="P29" s="2206" t="n">
        <f aca="false">'DG-PV Organic'!L24</f>
        <v>1415</v>
      </c>
      <c r="Q29" s="2215" t="n">
        <f aca="false">P29/365</f>
        <v>3.87671232876712</v>
      </c>
      <c r="R29" s="2216" t="n">
        <f aca="false">'DG-PV Organic'!H24</f>
        <v>0.0886</v>
      </c>
      <c r="S29" s="2338" t="n">
        <f aca="false">'DG-PV Organic'!Q24</f>
        <v>45992</v>
      </c>
      <c r="T29" s="2339" t="n">
        <f aca="false">+EDATE(S29,6)</f>
        <v>46174</v>
      </c>
      <c r="U29" s="2340" t="n">
        <f aca="false">'DG-PV Organic'!AJ24*1.1/1000</f>
        <v>603504</v>
      </c>
      <c r="V29" s="2340" t="n">
        <f aca="false">'DG-PV Organic'!AK24*1.1/1000</f>
        <v>905256</v>
      </c>
      <c r="W29" s="2341" t="n">
        <f aca="false">SUM(U29:V29)</f>
        <v>1508760</v>
      </c>
      <c r="X29" s="2341" t="n">
        <f aca="false">W29/O29*1000/1.1</f>
        <v>500000</v>
      </c>
      <c r="Y29" s="2342" t="n">
        <f aca="false">'DG-PV Organic'!AL24/1000*1.1</f>
        <v>3168396</v>
      </c>
      <c r="Z29" s="2342" t="n">
        <f aca="false">65000</f>
        <v>65000</v>
      </c>
      <c r="AA29" s="2203"/>
      <c r="AB29" s="2343" t="n">
        <f aca="false">AB28/AB22</f>
        <v>3438371088.43537</v>
      </c>
      <c r="AC29" s="2344" t="s">
        <v>2130</v>
      </c>
      <c r="AD29" s="929" t="n">
        <f aca="false">+P29*O29</f>
        <v>3881628</v>
      </c>
    </row>
    <row r="30" customFormat="false" ht="16.5" hidden="false" customHeight="true" outlineLevel="1" collapsed="false">
      <c r="A30" s="2224" t="s">
        <v>2131</v>
      </c>
      <c r="B30" s="2347"/>
      <c r="C30" s="2187" t="n">
        <f aca="false">SUBTOTAL(103,$D$23:J30)</f>
        <v>32</v>
      </c>
      <c r="D30" s="2207" t="str">
        <f aca="false">'DG-PV Organic'!B25</f>
        <v>Kyunghan Korea 1</v>
      </c>
      <c r="E30" s="2208"/>
      <c r="F30" s="2209"/>
      <c r="G30" s="2336" t="s">
        <v>862</v>
      </c>
      <c r="H30" s="2235" t="s">
        <v>2109</v>
      </c>
      <c r="I30" s="2336" t="s">
        <v>2126</v>
      </c>
      <c r="J30" s="2210"/>
      <c r="K30" s="2193" t="str">
        <f aca="false">'DG-PV Organic'!X25</f>
        <v>Gyeongsangnam-do</v>
      </c>
      <c r="L30" s="2212"/>
      <c r="M30" s="2213" t="str">
        <f aca="false">'DG-PV Organic'!G25</f>
        <v>AAA</v>
      </c>
      <c r="N30" s="2213" t="s">
        <v>362</v>
      </c>
      <c r="O30" s="2337" t="n">
        <f aca="false">'DG-PV Organic'!O25</f>
        <v>695.325</v>
      </c>
      <c r="P30" s="2206" t="n">
        <f aca="false">'DG-PV Organic'!L25</f>
        <v>1392</v>
      </c>
      <c r="Q30" s="2215" t="n">
        <f aca="false">P30/365</f>
        <v>3.81369863013699</v>
      </c>
      <c r="R30" s="2216" t="n">
        <f aca="false">'DG-PV Organic'!H25</f>
        <v>0.0872</v>
      </c>
      <c r="S30" s="2338" t="n">
        <f aca="false">'DG-PV Organic'!Q25</f>
        <v>45992</v>
      </c>
      <c r="T30" s="2339" t="n">
        <f aca="false">+EDATE(S30,6)</f>
        <v>46174</v>
      </c>
      <c r="U30" s="2340" t="n">
        <f aca="false">'DG-PV Organic'!AJ25*1.1/1000</f>
        <v>152971.5</v>
      </c>
      <c r="V30" s="2340" t="n">
        <f aca="false">'DG-PV Organic'!AK25*1.1/1000</f>
        <v>229457.25</v>
      </c>
      <c r="W30" s="2341" t="n">
        <f aca="false">SUM(U30:V30)</f>
        <v>382428.75</v>
      </c>
      <c r="X30" s="2341" t="n">
        <f aca="false">W30/O30*1000/1.1</f>
        <v>500000</v>
      </c>
      <c r="Y30" s="2342" t="n">
        <f aca="false">'DG-PV Organic'!AL25/1000*1.1</f>
        <v>803100.375</v>
      </c>
      <c r="Z30" s="2342" t="n">
        <f aca="false">65000</f>
        <v>65000</v>
      </c>
      <c r="AA30" s="2203"/>
      <c r="AB30" s="2348"/>
      <c r="AC30" s="2348"/>
      <c r="AD30" s="929" t="n">
        <f aca="false">+P30*O30</f>
        <v>967892.4</v>
      </c>
    </row>
    <row r="31" customFormat="false" ht="16.5" hidden="false" customHeight="true" outlineLevel="1" collapsed="false">
      <c r="A31" s="2224" t="n">
        <v>2025</v>
      </c>
      <c r="B31" s="2349" t="n">
        <f aca="false">SUM(O23:O30,O32:O40)</f>
        <v>9994.115</v>
      </c>
      <c r="C31" s="2246" t="n">
        <f aca="false">SUBTOTAL(103,$D$23:J31)</f>
        <v>36</v>
      </c>
      <c r="D31" s="2247" t="str">
        <f aca="false">'DG-PV Organic'!B26</f>
        <v>Kyunghan Korea 2</v>
      </c>
      <c r="E31" s="2248"/>
      <c r="F31" s="2250"/>
      <c r="G31" s="2350" t="s">
        <v>862</v>
      </c>
      <c r="H31" s="2250" t="s">
        <v>2109</v>
      </c>
      <c r="I31" s="2350" t="s">
        <v>2126</v>
      </c>
      <c r="J31" s="2250"/>
      <c r="K31" s="2251" t="str">
        <f aca="false">'DG-PV Organic'!X26</f>
        <v>Gyeongsangnam-do</v>
      </c>
      <c r="L31" s="2252"/>
      <c r="M31" s="2253" t="str">
        <f aca="false">'DG-PV Organic'!G26</f>
        <v>AAA</v>
      </c>
      <c r="N31" s="2253" t="s">
        <v>362</v>
      </c>
      <c r="O31" s="2254" t="n">
        <f aca="false">'DG-PV Organic'!O26</f>
        <v>355.6</v>
      </c>
      <c r="P31" s="2246" t="n">
        <f aca="false">'DG-PV Organic'!L26</f>
        <v>1399</v>
      </c>
      <c r="Q31" s="2255" t="n">
        <f aca="false">P31/365</f>
        <v>3.83287671232877</v>
      </c>
      <c r="R31" s="2256" t="n">
        <f aca="false">'DG-PV Organic'!H26</f>
        <v>0.0878</v>
      </c>
      <c r="S31" s="2257" t="n">
        <f aca="false">'DG-PV Organic'!Q26</f>
        <v>45992</v>
      </c>
      <c r="T31" s="2257" t="n">
        <f aca="false">+EDATE(S31,6)</f>
        <v>46174</v>
      </c>
      <c r="U31" s="2258" t="n">
        <f aca="false">'DG-PV Organic'!AJ26*1.1/1000</f>
        <v>78232</v>
      </c>
      <c r="V31" s="2258" t="n">
        <f aca="false">'DG-PV Organic'!AK26*1.1/1000</f>
        <v>117348</v>
      </c>
      <c r="W31" s="2258" t="n">
        <f aca="false">SUM(U31:V31)</f>
        <v>195580</v>
      </c>
      <c r="X31" s="2259" t="n">
        <f aca="false">W31/O31*1000/1.1</f>
        <v>500000</v>
      </c>
      <c r="Y31" s="2259" t="n">
        <f aca="false">'DG-PV Organic'!AL26/1000*1.1</f>
        <v>410718</v>
      </c>
      <c r="Z31" s="2260" t="n">
        <f aca="false">65000</f>
        <v>65000</v>
      </c>
      <c r="AA31" s="2203"/>
      <c r="AB31" s="2348"/>
      <c r="AC31" s="2348"/>
      <c r="AD31" s="929" t="n">
        <f aca="false">+P31*O31</f>
        <v>497484.4</v>
      </c>
    </row>
    <row r="32" customFormat="false" ht="16.5" hidden="false" customHeight="true" outlineLevel="1" collapsed="false">
      <c r="A32" s="2205"/>
      <c r="B32" s="2186"/>
      <c r="C32" s="2187" t="n">
        <f aca="false">SUBTOTAL(103,$D$23:J32)</f>
        <v>40</v>
      </c>
      <c r="D32" s="2207" t="str">
        <f aca="false">'DG-PV Organic'!B27</f>
        <v>Yooil Rubber 1</v>
      </c>
      <c r="E32" s="2208"/>
      <c r="F32" s="2209"/>
      <c r="G32" s="2336" t="s">
        <v>862</v>
      </c>
      <c r="H32" s="2235" t="s">
        <v>2109</v>
      </c>
      <c r="I32" s="2336" t="s">
        <v>2126</v>
      </c>
      <c r="J32" s="2210"/>
      <c r="K32" s="2193" t="str">
        <f aca="false">'DG-PV Organic'!X27</f>
        <v>Busan</v>
      </c>
      <c r="L32" s="2212"/>
      <c r="M32" s="2213" t="str">
        <f aca="false">'DG-PV Organic'!G27</f>
        <v>BBB-</v>
      </c>
      <c r="N32" s="2213" t="s">
        <v>362</v>
      </c>
      <c r="O32" s="2337" t="n">
        <f aca="false">'DG-PV Organic'!O27</f>
        <v>913.765</v>
      </c>
      <c r="P32" s="2206" t="n">
        <f aca="false">'DG-PV Organic'!L27</f>
        <v>1391</v>
      </c>
      <c r="Q32" s="2215" t="n">
        <f aca="false">P32/365</f>
        <v>3.81095890410959</v>
      </c>
      <c r="R32" s="2216" t="n">
        <f aca="false">'DG-PV Organic'!H27</f>
        <v>0.0871</v>
      </c>
      <c r="S32" s="2338" t="n">
        <f aca="false">'DG-PV Organic'!Q27</f>
        <v>45992</v>
      </c>
      <c r="T32" s="2339" t="n">
        <f aca="false">+EDATE(S32,6)</f>
        <v>46174</v>
      </c>
      <c r="U32" s="2340" t="n">
        <f aca="false">'DG-PV Organic'!AJ27*1.1/1000</f>
        <v>201028.3</v>
      </c>
      <c r="V32" s="2340" t="n">
        <f aca="false">'DG-PV Organic'!AK27*1.1/1000</f>
        <v>301542.45</v>
      </c>
      <c r="W32" s="2341" t="n">
        <f aca="false">SUM(U32:V32)</f>
        <v>502570.75</v>
      </c>
      <c r="X32" s="2341" t="n">
        <f aca="false">W32/O32*1000/1.1</f>
        <v>500000</v>
      </c>
      <c r="Y32" s="2342" t="n">
        <f aca="false">'DG-PV Organic'!AL27/1000*1.1</f>
        <v>1055398.575</v>
      </c>
      <c r="Z32" s="2342" t="n">
        <f aca="false">65000</f>
        <v>65000</v>
      </c>
      <c r="AA32" s="2203"/>
      <c r="AB32" s="2348"/>
      <c r="AC32" s="2348"/>
      <c r="AD32" s="929" t="n">
        <f aca="false">+P32*O32</f>
        <v>1271047.115</v>
      </c>
    </row>
    <row r="33" customFormat="false" ht="16.5" hidden="false" customHeight="true" outlineLevel="1" collapsed="false">
      <c r="A33" s="2205"/>
      <c r="B33" s="2186"/>
      <c r="C33" s="2187" t="n">
        <f aca="false">SUBTOTAL(103,$D$23:J33)</f>
        <v>44</v>
      </c>
      <c r="D33" s="2207" t="str">
        <f aca="false">'DG-PV Organic'!B28</f>
        <v>Yooil Rubber 2</v>
      </c>
      <c r="E33" s="2351"/>
      <c r="F33" s="2352"/>
      <c r="G33" s="2336" t="s">
        <v>862</v>
      </c>
      <c r="H33" s="2353" t="s">
        <v>2109</v>
      </c>
      <c r="I33" s="2354" t="s">
        <v>2126</v>
      </c>
      <c r="J33" s="2355"/>
      <c r="K33" s="2193" t="str">
        <f aca="false">'DG-PV Organic'!X28</f>
        <v>Busan</v>
      </c>
      <c r="L33" s="2356"/>
      <c r="M33" s="2357" t="str">
        <f aca="false">'DG-PV Organic'!G28</f>
        <v>BBB-</v>
      </c>
      <c r="N33" s="2357" t="s">
        <v>362</v>
      </c>
      <c r="O33" s="2358" t="n">
        <f aca="false">'DG-PV Organic'!O28</f>
        <v>544.83</v>
      </c>
      <c r="P33" s="2359" t="n">
        <f aca="false">'DG-PV Organic'!L28</f>
        <v>1405</v>
      </c>
      <c r="Q33" s="2360" t="n">
        <f aca="false">P33/365</f>
        <v>3.84931506849315</v>
      </c>
      <c r="R33" s="2361" t="n">
        <f aca="false">'DG-PV Organic'!H28</f>
        <v>0.0884</v>
      </c>
      <c r="S33" s="2362" t="n">
        <f aca="false">'DG-PV Organic'!Q28</f>
        <v>45992</v>
      </c>
      <c r="T33" s="2363" t="n">
        <f aca="false">+EDATE(S33,6)</f>
        <v>46174</v>
      </c>
      <c r="U33" s="2340" t="n">
        <f aca="false">'DG-PV Organic'!AJ28*1.1/1000</f>
        <v>119862.6</v>
      </c>
      <c r="V33" s="2340" t="n">
        <f aca="false">'DG-PV Organic'!AK28*1.1/1000</f>
        <v>179793.9</v>
      </c>
      <c r="W33" s="2341" t="n">
        <f aca="false">SUM(U33:V33)</f>
        <v>299656.5</v>
      </c>
      <c r="X33" s="2341" t="n">
        <f aca="false">W33/O33*1000/1.1</f>
        <v>500000</v>
      </c>
      <c r="Y33" s="2342" t="n">
        <f aca="false">'DG-PV Organic'!AL28/1000*1.1</f>
        <v>629278.65</v>
      </c>
      <c r="Z33" s="2342" t="n">
        <f aca="false">65000</f>
        <v>65000</v>
      </c>
      <c r="AA33" s="2203"/>
      <c r="AB33" s="2348"/>
      <c r="AC33" s="2348"/>
      <c r="AD33" s="929" t="n">
        <f aca="false">+P33*O33</f>
        <v>765486.15</v>
      </c>
    </row>
    <row r="34" customFormat="false" ht="16.5" hidden="false" customHeight="true" outlineLevel="1" collapsed="false">
      <c r="A34" s="2205"/>
      <c r="B34" s="2186"/>
      <c r="C34" s="2187" t="n">
        <f aca="false">SUBTOTAL(103,$D$23:J34)</f>
        <v>48</v>
      </c>
      <c r="D34" s="2207" t="str">
        <f aca="false">'DG-PV Organic'!B29</f>
        <v>Doori Industry</v>
      </c>
      <c r="E34" s="2351"/>
      <c r="F34" s="2352"/>
      <c r="G34" s="2354" t="s">
        <v>839</v>
      </c>
      <c r="H34" s="2353" t="s">
        <v>2109</v>
      </c>
      <c r="I34" s="2354" t="s">
        <v>2132</v>
      </c>
      <c r="J34" s="2355"/>
      <c r="K34" s="2193" t="str">
        <f aca="false">'DG-PV Organic'!X29</f>
        <v>Gyeonggi-do</v>
      </c>
      <c r="L34" s="2356"/>
      <c r="M34" s="2357" t="str">
        <f aca="false">'DG-PV Organic'!G29</f>
        <v>B0</v>
      </c>
      <c r="N34" s="2357" t="s">
        <v>362</v>
      </c>
      <c r="O34" s="2358" t="n">
        <f aca="false">'DG-PV Organic'!O29</f>
        <v>210</v>
      </c>
      <c r="P34" s="2359" t="n">
        <f aca="false">'DG-PV Organic'!L29</f>
        <v>1399</v>
      </c>
      <c r="Q34" s="2360" t="n">
        <f aca="false">P34/365</f>
        <v>3.83287671232877</v>
      </c>
      <c r="R34" s="2361" t="n">
        <f aca="false">'DG-PV Organic'!H29</f>
        <v>0.0909</v>
      </c>
      <c r="S34" s="2362" t="n">
        <f aca="false">'DG-PV Organic'!Q29</f>
        <v>45894</v>
      </c>
      <c r="T34" s="2363" t="n">
        <f aca="false">+EDATE(S34,6)</f>
        <v>46078</v>
      </c>
      <c r="U34" s="2340" t="n">
        <f aca="false">'DG-PV Organic'!AJ29*1.1/1000</f>
        <v>34650</v>
      </c>
      <c r="V34" s="2340" t="n">
        <f aca="false">'DG-PV Organic'!AK29*1.1/1000</f>
        <v>69300</v>
      </c>
      <c r="W34" s="2341" t="n">
        <f aca="false">SUM(U34:V34)</f>
        <v>103950</v>
      </c>
      <c r="X34" s="2341" t="n">
        <f aca="false">W34/O34*1000/1.1</f>
        <v>450000</v>
      </c>
      <c r="Y34" s="2342" t="n">
        <f aca="false">'DG-PV Organic'!AL29/1000*1.1</f>
        <v>242550</v>
      </c>
      <c r="Z34" s="2342" t="n">
        <f aca="false">65000</f>
        <v>65000</v>
      </c>
      <c r="AA34" s="2203"/>
      <c r="AB34" s="2348"/>
      <c r="AC34" s="2348"/>
      <c r="AD34" s="929" t="n">
        <f aca="false">+P34*O34</f>
        <v>293790</v>
      </c>
    </row>
    <row r="35" customFormat="false" ht="16.5" hidden="false" customHeight="true" outlineLevel="1" collapsed="false">
      <c r="A35" s="2205"/>
      <c r="B35" s="2186"/>
      <c r="C35" s="2187" t="n">
        <f aca="false">SUBTOTAL(103,$D$23:J35)</f>
        <v>52</v>
      </c>
      <c r="D35" s="2207" t="str">
        <f aca="false">'DG-PV Organic'!B30</f>
        <v>Gyeongju Hyosung Energy farm</v>
      </c>
      <c r="E35" s="2351"/>
      <c r="F35" s="2352"/>
      <c r="G35" s="2354" t="s">
        <v>839</v>
      </c>
      <c r="H35" s="2353" t="s">
        <v>2109</v>
      </c>
      <c r="I35" s="2354" t="s">
        <v>2132</v>
      </c>
      <c r="J35" s="2355"/>
      <c r="K35" s="2193" t="str">
        <f aca="false">'DG-PV Organic'!X30</f>
        <v>Gyeongsangbuk-do</v>
      </c>
      <c r="L35" s="2356"/>
      <c r="M35" s="2357" t="str">
        <f aca="false">'DG-PV Organic'!G30</f>
        <v>BB+</v>
      </c>
      <c r="N35" s="2357" t="s">
        <v>362</v>
      </c>
      <c r="O35" s="2358" t="n">
        <f aca="false">'DG-PV Organic'!O30</f>
        <v>249.6</v>
      </c>
      <c r="P35" s="2359" t="n">
        <f aca="false">'DG-PV Organic'!L30</f>
        <v>1393</v>
      </c>
      <c r="Q35" s="2360" t="n">
        <f aca="false">P35/365</f>
        <v>3.81643835616438</v>
      </c>
      <c r="R35" s="2361" t="n">
        <f aca="false">'DG-PV Organic'!H30</f>
        <v>0.0904</v>
      </c>
      <c r="S35" s="2362" t="n">
        <f aca="false">'DG-PV Organic'!Q30</f>
        <v>45925</v>
      </c>
      <c r="T35" s="2363" t="n">
        <f aca="false">+EDATE(S35,6)</f>
        <v>46106</v>
      </c>
      <c r="U35" s="2340" t="n">
        <f aca="false">'DG-PV Organic'!AJ30*1.1/1000</f>
        <v>41184</v>
      </c>
      <c r="V35" s="2340" t="n">
        <f aca="false">'DG-PV Organic'!AK30*1.1/1000</f>
        <v>82368</v>
      </c>
      <c r="W35" s="2341" t="n">
        <f aca="false">SUM(U35:V35)</f>
        <v>123552</v>
      </c>
      <c r="X35" s="2341" t="n">
        <f aca="false">W35/O35*1000/1.1</f>
        <v>450000</v>
      </c>
      <c r="Y35" s="2342" t="n">
        <f aca="false">'DG-PV Organic'!AL30/1000*1.1</f>
        <v>288288</v>
      </c>
      <c r="Z35" s="2342" t="n">
        <f aca="false">65000</f>
        <v>65000</v>
      </c>
      <c r="AA35" s="2203"/>
      <c r="AB35" s="2348"/>
      <c r="AC35" s="2348"/>
      <c r="AD35" s="929" t="n">
        <f aca="false">+P35*O35</f>
        <v>347692.8</v>
      </c>
    </row>
    <row r="36" customFormat="false" ht="16.5" hidden="false" customHeight="true" outlineLevel="1" collapsed="false">
      <c r="A36" s="2205"/>
      <c r="B36" s="2186"/>
      <c r="C36" s="2187" t="n">
        <f aca="false">SUBTOTAL(103,$D$23:J36)</f>
        <v>56</v>
      </c>
      <c r="D36" s="2207" t="str">
        <f aca="false">'DG-PV Organic'!B31</f>
        <v>Kojimom Bio</v>
      </c>
      <c r="E36" s="2351"/>
      <c r="F36" s="2352"/>
      <c r="G36" s="2354" t="s">
        <v>839</v>
      </c>
      <c r="H36" s="2353" t="s">
        <v>2109</v>
      </c>
      <c r="I36" s="2354" t="s">
        <v>2132</v>
      </c>
      <c r="J36" s="2355"/>
      <c r="K36" s="2193" t="str">
        <f aca="false">'DG-PV Organic'!X31</f>
        <v>Chungcheongbuk-do</v>
      </c>
      <c r="L36" s="2356"/>
      <c r="M36" s="2357" t="str">
        <f aca="false">'DG-PV Organic'!G31</f>
        <v>CCC0</v>
      </c>
      <c r="N36" s="2357" t="s">
        <v>362</v>
      </c>
      <c r="O36" s="2358" t="n">
        <f aca="false">'DG-PV Organic'!O31</f>
        <v>264.32</v>
      </c>
      <c r="P36" s="2359" t="n">
        <f aca="false">'DG-PV Organic'!L31</f>
        <v>1360</v>
      </c>
      <c r="Q36" s="2360" t="n">
        <f aca="false">P36/365</f>
        <v>3.72602739726027</v>
      </c>
      <c r="R36" s="2361" t="n">
        <f aca="false">'DG-PV Organic'!H31</f>
        <v>0.0869</v>
      </c>
      <c r="S36" s="2362" t="n">
        <f aca="false">'DG-PV Organic'!Q31</f>
        <v>45925</v>
      </c>
      <c r="T36" s="2363" t="n">
        <f aca="false">+EDATE(S36,6)</f>
        <v>46106</v>
      </c>
      <c r="U36" s="2340" t="n">
        <f aca="false">'DG-PV Organic'!AJ31*1.1/1000</f>
        <v>43612.8</v>
      </c>
      <c r="V36" s="2340" t="n">
        <f aca="false">'DG-PV Organic'!AK31*1.1/1000</f>
        <v>87225.6</v>
      </c>
      <c r="W36" s="2341" t="n">
        <f aca="false">SUM(U36:V36)</f>
        <v>130838.4</v>
      </c>
      <c r="X36" s="2341" t="n">
        <f aca="false">W36/O36*1000/1.1</f>
        <v>450000</v>
      </c>
      <c r="Y36" s="2342" t="n">
        <f aca="false">'DG-PV Organic'!AL31/1000*1.1</f>
        <v>305289.6</v>
      </c>
      <c r="Z36" s="2342" t="n">
        <f aca="false">65000</f>
        <v>65000</v>
      </c>
      <c r="AA36" s="2203"/>
      <c r="AB36" s="2348"/>
      <c r="AC36" s="2348"/>
      <c r="AD36" s="929" t="n">
        <f aca="false">+P36*O36</f>
        <v>359475.2</v>
      </c>
    </row>
    <row r="37" customFormat="false" ht="16.5" hidden="false" customHeight="true" outlineLevel="1" collapsed="false">
      <c r="A37" s="2205"/>
      <c r="B37" s="2186"/>
      <c r="C37" s="2187" t="n">
        <f aca="false">SUBTOTAL(103,$D$23:J37)</f>
        <v>60</v>
      </c>
      <c r="D37" s="2207" t="str">
        <f aca="false">'DG-PV Organic'!B32</f>
        <v>Dongshin Motek</v>
      </c>
      <c r="E37" s="2351"/>
      <c r="F37" s="2352"/>
      <c r="G37" s="2354" t="s">
        <v>839</v>
      </c>
      <c r="H37" s="2353" t="s">
        <v>2109</v>
      </c>
      <c r="I37" s="2354" t="s">
        <v>2132</v>
      </c>
      <c r="J37" s="2355"/>
      <c r="K37" s="2193" t="str">
        <f aca="false">'DG-PV Organic'!X32</f>
        <v>Gyeongsangnam-do</v>
      </c>
      <c r="L37" s="2356"/>
      <c r="M37" s="2357" t="str">
        <f aca="false">'DG-PV Organic'!G32</f>
        <v>B+</v>
      </c>
      <c r="N37" s="2357" t="s">
        <v>362</v>
      </c>
      <c r="O37" s="2358" t="n">
        <f aca="false">'DG-PV Organic'!O32</f>
        <v>380.8</v>
      </c>
      <c r="P37" s="2359" t="n">
        <f aca="false">'DG-PV Organic'!L32</f>
        <v>1438</v>
      </c>
      <c r="Q37" s="2360" t="n">
        <f aca="false">P37/365</f>
        <v>3.93972602739726</v>
      </c>
      <c r="R37" s="2361" t="n">
        <f aca="false">'DG-PV Organic'!H32</f>
        <v>0.0953</v>
      </c>
      <c r="S37" s="2362" t="n">
        <f aca="false">'DG-PV Organic'!Q32</f>
        <v>45925</v>
      </c>
      <c r="T37" s="2363" t="n">
        <f aca="false">+EDATE(S37,6)</f>
        <v>46106</v>
      </c>
      <c r="U37" s="2340" t="n">
        <f aca="false">'DG-PV Organic'!AJ32*1.1/1000</f>
        <v>62832</v>
      </c>
      <c r="V37" s="2340" t="n">
        <f aca="false">'DG-PV Organic'!AK32*1.1/1000</f>
        <v>125664</v>
      </c>
      <c r="W37" s="2341" t="n">
        <f aca="false">SUM(U37:V37)</f>
        <v>188496</v>
      </c>
      <c r="X37" s="2341" t="n">
        <f aca="false">W37/O37*1000/1.1</f>
        <v>450000</v>
      </c>
      <c r="Y37" s="2342" t="n">
        <f aca="false">'DG-PV Organic'!AL32/1000*1.1</f>
        <v>439824</v>
      </c>
      <c r="Z37" s="2342" t="n">
        <f aca="false">65000</f>
        <v>65000</v>
      </c>
      <c r="AA37" s="2203"/>
      <c r="AB37" s="2348"/>
      <c r="AC37" s="2348"/>
      <c r="AD37" s="929" t="n">
        <f aca="false">+P37*O37</f>
        <v>547590.4</v>
      </c>
    </row>
    <row r="38" customFormat="false" ht="16.5" hidden="false" customHeight="true" outlineLevel="1" collapsed="false">
      <c r="A38" s="2205"/>
      <c r="B38" s="2186"/>
      <c r="C38" s="2187" t="n">
        <f aca="false">SUBTOTAL(103,$D$23:J38)</f>
        <v>64</v>
      </c>
      <c r="D38" s="2364" t="str">
        <f aca="false">'DG-PV Organic'!B33</f>
        <v>Vega</v>
      </c>
      <c r="E38" s="2351"/>
      <c r="F38" s="2352"/>
      <c r="G38" s="2354" t="s">
        <v>839</v>
      </c>
      <c r="H38" s="2353" t="s">
        <v>2109</v>
      </c>
      <c r="I38" s="2354" t="s">
        <v>2132</v>
      </c>
      <c r="J38" s="2355"/>
      <c r="K38" s="2193" t="str">
        <f aca="false">'DG-PV Organic'!X33</f>
        <v>Gyeongsangbuk-do</v>
      </c>
      <c r="L38" s="2356"/>
      <c r="M38" s="2357" t="str">
        <f aca="false">'DG-PV Organic'!G33</f>
        <v>CCC+</v>
      </c>
      <c r="N38" s="2357" t="s">
        <v>362</v>
      </c>
      <c r="O38" s="2358" t="n">
        <f aca="false">'DG-PV Organic'!O33</f>
        <v>560</v>
      </c>
      <c r="P38" s="2359" t="n">
        <f aca="false">'DG-PV Organic'!L33</f>
        <v>1449</v>
      </c>
      <c r="Q38" s="2360" t="n">
        <f aca="false">P38/365</f>
        <v>3.96986301369863</v>
      </c>
      <c r="R38" s="2361" t="n">
        <f aca="false">'DG-PV Organic'!H33</f>
        <v>0.0965</v>
      </c>
      <c r="S38" s="2362" t="n">
        <f aca="false">'DG-PV Organic'!Q33</f>
        <v>45925</v>
      </c>
      <c r="T38" s="2363" t="n">
        <f aca="false">+EDATE(S38,6)</f>
        <v>46106</v>
      </c>
      <c r="U38" s="2340" t="n">
        <f aca="false">'DG-PV Organic'!AJ33*1.1/1000</f>
        <v>92400</v>
      </c>
      <c r="V38" s="2340" t="n">
        <f aca="false">'DG-PV Organic'!AK33*1.1/1000</f>
        <v>184800</v>
      </c>
      <c r="W38" s="2341" t="n">
        <f aca="false">SUM(U38:V38)</f>
        <v>277200</v>
      </c>
      <c r="X38" s="2341" t="n">
        <f aca="false">W38/O38*1000/1.1</f>
        <v>450000</v>
      </c>
      <c r="Y38" s="2342" t="n">
        <f aca="false">'DG-PV Organic'!AL33/1000*1.1</f>
        <v>646800</v>
      </c>
      <c r="Z38" s="2342" t="n">
        <f aca="false">65000</f>
        <v>65000</v>
      </c>
      <c r="AA38" s="2203"/>
      <c r="AB38" s="2348"/>
      <c r="AC38" s="2348"/>
      <c r="AD38" s="929" t="n">
        <f aca="false">+P38*O38</f>
        <v>811440</v>
      </c>
    </row>
    <row r="39" customFormat="false" ht="16.5" hidden="false" customHeight="true" outlineLevel="1" collapsed="false">
      <c r="A39" s="2205"/>
      <c r="B39" s="2186"/>
      <c r="C39" s="2187" t="n">
        <f aca="false">SUBTOTAL(103,$D$23:J39)</f>
        <v>68</v>
      </c>
      <c r="D39" s="2364" t="str">
        <f aca="false">'DG-PV Organic'!B34</f>
        <v>Korea Kospack</v>
      </c>
      <c r="E39" s="2351"/>
      <c r="F39" s="2352"/>
      <c r="G39" s="2354" t="s">
        <v>839</v>
      </c>
      <c r="H39" s="2353" t="s">
        <v>2109</v>
      </c>
      <c r="I39" s="2354" t="s">
        <v>2132</v>
      </c>
      <c r="J39" s="2355"/>
      <c r="K39" s="2193" t="str">
        <f aca="false">'DG-PV Organic'!X34</f>
        <v>Chungcheongbuk-do</v>
      </c>
      <c r="L39" s="2356"/>
      <c r="M39" s="2357" t="str">
        <f aca="false">'DG-PV Organic'!G34</f>
        <v>CCC+</v>
      </c>
      <c r="N39" s="2357" t="s">
        <v>362</v>
      </c>
      <c r="O39" s="2358" t="n">
        <f aca="false">'DG-PV Organic'!O34</f>
        <v>556.16</v>
      </c>
      <c r="P39" s="2359" t="n">
        <f aca="false">'DG-PV Organic'!L34</f>
        <v>1362</v>
      </c>
      <c r="Q39" s="2360" t="n">
        <f aca="false">P39/365</f>
        <v>3.73150684931507</v>
      </c>
      <c r="R39" s="2361" t="n">
        <f aca="false">'DG-PV Organic'!H34</f>
        <v>0.0873</v>
      </c>
      <c r="S39" s="2362" t="n">
        <f aca="false">'DG-PV Organic'!Q34</f>
        <v>45925</v>
      </c>
      <c r="T39" s="2363" t="n">
        <f aca="false">+EDATE(S39,6)</f>
        <v>46106</v>
      </c>
      <c r="U39" s="2340" t="n">
        <f aca="false">'DG-PV Organic'!AJ34*1.1/1000</f>
        <v>91766.4</v>
      </c>
      <c r="V39" s="2340" t="n">
        <f aca="false">'DG-PV Organic'!AK34*1.1/1000</f>
        <v>183532.8</v>
      </c>
      <c r="W39" s="2341" t="n">
        <f aca="false">SUM(U39:V39)</f>
        <v>275299.2</v>
      </c>
      <c r="X39" s="2341" t="n">
        <f aca="false">W39/O39*1000/1.1</f>
        <v>450000</v>
      </c>
      <c r="Y39" s="2342" t="n">
        <f aca="false">'DG-PV Organic'!AL34/1000*1.1</f>
        <v>642364.8</v>
      </c>
      <c r="Z39" s="2342" t="n">
        <f aca="false">65000</f>
        <v>65000</v>
      </c>
      <c r="AA39" s="2203"/>
      <c r="AB39" s="2348"/>
      <c r="AC39" s="2348"/>
      <c r="AD39" s="929" t="n">
        <f aca="false">+P39*O39</f>
        <v>757489.92</v>
      </c>
    </row>
    <row r="40" customFormat="false" ht="16.5" hidden="false" customHeight="false" outlineLevel="1" collapsed="false">
      <c r="A40" s="2271"/>
      <c r="B40" s="2272"/>
      <c r="C40" s="2273" t="n">
        <f aca="false">SUBTOTAL(103,$D$23:J40)</f>
        <v>72</v>
      </c>
      <c r="D40" s="2274" t="str">
        <f aca="false">'DG-PV Organic'!B35</f>
        <v>Pungcheon Im clan</v>
      </c>
      <c r="E40" s="2275"/>
      <c r="F40" s="2277"/>
      <c r="G40" s="2365" t="s">
        <v>839</v>
      </c>
      <c r="H40" s="2277" t="s">
        <v>2109</v>
      </c>
      <c r="I40" s="2365" t="s">
        <v>2132</v>
      </c>
      <c r="J40" s="2278"/>
      <c r="K40" s="2366" t="str">
        <f aca="false">'DG-PV Organic'!X35</f>
        <v>Gyeonggi-do</v>
      </c>
      <c r="L40" s="2280"/>
      <c r="M40" s="2281" t="str">
        <f aca="false">'DG-PV Organic'!G35</f>
        <v>CCC+</v>
      </c>
      <c r="N40" s="2281" t="s">
        <v>362</v>
      </c>
      <c r="O40" s="2367" t="n">
        <f aca="false">'DG-PV Organic'!O35</f>
        <v>188.16</v>
      </c>
      <c r="P40" s="2273" t="n">
        <f aca="false">'DG-PV Organic'!L35</f>
        <v>1410</v>
      </c>
      <c r="Q40" s="2283" t="n">
        <f aca="false">P40/365</f>
        <v>3.86301369863014</v>
      </c>
      <c r="R40" s="2284" t="n">
        <f aca="false">'DG-PV Organic'!H35</f>
        <v>0.0919</v>
      </c>
      <c r="S40" s="2368" t="n">
        <f aca="false">'DG-PV Organic'!Q35</f>
        <v>45925</v>
      </c>
      <c r="T40" s="2369" t="n">
        <f aca="false">+EDATE(S40,6)</f>
        <v>46106</v>
      </c>
      <c r="U40" s="2370" t="n">
        <f aca="false">'DG-PV Organic'!AJ35*1.1/1000</f>
        <v>31046.4</v>
      </c>
      <c r="V40" s="2370" t="n">
        <f aca="false">'DG-PV Organic'!AK35*1.1/1000</f>
        <v>62092.8</v>
      </c>
      <c r="W40" s="2370" t="n">
        <f aca="false">SUM(U40:V40)</f>
        <v>93139.2</v>
      </c>
      <c r="X40" s="2370" t="n">
        <f aca="false">W40/O40*1000/1.1</f>
        <v>450000</v>
      </c>
      <c r="Y40" s="2371" t="n">
        <f aca="false">'DG-PV Organic'!AL35/1000*1.1</f>
        <v>217324.8</v>
      </c>
      <c r="Z40" s="2371" t="n">
        <f aca="false">65000</f>
        <v>65000</v>
      </c>
      <c r="AA40" s="2289"/>
      <c r="AB40" s="2348"/>
      <c r="AC40" s="2348"/>
      <c r="AD40" s="929" t="n">
        <f aca="false">+P40*O40</f>
        <v>265305.6</v>
      </c>
    </row>
    <row r="41" customFormat="false" ht="16.5" hidden="false" customHeight="true" outlineLevel="0" collapsed="false">
      <c r="A41" s="2290" t="s">
        <v>2122</v>
      </c>
      <c r="B41" s="2290"/>
      <c r="C41" s="2187"/>
      <c r="D41" s="2188"/>
      <c r="E41" s="2189"/>
      <c r="F41" s="2190"/>
      <c r="G41" s="2190"/>
      <c r="H41" s="2190"/>
      <c r="I41" s="2190"/>
      <c r="J41" s="2192"/>
      <c r="K41" s="2193"/>
      <c r="L41" s="2194"/>
      <c r="M41" s="2195"/>
      <c r="N41" s="2195"/>
      <c r="O41" s="2372" t="n">
        <f aca="false">SUM(O44:O68)</f>
        <v>20794.755</v>
      </c>
      <c r="P41" s="2187"/>
      <c r="Q41" s="2197"/>
      <c r="R41" s="2373"/>
      <c r="S41" s="2199"/>
      <c r="T41" s="2374"/>
      <c r="U41" s="2375"/>
      <c r="V41" s="2376"/>
      <c r="W41" s="2201"/>
      <c r="X41" s="2201"/>
      <c r="Y41" s="2201"/>
      <c r="Z41" s="2202"/>
      <c r="AA41" s="2203"/>
      <c r="AB41" s="2348"/>
      <c r="AC41" s="2348"/>
      <c r="AD41" s="929" t="n">
        <f aca="false">SUM(AD23:AD40)</f>
        <v>14537550.79</v>
      </c>
    </row>
    <row r="42" customFormat="false" ht="16.5" hidden="false" customHeight="true" outlineLevel="0" collapsed="false">
      <c r="A42" s="2224" t="s">
        <v>2123</v>
      </c>
      <c r="B42" s="2224"/>
      <c r="C42" s="2187"/>
      <c r="D42" s="2188"/>
      <c r="E42" s="2189"/>
      <c r="F42" s="2190"/>
      <c r="G42" s="2190"/>
      <c r="H42" s="2190"/>
      <c r="I42" s="2190"/>
      <c r="J42" s="2192"/>
      <c r="K42" s="2193"/>
      <c r="L42" s="2194"/>
      <c r="M42" s="2195"/>
      <c r="N42" s="2195"/>
      <c r="O42" s="2196"/>
      <c r="P42" s="2187"/>
      <c r="Q42" s="2197"/>
      <c r="R42" s="2373"/>
      <c r="S42" s="2373"/>
      <c r="T42" s="2374"/>
      <c r="U42" s="2375"/>
      <c r="V42" s="2376"/>
      <c r="W42" s="2201"/>
      <c r="X42" s="2201"/>
      <c r="Y42" s="2201"/>
      <c r="Z42" s="2202"/>
      <c r="AA42" s="2203"/>
      <c r="AB42" s="2348"/>
      <c r="AC42" s="2348"/>
      <c r="AD42" s="914" t="n">
        <f aca="false">+AD41/O20</f>
        <v>1454.61111764273</v>
      </c>
    </row>
    <row r="43" customFormat="false" ht="16.5" hidden="false" customHeight="true" outlineLevel="0" collapsed="false">
      <c r="A43" s="2296" t="s">
        <v>2124</v>
      </c>
      <c r="B43" s="2296"/>
      <c r="C43" s="2297"/>
      <c r="D43" s="2298"/>
      <c r="E43" s="1048"/>
      <c r="F43" s="2299"/>
      <c r="G43" s="2299"/>
      <c r="H43" s="2299"/>
      <c r="I43" s="2299"/>
      <c r="J43" s="2300"/>
      <c r="K43" s="2301"/>
      <c r="L43" s="2302"/>
      <c r="M43" s="2303"/>
      <c r="N43" s="2303"/>
      <c r="O43" s="2304"/>
      <c r="P43" s="2297"/>
      <c r="Q43" s="2305"/>
      <c r="R43" s="2377"/>
      <c r="S43" s="2307"/>
      <c r="T43" s="2378"/>
      <c r="U43" s="2379"/>
      <c r="V43" s="2380"/>
      <c r="W43" s="2381" t="s">
        <v>2133</v>
      </c>
      <c r="X43" s="2381"/>
      <c r="Y43" s="2381"/>
      <c r="Z43" s="2311"/>
      <c r="AA43" s="2203"/>
      <c r="AB43" s="2348"/>
      <c r="AC43" s="2348"/>
    </row>
    <row r="44" customFormat="false" ht="16.5" hidden="false" customHeight="true" outlineLevel="0" collapsed="false">
      <c r="A44" s="2382" t="s">
        <v>2134</v>
      </c>
      <c r="B44" s="2383" t="str">
        <f aca="false">"DG Batch 3
 - PJT"</f>
        <v>DG Batch 3
 - PJT</v>
      </c>
      <c r="C44" s="2384" t="n">
        <f aca="false">SUBTOTAL(103,$D$44:D44)</f>
        <v>1</v>
      </c>
      <c r="D44" s="2188" t="str">
        <f aca="false">'DG-PV Organic'!B38</f>
        <v>Guemjeong Techno</v>
      </c>
      <c r="E44" s="2189" t="s">
        <v>1129</v>
      </c>
      <c r="F44" s="2385" t="s">
        <v>2135</v>
      </c>
      <c r="G44" s="2190"/>
      <c r="H44" s="2190"/>
      <c r="I44" s="2190"/>
      <c r="J44" s="2192" t="s">
        <v>1131</v>
      </c>
      <c r="K44" s="2193" t="str">
        <f aca="false">'DG-PV Organic'!X38</f>
        <v>Gyeonggi-do</v>
      </c>
      <c r="L44" s="2194" t="n">
        <f aca="false">'DG-PV Organic'!K38</f>
        <v>168.7687</v>
      </c>
      <c r="M44" s="2195" t="str">
        <f aca="false">'DG-PV Organic'!G38</f>
        <v> B-</v>
      </c>
      <c r="N44" s="2195" t="s">
        <v>362</v>
      </c>
      <c r="O44" s="2324" t="n">
        <f aca="false">'DG-PV Organic'!O38</f>
        <v>122</v>
      </c>
      <c r="P44" s="2187" t="n">
        <f aca="false">'DG-PV Organic'!L38</f>
        <v>1385</v>
      </c>
      <c r="Q44" s="2196" t="n">
        <f aca="false">P44/365</f>
        <v>3.79452054794521</v>
      </c>
      <c r="R44" s="2187" t="n">
        <f aca="false">'DG-PV Organic'!H38</f>
        <v>0.0895</v>
      </c>
      <c r="S44" s="2327" t="n">
        <f aca="false">'DG-PV Organic'!Q38</f>
        <v>45925</v>
      </c>
      <c r="T44" s="2328" t="n">
        <f aca="false">+EDATE(S44,6)</f>
        <v>46106</v>
      </c>
      <c r="U44" s="2200" t="n">
        <f aca="false">'DG-PV Organic'!AJ38/1000*1.1</f>
        <v>20130</v>
      </c>
      <c r="V44" s="2201" t="n">
        <f aca="false">'DG-PV Organic'!AK38/1000*1.1</f>
        <v>40260</v>
      </c>
      <c r="W44" s="2201" t="n">
        <f aca="false">SUM(U44:V44)</f>
        <v>60390</v>
      </c>
      <c r="X44" s="2201" t="n">
        <f aca="false">W44/O44</f>
        <v>495</v>
      </c>
      <c r="Y44" s="2201" t="n">
        <f aca="false">'DG-PV Organic'!AL38/1000*1.1</f>
        <v>140910</v>
      </c>
      <c r="Z44" s="2331" t="n">
        <v>65000</v>
      </c>
      <c r="AA44" s="2203" t="n">
        <f aca="false">'DG-PV Organic'!AI38</f>
        <v>21350000</v>
      </c>
      <c r="AB44" s="2348"/>
      <c r="AC44" s="2348"/>
      <c r="AF44" s="2334" t="n">
        <f aca="false">+SUM(O44:O65)</f>
        <v>18388.015</v>
      </c>
      <c r="AG44" s="2334"/>
      <c r="AH44" s="2334" t="n">
        <v>500000000</v>
      </c>
      <c r="AI44" s="2334" t="n">
        <f aca="false">+AF44*AH44</f>
        <v>9194007500000</v>
      </c>
      <c r="AJ44" s="2335"/>
    </row>
    <row r="45" customFormat="false" ht="16.5" hidden="false" customHeight="true" outlineLevel="0" collapsed="false">
      <c r="A45" s="2205"/>
      <c r="B45" s="2386"/>
      <c r="C45" s="2387" t="n">
        <f aca="false">SUBTOTAL(103,$D$44:D45)</f>
        <v>2</v>
      </c>
      <c r="D45" s="2188" t="str">
        <f aca="false">'DG-PV Organic'!B39</f>
        <v>Epyeonan nursing home</v>
      </c>
      <c r="E45" s="2208" t="s">
        <v>2136</v>
      </c>
      <c r="F45" s="2223" t="s">
        <v>2137</v>
      </c>
      <c r="G45" s="2209"/>
      <c r="H45" s="2209"/>
      <c r="I45" s="2209"/>
      <c r="J45" s="2210" t="s">
        <v>2138</v>
      </c>
      <c r="K45" s="2193" t="str">
        <f aca="false">'DG-PV Organic'!X39</f>
        <v>Gyeonggi-do</v>
      </c>
      <c r="L45" s="2194" t="n">
        <f aca="false">'DG-PV Organic'!K39</f>
        <v>246.0976</v>
      </c>
      <c r="M45" s="2195" t="str">
        <f aca="false">'DG-PV Organic'!G39</f>
        <v> B+</v>
      </c>
      <c r="N45" s="2195" t="s">
        <v>362</v>
      </c>
      <c r="O45" s="2337" t="n">
        <f aca="false">'DG-PV Organic'!O39</f>
        <v>172</v>
      </c>
      <c r="P45" s="2187" t="n">
        <f aca="false">'DG-PV Organic'!L39</f>
        <v>1430.8</v>
      </c>
      <c r="Q45" s="2196" t="n">
        <f aca="false">P45/365</f>
        <v>3.92</v>
      </c>
      <c r="R45" s="2187" t="n">
        <f aca="false">'DG-PV Organic'!H39</f>
        <v>0.0945</v>
      </c>
      <c r="S45" s="2338" t="n">
        <f aca="false">'DG-PV Organic'!Q39</f>
        <v>45925</v>
      </c>
      <c r="T45" s="2339" t="n">
        <f aca="false">+EDATE(S45,6)</f>
        <v>46106</v>
      </c>
      <c r="U45" s="2200" t="n">
        <f aca="false">'DG-PV Organic'!AJ39/1000*1.1</f>
        <v>28380</v>
      </c>
      <c r="V45" s="2201" t="n">
        <f aca="false">'DG-PV Organic'!AK39/1000*1.1</f>
        <v>56760</v>
      </c>
      <c r="W45" s="2201" t="n">
        <f aca="false">SUM(U45:V45)</f>
        <v>85140</v>
      </c>
      <c r="X45" s="2201" t="n">
        <f aca="false">W45/O45</f>
        <v>495</v>
      </c>
      <c r="Y45" s="2201" t="n">
        <f aca="false">'DG-PV Organic'!AL39/1000*1.1</f>
        <v>198660</v>
      </c>
      <c r="Z45" s="2342" t="n">
        <v>65000</v>
      </c>
      <c r="AA45" s="2203" t="n">
        <f aca="false">'DG-PV Organic'!AI39</f>
        <v>30100000</v>
      </c>
      <c r="AB45" s="2348"/>
      <c r="AC45" s="2348"/>
      <c r="AF45" s="2334"/>
      <c r="AG45" s="2334" t="n">
        <f aca="false">+AF45+AF44</f>
        <v>18388.015</v>
      </c>
      <c r="AH45" s="2334" t="n">
        <v>450000000</v>
      </c>
      <c r="AI45" s="2334" t="n">
        <f aca="false">+AF45*AH45</f>
        <v>0</v>
      </c>
      <c r="AJ45" s="2335"/>
    </row>
    <row r="46" customFormat="false" ht="16.5" hidden="false" customHeight="true" outlineLevel="0" collapsed="false">
      <c r="A46" s="2205"/>
      <c r="B46" s="2386"/>
      <c r="C46" s="2387" t="n">
        <f aca="false">SUBTOTAL(103,$D$44:D46)</f>
        <v>3</v>
      </c>
      <c r="D46" s="2188" t="str">
        <f aca="false">'DG-PV Organic'!B40</f>
        <v>Gemtech</v>
      </c>
      <c r="E46" s="2208" t="s">
        <v>2139</v>
      </c>
      <c r="F46" s="2223" t="s">
        <v>2140</v>
      </c>
      <c r="G46" s="2209"/>
      <c r="H46" s="2209"/>
      <c r="I46" s="2209"/>
      <c r="J46" s="2210" t="s">
        <v>2141</v>
      </c>
      <c r="K46" s="2193" t="str">
        <f aca="false">'DG-PV Organic'!X40</f>
        <v>Daegu</v>
      </c>
      <c r="L46" s="2194" t="n">
        <f aca="false">'DG-PV Organic'!K40</f>
        <v>359.89</v>
      </c>
      <c r="M46" s="2195" t="str">
        <f aca="false">'DG-PV Organic'!G40</f>
        <v>CCC+</v>
      </c>
      <c r="N46" s="2195" t="s">
        <v>362</v>
      </c>
      <c r="O46" s="2337" t="n">
        <f aca="false">'DG-PV Organic'!O40</f>
        <v>232.32</v>
      </c>
      <c r="P46" s="2187" t="n">
        <f aca="false">'DG-PV Organic'!L40</f>
        <v>1547</v>
      </c>
      <c r="Q46" s="2196" t="n">
        <f aca="false">P46/365</f>
        <v>4.23835616438356</v>
      </c>
      <c r="R46" s="2187" t="n">
        <f aca="false">'DG-PV Organic'!H40</f>
        <v>0.1065</v>
      </c>
      <c r="S46" s="2338" t="n">
        <f aca="false">'DG-PV Organic'!Q40</f>
        <v>45925</v>
      </c>
      <c r="T46" s="2339" t="n">
        <f aca="false">+EDATE(S46,6)</f>
        <v>46106</v>
      </c>
      <c r="U46" s="2200" t="n">
        <f aca="false">'DG-PV Organic'!AJ40/1000*1.1</f>
        <v>38332.8</v>
      </c>
      <c r="V46" s="2201" t="n">
        <f aca="false">'DG-PV Organic'!AK40/1000*1.1</f>
        <v>76665.6</v>
      </c>
      <c r="W46" s="2201" t="n">
        <f aca="false">SUM(U46:V46)</f>
        <v>114998.4</v>
      </c>
      <c r="X46" s="2201" t="n">
        <f aca="false">W46/O46</f>
        <v>495</v>
      </c>
      <c r="Y46" s="2201" t="n">
        <f aca="false">'DG-PV Organic'!AL40/1000*1.1</f>
        <v>268329.6</v>
      </c>
      <c r="Z46" s="2342" t="n">
        <v>65000</v>
      </c>
      <c r="AA46" s="2203" t="n">
        <f aca="false">'DG-PV Organic'!AI40</f>
        <v>40600000</v>
      </c>
      <c r="AB46" s="2348"/>
      <c r="AC46" s="2348"/>
      <c r="AF46" s="2334" t="n">
        <f aca="false">+AF44+AF45</f>
        <v>18388.015</v>
      </c>
      <c r="AG46" s="2334"/>
      <c r="AH46" s="2334"/>
      <c r="AI46" s="2334" t="n">
        <f aca="false">+AI44+AI45</f>
        <v>9194007500000</v>
      </c>
      <c r="AJ46" s="2345" t="n">
        <f aca="false">+AI46/AF46</f>
        <v>500000000</v>
      </c>
    </row>
    <row r="47" customFormat="false" ht="16.5" hidden="false" customHeight="true" outlineLevel="0" collapsed="false">
      <c r="A47" s="2205"/>
      <c r="B47" s="2386"/>
      <c r="C47" s="2387" t="n">
        <f aca="false">SUBTOTAL(103,$D$44:D47)</f>
        <v>4</v>
      </c>
      <c r="D47" s="2188" t="str">
        <f aca="false">'DG-PV Organic'!B47</f>
        <v>LSG</v>
      </c>
      <c r="E47" s="2208" t="s">
        <v>2142</v>
      </c>
      <c r="F47" s="2223" t="s">
        <v>2143</v>
      </c>
      <c r="G47" s="2209"/>
      <c r="H47" s="2209"/>
      <c r="I47" s="2209"/>
      <c r="J47" s="2210" t="s">
        <v>2144</v>
      </c>
      <c r="K47" s="2193" t="str">
        <f aca="false">'DG-PV Organic'!X47</f>
        <v>Gangwon-do</v>
      </c>
      <c r="L47" s="2194" t="n">
        <f aca="false">'DG-PV Organic'!K47</f>
        <v>716.72196</v>
      </c>
      <c r="M47" s="2195" t="str">
        <f aca="false">'DG-PV Organic'!G47</f>
        <v>B+</v>
      </c>
      <c r="N47" s="2195" t="s">
        <v>362</v>
      </c>
      <c r="O47" s="2337" t="n">
        <f aca="false">'DG-PV Organic'!O47</f>
        <v>499.11</v>
      </c>
      <c r="P47" s="2187" t="n">
        <f aca="false">'DG-PV Organic'!L47</f>
        <v>1436</v>
      </c>
      <c r="Q47" s="2196" t="n">
        <f aca="false">P47/365</f>
        <v>3.93424657534247</v>
      </c>
      <c r="R47" s="2187" t="n">
        <f aca="false">'DG-PV Organic'!H47</f>
        <v>0.0917</v>
      </c>
      <c r="S47" s="2338" t="n">
        <f aca="false">'DG-PV Organic'!Q47</f>
        <v>45962</v>
      </c>
      <c r="T47" s="2338" t="n">
        <f aca="false">+EDATE(S47,6)</f>
        <v>46143</v>
      </c>
      <c r="U47" s="2200" t="n">
        <f aca="false">'DG-PV Organic'!AJ47/1000*1.1</f>
        <v>109804.2</v>
      </c>
      <c r="V47" s="2201" t="n">
        <f aca="false">'DG-PV Organic'!AK47/1000*1.1</f>
        <v>164706.3</v>
      </c>
      <c r="W47" s="2201" t="n">
        <f aca="false">SUM(U47:V47)</f>
        <v>274510.5</v>
      </c>
      <c r="X47" s="2201" t="n">
        <f aca="false">W47/O47</f>
        <v>550</v>
      </c>
      <c r="Y47" s="2201" t="n">
        <f aca="false">'DG-PV Organic'!AL47/1000*1.1</f>
        <v>576472.05</v>
      </c>
      <c r="Z47" s="2342" t="n">
        <v>65000</v>
      </c>
      <c r="AA47" s="2203" t="n">
        <f aca="false">'DG-PV Organic'!AI47</f>
        <v>99822000</v>
      </c>
      <c r="AB47" s="2388"/>
      <c r="AC47" s="2388"/>
    </row>
    <row r="48" customFormat="false" ht="16.5" hidden="false" customHeight="true" outlineLevel="0" collapsed="false">
      <c r="A48" s="2205"/>
      <c r="B48" s="2386"/>
      <c r="C48" s="2387" t="n">
        <f aca="false">SUBTOTAL(103,$D$44:D48)</f>
        <v>5</v>
      </c>
      <c r="D48" s="2188" t="str">
        <f aca="false">'DG-PV Organic'!B48</f>
        <v>Hanseo Motors</v>
      </c>
      <c r="E48" s="2208" t="s">
        <v>2145</v>
      </c>
      <c r="F48" s="2223" t="s">
        <v>2146</v>
      </c>
      <c r="G48" s="2209"/>
      <c r="H48" s="2209"/>
      <c r="I48" s="2209"/>
      <c r="J48" s="2210" t="s">
        <v>2147</v>
      </c>
      <c r="K48" s="2193" t="str">
        <f aca="false">'DG-PV Organic'!X48</f>
        <v>Gangwon-do</v>
      </c>
      <c r="L48" s="2194" t="n">
        <f aca="false">'DG-PV Organic'!K48</f>
        <v>192.024</v>
      </c>
      <c r="M48" s="2195" t="str">
        <f aca="false">'DG-PV Organic'!G48</f>
        <v>B+</v>
      </c>
      <c r="N48" s="2195" t="s">
        <v>362</v>
      </c>
      <c r="O48" s="2337" t="n">
        <f aca="false">'DG-PV Organic'!O48</f>
        <v>142.875</v>
      </c>
      <c r="P48" s="2187" t="n">
        <f aca="false">'DG-PV Organic'!L48</f>
        <v>1344</v>
      </c>
      <c r="Q48" s="2196" t="n">
        <f aca="false">P48/365</f>
        <v>3.68219178082192</v>
      </c>
      <c r="R48" s="2187" t="n">
        <f aca="false">'DG-PV Organic'!H48</f>
        <v>0.0819</v>
      </c>
      <c r="S48" s="2338" t="n">
        <f aca="false">'DG-PV Organic'!Q48</f>
        <v>45962</v>
      </c>
      <c r="T48" s="2338" t="n">
        <f aca="false">+EDATE(S48,6)</f>
        <v>46143</v>
      </c>
      <c r="U48" s="2200" t="n">
        <f aca="false">'DG-PV Organic'!AJ48/1000*1.1</f>
        <v>31432.5</v>
      </c>
      <c r="V48" s="2201" t="n">
        <f aca="false">'DG-PV Organic'!AK48/1000*1.1</f>
        <v>47148.75</v>
      </c>
      <c r="W48" s="2201" t="n">
        <f aca="false">SUM(U48:V48)</f>
        <v>78581.25</v>
      </c>
      <c r="X48" s="2201" t="n">
        <f aca="false">W48/O48</f>
        <v>550</v>
      </c>
      <c r="Y48" s="2201" t="n">
        <f aca="false">'DG-PV Organic'!AL48/1000*1.1</f>
        <v>165020.625</v>
      </c>
      <c r="Z48" s="2342" t="n">
        <v>65000</v>
      </c>
      <c r="AA48" s="2203" t="n">
        <f aca="false">'DG-PV Organic'!AI48</f>
        <v>28575000</v>
      </c>
      <c r="AB48" s="2348"/>
      <c r="AC48" s="2388"/>
    </row>
    <row r="49" customFormat="false" ht="16.5" hidden="false" customHeight="true" outlineLevel="0" collapsed="false">
      <c r="A49" s="2205"/>
      <c r="B49" s="2386"/>
      <c r="C49" s="2387" t="n">
        <f aca="false">SUBTOTAL(103,$D$44:D49)</f>
        <v>6</v>
      </c>
      <c r="D49" s="2188" t="str">
        <f aca="false">'DG-PV Organic'!B49</f>
        <v>Dongsung Metal</v>
      </c>
      <c r="E49" s="2208" t="s">
        <v>1051</v>
      </c>
      <c r="F49" s="2223" t="s">
        <v>1052</v>
      </c>
      <c r="G49" s="2209"/>
      <c r="H49" s="2209"/>
      <c r="I49" s="2209"/>
      <c r="J49" s="2210" t="s">
        <v>1053</v>
      </c>
      <c r="K49" s="2193" t="str">
        <f aca="false">'DG-PV Organic'!X49</f>
        <v>Gyeongsangbuk-do</v>
      </c>
      <c r="L49" s="2194" t="n">
        <f aca="false">'DG-PV Organic'!K49</f>
        <v>706.03344</v>
      </c>
      <c r="M49" s="2195" t="str">
        <f aca="false">'DG-PV Organic'!G49</f>
        <v>BB-</v>
      </c>
      <c r="N49" s="2195" t="s">
        <v>362</v>
      </c>
      <c r="O49" s="2337" t="n">
        <f aca="false">'DG-PV Organic'!O49</f>
        <v>495.81</v>
      </c>
      <c r="P49" s="2187" t="n">
        <f aca="false">'DG-PV Organic'!L49</f>
        <v>1424</v>
      </c>
      <c r="Q49" s="2196" t="n">
        <f aca="false">P49/365</f>
        <v>3.9013698630137</v>
      </c>
      <c r="R49" s="2187" t="n">
        <f aca="false">'DG-PV Organic'!H49</f>
        <v>0.0905</v>
      </c>
      <c r="S49" s="2338" t="n">
        <f aca="false">'DG-PV Organic'!Q49</f>
        <v>45962</v>
      </c>
      <c r="T49" s="2338" t="n">
        <f aca="false">+EDATE(S49,6)</f>
        <v>46143</v>
      </c>
      <c r="U49" s="2200" t="n">
        <f aca="false">'DG-PV Organic'!AJ49/1000*1.1</f>
        <v>109078.2</v>
      </c>
      <c r="V49" s="2201" t="n">
        <f aca="false">'DG-PV Organic'!AK49/1000*1.1</f>
        <v>163617.3</v>
      </c>
      <c r="W49" s="2201" t="n">
        <f aca="false">SUM(U49:V49)</f>
        <v>272695.5</v>
      </c>
      <c r="X49" s="2201" t="n">
        <f aca="false">W49/O49</f>
        <v>550</v>
      </c>
      <c r="Y49" s="2201" t="n">
        <f aca="false">'DG-PV Organic'!AL49/1000*1.1</f>
        <v>572660.55</v>
      </c>
      <c r="Z49" s="2342" t="n">
        <v>65001</v>
      </c>
      <c r="AA49" s="2203" t="n">
        <f aca="false">'DG-PV Organic'!AI49</f>
        <v>99162000</v>
      </c>
      <c r="AC49" s="2388"/>
    </row>
    <row r="50" customFormat="false" ht="16.5" hidden="false" customHeight="true" outlineLevel="0" collapsed="false">
      <c r="A50" s="2205"/>
      <c r="B50" s="2386"/>
      <c r="C50" s="2387" t="n">
        <f aca="false">SUBTOTAL(103,$D$44:D50)</f>
        <v>7</v>
      </c>
      <c r="D50" s="2188" t="str">
        <f aca="false">'DG-PV Organic'!B50</f>
        <v>Seun Steel Ulsan</v>
      </c>
      <c r="E50" s="2208" t="s">
        <v>1057</v>
      </c>
      <c r="F50" s="2223" t="s">
        <v>1058</v>
      </c>
      <c r="G50" s="2209"/>
      <c r="H50" s="2209"/>
      <c r="I50" s="2209"/>
      <c r="J50" s="2210" t="s">
        <v>1059</v>
      </c>
      <c r="K50" s="2193" t="str">
        <f aca="false">'DG-PV Organic'!X50</f>
        <v>Ulsan</v>
      </c>
      <c r="L50" s="2194" t="n">
        <f aca="false">'DG-PV Organic'!K50</f>
        <v>1521.71</v>
      </c>
      <c r="M50" s="2195" t="str">
        <f aca="false">'DG-PV Organic'!G50</f>
        <v>BB-</v>
      </c>
      <c r="N50" s="2195" t="s">
        <v>362</v>
      </c>
      <c r="O50" s="2337" t="n">
        <f aca="false">'DG-PV Organic'!O50</f>
        <v>1078</v>
      </c>
      <c r="P50" s="2187" t="n">
        <f aca="false">'DG-PV Organic'!L50</f>
        <v>1412</v>
      </c>
      <c r="Q50" s="2196" t="n">
        <f aca="false">P50/365</f>
        <v>3.86849315068493</v>
      </c>
      <c r="R50" s="2187" t="str">
        <f aca="false">'DG-PV Organic'!H50</f>
        <v>TBD</v>
      </c>
      <c r="S50" s="2338" t="str">
        <f aca="false">'DG-PV Organic'!Q50</f>
        <v>TBD</v>
      </c>
      <c r="T50" s="2338" t="e">
        <f aca="false">+EDATE(S50,6)</f>
        <v>#VALUE!</v>
      </c>
      <c r="U50" s="2200" t="n">
        <f aca="false">'DG-PV Organic'!AJ50/1000*1.1</f>
        <v>237160</v>
      </c>
      <c r="V50" s="2201" t="n">
        <f aca="false">'DG-PV Organic'!AK50/1000*1.1</f>
        <v>355740</v>
      </c>
      <c r="W50" s="2201" t="n">
        <f aca="false">SUM(U50:V50)</f>
        <v>592900</v>
      </c>
      <c r="X50" s="2201" t="n">
        <f aca="false">W50/O50</f>
        <v>550</v>
      </c>
      <c r="Y50" s="2201" t="n">
        <f aca="false">'DG-PV Organic'!AL50/1000*1.1</f>
        <v>1245090</v>
      </c>
      <c r="Z50" s="2342" t="n">
        <v>65002</v>
      </c>
      <c r="AA50" s="2203" t="n">
        <f aca="false">'DG-PV Organic'!AI50</f>
        <v>215600000</v>
      </c>
      <c r="AC50" s="2388"/>
    </row>
    <row r="51" customFormat="false" ht="16.5" hidden="false" customHeight="true" outlineLevel="0" collapsed="false">
      <c r="A51" s="2205"/>
      <c r="B51" s="2389" t="n">
        <f aca="false">SUM(O44:O68)</f>
        <v>20794.755</v>
      </c>
      <c r="C51" s="2387" t="n">
        <f aca="false">SUBTOTAL(103,$D$44:D51)</f>
        <v>8</v>
      </c>
      <c r="D51" s="2188" t="str">
        <f aca="false">'DG-PV Organic'!B51</f>
        <v>Seun Steel Busan Factory &amp; Warehouse Building</v>
      </c>
      <c r="E51" s="2208" t="s">
        <v>887</v>
      </c>
      <c r="F51" s="2223" t="s">
        <v>888</v>
      </c>
      <c r="G51" s="2209"/>
      <c r="H51" s="2209"/>
      <c r="I51" s="2209"/>
      <c r="J51" s="2210" t="s">
        <v>889</v>
      </c>
      <c r="K51" s="2193" t="str">
        <f aca="false">'DG-PV Organic'!X51</f>
        <v>Busan</v>
      </c>
      <c r="L51" s="2194" t="n">
        <f aca="false">'DG-PV Organic'!K51</f>
        <v>4501.8225</v>
      </c>
      <c r="M51" s="2195" t="str">
        <f aca="false">'DG-PV Organic'!G51</f>
        <v>BB-</v>
      </c>
      <c r="N51" s="2195" t="s">
        <v>362</v>
      </c>
      <c r="O51" s="2337" t="n">
        <f aca="false">'DG-PV Organic'!O51</f>
        <v>3181.5</v>
      </c>
      <c r="P51" s="2187" t="n">
        <f aca="false">'DG-PV Organic'!L51</f>
        <v>1415</v>
      </c>
      <c r="Q51" s="2196" t="n">
        <f aca="false">P51/365</f>
        <v>3.87671232876712</v>
      </c>
      <c r="R51" s="2187" t="n">
        <f aca="false">'DG-PV Organic'!H51</f>
        <v>0.0881</v>
      </c>
      <c r="S51" s="2338" t="str">
        <f aca="false">'DG-PV Organic'!Q51</f>
        <v>TBD</v>
      </c>
      <c r="T51" s="2338" t="e">
        <f aca="false">+EDATE(S51,6)</f>
        <v>#VALUE!</v>
      </c>
      <c r="U51" s="2200" t="n">
        <f aca="false">'DG-PV Organic'!AJ51/1000*1.1</f>
        <v>699930</v>
      </c>
      <c r="V51" s="2201" t="n">
        <f aca="false">'DG-PV Organic'!AK51/1000*1.1</f>
        <v>1049895</v>
      </c>
      <c r="W51" s="2201" t="n">
        <f aca="false">SUM(U51:V51)</f>
        <v>1749825</v>
      </c>
      <c r="X51" s="2201" t="n">
        <f aca="false">W51/O51</f>
        <v>550</v>
      </c>
      <c r="Y51" s="2201" t="n">
        <f aca="false">'DG-PV Organic'!AL51/1000*1.1</f>
        <v>3674632.5</v>
      </c>
      <c r="Z51" s="2342" t="n">
        <v>65003</v>
      </c>
      <c r="AA51" s="2203" t="n">
        <f aca="false">'DG-PV Organic'!AI51</f>
        <v>636300000</v>
      </c>
      <c r="AC51" s="2388"/>
    </row>
    <row r="52" customFormat="false" ht="16.5" hidden="false" customHeight="true" outlineLevel="0" collapsed="false">
      <c r="A52" s="2205"/>
      <c r="B52" s="2389"/>
      <c r="C52" s="2387" t="n">
        <f aca="false">SUBTOTAL(103,$D$44:D52)</f>
        <v>9</v>
      </c>
      <c r="D52" s="2188" t="str">
        <f aca="false">'DG-PV Organic'!B52</f>
        <v>Daesun Josun Bongrae</v>
      </c>
      <c r="E52" s="2208" t="s">
        <v>892</v>
      </c>
      <c r="F52" s="2223" t="s">
        <v>893</v>
      </c>
      <c r="G52" s="2209"/>
      <c r="H52" s="2209"/>
      <c r="I52" s="2209"/>
      <c r="J52" s="2210" t="s">
        <v>894</v>
      </c>
      <c r="K52" s="2193" t="str">
        <f aca="false">'DG-PV Organic'!X52</f>
        <v>Busan</v>
      </c>
      <c r="L52" s="2194" t="n">
        <f aca="false">'DG-PV Organic'!K52</f>
        <v>385.68024</v>
      </c>
      <c r="M52" s="2195" t="str">
        <f aca="false">'DG-PV Organic'!G52</f>
        <v>CCC0</v>
      </c>
      <c r="N52" s="2195" t="s">
        <v>362</v>
      </c>
      <c r="O52" s="2337" t="n">
        <f aca="false">'DG-PV Organic'!O52</f>
        <v>275.88</v>
      </c>
      <c r="P52" s="2187" t="n">
        <f aca="false">'DG-PV Organic'!L52</f>
        <v>1398</v>
      </c>
      <c r="Q52" s="2196" t="n">
        <f aca="false">P52/365</f>
        <v>3.83013698630137</v>
      </c>
      <c r="R52" s="2187" t="n">
        <f aca="false">'DG-PV Organic'!H52</f>
        <v>0.0877</v>
      </c>
      <c r="S52" s="2338" t="str">
        <f aca="false">'DG-PV Organic'!Q52</f>
        <v>TBD</v>
      </c>
      <c r="T52" s="2338" t="e">
        <f aca="false">+EDATE(S52,6)</f>
        <v>#VALUE!</v>
      </c>
      <c r="U52" s="2200" t="n">
        <f aca="false">'DG-PV Organic'!AJ52/1000*1.1</f>
        <v>60693.6</v>
      </c>
      <c r="V52" s="2201" t="n">
        <f aca="false">'DG-PV Organic'!AK52/1000*1.1</f>
        <v>91040.4</v>
      </c>
      <c r="W52" s="2201" t="n">
        <f aca="false">SUM(U52:V52)</f>
        <v>151734</v>
      </c>
      <c r="X52" s="2201" t="n">
        <f aca="false">W52/O52</f>
        <v>550</v>
      </c>
      <c r="Y52" s="2201" t="n">
        <f aca="false">'DG-PV Organic'!AL52/1000*1.1</f>
        <v>318641.4</v>
      </c>
      <c r="Z52" s="2342" t="n">
        <v>65004</v>
      </c>
      <c r="AA52" s="2203" t="n">
        <f aca="false">'DG-PV Organic'!AI52</f>
        <v>55176000</v>
      </c>
      <c r="AC52" s="2388"/>
    </row>
    <row r="53" customFormat="false" ht="16.5" hidden="false" customHeight="true" outlineLevel="0" collapsed="false">
      <c r="A53" s="2205"/>
      <c r="B53" s="2389"/>
      <c r="C53" s="2387" t="n">
        <f aca="false">SUBTOTAL(103,$D$44:D53)</f>
        <v>10</v>
      </c>
      <c r="D53" s="2188" t="str">
        <f aca="false">'DG-PV Organic'!B53</f>
        <v>Daesun Josun Dadae</v>
      </c>
      <c r="E53" s="2208" t="s">
        <v>1135</v>
      </c>
      <c r="F53" s="2223" t="s">
        <v>1136</v>
      </c>
      <c r="G53" s="2209"/>
      <c r="H53" s="2209"/>
      <c r="I53" s="2209"/>
      <c r="J53" s="2210" t="s">
        <v>1137</v>
      </c>
      <c r="K53" s="2193" t="str">
        <f aca="false">'DG-PV Organic'!X53</f>
        <v>Busan</v>
      </c>
      <c r="L53" s="2194" t="n">
        <f aca="false">'DG-PV Organic'!K53</f>
        <v>6345.19248</v>
      </c>
      <c r="M53" s="2195" t="str">
        <f aca="false">'DG-PV Organic'!G53</f>
        <v>CCC0</v>
      </c>
      <c r="N53" s="2195" t="s">
        <v>362</v>
      </c>
      <c r="O53" s="2337" t="n">
        <f aca="false">'DG-PV Organic'!O53</f>
        <v>4535.52</v>
      </c>
      <c r="P53" s="2187" t="n">
        <f aca="false">'DG-PV Organic'!L53</f>
        <v>1399</v>
      </c>
      <c r="Q53" s="2196" t="n">
        <f aca="false">P53/365</f>
        <v>3.83287671232877</v>
      </c>
      <c r="R53" s="2187" t="n">
        <f aca="false">'DG-PV Organic'!H53</f>
        <v>0.0856</v>
      </c>
      <c r="S53" s="2338" t="str">
        <f aca="false">'DG-PV Organic'!Q53</f>
        <v>TBD</v>
      </c>
      <c r="T53" s="2338" t="e">
        <f aca="false">+EDATE(S53,6)</f>
        <v>#VALUE!</v>
      </c>
      <c r="U53" s="2200" t="n">
        <f aca="false">'DG-PV Organic'!AJ53/1000*1.1</f>
        <v>997814.4</v>
      </c>
      <c r="V53" s="2201" t="n">
        <f aca="false">'DG-PV Organic'!AK53/1000*1.1</f>
        <v>1496721.6</v>
      </c>
      <c r="W53" s="2201" t="n">
        <f aca="false">SUM(U53:V53)</f>
        <v>2494536</v>
      </c>
      <c r="X53" s="2201" t="n">
        <f aca="false">W53/O53</f>
        <v>550</v>
      </c>
      <c r="Y53" s="2201" t="n">
        <f aca="false">'DG-PV Organic'!AL53/1000*1.1</f>
        <v>5238525.6</v>
      </c>
      <c r="Z53" s="2342" t="n">
        <v>65000</v>
      </c>
      <c r="AA53" s="2203" t="n">
        <f aca="false">'DG-PV Organic'!AI53</f>
        <v>907104000</v>
      </c>
      <c r="AC53" s="2388"/>
    </row>
    <row r="54" customFormat="false" ht="16.5" hidden="false" customHeight="true" outlineLevel="0" collapsed="false">
      <c r="A54" s="2205"/>
      <c r="B54" s="2389"/>
      <c r="C54" s="2387" t="n">
        <f aca="false">SUBTOTAL(103,$D$44:D54)</f>
        <v>11</v>
      </c>
      <c r="D54" s="2188" t="str">
        <f aca="false">'DG-PV Organic'!B54</f>
        <v>Fine vestil</v>
      </c>
      <c r="E54" s="2208" t="s">
        <v>904</v>
      </c>
      <c r="F54" s="2220" t="s">
        <v>905</v>
      </c>
      <c r="G54" s="2209"/>
      <c r="H54" s="2209"/>
      <c r="I54" s="2209"/>
      <c r="J54" s="2210" t="s">
        <v>906</v>
      </c>
      <c r="K54" s="2193" t="str">
        <f aca="false">'DG-PV Organic'!X54</f>
        <v>Gyeongsangnam-do</v>
      </c>
      <c r="L54" s="2194" t="n">
        <f aca="false">'DG-PV Organic'!K54</f>
        <v>5445.181</v>
      </c>
      <c r="M54" s="2195" t="str">
        <f aca="false">'DG-PV Organic'!G54</f>
        <v>CCC0</v>
      </c>
      <c r="N54" s="2195" t="s">
        <v>362</v>
      </c>
      <c r="O54" s="2337" t="n">
        <f aca="false">'DG-PV Organic'!O54</f>
        <v>3818.5</v>
      </c>
      <c r="P54" s="2187" t="n">
        <f aca="false">'DG-PV Organic'!L54</f>
        <v>1426</v>
      </c>
      <c r="Q54" s="2196" t="n">
        <f aca="false">P54/365</f>
        <v>3.90684931506849</v>
      </c>
      <c r="R54" s="2187" t="n">
        <f aca="false">'DG-PV Organic'!H54</f>
        <v>0.0886</v>
      </c>
      <c r="S54" s="2338" t="str">
        <f aca="false">'DG-PV Organic'!Q54</f>
        <v>TBD</v>
      </c>
      <c r="T54" s="2338" t="e">
        <f aca="false">+EDATE(S54,6)</f>
        <v>#VALUE!</v>
      </c>
      <c r="U54" s="2200" t="n">
        <f aca="false">'DG-PV Organic'!AJ54/1000*1.1</f>
        <v>840070</v>
      </c>
      <c r="V54" s="2201" t="n">
        <f aca="false">'DG-PV Organic'!AK54/1000*1.1</f>
        <v>1260105</v>
      </c>
      <c r="W54" s="2201" t="n">
        <f aca="false">SUM(U54:V54)</f>
        <v>2100175</v>
      </c>
      <c r="X54" s="2201" t="n">
        <f aca="false">W54/O54</f>
        <v>550</v>
      </c>
      <c r="Y54" s="2201" t="n">
        <f aca="false">'DG-PV Organic'!AL54/1000*1.1</f>
        <v>4410367.5</v>
      </c>
      <c r="Z54" s="2342" t="n">
        <v>65000</v>
      </c>
      <c r="AA54" s="2203" t="n">
        <f aca="false">'DG-PV Organic'!AI54</f>
        <v>763700000</v>
      </c>
      <c r="AC54" s="2388"/>
    </row>
    <row r="55" customFormat="false" ht="16.5" hidden="false" customHeight="true" outlineLevel="0" collapsed="false">
      <c r="A55" s="2205"/>
      <c r="B55" s="2389"/>
      <c r="C55" s="2387" t="n">
        <f aca="false">SUBTOTAL(103,$D$44:D55)</f>
        <v>12</v>
      </c>
      <c r="D55" s="2188" t="str">
        <f aca="false">'DG-PV Organic'!B55</f>
        <v>Dongil Steel</v>
      </c>
      <c r="E55" s="2208" t="s">
        <v>1082</v>
      </c>
      <c r="F55" s="2220" t="s">
        <v>2148</v>
      </c>
      <c r="G55" s="2209"/>
      <c r="H55" s="2209"/>
      <c r="I55" s="2209"/>
      <c r="J55" s="2210" t="s">
        <v>1084</v>
      </c>
      <c r="K55" s="2193" t="str">
        <f aca="false">'DG-PV Organic'!X55</f>
        <v>Busan</v>
      </c>
      <c r="L55" s="2194" t="n">
        <f aca="false">'DG-PV Organic'!K55</f>
        <v>644.76324</v>
      </c>
      <c r="M55" s="2195" t="str">
        <f aca="false">'DG-PV Organic'!G55</f>
        <v>B-</v>
      </c>
      <c r="N55" s="2195" t="s">
        <v>362</v>
      </c>
      <c r="O55" s="2337" t="n">
        <f aca="false">'DG-PV Organic'!O55</f>
        <v>453.42</v>
      </c>
      <c r="P55" s="2187" t="n">
        <f aca="false">'DG-PV Organic'!L55</f>
        <v>1422</v>
      </c>
      <c r="Q55" s="2196" t="n">
        <f aca="false">P55/365</f>
        <v>3.8958904109589</v>
      </c>
      <c r="R55" s="2187" t="n">
        <f aca="false">'DG-PV Organic'!H55</f>
        <v>0</v>
      </c>
      <c r="S55" s="2338" t="str">
        <f aca="false">'DG-PV Organic'!Q55</f>
        <v>TBD</v>
      </c>
      <c r="T55" s="2338" t="e">
        <f aca="false">+EDATE(S55,6)</f>
        <v>#VALUE!</v>
      </c>
      <c r="U55" s="2200" t="n">
        <f aca="false">'DG-PV Organic'!AJ55/1000*1.1</f>
        <v>99752.4</v>
      </c>
      <c r="V55" s="2201" t="n">
        <f aca="false">'DG-PV Organic'!AK55/1000*1.1</f>
        <v>149628.6</v>
      </c>
      <c r="W55" s="2201" t="n">
        <f aca="false">SUM(U55:V55)</f>
        <v>249381</v>
      </c>
      <c r="X55" s="2201" t="n">
        <f aca="false">W55/O55</f>
        <v>550</v>
      </c>
      <c r="Y55" s="2201" t="n">
        <f aca="false">'DG-PV Organic'!AL55/1000*1.1</f>
        <v>523700.1</v>
      </c>
      <c r="Z55" s="2342" t="n">
        <v>65000</v>
      </c>
      <c r="AA55" s="2203" t="n">
        <f aca="false">'DG-PV Organic'!AI55</f>
        <v>90684000</v>
      </c>
      <c r="AC55" s="2388"/>
    </row>
    <row r="56" customFormat="false" ht="16.5" hidden="false" customHeight="true" outlineLevel="0" collapsed="false">
      <c r="A56" s="2205"/>
      <c r="B56" s="2389"/>
      <c r="C56" s="2387" t="n">
        <f aca="false">SUBTOTAL(103,$D$44:D56)</f>
        <v>13</v>
      </c>
      <c r="D56" s="2188" t="str">
        <f aca="false">'DG-PV Organic'!B56</f>
        <v>Vision E&amp;C</v>
      </c>
      <c r="E56" s="2208"/>
      <c r="F56" s="2220" t="s">
        <v>1088</v>
      </c>
      <c r="G56" s="2209"/>
      <c r="H56" s="2209"/>
      <c r="I56" s="2209"/>
      <c r="J56" s="2210"/>
      <c r="K56" s="2193" t="str">
        <f aca="false">'DG-PV Organic'!X56</f>
        <v>Chungcheongbuk-do</v>
      </c>
      <c r="L56" s="2194" t="n">
        <f aca="false">'DG-PV Organic'!K56</f>
        <v>388.73</v>
      </c>
      <c r="M56" s="2195" t="str">
        <f aca="false">'DG-PV Organic'!G56</f>
        <v>B0</v>
      </c>
      <c r="N56" s="2195" t="s">
        <v>362</v>
      </c>
      <c r="O56" s="2337" t="n">
        <f aca="false">'DG-PV Organic'!O56</f>
        <v>277.2</v>
      </c>
      <c r="P56" s="2187" t="n">
        <f aca="false">'DG-PV Organic'!L56</f>
        <v>1402</v>
      </c>
      <c r="Q56" s="2196" t="n">
        <f aca="false">P56/365</f>
        <v>3.84109589041096</v>
      </c>
      <c r="R56" s="2187" t="str">
        <f aca="false">'DG-PV Organic'!H56</f>
        <v>TBD</v>
      </c>
      <c r="S56" s="2338" t="str">
        <f aca="false">'DG-PV Organic'!Q56</f>
        <v>TBD</v>
      </c>
      <c r="T56" s="2338" t="e">
        <f aca="false">+EDATE(S56,6)</f>
        <v>#VALUE!</v>
      </c>
      <c r="U56" s="2200" t="n">
        <f aca="false">'DG-PV Organic'!AJ56/1000*1.1</f>
        <v>60984</v>
      </c>
      <c r="V56" s="2201" t="n">
        <f aca="false">'DG-PV Organic'!AK56/1000*1.1</f>
        <v>91476</v>
      </c>
      <c r="W56" s="2201" t="n">
        <f aca="false">SUM(U56:V56)</f>
        <v>152460</v>
      </c>
      <c r="X56" s="2201" t="n">
        <f aca="false">W56/O56</f>
        <v>550</v>
      </c>
      <c r="Y56" s="2201" t="n">
        <f aca="false">'DG-PV Organic'!AL56/1000*1.1</f>
        <v>320166</v>
      </c>
      <c r="Z56" s="2342" t="n">
        <v>65000</v>
      </c>
      <c r="AA56" s="2203" t="n">
        <f aca="false">'DG-PV Organic'!AI56</f>
        <v>55440000</v>
      </c>
      <c r="AC56" s="2388"/>
    </row>
    <row r="57" customFormat="false" ht="16.5" hidden="false" customHeight="true" outlineLevel="0" collapsed="false">
      <c r="A57" s="2205"/>
      <c r="B57" s="2389"/>
      <c r="C57" s="2387" t="n">
        <f aca="false">SUBTOTAL(103,$D$44:D57)</f>
        <v>14</v>
      </c>
      <c r="D57" s="2188" t="str">
        <f aca="false">'DG-PV Organic'!B57</f>
        <v>Daekyung Susan</v>
      </c>
      <c r="E57" s="2351"/>
      <c r="F57" s="2352"/>
      <c r="G57" s="2352"/>
      <c r="H57" s="2352"/>
      <c r="I57" s="2352"/>
      <c r="J57" s="2355"/>
      <c r="K57" s="2193" t="str">
        <f aca="false">'DG-PV Organic'!X57</f>
        <v>Gyeongsangnam-do</v>
      </c>
      <c r="L57" s="2194" t="n">
        <f aca="false">'DG-PV Organic'!K57</f>
        <v>186.79395</v>
      </c>
      <c r="M57" s="2195" t="str">
        <f aca="false">'DG-PV Organic'!G57</f>
        <v>Individual business owner</v>
      </c>
      <c r="N57" s="2195" t="s">
        <v>362</v>
      </c>
      <c r="O57" s="2337" t="n">
        <f aca="false">'DG-PV Organic'!O57</f>
        <v>130.17</v>
      </c>
      <c r="P57" s="2187" t="n">
        <f aca="false">'DG-PV Organic'!L57</f>
        <v>1435</v>
      </c>
      <c r="Q57" s="2196" t="n">
        <f aca="false">P57/365</f>
        <v>3.93150684931507</v>
      </c>
      <c r="R57" s="2187" t="n">
        <f aca="false">'DG-PV Organic'!H57</f>
        <v>0</v>
      </c>
      <c r="S57" s="2338" t="str">
        <f aca="false">'DG-PV Organic'!Q57</f>
        <v>TBD</v>
      </c>
      <c r="T57" s="2338" t="e">
        <f aca="false">+EDATE(S57,6)</f>
        <v>#VALUE!</v>
      </c>
      <c r="U57" s="2200" t="n">
        <f aca="false">'DG-PV Organic'!AJ57/1000*1.1</f>
        <v>28637.4</v>
      </c>
      <c r="V57" s="2201" t="n">
        <f aca="false">'DG-PV Organic'!AK57/1000*1.1</f>
        <v>42956.1</v>
      </c>
      <c r="W57" s="2201" t="n">
        <f aca="false">SUM(U57:V57)</f>
        <v>71593.5</v>
      </c>
      <c r="X57" s="2201" t="n">
        <f aca="false">W57/O57</f>
        <v>550</v>
      </c>
      <c r="Y57" s="2201" t="n">
        <f aca="false">'DG-PV Organic'!AL57/1000*1.1</f>
        <v>150346.35</v>
      </c>
      <c r="Z57" s="2342" t="n">
        <v>65000</v>
      </c>
      <c r="AA57" s="2203" t="n">
        <f aca="false">'DG-PV Organic'!AI57</f>
        <v>26034000</v>
      </c>
      <c r="AC57" s="2388"/>
    </row>
    <row r="58" customFormat="false" ht="16.5" hidden="false" customHeight="true" outlineLevel="0" collapsed="false">
      <c r="A58" s="2205"/>
      <c r="B58" s="2389"/>
      <c r="C58" s="2387" t="n">
        <f aca="false">SUBTOTAL(103,$D$44:D58)</f>
        <v>15</v>
      </c>
      <c r="D58" s="2188" t="str">
        <f aca="false">'DG-PV Organic'!B58</f>
        <v>Kangsung Industry</v>
      </c>
      <c r="E58" s="2351"/>
      <c r="F58" s="2352"/>
      <c r="G58" s="2352"/>
      <c r="H58" s="2352"/>
      <c r="I58" s="2352"/>
      <c r="J58" s="2355"/>
      <c r="K58" s="2193" t="str">
        <f aca="false">'DG-PV Organic'!X58</f>
        <v>Gyeongsangnam-do</v>
      </c>
      <c r="L58" s="2194" t="n">
        <f aca="false">'DG-PV Organic'!K58</f>
        <v>258.59232</v>
      </c>
      <c r="M58" s="2195" t="str">
        <f aca="false">'DG-PV Organic'!G58</f>
        <v>Individual business owner</v>
      </c>
      <c r="N58" s="2195" t="s">
        <v>362</v>
      </c>
      <c r="O58" s="2337" t="n">
        <f aca="false">'DG-PV Organic'!O58</f>
        <v>182.88</v>
      </c>
      <c r="P58" s="2187" t="n">
        <f aca="false">'DG-PV Organic'!L58</f>
        <v>1414</v>
      </c>
      <c r="Q58" s="2196" t="n">
        <f aca="false">P58/365</f>
        <v>3.87397260273973</v>
      </c>
      <c r="R58" s="2187" t="n">
        <f aca="false">'DG-PV Organic'!H58</f>
        <v>0</v>
      </c>
      <c r="S58" s="2338" t="str">
        <f aca="false">'DG-PV Organic'!Q58</f>
        <v>TBD</v>
      </c>
      <c r="T58" s="2338" t="e">
        <f aca="false">+EDATE(S58,6)</f>
        <v>#VALUE!</v>
      </c>
      <c r="U58" s="2200" t="n">
        <f aca="false">'DG-PV Organic'!AJ58/1000*1.1</f>
        <v>40233.6</v>
      </c>
      <c r="V58" s="2201" t="n">
        <f aca="false">'DG-PV Organic'!AK58/1000*1.1</f>
        <v>60350.4</v>
      </c>
      <c r="W58" s="2201" t="n">
        <f aca="false">SUM(U58:V58)</f>
        <v>100584</v>
      </c>
      <c r="X58" s="2201" t="n">
        <f aca="false">W58/O58</f>
        <v>550</v>
      </c>
      <c r="Y58" s="2201" t="n">
        <f aca="false">'DG-PV Organic'!AL58/1000*1.1</f>
        <v>211226.4</v>
      </c>
      <c r="Z58" s="2342" t="n">
        <v>65000</v>
      </c>
      <c r="AA58" s="2203" t="n">
        <f aca="false">'DG-PV Organic'!AI58</f>
        <v>36576000</v>
      </c>
      <c r="AC58" s="2388"/>
    </row>
    <row r="59" customFormat="false" ht="16.5" hidden="false" customHeight="true" outlineLevel="0" collapsed="false">
      <c r="A59" s="2205"/>
      <c r="B59" s="2389"/>
      <c r="C59" s="2387" t="n">
        <f aca="false">SUBTOTAL(103,$D$44:D59)</f>
        <v>16</v>
      </c>
      <c r="D59" s="2188" t="str">
        <f aca="false">'DG-PV Organic'!B59</f>
        <v>Taewon Industry</v>
      </c>
      <c r="E59" s="2351"/>
      <c r="F59" s="2352"/>
      <c r="G59" s="2352"/>
      <c r="H59" s="2352"/>
      <c r="I59" s="2352"/>
      <c r="J59" s="2355"/>
      <c r="K59" s="2193" t="str">
        <f aca="false">'DG-PV Organic'!X59</f>
        <v>Gyeongsangnam-do</v>
      </c>
      <c r="L59" s="2194" t="n">
        <f aca="false">'DG-PV Organic'!K59</f>
        <v>315.5061</v>
      </c>
      <c r="M59" s="2195" t="str">
        <f aca="false">'DG-PV Organic'!G59</f>
        <v>B+</v>
      </c>
      <c r="N59" s="2195" t="s">
        <v>362</v>
      </c>
      <c r="O59" s="2337" t="n">
        <f aca="false">'DG-PV Organic'!O59</f>
        <v>214.63</v>
      </c>
      <c r="P59" s="2187" t="n">
        <f aca="false">'DG-PV Organic'!L59</f>
        <v>1470</v>
      </c>
      <c r="Q59" s="2196" t="n">
        <f aca="false">P59/365</f>
        <v>4.02739726027397</v>
      </c>
      <c r="R59" s="2187" t="n">
        <f aca="false">'DG-PV Organic'!H59</f>
        <v>0</v>
      </c>
      <c r="S59" s="2338" t="str">
        <f aca="false">'DG-PV Organic'!Q59</f>
        <v>TBD</v>
      </c>
      <c r="T59" s="2338" t="e">
        <f aca="false">+EDATE(S59,6)</f>
        <v>#VALUE!</v>
      </c>
      <c r="U59" s="2200" t="n">
        <f aca="false">'DG-PV Organic'!AJ59/1000*1.1</f>
        <v>47218.6</v>
      </c>
      <c r="V59" s="2201" t="n">
        <f aca="false">'DG-PV Organic'!AK59/1000*1.1</f>
        <v>70827.9</v>
      </c>
      <c r="W59" s="2201" t="n">
        <f aca="false">SUM(U59:V59)</f>
        <v>118046.5</v>
      </c>
      <c r="X59" s="2201" t="n">
        <f aca="false">W59/O59</f>
        <v>550</v>
      </c>
      <c r="Y59" s="2201" t="n">
        <f aca="false">'DG-PV Organic'!AL59/1000*1.1</f>
        <v>247897.65</v>
      </c>
      <c r="Z59" s="2342" t="n">
        <v>65000</v>
      </c>
      <c r="AA59" s="2203" t="n">
        <f aca="false">'DG-PV Organic'!AI59</f>
        <v>42926000</v>
      </c>
      <c r="AC59" s="2388"/>
    </row>
    <row r="60" customFormat="false" ht="16.5" hidden="false" customHeight="true" outlineLevel="0" collapsed="false">
      <c r="A60" s="2205"/>
      <c r="B60" s="2389"/>
      <c r="C60" s="2387" t="n">
        <f aca="false">SUBTOTAL(103,$D$44:D60)</f>
        <v>17</v>
      </c>
      <c r="D60" s="2188" t="str">
        <f aca="false">'DG-PV Organic'!B60</f>
        <v>World Paper 1-1</v>
      </c>
      <c r="E60" s="2351"/>
      <c r="F60" s="2352"/>
      <c r="G60" s="2352"/>
      <c r="H60" s="2352"/>
      <c r="I60" s="2352"/>
      <c r="J60" s="2355"/>
      <c r="K60" s="2193" t="str">
        <f aca="false">'DG-PV Organic'!X60</f>
        <v>Gyeonggi-do</v>
      </c>
      <c r="L60" s="2194" t="n">
        <f aca="false">'DG-PV Organic'!K60</f>
        <v>208.23936</v>
      </c>
      <c r="M60" s="2195" t="str">
        <f aca="false">'DG-PV Organic'!G60</f>
        <v>BB+</v>
      </c>
      <c r="N60" s="2195" t="s">
        <v>362</v>
      </c>
      <c r="O60" s="2337" t="n">
        <f aca="false">'DG-PV Organic'!O60</f>
        <v>142.24</v>
      </c>
      <c r="P60" s="2187" t="n">
        <f aca="false">'DG-PV Organic'!L60</f>
        <v>1464</v>
      </c>
      <c r="Q60" s="2196" t="n">
        <f aca="false">P60/365</f>
        <v>4.01095890410959</v>
      </c>
      <c r="R60" s="2187" t="n">
        <f aca="false">'DG-PV Organic'!H60</f>
        <v>0</v>
      </c>
      <c r="S60" s="2338" t="str">
        <f aca="false">'DG-PV Organic'!Q60</f>
        <v>TBD</v>
      </c>
      <c r="T60" s="2338" t="e">
        <f aca="false">+EDATE(S60,6)</f>
        <v>#VALUE!</v>
      </c>
      <c r="U60" s="2200" t="n">
        <f aca="false">'DG-PV Organic'!AJ60/1000*1.1</f>
        <v>31292.8</v>
      </c>
      <c r="V60" s="2201" t="n">
        <f aca="false">'DG-PV Organic'!AK60/1000*1.1</f>
        <v>46939.2</v>
      </c>
      <c r="W60" s="2201" t="n">
        <f aca="false">SUM(U60:V60)</f>
        <v>78232</v>
      </c>
      <c r="X60" s="2201" t="n">
        <f aca="false">W60/O60</f>
        <v>550</v>
      </c>
      <c r="Y60" s="2201" t="n">
        <f aca="false">'DG-PV Organic'!AL60/1000*1.1</f>
        <v>164287.2</v>
      </c>
      <c r="Z60" s="2342" t="n">
        <v>65000</v>
      </c>
      <c r="AA60" s="2203" t="n">
        <f aca="false">'DG-PV Organic'!AI60</f>
        <v>28448000</v>
      </c>
      <c r="AC60" s="2388"/>
    </row>
    <row r="61" customFormat="false" ht="16.5" hidden="false" customHeight="true" outlineLevel="0" collapsed="false">
      <c r="A61" s="2205"/>
      <c r="B61" s="2389"/>
      <c r="C61" s="2387" t="n">
        <f aca="false">SUBTOTAL(103,$D$44:D61)</f>
        <v>18</v>
      </c>
      <c r="D61" s="2188" t="str">
        <f aca="false">'DG-PV Organic'!B61</f>
        <v>World paper 1-2</v>
      </c>
      <c r="E61" s="2351"/>
      <c r="F61" s="2352"/>
      <c r="G61" s="2352"/>
      <c r="H61" s="2352"/>
      <c r="I61" s="2352"/>
      <c r="J61" s="2355"/>
      <c r="K61" s="2193" t="str">
        <f aca="false">'DG-PV Organic'!X61</f>
        <v>Gyeonggi-do</v>
      </c>
      <c r="L61" s="2194" t="n">
        <f aca="false">'DG-PV Organic'!K61</f>
        <v>319.89141</v>
      </c>
      <c r="M61" s="2195" t="str">
        <f aca="false">'DG-PV Organic'!G61</f>
        <v>BB+</v>
      </c>
      <c r="N61" s="2195" t="s">
        <v>362</v>
      </c>
      <c r="O61" s="2337" t="n">
        <f aca="false">'DG-PV Organic'!O61</f>
        <v>217.17</v>
      </c>
      <c r="P61" s="2187" t="n">
        <f aca="false">'DG-PV Organic'!L61</f>
        <v>1473</v>
      </c>
      <c r="Q61" s="2196" t="n">
        <f aca="false">P61/365</f>
        <v>4.03561643835617</v>
      </c>
      <c r="R61" s="2187" t="n">
        <f aca="false">'DG-PV Organic'!H61</f>
        <v>0</v>
      </c>
      <c r="S61" s="2338" t="str">
        <f aca="false">'DG-PV Organic'!Q61</f>
        <v>TBD</v>
      </c>
      <c r="T61" s="2338" t="e">
        <f aca="false">+EDATE(S61,6)</f>
        <v>#VALUE!</v>
      </c>
      <c r="U61" s="2200" t="n">
        <f aca="false">'DG-PV Organic'!AJ61/1000*1.1</f>
        <v>47777.4</v>
      </c>
      <c r="V61" s="2201" t="n">
        <f aca="false">'DG-PV Organic'!AK61/1000*1.1</f>
        <v>71666.1</v>
      </c>
      <c r="W61" s="2201" t="n">
        <f aca="false">SUM(U61:V61)</f>
        <v>119443.5</v>
      </c>
      <c r="X61" s="2201" t="n">
        <f aca="false">W61/O61</f>
        <v>550</v>
      </c>
      <c r="Y61" s="2201" t="n">
        <f aca="false">'DG-PV Organic'!AL61/1000*1.1</f>
        <v>250831.35</v>
      </c>
      <c r="Z61" s="2342" t="n">
        <v>65000</v>
      </c>
      <c r="AA61" s="2203" t="n">
        <f aca="false">'DG-PV Organic'!AI61</f>
        <v>43434000</v>
      </c>
      <c r="AC61" s="2388"/>
    </row>
    <row r="62" customFormat="false" ht="16.5" hidden="false" customHeight="true" outlineLevel="0" collapsed="false">
      <c r="A62" s="2205"/>
      <c r="B62" s="2389"/>
      <c r="C62" s="2387" t="n">
        <f aca="false">SUBTOTAL(103,$D$44:D62)</f>
        <v>19</v>
      </c>
      <c r="D62" s="2188" t="str">
        <f aca="false">'DG-PV Organic'!B62</f>
        <v>Hanjin Susan  (building owned by an individual)</v>
      </c>
      <c r="E62" s="2351"/>
      <c r="F62" s="2352"/>
      <c r="G62" s="2352"/>
      <c r="H62" s="2352"/>
      <c r="I62" s="2352"/>
      <c r="J62" s="2355"/>
      <c r="K62" s="2193" t="str">
        <f aca="false">'DG-PV Organic'!X62</f>
        <v>Gyeongsangnam-do</v>
      </c>
      <c r="L62" s="2194" t="n">
        <f aca="false">'DG-PV Organic'!K62</f>
        <v>244.41912</v>
      </c>
      <c r="M62" s="2195" t="str">
        <f aca="false">'DG-PV Organic'!G62</f>
        <v>Individual business owner</v>
      </c>
      <c r="N62" s="2195" t="s">
        <v>362</v>
      </c>
      <c r="O62" s="2337" t="n">
        <f aca="false">'DG-PV Organic'!O62</f>
        <v>167.64</v>
      </c>
      <c r="P62" s="2187" t="n">
        <f aca="false">'DG-PV Organic'!L62</f>
        <v>1458</v>
      </c>
      <c r="Q62" s="2196" t="n">
        <f aca="false">P62/365</f>
        <v>3.99452054794521</v>
      </c>
      <c r="R62" s="2187" t="n">
        <f aca="false">'DG-PV Organic'!H62</f>
        <v>0</v>
      </c>
      <c r="S62" s="2338" t="str">
        <f aca="false">'DG-PV Organic'!Q62</f>
        <v>TBD</v>
      </c>
      <c r="T62" s="2338" t="e">
        <f aca="false">+EDATE(S62,6)</f>
        <v>#VALUE!</v>
      </c>
      <c r="U62" s="2200" t="n">
        <f aca="false">'DG-PV Organic'!AJ62/1000*1.1</f>
        <v>36880.8</v>
      </c>
      <c r="V62" s="2201" t="n">
        <f aca="false">'DG-PV Organic'!AK62/1000*1.1</f>
        <v>55321.2</v>
      </c>
      <c r="W62" s="2201" t="n">
        <f aca="false">SUM(U62:V62)</f>
        <v>92202</v>
      </c>
      <c r="X62" s="2201" t="n">
        <f aca="false">W62/O62</f>
        <v>550</v>
      </c>
      <c r="Y62" s="2201" t="n">
        <f aca="false">'DG-PV Organic'!AL62/1000*1.1</f>
        <v>193624.2</v>
      </c>
      <c r="Z62" s="2342" t="n">
        <v>65000</v>
      </c>
      <c r="AA62" s="2203" t="n">
        <f aca="false">'DG-PV Organic'!AI62</f>
        <v>33528000</v>
      </c>
      <c r="AC62" s="2388"/>
    </row>
    <row r="63" customFormat="false" ht="16.5" hidden="false" customHeight="true" outlineLevel="0" collapsed="false">
      <c r="A63" s="2205"/>
      <c r="B63" s="2389"/>
      <c r="C63" s="2387" t="n">
        <f aca="false">SUBTOTAL(103,$D$44:D63)</f>
        <v>20</v>
      </c>
      <c r="D63" s="2188" t="str">
        <f aca="false">'DG-PV Organic'!B63</f>
        <v>Chemsfield Korea</v>
      </c>
      <c r="E63" s="2351"/>
      <c r="F63" s="2352"/>
      <c r="G63" s="2352"/>
      <c r="H63" s="2352"/>
      <c r="I63" s="2352"/>
      <c r="J63" s="2355"/>
      <c r="K63" s="2193" t="str">
        <f aca="false">'DG-PV Organic'!X63</f>
        <v>Gyeonggi-do</v>
      </c>
      <c r="L63" s="2194" t="n">
        <f aca="false">'DG-PV Organic'!K63</f>
        <v>856.9071</v>
      </c>
      <c r="M63" s="2195" t="str">
        <f aca="false">'DG-PV Organic'!G63</f>
        <v>CCC0</v>
      </c>
      <c r="N63" s="2195" t="s">
        <v>362</v>
      </c>
      <c r="O63" s="2337" t="n">
        <f aca="false">'DG-PV Organic'!O63</f>
        <v>582.93</v>
      </c>
      <c r="P63" s="2187" t="n">
        <f aca="false">'DG-PV Organic'!L63</f>
        <v>1470</v>
      </c>
      <c r="Q63" s="2196" t="n">
        <f aca="false">P63/365</f>
        <v>4.02739726027397</v>
      </c>
      <c r="R63" s="2187" t="n">
        <f aca="false">'DG-PV Organic'!H63</f>
        <v>0</v>
      </c>
      <c r="S63" s="2338" t="str">
        <f aca="false">'DG-PV Organic'!Q63</f>
        <v>TBD</v>
      </c>
      <c r="T63" s="2338" t="e">
        <f aca="false">+EDATE(S63,6)</f>
        <v>#VALUE!</v>
      </c>
      <c r="U63" s="2200" t="n">
        <f aca="false">'DG-PV Organic'!AJ63/1000*1.1</f>
        <v>128244.6</v>
      </c>
      <c r="V63" s="2201" t="n">
        <f aca="false">'DG-PV Organic'!AK63/1000*1.1</f>
        <v>192366.9</v>
      </c>
      <c r="W63" s="2201" t="n">
        <f aca="false">SUM(U63:V63)</f>
        <v>320611.5</v>
      </c>
      <c r="X63" s="2201" t="n">
        <f aca="false">W63/O63</f>
        <v>550</v>
      </c>
      <c r="Y63" s="2201" t="n">
        <f aca="false">'DG-PV Organic'!AL63/1000*1.1</f>
        <v>673284.15</v>
      </c>
      <c r="Z63" s="2342" t="n">
        <v>65000</v>
      </c>
      <c r="AA63" s="2203" t="n">
        <f aca="false">'DG-PV Organic'!AI63</f>
        <v>116586000</v>
      </c>
      <c r="AC63" s="2388"/>
    </row>
    <row r="64" customFormat="false" ht="16.5" hidden="false" customHeight="true" outlineLevel="0" collapsed="false">
      <c r="A64" s="2205"/>
      <c r="B64" s="2389"/>
      <c r="C64" s="2387" t="n">
        <f aca="false">SUBTOTAL(103,$D$44:D64)</f>
        <v>21</v>
      </c>
      <c r="D64" s="2188" t="str">
        <f aca="false">'DG-PV Organic'!B64</f>
        <v>Lux Electric</v>
      </c>
      <c r="E64" s="2351"/>
      <c r="F64" s="2352"/>
      <c r="G64" s="2352"/>
      <c r="H64" s="2352"/>
      <c r="I64" s="2352"/>
      <c r="J64" s="2355"/>
      <c r="K64" s="2193" t="str">
        <f aca="false">'DG-PV Organic'!X64</f>
        <v>Chungcheongnam-do</v>
      </c>
      <c r="L64" s="2194" t="n">
        <f aca="false">'DG-PV Organic'!K64</f>
        <v>361.01366</v>
      </c>
      <c r="M64" s="2195" t="str">
        <f aca="false">'DG-PV Organic'!G64</f>
        <v>BB+</v>
      </c>
      <c r="N64" s="2195" t="s">
        <v>362</v>
      </c>
      <c r="O64" s="2337" t="n">
        <f aca="false">'DG-PV Organic'!O64</f>
        <v>248.29</v>
      </c>
      <c r="P64" s="2187" t="n">
        <f aca="false">'DG-PV Organic'!L64</f>
        <v>1454</v>
      </c>
      <c r="Q64" s="2196" t="n">
        <f aca="false">P64/365</f>
        <v>3.98356164383562</v>
      </c>
      <c r="R64" s="2187" t="n">
        <f aca="false">'DG-PV Organic'!H64</f>
        <v>0</v>
      </c>
      <c r="S64" s="2338" t="str">
        <f aca="false">'DG-PV Organic'!Q64</f>
        <v>TBD</v>
      </c>
      <c r="T64" s="2362" t="e">
        <f aca="false">+EDATE(S64,6)</f>
        <v>#VALUE!</v>
      </c>
      <c r="U64" s="2200" t="n">
        <f aca="false">'DG-PV Organic'!AJ64/1000*1.1</f>
        <v>54623.8</v>
      </c>
      <c r="V64" s="2201" t="n">
        <f aca="false">'DG-PV Organic'!AK64/1000*1.1</f>
        <v>81935.7</v>
      </c>
      <c r="W64" s="2201" t="n">
        <f aca="false">SUM(U64:V64)</f>
        <v>136559.5</v>
      </c>
      <c r="X64" s="2201" t="n">
        <f aca="false">W64/O64</f>
        <v>550</v>
      </c>
      <c r="Y64" s="2201" t="n">
        <f aca="false">'DG-PV Organic'!AL64/1000*1.1</f>
        <v>286774.95</v>
      </c>
      <c r="Z64" s="2342" t="n">
        <v>65000</v>
      </c>
      <c r="AA64" s="2203" t="n">
        <f aca="false">'DG-PV Organic'!AI64</f>
        <v>49658000</v>
      </c>
      <c r="AC64" s="2388"/>
    </row>
    <row r="65" customFormat="false" ht="16.5" hidden="false" customHeight="false" outlineLevel="0" collapsed="false">
      <c r="A65" s="2205"/>
      <c r="B65" s="2389"/>
      <c r="C65" s="2387" t="n">
        <f aca="false">SUBTOTAL(103,$D$44:D65)</f>
        <v>22</v>
      </c>
      <c r="D65" s="2188" t="str">
        <f aca="false">'DG-PV Organic'!B65</f>
        <v>Keohwa</v>
      </c>
      <c r="E65" s="2351"/>
      <c r="F65" s="2352"/>
      <c r="G65" s="2352"/>
      <c r="H65" s="2352"/>
      <c r="I65" s="2352"/>
      <c r="J65" s="2355"/>
      <c r="K65" s="2193" t="str">
        <f aca="false">'DG-PV Organic'!X65</f>
        <v>Gyeonggi-do</v>
      </c>
      <c r="L65" s="2194" t="n">
        <f aca="false">'DG-PV Organic'!K65</f>
        <v>1719.71716</v>
      </c>
      <c r="M65" s="2195" t="str">
        <f aca="false">'DG-PV Organic'!G65</f>
        <v>BB+</v>
      </c>
      <c r="N65" s="2195" t="s">
        <v>362</v>
      </c>
      <c r="O65" s="2337" t="n">
        <f aca="false">'DG-PV Organic'!O65</f>
        <v>1217.93</v>
      </c>
      <c r="P65" s="2187" t="n">
        <f aca="false">'DG-PV Organic'!L65</f>
        <v>1412</v>
      </c>
      <c r="Q65" s="2196" t="n">
        <f aca="false">P65/365</f>
        <v>3.86849315068493</v>
      </c>
      <c r="R65" s="2187" t="n">
        <f aca="false">'DG-PV Organic'!H65</f>
        <v>0</v>
      </c>
      <c r="S65" s="2338" t="str">
        <f aca="false">'DG-PV Organic'!Q65</f>
        <v>TBD</v>
      </c>
      <c r="T65" s="2362" t="e">
        <f aca="false">+EDATE(S65,6)</f>
        <v>#VALUE!</v>
      </c>
      <c r="U65" s="2200" t="n">
        <f aca="false">'DG-PV Organic'!AJ65/1000*1.1</f>
        <v>267944.6</v>
      </c>
      <c r="V65" s="2201" t="n">
        <f aca="false">'DG-PV Organic'!AK65/1000*1.1</f>
        <v>401916.9</v>
      </c>
      <c r="W65" s="2201" t="n">
        <f aca="false">SUM(U65:V65)</f>
        <v>669861.5</v>
      </c>
      <c r="X65" s="2201" t="n">
        <f aca="false">W65/O65</f>
        <v>550</v>
      </c>
      <c r="Y65" s="2201" t="n">
        <f aca="false">'DG-PV Organic'!AL65/1000*1.1</f>
        <v>1406709.15</v>
      </c>
      <c r="Z65" s="2342" t="n">
        <v>65000</v>
      </c>
      <c r="AA65" s="2203" t="n">
        <f aca="false">'DG-PV Organic'!AI65</f>
        <v>243586000</v>
      </c>
      <c r="AB65" s="2226"/>
      <c r="AC65" s="2390"/>
      <c r="AE65" s="2221"/>
    </row>
    <row r="66" customFormat="false" ht="16.5" hidden="false" customHeight="false" outlineLevel="0" collapsed="false">
      <c r="A66" s="2205"/>
      <c r="B66" s="2389"/>
      <c r="C66" s="2387" t="n">
        <f aca="false">SUBTOTAL(103,$D$44:D66)</f>
        <v>23</v>
      </c>
      <c r="D66" s="2188" t="str">
        <f aca="false">'DG-PV Organic'!B66</f>
        <v>Dong-A</v>
      </c>
      <c r="E66" s="2351"/>
      <c r="F66" s="2352"/>
      <c r="G66" s="2352"/>
      <c r="H66" s="2352"/>
      <c r="I66" s="2352"/>
      <c r="J66" s="2355"/>
      <c r="K66" s="2193" t="str">
        <f aca="false">'DG-PV Organic'!X66</f>
        <v>Chungcheongnam-do</v>
      </c>
      <c r="L66" s="2194" t="n">
        <f aca="false">'DG-PV Organic'!K66</f>
        <v>289.3568</v>
      </c>
      <c r="M66" s="2195" t="str">
        <f aca="false">'DG-PV Organic'!G66</f>
        <v>BBB-</v>
      </c>
      <c r="N66" s="2195" t="s">
        <v>362</v>
      </c>
      <c r="O66" s="2337" t="n">
        <f aca="false">'DG-PV Organic'!O66</f>
        <v>203.2</v>
      </c>
      <c r="P66" s="2187" t="n">
        <f aca="false">'DG-PV Organic'!L66</f>
        <v>1424</v>
      </c>
      <c r="Q66" s="2196" t="n">
        <f aca="false">P66/365</f>
        <v>3.9013698630137</v>
      </c>
      <c r="R66" s="2187" t="n">
        <f aca="false">'DG-PV Organic'!H66</f>
        <v>0</v>
      </c>
      <c r="S66" s="2338" t="str">
        <f aca="false">'DG-PV Organic'!Q66</f>
        <v>TBD</v>
      </c>
      <c r="T66" s="2362" t="e">
        <f aca="false">+EDATE(S66,6)</f>
        <v>#VALUE!</v>
      </c>
      <c r="U66" s="2200" t="n">
        <f aca="false">'DG-PV Organic'!AJ66/1000*1.1</f>
        <v>44704</v>
      </c>
      <c r="V66" s="2201" t="n">
        <f aca="false">'DG-PV Organic'!AK66/1000*1.1</f>
        <v>67056</v>
      </c>
      <c r="W66" s="2201" t="n">
        <f aca="false">SUM(U66:V66)</f>
        <v>111760</v>
      </c>
      <c r="X66" s="2201" t="n">
        <f aca="false">W66/O66</f>
        <v>550</v>
      </c>
      <c r="Y66" s="2201" t="n">
        <f aca="false">'DG-PV Organic'!AL66/1000*1.1</f>
        <v>234696</v>
      </c>
      <c r="Z66" s="2342" t="n">
        <v>65000</v>
      </c>
      <c r="AA66" s="2203" t="n">
        <f aca="false">'DG-PV Organic'!AI66</f>
        <v>40640000</v>
      </c>
      <c r="AB66" s="2226"/>
      <c r="AC66" s="2390"/>
      <c r="AE66" s="2391"/>
    </row>
    <row r="67" customFormat="false" ht="16.5" hidden="false" customHeight="false" outlineLevel="0" collapsed="false">
      <c r="A67" s="2205"/>
      <c r="B67" s="2389"/>
      <c r="C67" s="2387" t="n">
        <f aca="false">SUBTOTAL(103,$D$44:D67)</f>
        <v>24</v>
      </c>
      <c r="D67" s="2188" t="str">
        <f aca="false">'DG-PV Organic'!B67</f>
        <v>Kookje University</v>
      </c>
      <c r="E67" s="2351"/>
      <c r="F67" s="2352"/>
      <c r="G67" s="2352"/>
      <c r="H67" s="2352"/>
      <c r="I67" s="2352"/>
      <c r="J67" s="2355"/>
      <c r="K67" s="2193" t="str">
        <f aca="false">'DG-PV Organic'!X67</f>
        <v>Gyeonggi-do</v>
      </c>
      <c r="L67" s="2194" t="n">
        <f aca="false">'DG-PV Organic'!K67</f>
        <v>2548.17626</v>
      </c>
      <c r="M67" s="2195" t="str">
        <f aca="false">'DG-PV Organic'!G67</f>
        <v>University (non-profit organization)</v>
      </c>
      <c r="N67" s="2195" t="s">
        <v>362</v>
      </c>
      <c r="O67" s="2337" t="n">
        <f aca="false">'DG-PV Organic'!O67</f>
        <v>1764.67</v>
      </c>
      <c r="P67" s="2187" t="n">
        <f aca="false">'DG-PV Organic'!L67</f>
        <v>1444</v>
      </c>
      <c r="Q67" s="2196" t="n">
        <f aca="false">P67/365</f>
        <v>3.95616438356164</v>
      </c>
      <c r="R67" s="2187" t="n">
        <f aca="false">'DG-PV Organic'!H67</f>
        <v>0</v>
      </c>
      <c r="S67" s="2338" t="str">
        <f aca="false">'DG-PV Organic'!Q67</f>
        <v>TBD</v>
      </c>
      <c r="T67" s="2362" t="e">
        <f aca="false">+EDATE(S67,6)</f>
        <v>#VALUE!</v>
      </c>
      <c r="U67" s="2200" t="n">
        <f aca="false">'DG-PV Organic'!AJ67/1000*1.1</f>
        <v>388227.4</v>
      </c>
      <c r="V67" s="2201" t="n">
        <f aca="false">'DG-PV Organic'!AK67/1000*1.1</f>
        <v>582341.1</v>
      </c>
      <c r="W67" s="2201" t="n">
        <f aca="false">SUM(U67:V67)</f>
        <v>970568.5</v>
      </c>
      <c r="X67" s="2201" t="n">
        <f aca="false">W67/O67</f>
        <v>550</v>
      </c>
      <c r="Y67" s="2201" t="n">
        <f aca="false">'DG-PV Organic'!AL67/1000*1.1</f>
        <v>2038193.85</v>
      </c>
      <c r="Z67" s="2342" t="n">
        <v>65000</v>
      </c>
      <c r="AA67" s="2203" t="n">
        <f aca="false">'DG-PV Organic'!AI67</f>
        <v>126175125</v>
      </c>
      <c r="AB67" s="2226"/>
      <c r="AC67" s="2390"/>
      <c r="AE67" s="2391"/>
    </row>
    <row r="68" customFormat="false" ht="16.5" hidden="false" customHeight="false" outlineLevel="0" collapsed="false">
      <c r="A68" s="2205"/>
      <c r="B68" s="2392"/>
      <c r="C68" s="2273" t="n">
        <f aca="false">SUBTOTAL(103,$D$44:D68)</f>
        <v>25</v>
      </c>
      <c r="D68" s="2274" t="str">
        <f aca="false">'DG-PV Organic'!B68</f>
        <v>Good Road</v>
      </c>
      <c r="E68" s="2275"/>
      <c r="F68" s="2277"/>
      <c r="G68" s="2277"/>
      <c r="H68" s="2277"/>
      <c r="I68" s="2277"/>
      <c r="J68" s="2278"/>
      <c r="K68" s="2393" t="str">
        <f aca="false">'DG-PV Organic'!X68</f>
        <v>Gyeongsangbuk-do</v>
      </c>
      <c r="L68" s="2280" t="n">
        <f aca="false">'DG-PV Organic'!K68</f>
        <v>622.75653</v>
      </c>
      <c r="M68" s="2281" t="str">
        <f aca="false">'DG-PV Organic'!G68</f>
        <v>BB0</v>
      </c>
      <c r="N68" s="2281" t="s">
        <v>362</v>
      </c>
      <c r="O68" s="2367" t="n">
        <f aca="false">'DG-PV Organic'!O68</f>
        <v>438.87</v>
      </c>
      <c r="P68" s="2394" t="n">
        <f aca="false">'DG-PV Organic'!L68</f>
        <v>1419</v>
      </c>
      <c r="Q68" s="2395" t="n">
        <f aca="false">P68/365</f>
        <v>3.88767123287671</v>
      </c>
      <c r="R68" s="2394" t="n">
        <f aca="false">'DG-PV Organic'!H68</f>
        <v>0</v>
      </c>
      <c r="S68" s="2396" t="str">
        <f aca="false">'DG-PV Organic'!Q68</f>
        <v>TBD</v>
      </c>
      <c r="T68" s="2397" t="e">
        <f aca="false">+EDATE(S68,6)</f>
        <v>#VALUE!</v>
      </c>
      <c r="U68" s="2286" t="n">
        <f aca="false">'DG-PV Organic'!AJ68/1000*1.1</f>
        <v>96551.4</v>
      </c>
      <c r="V68" s="2287" t="n">
        <f aca="false">'DG-PV Organic'!AK68/1000*1.1</f>
        <v>144827.1</v>
      </c>
      <c r="W68" s="2287" t="n">
        <f aca="false">SUM(U68:V68)</f>
        <v>241378.5</v>
      </c>
      <c r="X68" s="2287" t="n">
        <f aca="false">W68/O68</f>
        <v>550</v>
      </c>
      <c r="Y68" s="2287" t="n">
        <f aca="false">'DG-PV Organic'!AL68/1000*1.1</f>
        <v>506894.85</v>
      </c>
      <c r="Z68" s="2398" t="n">
        <v>65000</v>
      </c>
      <c r="AA68" s="2203" t="n">
        <f aca="false">'DG-PV Organic'!AI68</f>
        <v>87774000</v>
      </c>
      <c r="AB68" s="2226"/>
      <c r="AC68" s="2390"/>
      <c r="AE68" s="2391"/>
    </row>
    <row r="69" customFormat="false" ht="16.5" hidden="false" customHeight="true" outlineLevel="0" collapsed="false">
      <c r="A69" s="2290" t="s">
        <v>2122</v>
      </c>
      <c r="B69" s="2290"/>
      <c r="C69" s="2187"/>
      <c r="D69" s="2188"/>
      <c r="E69" s="2189"/>
      <c r="F69" s="2190"/>
      <c r="G69" s="2190"/>
      <c r="H69" s="2190"/>
      <c r="I69" s="2190"/>
      <c r="J69" s="2192"/>
      <c r="K69" s="2193"/>
      <c r="L69" s="2194"/>
      <c r="M69" s="2195"/>
      <c r="N69" s="2195"/>
      <c r="O69" s="2399" t="n">
        <f aca="false">SUM(O72:O95)</f>
        <v>35118.41</v>
      </c>
      <c r="P69" s="2187"/>
      <c r="Q69" s="2197"/>
      <c r="R69" s="2198"/>
      <c r="S69" s="2199"/>
      <c r="T69" s="2199"/>
      <c r="U69" s="2200"/>
      <c r="V69" s="2201"/>
      <c r="W69" s="2201"/>
      <c r="X69" s="2201"/>
      <c r="Y69" s="2201"/>
      <c r="Z69" s="2202"/>
      <c r="AA69" s="2203"/>
    </row>
    <row r="70" customFormat="false" ht="16.5" hidden="false" customHeight="true" outlineLevel="0" collapsed="false">
      <c r="A70" s="2224" t="s">
        <v>2123</v>
      </c>
      <c r="B70" s="2224"/>
      <c r="C70" s="2187"/>
      <c r="D70" s="2188"/>
      <c r="E70" s="2189"/>
      <c r="F70" s="2190"/>
      <c r="G70" s="2190"/>
      <c r="H70" s="2190"/>
      <c r="I70" s="2190"/>
      <c r="J70" s="2192"/>
      <c r="K70" s="2193"/>
      <c r="L70" s="2194"/>
      <c r="M70" s="2195"/>
      <c r="N70" s="2195"/>
      <c r="O70" s="2196"/>
      <c r="P70" s="2187"/>
      <c r="Q70" s="2197"/>
      <c r="R70" s="2198"/>
      <c r="S70" s="2199"/>
      <c r="T70" s="2199"/>
      <c r="U70" s="2200"/>
      <c r="V70" s="2201"/>
      <c r="W70" s="2201"/>
      <c r="X70" s="2201"/>
      <c r="Y70" s="2201"/>
      <c r="Z70" s="2202"/>
      <c r="AA70" s="2203"/>
    </row>
    <row r="71" customFormat="false" ht="16.5" hidden="false" customHeight="true" outlineLevel="0" collapsed="false">
      <c r="A71" s="2224" t="s">
        <v>2124</v>
      </c>
      <c r="B71" s="2224"/>
      <c r="C71" s="2297"/>
      <c r="D71" s="2298"/>
      <c r="E71" s="1048"/>
      <c r="F71" s="2299"/>
      <c r="G71" s="2299"/>
      <c r="H71" s="2299"/>
      <c r="I71" s="2299"/>
      <c r="J71" s="2300"/>
      <c r="K71" s="2301"/>
      <c r="L71" s="2302"/>
      <c r="M71" s="2303"/>
      <c r="N71" s="2303"/>
      <c r="O71" s="2304"/>
      <c r="P71" s="2297"/>
      <c r="Q71" s="2305"/>
      <c r="R71" s="2377"/>
      <c r="S71" s="2307"/>
      <c r="T71" s="2378"/>
      <c r="U71" s="2379"/>
      <c r="V71" s="2380"/>
      <c r="W71" s="2381" t="s">
        <v>2133</v>
      </c>
      <c r="X71" s="2381"/>
      <c r="Y71" s="2381"/>
      <c r="Z71" s="2311"/>
      <c r="AA71" s="2203"/>
      <c r="AB71" s="2348"/>
      <c r="AC71" s="2348"/>
    </row>
    <row r="72" customFormat="false" ht="16.5" hidden="false" customHeight="true" outlineLevel="0" collapsed="false">
      <c r="A72" s="2400" t="s">
        <v>2149</v>
      </c>
      <c r="B72" s="2401" t="str">
        <f aca="false">"DG Batch4 - 24 PJT"</f>
        <v>DG Batch4 - 24 PJT</v>
      </c>
      <c r="C72" s="2387" t="n">
        <f aca="false">SUBTOTAL(103,$D$72:D72)</f>
        <v>1</v>
      </c>
      <c r="D72" s="2188" t="str">
        <f aca="false">'DG-PV Organic'!B91</f>
        <v>Shingal Warehouse 1-1</v>
      </c>
      <c r="E72" s="2189"/>
      <c r="F72" s="2190"/>
      <c r="G72" s="2190"/>
      <c r="H72" s="2190"/>
      <c r="I72" s="2190"/>
      <c r="J72" s="2192"/>
      <c r="K72" s="2193" t="str">
        <f aca="false">'DG-PV Organic'!X91</f>
        <v>Gyeonggi-do</v>
      </c>
      <c r="L72" s="2194"/>
      <c r="M72" s="2402" t="str">
        <f aca="false">'DG-PV Organic'!G91</f>
        <v>Original Owner CCC+
Trust Company A0</v>
      </c>
      <c r="N72" s="2195" t="s">
        <v>362</v>
      </c>
      <c r="O72" s="2324" t="n">
        <f aca="false">'DG-PV Organic'!O91</f>
        <v>675.64</v>
      </c>
      <c r="P72" s="2187" t="n">
        <f aca="false">'DG-PV Organic'!L91</f>
        <v>1448</v>
      </c>
      <c r="Q72" s="2196" t="n">
        <f aca="false">P72/365</f>
        <v>3.96712328767123</v>
      </c>
      <c r="R72" s="2187" t="str">
        <f aca="false">'DG-PV Organic'!H91</f>
        <v>TBD</v>
      </c>
      <c r="S72" s="2403" t="str">
        <f aca="false">'DG-PV Organic'!Q91</f>
        <v>TBD</v>
      </c>
      <c r="T72" s="2187" t="e">
        <f aca="false">+EDATE(S72,6)</f>
        <v>#VALUE!</v>
      </c>
      <c r="U72" s="2200" t="n">
        <f aca="false">'DG-PV Organic'!AJ91/1000*1.1</f>
        <v>148640.8</v>
      </c>
      <c r="V72" s="2201" t="n">
        <f aca="false">'DG-PV Organic'!AK91/1000*1.1</f>
        <v>222961.2</v>
      </c>
      <c r="W72" s="2201" t="n">
        <f aca="false">SUM(U72:V72)</f>
        <v>371602</v>
      </c>
      <c r="X72" s="2201" t="n">
        <f aca="false">W72/O72</f>
        <v>550</v>
      </c>
      <c r="Y72" s="2201" t="n">
        <f aca="false">'DG-PV Organic'!AL91/1000*1.1</f>
        <v>780364.2</v>
      </c>
      <c r="Z72" s="2202" t="n">
        <v>65000</v>
      </c>
      <c r="AA72" s="2203"/>
      <c r="AB72" s="2348"/>
      <c r="AC72" s="2348"/>
      <c r="AF72" s="2334"/>
      <c r="AG72" s="2334"/>
      <c r="AH72" s="2334"/>
      <c r="AI72" s="2334"/>
      <c r="AJ72" s="2335"/>
    </row>
    <row r="73" customFormat="false" ht="16.5" hidden="false" customHeight="true" outlineLevel="0" collapsed="false">
      <c r="A73" s="2400"/>
      <c r="B73" s="2401"/>
      <c r="C73" s="2387" t="n">
        <f aca="false">SUBTOTAL(103,$D$72:D73)</f>
        <v>2</v>
      </c>
      <c r="D73" s="2188" t="str">
        <f aca="false">'DG-PV Organic'!B92</f>
        <v>Shingal Warehouse 1-2</v>
      </c>
      <c r="E73" s="965"/>
      <c r="F73" s="1097"/>
      <c r="G73" s="1097"/>
      <c r="H73" s="1097"/>
      <c r="I73" s="1097"/>
      <c r="J73" s="967"/>
      <c r="K73" s="2193" t="str">
        <f aca="false">'DG-PV Organic'!X92</f>
        <v>Gyeonggi-do</v>
      </c>
      <c r="L73" s="2404"/>
      <c r="M73" s="2195" t="str">
        <f aca="false">'DG-PV Organic'!G92</f>
        <v>Original Owner CCC-
Trust Company AA+</v>
      </c>
      <c r="N73" s="2195" t="s">
        <v>362</v>
      </c>
      <c r="O73" s="2337" t="n">
        <f aca="false">'DG-PV Organic'!O92</f>
        <v>1634.49</v>
      </c>
      <c r="P73" s="2187" t="n">
        <f aca="false">'DG-PV Organic'!L92</f>
        <v>1443</v>
      </c>
      <c r="Q73" s="2197" t="n">
        <f aca="false">P73/365</f>
        <v>3.95342465753425</v>
      </c>
      <c r="R73" s="2187" t="str">
        <f aca="false">'DG-PV Organic'!H92</f>
        <v>TBD</v>
      </c>
      <c r="S73" s="2403" t="str">
        <f aca="false">'DG-PV Organic'!Q92</f>
        <v>TBD</v>
      </c>
      <c r="T73" s="2199" t="e">
        <f aca="false">+EDATE(S73,6)</f>
        <v>#VALUE!</v>
      </c>
      <c r="U73" s="2200" t="n">
        <f aca="false">'DG-PV Organic'!AJ92/1000*1.1</f>
        <v>359587.8</v>
      </c>
      <c r="V73" s="2201" t="n">
        <f aca="false">'DG-PV Organic'!AK92/1000*1.1</f>
        <v>539381.7</v>
      </c>
      <c r="W73" s="2201" t="n">
        <f aca="false">SUM(U73:V73)</f>
        <v>898969.5</v>
      </c>
      <c r="X73" s="2201" t="n">
        <f aca="false">W73/O73</f>
        <v>550</v>
      </c>
      <c r="Y73" s="2201" t="n">
        <f aca="false">'DG-PV Organic'!AL92/1000*1.1</f>
        <v>1887835.95</v>
      </c>
      <c r="Z73" s="2202" t="n">
        <v>65000</v>
      </c>
      <c r="AA73" s="2203"/>
    </row>
    <row r="74" customFormat="false" ht="16.5" hidden="false" customHeight="true" outlineLevel="0" collapsed="false">
      <c r="A74" s="2400"/>
      <c r="B74" s="2401"/>
      <c r="C74" s="2387" t="n">
        <f aca="false">SUBTOTAL(103,$D$72:D74)</f>
        <v>3</v>
      </c>
      <c r="D74" s="2188" t="str">
        <f aca="false">'DG-PV Organic'!B93</f>
        <v>GIS</v>
      </c>
      <c r="E74" s="965"/>
      <c r="F74" s="1097"/>
      <c r="G74" s="1097"/>
      <c r="H74" s="1097"/>
      <c r="I74" s="1097"/>
      <c r="J74" s="967"/>
      <c r="K74" s="2193" t="str">
        <f aca="false">'DG-PV Organic'!X93</f>
        <v>Gyeongsangbuk-do</v>
      </c>
      <c r="L74" s="2404"/>
      <c r="M74" s="2195" t="str">
        <f aca="false">'DG-PV Organic'!G93</f>
        <v>BBB0</v>
      </c>
      <c r="N74" s="2195" t="s">
        <v>362</v>
      </c>
      <c r="O74" s="2337" t="n">
        <f aca="false">'DG-PV Organic'!O93</f>
        <v>1040.13</v>
      </c>
      <c r="P74" s="2187" t="n">
        <f aca="false">'DG-PV Organic'!L93</f>
        <v>1428</v>
      </c>
      <c r="Q74" s="2197" t="n">
        <f aca="false">P74/365</f>
        <v>3.91232876712329</v>
      </c>
      <c r="R74" s="2187" t="str">
        <f aca="false">'DG-PV Organic'!H93</f>
        <v>TBD</v>
      </c>
      <c r="S74" s="2403" t="str">
        <f aca="false">'DG-PV Organic'!Q93</f>
        <v>TBD</v>
      </c>
      <c r="T74" s="2199" t="e">
        <f aca="false">+EDATE(S74,6)</f>
        <v>#VALUE!</v>
      </c>
      <c r="U74" s="2200" t="n">
        <f aca="false">'DG-PV Organic'!AJ93/1000*1.1</f>
        <v>228828.6</v>
      </c>
      <c r="V74" s="2201" t="n">
        <f aca="false">'DG-PV Organic'!AK93/1000*1.1</f>
        <v>343242.9</v>
      </c>
      <c r="W74" s="2201" t="n">
        <f aca="false">SUM(U74:V74)</f>
        <v>572071.5</v>
      </c>
      <c r="X74" s="2201" t="n">
        <f aca="false">W74/O74</f>
        <v>550</v>
      </c>
      <c r="Y74" s="2201" t="n">
        <f aca="false">'DG-PV Organic'!AL93/1000*1.1</f>
        <v>1201350.15</v>
      </c>
      <c r="Z74" s="2202" t="n">
        <v>65000</v>
      </c>
      <c r="AA74" s="2203"/>
    </row>
    <row r="75" customFormat="false" ht="16.5" hidden="false" customHeight="true" outlineLevel="0" collapsed="false">
      <c r="A75" s="2400"/>
      <c r="B75" s="2401"/>
      <c r="C75" s="2387" t="n">
        <f aca="false">SUBTOTAL(103,$D$72:D75)</f>
        <v>4</v>
      </c>
      <c r="D75" s="2188" t="str">
        <f aca="false">'DG-PV Organic'!B94</f>
        <v>Lee Sang Bok</v>
      </c>
      <c r="E75" s="965"/>
      <c r="F75" s="1097"/>
      <c r="G75" s="1097"/>
      <c r="H75" s="1097"/>
      <c r="I75" s="1097"/>
      <c r="J75" s="967"/>
      <c r="K75" s="2193" t="str">
        <f aca="false">'DG-PV Organic'!X94</f>
        <v>Gyeonggi-do</v>
      </c>
      <c r="L75" s="2404"/>
      <c r="M75" s="2195" t="str">
        <f aca="false">'DG-PV Organic'!G94</f>
        <v>Individual business owner</v>
      </c>
      <c r="N75" s="2195" t="s">
        <v>362</v>
      </c>
      <c r="O75" s="2337" t="n">
        <f aca="false">'DG-PV Organic'!O94</f>
        <v>396.2</v>
      </c>
      <c r="P75" s="2187" t="n">
        <f aca="false">'DG-PV Organic'!L94</f>
        <v>1452</v>
      </c>
      <c r="Q75" s="2197" t="n">
        <f aca="false">P75/365</f>
        <v>3.97808219178082</v>
      </c>
      <c r="R75" s="2187" t="str">
        <f aca="false">'DG-PV Organic'!H94</f>
        <v>TBD</v>
      </c>
      <c r="S75" s="2403" t="str">
        <f aca="false">'DG-PV Organic'!Q94</f>
        <v>TBD</v>
      </c>
      <c r="T75" s="2199" t="e">
        <f aca="false">+EDATE(S75,6)</f>
        <v>#VALUE!</v>
      </c>
      <c r="U75" s="2200" t="n">
        <f aca="false">'DG-PV Organic'!AJ94/1000*1.1</f>
        <v>87164</v>
      </c>
      <c r="V75" s="2201" t="n">
        <f aca="false">'DG-PV Organic'!AK94/1000*1.1</f>
        <v>130746</v>
      </c>
      <c r="W75" s="2201" t="n">
        <f aca="false">SUM(U75:V75)</f>
        <v>217910</v>
      </c>
      <c r="X75" s="2201" t="n">
        <f aca="false">W75/O75</f>
        <v>550</v>
      </c>
      <c r="Y75" s="2201" t="n">
        <f aca="false">'DG-PV Organic'!AL94/1000*1.1</f>
        <v>457611</v>
      </c>
      <c r="Z75" s="2202" t="n">
        <v>65000</v>
      </c>
      <c r="AA75" s="2203"/>
    </row>
    <row r="76" customFormat="false" ht="16.5" hidden="false" customHeight="true" outlineLevel="0" collapsed="false">
      <c r="A76" s="2400"/>
      <c r="B76" s="2401"/>
      <c r="C76" s="2387" t="n">
        <f aca="false">SUBTOTAL(103,$D$72:D76)</f>
        <v>5</v>
      </c>
      <c r="D76" s="2188" t="str">
        <f aca="false">'DG-PV Organic'!B95</f>
        <v>Gunil Steel </v>
      </c>
      <c r="E76" s="965"/>
      <c r="F76" s="1097"/>
      <c r="G76" s="1097"/>
      <c r="H76" s="1097"/>
      <c r="I76" s="1097"/>
      <c r="J76" s="967"/>
      <c r="K76" s="2193" t="str">
        <f aca="false">'DG-PV Organic'!X95</f>
        <v>Chungcheongnam-do</v>
      </c>
      <c r="L76" s="2404"/>
      <c r="M76" s="2195" t="str">
        <f aca="false">'DG-PV Organic'!G95</f>
        <v>BBB+</v>
      </c>
      <c r="N76" s="2195" t="s">
        <v>362</v>
      </c>
      <c r="O76" s="2337" t="n">
        <f aca="false">'DG-PV Organic'!O95</f>
        <v>318.135</v>
      </c>
      <c r="P76" s="2187" t="n">
        <f aca="false">'DG-PV Organic'!L95</f>
        <v>1444</v>
      </c>
      <c r="Q76" s="2197" t="n">
        <f aca="false">P76/365</f>
        <v>3.95616438356164</v>
      </c>
      <c r="R76" s="2187" t="str">
        <f aca="false">'DG-PV Organic'!H95</f>
        <v>TBD</v>
      </c>
      <c r="S76" s="2403" t="str">
        <f aca="false">'DG-PV Organic'!Q95</f>
        <v>TBD</v>
      </c>
      <c r="T76" s="2199" t="e">
        <f aca="false">+EDATE(S76,6)</f>
        <v>#VALUE!</v>
      </c>
      <c r="U76" s="2200" t="n">
        <f aca="false">'DG-PV Organic'!AJ95/1000*1.1</f>
        <v>69989.7</v>
      </c>
      <c r="V76" s="2201" t="n">
        <f aca="false">'DG-PV Organic'!AK95/1000*1.1</f>
        <v>104984.55</v>
      </c>
      <c r="W76" s="2201" t="n">
        <f aca="false">SUM(U76:V76)</f>
        <v>174974.25</v>
      </c>
      <c r="X76" s="2201" t="n">
        <f aca="false">W76/O76</f>
        <v>550</v>
      </c>
      <c r="Y76" s="2201" t="n">
        <f aca="false">'DG-PV Organic'!AL95/1000*1.1</f>
        <v>367445.925</v>
      </c>
      <c r="Z76" s="2202" t="n">
        <v>65000</v>
      </c>
      <c r="AA76" s="2203"/>
    </row>
    <row r="77" customFormat="false" ht="16.5" hidden="false" customHeight="true" outlineLevel="0" collapsed="false">
      <c r="A77" s="2400"/>
      <c r="B77" s="2401"/>
      <c r="C77" s="2387" t="n">
        <f aca="false">SUBTOTAL(103,$D$72:D77)</f>
        <v>6</v>
      </c>
      <c r="D77" s="2188" t="str">
        <f aca="false">'DG-PV Organic'!B96</f>
        <v>Gyeongin Precision Machinery</v>
      </c>
      <c r="E77" s="965"/>
      <c r="F77" s="1097"/>
      <c r="G77" s="1097"/>
      <c r="H77" s="1097"/>
      <c r="I77" s="1097"/>
      <c r="J77" s="967"/>
      <c r="K77" s="2193" t="str">
        <f aca="false">'DG-PV Organic'!X96</f>
        <v>Gyeonggi-do</v>
      </c>
      <c r="L77" s="2404"/>
      <c r="M77" s="2195" t="str">
        <f aca="false">'DG-PV Organic'!G96</f>
        <v>B0</v>
      </c>
      <c r="N77" s="2195" t="s">
        <v>362</v>
      </c>
      <c r="O77" s="2337" t="n">
        <f aca="false">'DG-PV Organic'!O96</f>
        <v>841.375</v>
      </c>
      <c r="P77" s="2187" t="n">
        <f aca="false">'DG-PV Organic'!L96</f>
        <v>1457</v>
      </c>
      <c r="Q77" s="2197" t="n">
        <f aca="false">P77/365</f>
        <v>3.99178082191781</v>
      </c>
      <c r="R77" s="2187" t="str">
        <f aca="false">'DG-PV Organic'!H96</f>
        <v>TBD</v>
      </c>
      <c r="S77" s="2403" t="str">
        <f aca="false">'DG-PV Organic'!Q96</f>
        <v>TBD</v>
      </c>
      <c r="T77" s="2199" t="e">
        <f aca="false">+EDATE(S77,6)</f>
        <v>#VALUE!</v>
      </c>
      <c r="U77" s="2200" t="n">
        <f aca="false">'DG-PV Organic'!AJ96/1000*1.1</f>
        <v>185102.5</v>
      </c>
      <c r="V77" s="2201" t="n">
        <f aca="false">'DG-PV Organic'!AK96/1000*1.1</f>
        <v>277653.75</v>
      </c>
      <c r="W77" s="2201" t="n">
        <f aca="false">SUM(U77:V77)</f>
        <v>462756.25</v>
      </c>
      <c r="X77" s="2201" t="n">
        <f aca="false">W77/O77</f>
        <v>550</v>
      </c>
      <c r="Y77" s="2201" t="n">
        <f aca="false">'DG-PV Organic'!AL96/1000*1.1</f>
        <v>971788.125</v>
      </c>
      <c r="Z77" s="2202" t="n">
        <v>65000</v>
      </c>
      <c r="AA77" s="2203"/>
    </row>
    <row r="78" customFormat="false" ht="16.5" hidden="false" customHeight="true" outlineLevel="0" collapsed="false">
      <c r="A78" s="2400"/>
      <c r="B78" s="2401"/>
      <c r="C78" s="2387" t="n">
        <f aca="false">SUBTOTAL(103,$D$72:D78)</f>
        <v>7</v>
      </c>
      <c r="D78" s="2188" t="str">
        <f aca="false">'DG-PV Organic'!B97</f>
        <v>Oh Sung-young/Oh Se-geun(Private property)</v>
      </c>
      <c r="E78" s="965"/>
      <c r="F78" s="1097"/>
      <c r="G78" s="1097"/>
      <c r="H78" s="1097"/>
      <c r="I78" s="1097"/>
      <c r="J78" s="967"/>
      <c r="K78" s="2193" t="str">
        <f aca="false">'DG-PV Organic'!X97</f>
        <v>Gyeonggi-do</v>
      </c>
      <c r="L78" s="2404"/>
      <c r="M78" s="2195" t="str">
        <f aca="false">'DG-PV Organic'!G97</f>
        <v>Individual business owner</v>
      </c>
      <c r="N78" s="2195" t="s">
        <v>362</v>
      </c>
      <c r="O78" s="2337" t="n">
        <f aca="false">'DG-PV Organic'!O97</f>
        <v>417.19</v>
      </c>
      <c r="P78" s="2187" t="n">
        <f aca="false">'DG-PV Organic'!L97</f>
        <v>1451</v>
      </c>
      <c r="Q78" s="2197" t="n">
        <f aca="false">P78/365</f>
        <v>3.97534246575342</v>
      </c>
      <c r="R78" s="2187" t="str">
        <f aca="false">'DG-PV Organic'!H97</f>
        <v>TBD</v>
      </c>
      <c r="S78" s="2403" t="str">
        <f aca="false">'DG-PV Organic'!Q97</f>
        <v>TBD</v>
      </c>
      <c r="T78" s="2199" t="e">
        <f aca="false">+EDATE(S78,6)</f>
        <v>#VALUE!</v>
      </c>
      <c r="U78" s="2200" t="n">
        <f aca="false">'DG-PV Organic'!AJ97/1000*1.1</f>
        <v>91781.8</v>
      </c>
      <c r="V78" s="2201" t="n">
        <f aca="false">'DG-PV Organic'!AK97/1000*1.1</f>
        <v>137672.7</v>
      </c>
      <c r="W78" s="2201" t="n">
        <f aca="false">SUM(U78:V78)</f>
        <v>229454.5</v>
      </c>
      <c r="X78" s="2201" t="n">
        <f aca="false">W78/O78</f>
        <v>550</v>
      </c>
      <c r="Y78" s="2201" t="n">
        <f aca="false">'DG-PV Organic'!AL97/1000*1.1</f>
        <v>481854.45</v>
      </c>
      <c r="Z78" s="2202" t="n">
        <v>65000</v>
      </c>
      <c r="AA78" s="2203"/>
    </row>
    <row r="79" s="1186" customFormat="true" ht="16.5" hidden="false" customHeight="true" outlineLevel="0" collapsed="false">
      <c r="A79" s="2400"/>
      <c r="B79" s="2401"/>
      <c r="C79" s="2387" t="n">
        <f aca="false">SUBTOTAL(103,$D$72:D79)</f>
        <v>8</v>
      </c>
      <c r="D79" s="2188" t="str">
        <f aca="false">'DG-PV Organic'!B98</f>
        <v>Samhyeon</v>
      </c>
      <c r="E79" s="1048"/>
      <c r="F79" s="2299" t="s">
        <v>1126</v>
      </c>
      <c r="G79" s="2299"/>
      <c r="H79" s="2299"/>
      <c r="I79" s="2299"/>
      <c r="J79" s="2300"/>
      <c r="K79" s="2193" t="str">
        <f aca="false">'DG-PV Organic'!X98</f>
        <v>Gyeonggi-do</v>
      </c>
      <c r="L79" s="2405" t="n">
        <f aca="false">'DG-PV Organic'!K69</f>
        <v>0</v>
      </c>
      <c r="M79" s="2195" t="str">
        <f aca="false">'DG-PV Organic'!G98</f>
        <v>BBB-</v>
      </c>
      <c r="N79" s="2195" t="s">
        <v>362</v>
      </c>
      <c r="O79" s="2337" t="n">
        <f aca="false">'DG-PV Organic'!O98</f>
        <v>417.19</v>
      </c>
      <c r="P79" s="2187" t="n">
        <f aca="false">'DG-PV Organic'!L98</f>
        <v>1463</v>
      </c>
      <c r="Q79" s="2197" t="n">
        <f aca="false">P79/365</f>
        <v>4.00821917808219</v>
      </c>
      <c r="R79" s="2187" t="str">
        <f aca="false">'DG-PV Organic'!H98</f>
        <v>TBD</v>
      </c>
      <c r="S79" s="2403" t="str">
        <f aca="false">'DG-PV Organic'!Q98</f>
        <v>TBD</v>
      </c>
      <c r="T79" s="2199" t="e">
        <f aca="false">+EDATE(S79,6)</f>
        <v>#VALUE!</v>
      </c>
      <c r="U79" s="2200" t="n">
        <f aca="false">'DG-PV Organic'!AJ98/1000*1.1</f>
        <v>91781.8</v>
      </c>
      <c r="V79" s="2201" t="n">
        <f aca="false">'DG-PV Organic'!AK98/1000*1.1</f>
        <v>137672.7</v>
      </c>
      <c r="W79" s="2201" t="n">
        <f aca="false">SUM(U79:V79)</f>
        <v>229454.5</v>
      </c>
      <c r="X79" s="2201" t="n">
        <f aca="false">W79/O79</f>
        <v>550</v>
      </c>
      <c r="Y79" s="2201" t="n">
        <f aca="false">'DG-PV Organic'!AL98/1000*1.1</f>
        <v>481854.45</v>
      </c>
      <c r="Z79" s="2202" t="n">
        <v>65000</v>
      </c>
      <c r="AA79" s="2289" t="n">
        <f aca="false">'DG-PV Organic'!AI69</f>
        <v>0</v>
      </c>
    </row>
    <row r="80" customFormat="false" ht="16.5" hidden="false" customHeight="false" outlineLevel="0" collapsed="false">
      <c r="A80" s="2400"/>
      <c r="B80" s="2401"/>
      <c r="C80" s="2387" t="n">
        <f aca="false">SUBTOTAL(103,$D$72:D80)</f>
        <v>9</v>
      </c>
      <c r="D80" s="2188" t="str">
        <f aca="false">'DG-PV Organic'!B99</f>
        <v>Soodal Korea</v>
      </c>
      <c r="E80" s="2208" t="s">
        <v>1230</v>
      </c>
      <c r="F80" s="2223" t="s">
        <v>1231</v>
      </c>
      <c r="G80" s="2209"/>
      <c r="H80" s="2209"/>
      <c r="I80" s="2209"/>
      <c r="J80" s="2210" t="s">
        <v>1232</v>
      </c>
      <c r="K80" s="2193" t="str">
        <f aca="false">'DG-PV Organic'!X99</f>
        <v>Gyeonggi-do</v>
      </c>
      <c r="L80" s="2212" t="n">
        <f aca="false">'DG-PV Organic'!K91</f>
        <v>870035.1</v>
      </c>
      <c r="M80" s="2195" t="str">
        <f aca="false">'DG-PV Organic'!G99</f>
        <v>BBB+</v>
      </c>
      <c r="N80" s="2195" t="s">
        <v>362</v>
      </c>
      <c r="O80" s="2337" t="n">
        <f aca="false">'DG-PV Organic'!O99</f>
        <v>536.575</v>
      </c>
      <c r="P80" s="2187" t="n">
        <f aca="false">'DG-PV Organic'!L99</f>
        <v>1393</v>
      </c>
      <c r="Q80" s="2197" t="n">
        <f aca="false">P80/365</f>
        <v>3.81643835616438</v>
      </c>
      <c r="R80" s="2187" t="str">
        <f aca="false">'DG-PV Organic'!H99</f>
        <v>TBD</v>
      </c>
      <c r="S80" s="2403" t="str">
        <f aca="false">'DG-PV Organic'!Q99</f>
        <v>TBD</v>
      </c>
      <c r="T80" s="2199" t="e">
        <f aca="false">+EDATE(S80,6)</f>
        <v>#VALUE!</v>
      </c>
      <c r="U80" s="2200" t="n">
        <f aca="false">'DG-PV Organic'!AJ99/1000*1.1</f>
        <v>118046.5</v>
      </c>
      <c r="V80" s="2201" t="n">
        <f aca="false">'DG-PV Organic'!AK99/1000*1.1</f>
        <v>177069.75</v>
      </c>
      <c r="W80" s="2201" t="n">
        <f aca="false">SUM(U80:V80)</f>
        <v>295116.25</v>
      </c>
      <c r="X80" s="2201" t="n">
        <f aca="false">W80/O80</f>
        <v>550</v>
      </c>
      <c r="Y80" s="2201" t="n">
        <f aca="false">'DG-PV Organic'!AL99/1000*1.1</f>
        <v>619744.125</v>
      </c>
      <c r="Z80" s="2202" t="n">
        <v>65000</v>
      </c>
      <c r="AA80" s="2203" t="n">
        <f aca="false">'DG-PV Organic'!AI91</f>
        <v>135128000</v>
      </c>
    </row>
    <row r="81" customFormat="false" ht="16.5" hidden="false" customHeight="false" outlineLevel="0" collapsed="false">
      <c r="A81" s="2400"/>
      <c r="B81" s="2401"/>
      <c r="C81" s="2387" t="n">
        <f aca="false">SUBTOTAL(103,$D$72:D81)</f>
        <v>10</v>
      </c>
      <c r="D81" s="2188" t="str">
        <f aca="false">'DG-PV Organic'!B100</f>
        <v>AT Gimpo</v>
      </c>
      <c r="E81" s="2208" t="s">
        <v>1236</v>
      </c>
      <c r="F81" s="2223" t="s">
        <v>1237</v>
      </c>
      <c r="G81" s="2209"/>
      <c r="H81" s="2209"/>
      <c r="I81" s="2209"/>
      <c r="J81" s="2210" t="s">
        <v>1238</v>
      </c>
      <c r="K81" s="2193" t="str">
        <f aca="false">'DG-PV Organic'!X100</f>
        <v>Gyeonggi-do</v>
      </c>
      <c r="L81" s="2212" t="n">
        <f aca="false">'DG-PV Organic'!K92</f>
        <v>2104765.5</v>
      </c>
      <c r="M81" s="2195" t="str">
        <f aca="false">'DG-PV Organic'!G100</f>
        <v>A0</v>
      </c>
      <c r="N81" s="2195" t="s">
        <v>362</v>
      </c>
      <c r="O81" s="2337" t="n">
        <f aca="false">'DG-PV Organic'!O100</f>
        <v>1083.31</v>
      </c>
      <c r="P81" s="2187" t="n">
        <f aca="false">'DG-PV Organic'!L100</f>
        <v>1438</v>
      </c>
      <c r="Q81" s="2197" t="n">
        <f aca="false">P81/365</f>
        <v>3.93972602739726</v>
      </c>
      <c r="R81" s="2187" t="str">
        <f aca="false">'DG-PV Organic'!H100</f>
        <v>TBD</v>
      </c>
      <c r="S81" s="2403" t="str">
        <f aca="false">'DG-PV Organic'!Q100</f>
        <v>TBD</v>
      </c>
      <c r="T81" s="2199" t="e">
        <f aca="false">+EDATE(S81,6)</f>
        <v>#VALUE!</v>
      </c>
      <c r="U81" s="2200" t="n">
        <f aca="false">'DG-PV Organic'!AJ100/1000*1.1</f>
        <v>238328.2</v>
      </c>
      <c r="V81" s="2201" t="n">
        <f aca="false">'DG-PV Organic'!AK100/1000*1.1</f>
        <v>357492.3</v>
      </c>
      <c r="W81" s="2201" t="n">
        <f aca="false">SUM(U81:V81)</f>
        <v>595820.5</v>
      </c>
      <c r="X81" s="2201" t="n">
        <f aca="false">W81/O81</f>
        <v>550</v>
      </c>
      <c r="Y81" s="2201" t="n">
        <f aca="false">'DG-PV Organic'!AL100/1000*1.1</f>
        <v>1251223.05</v>
      </c>
      <c r="Z81" s="2202" t="n">
        <v>65000</v>
      </c>
      <c r="AA81" s="2203" t="n">
        <f aca="false">'DG-PV Organic'!AI92</f>
        <v>326898000</v>
      </c>
    </row>
    <row r="82" customFormat="false" ht="16.5" hidden="false" customHeight="false" outlineLevel="0" collapsed="false">
      <c r="A82" s="2400"/>
      <c r="B82" s="2401"/>
      <c r="C82" s="2387" t="n">
        <f aca="false">SUBTOTAL(103,$D$72:D82)</f>
        <v>11</v>
      </c>
      <c r="D82" s="2188" t="str">
        <f aca="false">'DG-PV Organic'!B101</f>
        <v>AT Icheon</v>
      </c>
      <c r="E82" s="2208" t="s">
        <v>2150</v>
      </c>
      <c r="F82" s="2223" t="s">
        <v>2151</v>
      </c>
      <c r="G82" s="2209"/>
      <c r="H82" s="2209"/>
      <c r="I82" s="2209"/>
      <c r="J82" s="2210" t="s">
        <v>2152</v>
      </c>
      <c r="K82" s="2193" t="str">
        <f aca="false">'DG-PV Organic'!X101</f>
        <v>Gyeonggi-do</v>
      </c>
      <c r="L82" s="2212" t="e">
        <f aca="false">'dg-pv organic'!#ref!</f>
        <v>#VALUE!</v>
      </c>
      <c r="M82" s="2195" t="str">
        <f aca="false">'DG-PV Organic'!G101</f>
        <v>A0</v>
      </c>
      <c r="N82" s="2195" t="s">
        <v>362</v>
      </c>
      <c r="O82" s="2337" t="n">
        <f aca="false">'DG-PV Organic'!O101</f>
        <v>3835.4</v>
      </c>
      <c r="P82" s="2187" t="n">
        <f aca="false">'DG-PV Organic'!L101</f>
        <v>1411</v>
      </c>
      <c r="Q82" s="2197" t="n">
        <f aca="false">P82/365</f>
        <v>3.86575342465753</v>
      </c>
      <c r="R82" s="2187" t="str">
        <f aca="false">'DG-PV Organic'!H101</f>
        <v>TBD</v>
      </c>
      <c r="S82" s="2403" t="str">
        <f aca="false">'DG-PV Organic'!Q101</f>
        <v>TBD</v>
      </c>
      <c r="T82" s="2199" t="e">
        <f aca="false">+EDATE(S82,6)</f>
        <v>#VALUE!</v>
      </c>
      <c r="U82" s="2200" t="n">
        <f aca="false">'DG-PV Organic'!AJ101/1000*1.1</f>
        <v>843788</v>
      </c>
      <c r="V82" s="2201" t="n">
        <f aca="false">'DG-PV Organic'!AK101/1000*1.1</f>
        <v>1265682</v>
      </c>
      <c r="W82" s="2201" t="n">
        <f aca="false">SUM(U82:V82)</f>
        <v>2109470</v>
      </c>
      <c r="X82" s="2201" t="n">
        <f aca="false">W82/O82</f>
        <v>550</v>
      </c>
      <c r="Y82" s="2201" t="n">
        <f aca="false">'DG-PV Organic'!AL101/1000*1.1</f>
        <v>4429887</v>
      </c>
      <c r="Z82" s="2202" t="n">
        <v>65000</v>
      </c>
      <c r="AA82" s="2203" t="e">
        <f aca="false">'dg-pv organic'!#ref!</f>
        <v>#VALUE!</v>
      </c>
    </row>
    <row r="83" customFormat="false" ht="16.5" hidden="false" customHeight="false" outlineLevel="0" collapsed="false">
      <c r="A83" s="2400"/>
      <c r="B83" s="2401"/>
      <c r="C83" s="2387" t="n">
        <f aca="false">SUBTOTAL(103,$D$72:D83)</f>
        <v>12</v>
      </c>
      <c r="D83" s="2188" t="str">
        <f aca="false">'DG-PV Organic'!B102</f>
        <v>AT Pyeongtaek</v>
      </c>
      <c r="E83" s="2208" t="s">
        <v>2153</v>
      </c>
      <c r="F83" s="2223" t="s">
        <v>2154</v>
      </c>
      <c r="G83" s="2209"/>
      <c r="H83" s="2209"/>
      <c r="I83" s="2209"/>
      <c r="J83" s="2210" t="s">
        <v>2155</v>
      </c>
      <c r="K83" s="2193" t="str">
        <f aca="false">'DG-PV Organic'!X102</f>
        <v>Gyeonggi-do</v>
      </c>
      <c r="L83" s="2212" t="e">
        <f aca="false">'dg-pv organic'!#ref!</f>
        <v>#VALUE!</v>
      </c>
      <c r="M83" s="2195" t="str">
        <f aca="false">'DG-PV Organic'!G102</f>
        <v>A0</v>
      </c>
      <c r="N83" s="2195" t="s">
        <v>362</v>
      </c>
      <c r="O83" s="2337" t="n">
        <f aca="false">'DG-PV Organic'!O102</f>
        <v>1800.225</v>
      </c>
      <c r="P83" s="2187" t="n">
        <f aca="false">'DG-PV Organic'!L102</f>
        <v>1447</v>
      </c>
      <c r="Q83" s="2197" t="n">
        <f aca="false">P83/365</f>
        <v>3.96438356164384</v>
      </c>
      <c r="R83" s="2187" t="str">
        <f aca="false">'DG-PV Organic'!H102</f>
        <v>TBD</v>
      </c>
      <c r="S83" s="2403" t="str">
        <f aca="false">'DG-PV Organic'!Q102</f>
        <v>TBD</v>
      </c>
      <c r="T83" s="2199" t="e">
        <f aca="false">+EDATE(S83,6)</f>
        <v>#VALUE!</v>
      </c>
      <c r="U83" s="2200" t="n">
        <f aca="false">'DG-PV Organic'!AJ102/1000*1.1</f>
        <v>396049.5</v>
      </c>
      <c r="V83" s="2201" t="n">
        <f aca="false">'DG-PV Organic'!AK102/1000*1.1</f>
        <v>594074.25</v>
      </c>
      <c r="W83" s="2201" t="n">
        <f aca="false">SUM(U83:V83)</f>
        <v>990123.75</v>
      </c>
      <c r="X83" s="2201" t="n">
        <f aca="false">W83/O83</f>
        <v>550</v>
      </c>
      <c r="Y83" s="2201" t="n">
        <f aca="false">'DG-PV Organic'!AL102/1000*1.1</f>
        <v>2079259.875</v>
      </c>
      <c r="Z83" s="2202" t="n">
        <v>65000</v>
      </c>
      <c r="AA83" s="2203" t="e">
        <f aca="false">'dg-pv organic'!#ref!</f>
        <v>#VALUE!</v>
      </c>
    </row>
    <row r="84" customFormat="false" ht="16.5" hidden="false" customHeight="false" outlineLevel="0" collapsed="false">
      <c r="A84" s="2400"/>
      <c r="B84" s="2406" t="n">
        <f aca="false">SUM(O72:O95)</f>
        <v>35118.41</v>
      </c>
      <c r="C84" s="2387" t="n">
        <f aca="false">SUBTOTAL(103,$D$72:D84)</f>
        <v>13</v>
      </c>
      <c r="D84" s="2188" t="str">
        <f aca="false">'DG-PV Organic'!B103</f>
        <v>AT Ansim </v>
      </c>
      <c r="E84" s="2208" t="s">
        <v>2156</v>
      </c>
      <c r="F84" s="2223" t="s">
        <v>2157</v>
      </c>
      <c r="G84" s="2209"/>
      <c r="H84" s="2209"/>
      <c r="I84" s="2209"/>
      <c r="J84" s="2210" t="s">
        <v>2158</v>
      </c>
      <c r="K84" s="2193" t="str">
        <f aca="false">'DG-PV Organic'!X103</f>
        <v>Daegu</v>
      </c>
      <c r="L84" s="2212" t="e">
        <f aca="false">'dg-pv organic'!#ref!</f>
        <v>#VALUE!</v>
      </c>
      <c r="M84" s="2195" t="str">
        <f aca="false">'DG-PV Organic'!G103</f>
        <v>A0</v>
      </c>
      <c r="N84" s="2195" t="s">
        <v>362</v>
      </c>
      <c r="O84" s="2337" t="n">
        <f aca="false">'DG-PV Organic'!O103</f>
        <v>1363.98</v>
      </c>
      <c r="P84" s="2187" t="n">
        <f aca="false">'DG-PV Organic'!L103</f>
        <v>1442</v>
      </c>
      <c r="Q84" s="2197" t="n">
        <f aca="false">P84/365</f>
        <v>3.95068493150685</v>
      </c>
      <c r="R84" s="2187" t="str">
        <f aca="false">'DG-PV Organic'!H103</f>
        <v>TBD</v>
      </c>
      <c r="S84" s="2403" t="str">
        <f aca="false">'DG-PV Organic'!Q103</f>
        <v>TBD</v>
      </c>
      <c r="T84" s="2199" t="e">
        <f aca="false">+EDATE(S84,6)</f>
        <v>#VALUE!</v>
      </c>
      <c r="U84" s="2200" t="n">
        <f aca="false">'DG-PV Organic'!AJ103/1000*1.1</f>
        <v>300075.6</v>
      </c>
      <c r="V84" s="2201" t="n">
        <f aca="false">'DG-PV Organic'!AK103/1000*1.1</f>
        <v>450113.4</v>
      </c>
      <c r="W84" s="2201" t="n">
        <f aca="false">SUM(U84:V84)</f>
        <v>750189</v>
      </c>
      <c r="X84" s="2201" t="n">
        <f aca="false">W84/O84</f>
        <v>550</v>
      </c>
      <c r="Y84" s="2201" t="n">
        <f aca="false">'DG-PV Organic'!AL103/1000*1.1</f>
        <v>1575396.9</v>
      </c>
      <c r="Z84" s="2202" t="n">
        <v>65000</v>
      </c>
      <c r="AA84" s="2203" t="e">
        <f aca="false">'dg-pv organic'!#ref!</f>
        <v>#VALUE!</v>
      </c>
    </row>
    <row r="85" customFormat="false" ht="16.5" hidden="false" customHeight="false" outlineLevel="0" collapsed="false">
      <c r="A85" s="2400"/>
      <c r="B85" s="2406"/>
      <c r="C85" s="2387" t="n">
        <f aca="false">SUBTOTAL(103,$D$72:D85)</f>
        <v>14</v>
      </c>
      <c r="D85" s="2188" t="str">
        <f aca="false">'DG-PV Organic'!B104</f>
        <v>AT Busan</v>
      </c>
      <c r="E85" s="2208" t="s">
        <v>2159</v>
      </c>
      <c r="F85" s="2223" t="s">
        <v>2160</v>
      </c>
      <c r="G85" s="2209"/>
      <c r="H85" s="2209"/>
      <c r="I85" s="2209"/>
      <c r="J85" s="2210" t="s">
        <v>2161</v>
      </c>
      <c r="K85" s="2193" t="str">
        <f aca="false">'DG-PV Organic'!X104</f>
        <v>Busan</v>
      </c>
      <c r="L85" s="2212" t="e">
        <f aca="false">'dg-pv organic'!#ref!</f>
        <v>#VALUE!</v>
      </c>
      <c r="M85" s="2195" t="str">
        <f aca="false">'DG-PV Organic'!G104</f>
        <v>A0</v>
      </c>
      <c r="N85" s="2195" t="s">
        <v>362</v>
      </c>
      <c r="O85" s="2337" t="n">
        <f aca="false">'DG-PV Organic'!O104</f>
        <v>1341.12</v>
      </c>
      <c r="P85" s="2187" t="n">
        <f aca="false">'DG-PV Organic'!L104</f>
        <v>1427</v>
      </c>
      <c r="Q85" s="2197" t="n">
        <f aca="false">P85/365</f>
        <v>3.90958904109589</v>
      </c>
      <c r="R85" s="2187" t="str">
        <f aca="false">'DG-PV Organic'!H104</f>
        <v>TBD</v>
      </c>
      <c r="S85" s="2403" t="str">
        <f aca="false">'DG-PV Organic'!Q104</f>
        <v>TBD</v>
      </c>
      <c r="T85" s="2199" t="e">
        <f aca="false">+EDATE(S85,6)</f>
        <v>#VALUE!</v>
      </c>
      <c r="U85" s="2200" t="n">
        <f aca="false">'DG-PV Organic'!AJ104/1000*1.1</f>
        <v>295046.4</v>
      </c>
      <c r="V85" s="2201" t="n">
        <f aca="false">'DG-PV Organic'!AK104/1000*1.1</f>
        <v>442569.6</v>
      </c>
      <c r="W85" s="2201" t="n">
        <f aca="false">SUM(U85:V85)</f>
        <v>737616</v>
      </c>
      <c r="X85" s="2201" t="n">
        <f aca="false">W85/O85</f>
        <v>550</v>
      </c>
      <c r="Y85" s="2201" t="n">
        <f aca="false">'DG-PV Organic'!AL104/1000*1.1</f>
        <v>1548993.6</v>
      </c>
      <c r="Z85" s="2202" t="n">
        <v>65000</v>
      </c>
      <c r="AA85" s="2203" t="e">
        <f aca="false">'dg-pv organic'!#ref!</f>
        <v>#VALUE!</v>
      </c>
    </row>
    <row r="86" customFormat="false" ht="16.5" hidden="false" customHeight="false" outlineLevel="0" collapsed="false">
      <c r="A86" s="2400"/>
      <c r="B86" s="2406"/>
      <c r="C86" s="2387" t="n">
        <f aca="false">SUBTOTAL(103,$D$72:D86)</f>
        <v>15</v>
      </c>
      <c r="D86" s="2188" t="str">
        <f aca="false">'DG-PV Organic'!B105</f>
        <v>AT Hakjang </v>
      </c>
      <c r="E86" s="2208" t="s">
        <v>2162</v>
      </c>
      <c r="F86" s="2223" t="s">
        <v>2163</v>
      </c>
      <c r="G86" s="2209"/>
      <c r="H86" s="2209"/>
      <c r="I86" s="2209"/>
      <c r="J86" s="2210" t="s">
        <v>2164</v>
      </c>
      <c r="K86" s="2193" t="str">
        <f aca="false">'DG-PV Organic'!X105</f>
        <v>Busan</v>
      </c>
      <c r="L86" s="2212" t="e">
        <f aca="false">'dg-pv organic'!#ref!</f>
        <v>#VALUE!</v>
      </c>
      <c r="M86" s="2195" t="str">
        <f aca="false">'DG-PV Organic'!G105</f>
        <v>A0</v>
      </c>
      <c r="N86" s="2195" t="s">
        <v>362</v>
      </c>
      <c r="O86" s="2337" t="n">
        <f aca="false">'DG-PV Organic'!O105</f>
        <v>406.4</v>
      </c>
      <c r="P86" s="2187" t="n">
        <f aca="false">'DG-PV Organic'!L105</f>
        <v>1369</v>
      </c>
      <c r="Q86" s="2197" t="n">
        <f aca="false">P86/365</f>
        <v>3.75068493150685</v>
      </c>
      <c r="R86" s="2187" t="str">
        <f aca="false">'DG-PV Organic'!H105</f>
        <v>TBD</v>
      </c>
      <c r="S86" s="2403" t="str">
        <f aca="false">'DG-PV Organic'!Q105</f>
        <v>TBD</v>
      </c>
      <c r="T86" s="2199" t="e">
        <f aca="false">+EDATE(S86,6)</f>
        <v>#VALUE!</v>
      </c>
      <c r="U86" s="2200" t="n">
        <f aca="false">'DG-PV Organic'!AJ105/1000*1.1</f>
        <v>89408</v>
      </c>
      <c r="V86" s="2201" t="n">
        <f aca="false">'DG-PV Organic'!AK105/1000*1.1</f>
        <v>134112</v>
      </c>
      <c r="W86" s="2201" t="n">
        <f aca="false">SUM(U86:V86)</f>
        <v>223520</v>
      </c>
      <c r="X86" s="2201" t="n">
        <f aca="false">W86/O86</f>
        <v>550</v>
      </c>
      <c r="Y86" s="2201" t="n">
        <f aca="false">'DG-PV Organic'!AL105/1000*1.1</f>
        <v>469392</v>
      </c>
      <c r="Z86" s="2202" t="n">
        <v>65000</v>
      </c>
      <c r="AA86" s="2203" t="e">
        <f aca="false">'dg-pv organic'!#ref!</f>
        <v>#VALUE!</v>
      </c>
    </row>
    <row r="87" customFormat="false" ht="16.5" hidden="false" customHeight="false" outlineLevel="0" collapsed="false">
      <c r="A87" s="2400"/>
      <c r="B87" s="2406"/>
      <c r="C87" s="2387" t="n">
        <f aca="false">SUBTOTAL(103,$D$72:D87)</f>
        <v>16</v>
      </c>
      <c r="D87" s="2188" t="str">
        <f aca="false">'DG-PV Organic'!B106</f>
        <v>AT Incheon</v>
      </c>
      <c r="E87" s="2208" t="s">
        <v>2165</v>
      </c>
      <c r="F87" s="2223" t="s">
        <v>2166</v>
      </c>
      <c r="G87" s="2209"/>
      <c r="H87" s="2209"/>
      <c r="I87" s="2209"/>
      <c r="J87" s="2210" t="s">
        <v>2167</v>
      </c>
      <c r="K87" s="2193" t="str">
        <f aca="false">'DG-PV Organic'!X106</f>
        <v>Incheon</v>
      </c>
      <c r="L87" s="2212" t="e">
        <f aca="false">'dg-pv organic'!#ref!</f>
        <v>#VALUE!</v>
      </c>
      <c r="M87" s="2195" t="str">
        <f aca="false">'DG-PV Organic'!G106</f>
        <v>A0</v>
      </c>
      <c r="N87" s="2195" t="s">
        <v>362</v>
      </c>
      <c r="O87" s="2337" t="n">
        <f aca="false">'DG-PV Organic'!O106</f>
        <v>1036.32</v>
      </c>
      <c r="P87" s="2187" t="n">
        <f aca="false">'DG-PV Organic'!L106</f>
        <v>1455</v>
      </c>
      <c r="Q87" s="2197" t="n">
        <f aca="false">P87/365</f>
        <v>3.98630136986301</v>
      </c>
      <c r="R87" s="2187" t="str">
        <f aca="false">'DG-PV Organic'!H106</f>
        <v>TBD</v>
      </c>
      <c r="S87" s="2403" t="str">
        <f aca="false">'DG-PV Organic'!Q106</f>
        <v>TBD</v>
      </c>
      <c r="T87" s="2199" t="e">
        <f aca="false">+EDATE(S87,6)</f>
        <v>#VALUE!</v>
      </c>
      <c r="U87" s="2200" t="n">
        <f aca="false">'DG-PV Organic'!AJ106/1000*1.1</f>
        <v>227990.4</v>
      </c>
      <c r="V87" s="2201" t="n">
        <f aca="false">'DG-PV Organic'!AK106/1000*1.1</f>
        <v>341985.6</v>
      </c>
      <c r="W87" s="2201" t="n">
        <f aca="false">SUM(U87:V87)</f>
        <v>569976</v>
      </c>
      <c r="X87" s="2201" t="n">
        <f aca="false">W87/O87</f>
        <v>550</v>
      </c>
      <c r="Y87" s="2201" t="n">
        <f aca="false">'DG-PV Organic'!AL106/1000*1.1</f>
        <v>1196949.6</v>
      </c>
      <c r="Z87" s="2202" t="n">
        <v>65000</v>
      </c>
      <c r="AA87" s="2203" t="e">
        <f aca="false">'dg-pv organic'!#ref!</f>
        <v>#VALUE!</v>
      </c>
    </row>
    <row r="88" customFormat="false" ht="16.5" hidden="false" customHeight="false" outlineLevel="0" collapsed="false">
      <c r="A88" s="2400"/>
      <c r="B88" s="2406"/>
      <c r="C88" s="2387" t="n">
        <f aca="false">SUBTOTAL(103,$D$72:D88)</f>
        <v>17</v>
      </c>
      <c r="D88" s="2188" t="str">
        <f aca="false">'DG-PV Organic'!B107</f>
        <v>AT Jeonju</v>
      </c>
      <c r="E88" s="2208" t="s">
        <v>1241</v>
      </c>
      <c r="F88" s="2223" t="s">
        <v>1242</v>
      </c>
      <c r="G88" s="2209"/>
      <c r="H88" s="2209"/>
      <c r="I88" s="2209"/>
      <c r="J88" s="2210" t="s">
        <v>1243</v>
      </c>
      <c r="K88" s="2193" t="str">
        <f aca="false">'DG-PV Organic'!X107</f>
        <v>Jeollabuk-do</v>
      </c>
      <c r="L88" s="2212" t="n">
        <f aca="false">'DG-PV Organic'!K93</f>
        <v>1339396.2</v>
      </c>
      <c r="M88" s="2195" t="str">
        <f aca="false">'DG-PV Organic'!G107</f>
        <v>A0</v>
      </c>
      <c r="N88" s="2195" t="s">
        <v>362</v>
      </c>
      <c r="O88" s="2337" t="n">
        <f aca="false">'DG-PV Organic'!O107</f>
        <v>529.59</v>
      </c>
      <c r="P88" s="2187" t="n">
        <f aca="false">'DG-PV Organic'!L107</f>
        <v>1402</v>
      </c>
      <c r="Q88" s="2197" t="n">
        <f aca="false">P88/365</f>
        <v>3.84109589041096</v>
      </c>
      <c r="R88" s="2187" t="str">
        <f aca="false">'DG-PV Organic'!H107</f>
        <v>TBD</v>
      </c>
      <c r="S88" s="2403" t="str">
        <f aca="false">'DG-PV Organic'!Q107</f>
        <v>TBD</v>
      </c>
      <c r="T88" s="2199" t="e">
        <f aca="false">+EDATE(S88,6)</f>
        <v>#VALUE!</v>
      </c>
      <c r="U88" s="2200" t="n">
        <f aca="false">'DG-PV Organic'!AJ107/1000*1.1</f>
        <v>116509.8</v>
      </c>
      <c r="V88" s="2201" t="n">
        <f aca="false">'DG-PV Organic'!AK107/1000*1.1</f>
        <v>174764.7</v>
      </c>
      <c r="W88" s="2201" t="n">
        <f aca="false">SUM(U88:V88)</f>
        <v>291274.5</v>
      </c>
      <c r="X88" s="2201" t="n">
        <f aca="false">W88/O88</f>
        <v>550</v>
      </c>
      <c r="Y88" s="2201" t="n">
        <f aca="false">'DG-PV Organic'!AL107/1000*1.1</f>
        <v>611676.45</v>
      </c>
      <c r="Z88" s="2202" t="n">
        <v>65000</v>
      </c>
      <c r="AA88" s="2203" t="n">
        <f aca="false">'DG-PV Organic'!AI93</f>
        <v>208026000</v>
      </c>
    </row>
    <row r="89" customFormat="false" ht="16.5" hidden="false" customHeight="false" outlineLevel="0" collapsed="false">
      <c r="A89" s="2400"/>
      <c r="B89" s="2406"/>
      <c r="C89" s="2387" t="n">
        <f aca="false">SUBTOTAL(103,$D$72:D89)</f>
        <v>18</v>
      </c>
      <c r="D89" s="2188" t="str">
        <f aca="false">'DG-PV Organic'!B108</f>
        <v>AT Cheongwon </v>
      </c>
      <c r="E89" s="2208" t="s">
        <v>2168</v>
      </c>
      <c r="F89" s="2223" t="s">
        <v>2169</v>
      </c>
      <c r="G89" s="2209"/>
      <c r="H89" s="2209"/>
      <c r="I89" s="2209"/>
      <c r="J89" s="2210" t="s">
        <v>2170</v>
      </c>
      <c r="K89" s="2193" t="str">
        <f aca="false">'DG-PV Organic'!X108</f>
        <v>Chungcheongbuk-do</v>
      </c>
      <c r="L89" s="2212" t="e">
        <f aca="false">'dg-pv organic'!#ref!</f>
        <v>#VALUE!</v>
      </c>
      <c r="M89" s="2195" t="str">
        <f aca="false">'DG-PV Organic'!G108</f>
        <v>A0</v>
      </c>
      <c r="N89" s="2195" t="s">
        <v>362</v>
      </c>
      <c r="O89" s="2337" t="n">
        <f aca="false">'DG-PV Organic'!O108</f>
        <v>1036.32</v>
      </c>
      <c r="P89" s="2187" t="n">
        <f aca="false">'DG-PV Organic'!L108</f>
        <v>1437</v>
      </c>
      <c r="Q89" s="2197" t="n">
        <f aca="false">P89/365</f>
        <v>3.93698630136986</v>
      </c>
      <c r="R89" s="2187" t="str">
        <f aca="false">'DG-PV Organic'!H108</f>
        <v>TBD</v>
      </c>
      <c r="S89" s="2403" t="str">
        <f aca="false">'DG-PV Organic'!Q110</f>
        <v>TBD</v>
      </c>
      <c r="T89" s="2199" t="e">
        <f aca="false">+EDATE(S89,6)</f>
        <v>#VALUE!</v>
      </c>
      <c r="U89" s="2200" t="n">
        <f aca="false">'DG-PV Organic'!AJ108/1000*1.1</f>
        <v>227990.4</v>
      </c>
      <c r="V89" s="2201" t="n">
        <f aca="false">'DG-PV Organic'!AK108/1000*1.1</f>
        <v>341985.6</v>
      </c>
      <c r="W89" s="2201" t="n">
        <f aca="false">SUM(U89:V89)</f>
        <v>569976</v>
      </c>
      <c r="X89" s="2201" t="n">
        <f aca="false">W89/O89</f>
        <v>550</v>
      </c>
      <c r="Y89" s="2201" t="n">
        <f aca="false">'DG-PV Organic'!AL108/1000*1.1</f>
        <v>1196949.6</v>
      </c>
      <c r="Z89" s="2202" t="n">
        <v>65000</v>
      </c>
      <c r="AA89" s="2203" t="e">
        <f aca="false">'dg-pv organic'!#ref!</f>
        <v>#VALUE!</v>
      </c>
    </row>
    <row r="90" customFormat="false" ht="16.5" hidden="false" customHeight="false" outlineLevel="0" collapsed="false">
      <c r="A90" s="2400"/>
      <c r="B90" s="2406"/>
      <c r="C90" s="2387" t="n">
        <f aca="false">SUBTOTAL(103,$D$72:D90)</f>
        <v>19</v>
      </c>
      <c r="D90" s="2188" t="str">
        <f aca="false">'DG-PV Organic'!B109</f>
        <v>Nobelise No. 1</v>
      </c>
      <c r="E90" s="2208" t="s">
        <v>2171</v>
      </c>
      <c r="F90" s="2223" t="s">
        <v>2172</v>
      </c>
      <c r="G90" s="2209"/>
      <c r="H90" s="2209"/>
      <c r="I90" s="2209"/>
      <c r="J90" s="2210" t="s">
        <v>2173</v>
      </c>
      <c r="K90" s="2193" t="str">
        <f aca="false">'DG-PV Organic'!X109</f>
        <v>Gyeongsangbuk-do</v>
      </c>
      <c r="L90" s="2212" t="e">
        <f aca="false">'dg-pv organic'!#ref!</f>
        <v>#VALUE!</v>
      </c>
      <c r="M90" s="2195" t="str">
        <f aca="false">'DG-PV Organic'!G109</f>
        <v>BBB0</v>
      </c>
      <c r="N90" s="2195" t="s">
        <v>362</v>
      </c>
      <c r="O90" s="2337" t="n">
        <f aca="false">'DG-PV Organic'!O109</f>
        <v>11372</v>
      </c>
      <c r="P90" s="2187" t="n">
        <f aca="false">'DG-PV Organic'!L109</f>
        <v>1386</v>
      </c>
      <c r="Q90" s="2197" t="n">
        <f aca="false">P90/365</f>
        <v>3.7972602739726</v>
      </c>
      <c r="R90" s="2187" t="str">
        <f aca="false">'DG-PV Organic'!H109</f>
        <v>TBD</v>
      </c>
      <c r="S90" s="2403" t="str">
        <f aca="false">'DG-PV Organic'!Q109</f>
        <v>TBD</v>
      </c>
      <c r="T90" s="2199" t="e">
        <f aca="false">+EDATE(S90,6)</f>
        <v>#VALUE!</v>
      </c>
      <c r="U90" s="2200" t="n">
        <f aca="false">'DG-PV Organic'!AJ109/1000*1.1</f>
        <v>2501840</v>
      </c>
      <c r="V90" s="2201" t="n">
        <f aca="false">'DG-PV Organic'!AK109/1000*1.1</f>
        <v>3752760</v>
      </c>
      <c r="W90" s="2201" t="n">
        <f aca="false">SUM(U90:V90)</f>
        <v>6254600</v>
      </c>
      <c r="X90" s="2201" t="n">
        <f aca="false">W90/O90</f>
        <v>550</v>
      </c>
      <c r="Y90" s="2201" t="n">
        <f aca="false">'DG-PV Organic'!AL109/1000*1.1</f>
        <v>13134660</v>
      </c>
      <c r="Z90" s="2202" t="n">
        <v>65000</v>
      </c>
      <c r="AA90" s="2203" t="e">
        <f aca="false">'dg-pv organic'!#ref!</f>
        <v>#VALUE!</v>
      </c>
    </row>
    <row r="91" customFormat="false" ht="16.5" hidden="false" customHeight="false" outlineLevel="0" collapsed="false">
      <c r="A91" s="2400"/>
      <c r="B91" s="2406"/>
      <c r="C91" s="2387" t="n">
        <f aca="false">SUBTOTAL(103,$D$72:D91)</f>
        <v>20</v>
      </c>
      <c r="D91" s="2188" t="str">
        <f aca="false">'DG-PV Organic'!B110</f>
        <v>Lee Je-hoon (building owned by an individual)</v>
      </c>
      <c r="E91" s="2208" t="s">
        <v>1246</v>
      </c>
      <c r="F91" s="2223" t="s">
        <v>1247</v>
      </c>
      <c r="G91" s="2209"/>
      <c r="H91" s="2209"/>
      <c r="I91" s="2209"/>
      <c r="J91" s="2210" t="s">
        <v>1248</v>
      </c>
      <c r="K91" s="2193" t="str">
        <f aca="false">'DG-PV Organic'!X110</f>
        <v>Gyeonggi-do</v>
      </c>
      <c r="L91" s="2212" t="n">
        <f aca="false">'DG-PV Organic'!K94</f>
        <v>510194.7</v>
      </c>
      <c r="M91" s="2195" t="str">
        <f aca="false">'DG-PV Organic'!G110</f>
        <v>Individual business owner</v>
      </c>
      <c r="N91" s="2195" t="s">
        <v>362</v>
      </c>
      <c r="O91" s="2337" t="n">
        <f aca="false">'DG-PV Organic'!O110</f>
        <v>217.805</v>
      </c>
      <c r="P91" s="2187" t="n">
        <f aca="false">'DG-PV Organic'!L110</f>
        <v>1457</v>
      </c>
      <c r="Q91" s="2197" t="n">
        <f aca="false">P91/365</f>
        <v>3.99178082191781</v>
      </c>
      <c r="R91" s="2187" t="str">
        <f aca="false">'DG-PV Organic'!H110</f>
        <v>TBD</v>
      </c>
      <c r="S91" s="2403" t="str">
        <f aca="false">'DG-PV Organic'!Q110</f>
        <v>TBD</v>
      </c>
      <c r="T91" s="2199" t="e">
        <f aca="false">+EDATE(S91,6)</f>
        <v>#VALUE!</v>
      </c>
      <c r="U91" s="2200" t="n">
        <f aca="false">'DG-PV Organic'!AJ110/1000*1.1</f>
        <v>47917.1</v>
      </c>
      <c r="V91" s="2201" t="n">
        <f aca="false">'DG-PV Organic'!AK110/1000*1.1</f>
        <v>71875.65</v>
      </c>
      <c r="W91" s="2201" t="n">
        <f aca="false">SUM(U91:V91)</f>
        <v>119792.75</v>
      </c>
      <c r="X91" s="2201" t="n">
        <f aca="false">W91/O91</f>
        <v>550</v>
      </c>
      <c r="Y91" s="2201" t="n">
        <f aca="false">'DG-PV Organic'!AL110/1000*1.1</f>
        <v>251564.775</v>
      </c>
      <c r="Z91" s="2202" t="n">
        <v>65000</v>
      </c>
      <c r="AA91" s="2203" t="n">
        <f aca="false">'DG-PV Organic'!AI94</f>
        <v>79240000</v>
      </c>
    </row>
    <row r="92" customFormat="false" ht="16.5" hidden="false" customHeight="false" outlineLevel="0" collapsed="false">
      <c r="A92" s="2400"/>
      <c r="B92" s="2406"/>
      <c r="C92" s="2387" t="n">
        <f aca="false">SUBTOTAL(103,$D$72:D92)</f>
        <v>21</v>
      </c>
      <c r="D92" s="2188" t="str">
        <f aca="false">'DG-PV Organic'!B111</f>
        <v>Shinyang Mecatech</v>
      </c>
      <c r="E92" s="2208" t="s">
        <v>2174</v>
      </c>
      <c r="F92" s="2223" t="s">
        <v>2175</v>
      </c>
      <c r="G92" s="2209"/>
      <c r="H92" s="2209"/>
      <c r="I92" s="2209"/>
      <c r="J92" s="2210" t="s">
        <v>2176</v>
      </c>
      <c r="K92" s="2193" t="str">
        <f aca="false">'DG-PV Organic'!X111</f>
        <v>Gyeonggi-do</v>
      </c>
      <c r="L92" s="2212" t="e">
        <f aca="false">'dg-pv organic'!#ref!</f>
        <v>#VALUE!</v>
      </c>
      <c r="M92" s="2195" t="str">
        <f aca="false">'DG-PV Organic'!G111</f>
        <v>BB0</v>
      </c>
      <c r="N92" s="2195" t="s">
        <v>362</v>
      </c>
      <c r="O92" s="2337" t="n">
        <f aca="false">'DG-PV Organic'!O111</f>
        <v>265.43</v>
      </c>
      <c r="P92" s="2187" t="n">
        <f aca="false">'DG-PV Organic'!L111</f>
        <v>1469</v>
      </c>
      <c r="Q92" s="2197" t="n">
        <f aca="false">P92/365</f>
        <v>4.02465753424658</v>
      </c>
      <c r="R92" s="2187" t="str">
        <f aca="false">'DG-PV Organic'!H111</f>
        <v>TBD</v>
      </c>
      <c r="S92" s="2403" t="str">
        <f aca="false">'DG-PV Organic'!Q111</f>
        <v>TBD</v>
      </c>
      <c r="T92" s="2199" t="e">
        <f aca="false">+EDATE(S92,6)</f>
        <v>#VALUE!</v>
      </c>
      <c r="U92" s="2200" t="n">
        <f aca="false">'DG-PV Organic'!AJ111/1000*1.1</f>
        <v>58394.6</v>
      </c>
      <c r="V92" s="2201" t="n">
        <f aca="false">'DG-PV Organic'!AK111/1000*1.1</f>
        <v>87591.9</v>
      </c>
      <c r="W92" s="2201" t="n">
        <f aca="false">SUM(U92:V92)</f>
        <v>145986.5</v>
      </c>
      <c r="X92" s="2201" t="n">
        <f aca="false">W92/O92</f>
        <v>550</v>
      </c>
      <c r="Y92" s="2201" t="n">
        <f aca="false">'DG-PV Organic'!AL111/1000*1.1</f>
        <v>306571.65</v>
      </c>
      <c r="Z92" s="2202" t="n">
        <v>65000</v>
      </c>
      <c r="AA92" s="2203" t="e">
        <f aca="false">'dg-pv organic'!#ref!</f>
        <v>#VALUE!</v>
      </c>
    </row>
    <row r="93" customFormat="false" ht="16.5" hidden="false" customHeight="false" outlineLevel="0" collapsed="false">
      <c r="A93" s="2400"/>
      <c r="B93" s="2406"/>
      <c r="C93" s="2387" t="n">
        <f aca="false">SUBTOTAL(103,$D$72:D93)</f>
        <v>22</v>
      </c>
      <c r="D93" s="2188" t="str">
        <f aca="false">'DG-PV Organic'!B112</f>
        <v>Yale Hightech 1-1</v>
      </c>
      <c r="E93" s="2208" t="s">
        <v>2177</v>
      </c>
      <c r="F93" s="2223" t="s">
        <v>2178</v>
      </c>
      <c r="G93" s="2209"/>
      <c r="H93" s="2209"/>
      <c r="I93" s="2209"/>
      <c r="J93" s="2210" t="s">
        <v>2179</v>
      </c>
      <c r="K93" s="2193" t="str">
        <f aca="false">'DG-PV Organic'!X112</f>
        <v>Gyeonggi-do</v>
      </c>
      <c r="L93" s="2212" t="e">
        <f aca="false">'dg-pv organic'!#ref!</f>
        <v>#VALUE!</v>
      </c>
      <c r="M93" s="2195" t="str">
        <f aca="false">'DG-PV Organic'!G112</f>
        <v>CCC0</v>
      </c>
      <c r="N93" s="2195" t="s">
        <v>362</v>
      </c>
      <c r="O93" s="2337" t="n">
        <f aca="false">'DG-PV Organic'!O112</f>
        <v>118.745</v>
      </c>
      <c r="P93" s="2187" t="n">
        <f aca="false">'DG-PV Organic'!L112</f>
        <v>1451</v>
      </c>
      <c r="Q93" s="2197" t="n">
        <f aca="false">P93/365</f>
        <v>3.97534246575342</v>
      </c>
      <c r="R93" s="2187" t="str">
        <f aca="false">'DG-PV Organic'!H112</f>
        <v>TBD</v>
      </c>
      <c r="S93" s="2403" t="str">
        <f aca="false">'DG-PV Organic'!Q112</f>
        <v>TBD</v>
      </c>
      <c r="T93" s="2199" t="e">
        <f aca="false">+EDATE(S93,6)</f>
        <v>#VALUE!</v>
      </c>
      <c r="U93" s="2200" t="n">
        <f aca="false">'DG-PV Organic'!AJ112/1000*1.1</f>
        <v>26123.9</v>
      </c>
      <c r="V93" s="2201" t="n">
        <f aca="false">'DG-PV Organic'!AK112/1000*1.1</f>
        <v>39185.85</v>
      </c>
      <c r="W93" s="2201" t="n">
        <f aca="false">SUM(U93:V93)</f>
        <v>65309.75</v>
      </c>
      <c r="X93" s="2201" t="n">
        <f aca="false">W93/O93</f>
        <v>550</v>
      </c>
      <c r="Y93" s="2201" t="n">
        <f aca="false">'DG-PV Organic'!AL112/1000*1.1</f>
        <v>137150.475</v>
      </c>
      <c r="Z93" s="2202" t="n">
        <v>65000</v>
      </c>
      <c r="AA93" s="2203" t="e">
        <f aca="false">'dg-pv organic'!#ref!</f>
        <v>#VALUE!</v>
      </c>
    </row>
    <row r="94" customFormat="false" ht="16.5" hidden="false" customHeight="false" outlineLevel="0" collapsed="false">
      <c r="A94" s="2400"/>
      <c r="B94" s="2406"/>
      <c r="C94" s="2387" t="n">
        <f aca="false">SUBTOTAL(103,$D$72:D94)</f>
        <v>23</v>
      </c>
      <c r="D94" s="2188" t="str">
        <f aca="false">'DG-PV Organic'!B113</f>
        <v>Yale Hightech 1-2</v>
      </c>
      <c r="E94" s="2208" t="s">
        <v>2180</v>
      </c>
      <c r="F94" s="2223" t="s">
        <v>2181</v>
      </c>
      <c r="G94" s="2209"/>
      <c r="H94" s="2209"/>
      <c r="I94" s="2209"/>
      <c r="J94" s="2210" t="s">
        <v>2182</v>
      </c>
      <c r="K94" s="2193" t="str">
        <f aca="false">'DG-PV Organic'!X113</f>
        <v>Gyeonggi-do</v>
      </c>
      <c r="L94" s="2212" t="e">
        <f aca="false">'dg-pv organic'!#ref!</f>
        <v>#VALUE!</v>
      </c>
      <c r="M94" s="2195" t="str">
        <f aca="false">'DG-PV Organic'!G113</f>
        <v>CCC0</v>
      </c>
      <c r="N94" s="2195" t="s">
        <v>362</v>
      </c>
      <c r="O94" s="2337" t="n">
        <f aca="false">'DG-PV Organic'!O113</f>
        <v>405.13</v>
      </c>
      <c r="P94" s="2187" t="n">
        <f aca="false">'DG-PV Organic'!L113</f>
        <v>1449</v>
      </c>
      <c r="Q94" s="2197" t="n">
        <f aca="false">P94/365</f>
        <v>3.96986301369863</v>
      </c>
      <c r="R94" s="2187" t="str">
        <f aca="false">'DG-PV Organic'!H113</f>
        <v>TBD</v>
      </c>
      <c r="S94" s="2403" t="str">
        <f aca="false">'DG-PV Organic'!Q113</f>
        <v>TBD</v>
      </c>
      <c r="T94" s="2199" t="e">
        <f aca="false">+EDATE(S94,6)</f>
        <v>#VALUE!</v>
      </c>
      <c r="U94" s="2200" t="n">
        <f aca="false">'DG-PV Organic'!AJ113/1000*1.1</f>
        <v>89128.6</v>
      </c>
      <c r="V94" s="2201" t="n">
        <f aca="false">'DG-PV Organic'!AK113/1000*1.1</f>
        <v>133692.9</v>
      </c>
      <c r="W94" s="2201" t="n">
        <f aca="false">SUM(U94:V94)</f>
        <v>222821.5</v>
      </c>
      <c r="X94" s="2201" t="n">
        <f aca="false">W94/O94</f>
        <v>550</v>
      </c>
      <c r="Y94" s="2201" t="n">
        <f aca="false">'DG-PV Organic'!AL113/1000*1.1</f>
        <v>467925.15</v>
      </c>
      <c r="Z94" s="2202" t="n">
        <v>65000</v>
      </c>
      <c r="AA94" s="2203" t="e">
        <f aca="false">'dg-pv organic'!#ref!</f>
        <v>#VALUE!</v>
      </c>
    </row>
    <row r="95" customFormat="false" ht="16.5" hidden="false" customHeight="false" outlineLevel="0" collapsed="false">
      <c r="A95" s="2400"/>
      <c r="B95" s="2406"/>
      <c r="C95" s="2273" t="n">
        <f aca="false">SUBTOTAL(103,$D$72:D95)</f>
        <v>24</v>
      </c>
      <c r="D95" s="2274" t="str">
        <f aca="false">'DG-PV Organic'!B114</f>
        <v>Daejin University</v>
      </c>
      <c r="E95" s="2275" t="s">
        <v>1251</v>
      </c>
      <c r="F95" s="2276" t="s">
        <v>1252</v>
      </c>
      <c r="G95" s="2277"/>
      <c r="H95" s="2277"/>
      <c r="I95" s="2277"/>
      <c r="J95" s="2278" t="s">
        <v>1253</v>
      </c>
      <c r="K95" s="2393" t="str">
        <f aca="false">'DG-PV Organic'!X114</f>
        <v>Gyeonggi-do</v>
      </c>
      <c r="L95" s="2280" t="n">
        <f aca="false">'DG-PV Organic'!K95</f>
        <v>409675.2</v>
      </c>
      <c r="M95" s="2281" t="str">
        <f aca="false">'DG-PV Organic'!G114</f>
        <v>University (non-profit organization)</v>
      </c>
      <c r="N95" s="2281" t="s">
        <v>362</v>
      </c>
      <c r="O95" s="2367" t="n">
        <f aca="false">'DG-PV Organic'!O114</f>
        <v>4029.71</v>
      </c>
      <c r="P95" s="2273" t="n">
        <f aca="false">'DG-PV Organic'!L114</f>
        <v>1377</v>
      </c>
      <c r="Q95" s="2283" t="n">
        <f aca="false">P95/365</f>
        <v>3.77260273972603</v>
      </c>
      <c r="R95" s="2407" t="str">
        <f aca="false">'DG-PV Organic'!H114</f>
        <v>TBD</v>
      </c>
      <c r="S95" s="2408" t="str">
        <f aca="false">'DG-PV Organic'!Q114</f>
        <v>TBD</v>
      </c>
      <c r="T95" s="2409" t="e">
        <f aca="false">+EDATE(S95,6)</f>
        <v>#VALUE!</v>
      </c>
      <c r="U95" s="2286" t="n">
        <f aca="false">'DG-PV Organic'!AJ114/1000*1.1</f>
        <v>886536.2</v>
      </c>
      <c r="V95" s="2287" t="n">
        <f aca="false">'DG-PV Organic'!AK114/1000*1.1</f>
        <v>1329804.3</v>
      </c>
      <c r="W95" s="2287" t="n">
        <f aca="false">SUM(U95:V95)</f>
        <v>2216340.5</v>
      </c>
      <c r="X95" s="2287" t="n">
        <f aca="false">W95/O95</f>
        <v>550</v>
      </c>
      <c r="Y95" s="2287" t="n">
        <f aca="false">'DG-PV Organic'!AL114/1000*1.1</f>
        <v>4654315.05</v>
      </c>
      <c r="Z95" s="2288" t="n">
        <v>65000</v>
      </c>
      <c r="AA95" s="2289" t="n">
        <f aca="false">'DG-PV Organic'!AI95</f>
        <v>63627000</v>
      </c>
      <c r="AB95" s="2226"/>
      <c r="AC95" s="2238"/>
      <c r="AE95" s="2221"/>
    </row>
    <row r="96" customFormat="false" ht="16.5" hidden="false" customHeight="true" outlineLevel="0" collapsed="false">
      <c r="A96" s="2224" t="s">
        <v>2122</v>
      </c>
      <c r="B96" s="2224"/>
      <c r="C96" s="2187"/>
      <c r="D96" s="2188"/>
      <c r="E96" s="2189"/>
      <c r="F96" s="2190"/>
      <c r="G96" s="2190"/>
      <c r="H96" s="2190"/>
      <c r="I96" s="2190"/>
      <c r="J96" s="2192"/>
      <c r="K96" s="2193"/>
      <c r="L96" s="2194"/>
      <c r="M96" s="2195"/>
      <c r="N96" s="2195"/>
      <c r="O96" s="2399" t="n">
        <f aca="false">SUM(O99:O138)</f>
        <v>56726.235</v>
      </c>
      <c r="P96" s="2187"/>
      <c r="Q96" s="2197"/>
      <c r="R96" s="2198"/>
      <c r="S96" s="2199"/>
      <c r="T96" s="2199"/>
      <c r="U96" s="2200"/>
      <c r="V96" s="2201"/>
      <c r="W96" s="2201"/>
      <c r="X96" s="2201"/>
      <c r="Y96" s="2201"/>
      <c r="Z96" s="2202"/>
      <c r="AA96" s="2203"/>
    </row>
    <row r="97" customFormat="false" ht="16.5" hidden="false" customHeight="true" outlineLevel="0" collapsed="false">
      <c r="A97" s="2224" t="s">
        <v>2123</v>
      </c>
      <c r="B97" s="2224"/>
      <c r="C97" s="2187"/>
      <c r="D97" s="2188"/>
      <c r="E97" s="2189"/>
      <c r="F97" s="2190"/>
      <c r="G97" s="2190"/>
      <c r="H97" s="2190"/>
      <c r="I97" s="2190"/>
      <c r="J97" s="2192"/>
      <c r="K97" s="2193"/>
      <c r="L97" s="2194"/>
      <c r="M97" s="2195"/>
      <c r="N97" s="2195"/>
      <c r="O97" s="2196"/>
      <c r="P97" s="2187"/>
      <c r="Q97" s="2197"/>
      <c r="R97" s="2198"/>
      <c r="S97" s="2199"/>
      <c r="T97" s="2199"/>
      <c r="U97" s="2200"/>
      <c r="V97" s="2201"/>
      <c r="W97" s="2201"/>
      <c r="X97" s="2201"/>
      <c r="Y97" s="2201"/>
      <c r="Z97" s="2202"/>
      <c r="AA97" s="2203"/>
    </row>
    <row r="98" customFormat="false" ht="16.5" hidden="false" customHeight="true" outlineLevel="0" collapsed="false">
      <c r="A98" s="2296" t="s">
        <v>2124</v>
      </c>
      <c r="B98" s="2296"/>
      <c r="C98" s="2297"/>
      <c r="D98" s="2298"/>
      <c r="E98" s="1048"/>
      <c r="F98" s="2299"/>
      <c r="G98" s="2299"/>
      <c r="H98" s="2299"/>
      <c r="I98" s="2299"/>
      <c r="J98" s="2300"/>
      <c r="K98" s="2301"/>
      <c r="L98" s="2302"/>
      <c r="M98" s="2303"/>
      <c r="N98" s="2303"/>
      <c r="O98" s="2304"/>
      <c r="P98" s="2297"/>
      <c r="Q98" s="2305"/>
      <c r="R98" s="2377"/>
      <c r="S98" s="2307"/>
      <c r="T98" s="2378"/>
      <c r="U98" s="2379"/>
      <c r="V98" s="2380"/>
      <c r="W98" s="2381" t="s">
        <v>2133</v>
      </c>
      <c r="X98" s="2381"/>
      <c r="Y98" s="2381"/>
      <c r="Z98" s="2311"/>
      <c r="AA98" s="2203"/>
      <c r="AB98" s="2348"/>
      <c r="AC98" s="2348"/>
    </row>
    <row r="99" customFormat="false" ht="16.5" hidden="false" customHeight="true" outlineLevel="0" collapsed="false">
      <c r="A99" s="2205"/>
      <c r="B99" s="2410"/>
      <c r="C99" s="2384" t="n">
        <f aca="false">SUBTOTAL(103,$D$99:D99)</f>
        <v>1</v>
      </c>
      <c r="D99" s="2188" t="str">
        <f aca="false">'DG-PV Organic'!B115</f>
        <v>Industrial Technology(일광개발주식회사)</v>
      </c>
      <c r="E99" s="2189" t="s">
        <v>1257</v>
      </c>
      <c r="F99" s="2385" t="s">
        <v>1258</v>
      </c>
      <c r="G99" s="2190"/>
      <c r="H99" s="2190"/>
      <c r="I99" s="2190"/>
      <c r="J99" s="2192" t="s">
        <v>1259</v>
      </c>
      <c r="K99" s="2193" t="str">
        <f aca="false">'DG-PV Organic'!X115</f>
        <v>Busan</v>
      </c>
      <c r="L99" s="2194" t="n">
        <f aca="false">'DG-PV Organic'!K96</f>
        <v>1083461.9</v>
      </c>
      <c r="M99" s="2402" t="str">
        <f aca="false">'DG-PV Organic'!G115</f>
        <v>BBB0</v>
      </c>
      <c r="N99" s="2195" t="s">
        <v>362</v>
      </c>
      <c r="O99" s="2324" t="n">
        <f aca="false">'DG-PV Organic'!O115</f>
        <v>1224.6</v>
      </c>
      <c r="P99" s="2187" t="n">
        <f aca="false">'DG-PV Organic'!L115</f>
        <v>1391</v>
      </c>
      <c r="Q99" s="2196" t="n">
        <f aca="false">P99/365</f>
        <v>3.81095890410959</v>
      </c>
      <c r="R99" s="2187" t="str">
        <f aca="false">'DG-PV Organic'!H115</f>
        <v>TBD</v>
      </c>
      <c r="S99" s="2403" t="str">
        <f aca="false">'DG-PV Organic'!Q115</f>
        <v>TBD</v>
      </c>
      <c r="T99" s="2199" t="e">
        <f aca="false">+EDATE(S99,6)</f>
        <v>#VALUE!</v>
      </c>
      <c r="U99" s="2200" t="n">
        <f aca="false">'DG-PV Organic'!AJ115/1000*1.1</f>
        <v>269412</v>
      </c>
      <c r="V99" s="2201" t="n">
        <f aca="false">'DG-PV Organic'!AK115/1000*1.1</f>
        <v>404118</v>
      </c>
      <c r="W99" s="2201" t="n">
        <f aca="false">SUM(U99:V99)</f>
        <v>673530</v>
      </c>
      <c r="X99" s="2201" t="n">
        <f aca="false">W99/O99</f>
        <v>550</v>
      </c>
      <c r="Y99" s="2201" t="n">
        <f aca="false">'DG-PV Organic'!AL115/1000*1.1</f>
        <v>1414413</v>
      </c>
      <c r="Z99" s="2202" t="n">
        <v>65000</v>
      </c>
      <c r="AA99" s="2203" t="n">
        <f aca="false">'DG-PV Organic'!AI96</f>
        <v>168275000</v>
      </c>
      <c r="AB99" s="2348"/>
      <c r="AC99" s="2348"/>
      <c r="AF99" s="2334"/>
      <c r="AG99" s="2334"/>
      <c r="AH99" s="2334"/>
      <c r="AI99" s="2334"/>
      <c r="AJ99" s="2335"/>
    </row>
    <row r="100" customFormat="false" ht="16.5" hidden="false" customHeight="true" outlineLevel="0" collapsed="false">
      <c r="A100" s="2205"/>
      <c r="B100" s="2410"/>
      <c r="C100" s="2384" t="n">
        <f aca="false">SUBTOTAL(103,$D$99:D100)</f>
        <v>2</v>
      </c>
      <c r="D100" s="2188" t="str">
        <f aca="false">'DG-PV Organic'!B52</f>
        <v>Daesun Josun Bongrae</v>
      </c>
      <c r="E100" s="2208" t="s">
        <v>1262</v>
      </c>
      <c r="F100" s="2223" t="s">
        <v>2183</v>
      </c>
      <c r="G100" s="2209"/>
      <c r="H100" s="2209"/>
      <c r="I100" s="2209"/>
      <c r="J100" s="2210" t="s">
        <v>1264</v>
      </c>
      <c r="K100" s="2193" t="str">
        <f aca="false">'DG-PV Organic'!X52</f>
        <v>Busan</v>
      </c>
      <c r="L100" s="2212" t="n">
        <f aca="false">'DG-PV Organic'!K97</f>
        <v>537223.9</v>
      </c>
      <c r="M100" s="2195" t="str">
        <f aca="false">'DG-PV Organic'!G52</f>
        <v>CCC0</v>
      </c>
      <c r="N100" s="2195" t="s">
        <v>362</v>
      </c>
      <c r="O100" s="2337" t="n">
        <f aca="false">'DG-PV Organic'!O52</f>
        <v>275.88</v>
      </c>
      <c r="P100" s="2187" t="n">
        <f aca="false">'DG-PV Organic'!L52</f>
        <v>1398</v>
      </c>
      <c r="Q100" s="2197" t="n">
        <f aca="false">P100/365</f>
        <v>3.83013698630137</v>
      </c>
      <c r="R100" s="2187" t="n">
        <f aca="false">'DG-PV Organic'!H52</f>
        <v>0.0877</v>
      </c>
      <c r="S100" s="2403" t="str">
        <f aca="false">'DG-PV Organic'!Q52</f>
        <v>TBD</v>
      </c>
      <c r="T100" s="2199" t="e">
        <f aca="false">+EDATE(S100,6)</f>
        <v>#VALUE!</v>
      </c>
      <c r="U100" s="2200" t="n">
        <f aca="false">'DG-PV Organic'!AJ52/1000*1.1</f>
        <v>60693.6</v>
      </c>
      <c r="V100" s="2201" t="n">
        <f aca="false">'DG-PV Organic'!AK52/1000*1.1</f>
        <v>91040.4</v>
      </c>
      <c r="W100" s="2201" t="n">
        <f aca="false">SUM(U100:V100)</f>
        <v>151734</v>
      </c>
      <c r="X100" s="2201" t="n">
        <f aca="false">W100/O100</f>
        <v>550</v>
      </c>
      <c r="Y100" s="2201" t="n">
        <f aca="false">'DG-PV Organic'!AL52/1000*1.1</f>
        <v>318641.4</v>
      </c>
      <c r="Z100" s="2202" t="n">
        <v>65000</v>
      </c>
      <c r="AA100" s="2203" t="n">
        <f aca="false">'DG-PV Organic'!AI97</f>
        <v>83438000</v>
      </c>
    </row>
    <row r="101" customFormat="false" ht="16.5" hidden="false" customHeight="true" outlineLevel="0" collapsed="false">
      <c r="A101" s="2205"/>
      <c r="B101" s="2410"/>
      <c r="C101" s="2384" t="n">
        <f aca="false">SUBTOTAL(103,$D$99:D101)</f>
        <v>3</v>
      </c>
      <c r="D101" s="2188" t="str">
        <f aca="false">'DG-PV Organic'!B53</f>
        <v>Daesun Josun Dadae</v>
      </c>
      <c r="E101" s="2208" t="s">
        <v>1267</v>
      </c>
      <c r="F101" s="2223" t="s">
        <v>1268</v>
      </c>
      <c r="G101" s="2209"/>
      <c r="H101" s="2209"/>
      <c r="I101" s="2209"/>
      <c r="J101" s="2210" t="s">
        <v>1269</v>
      </c>
      <c r="K101" s="2193" t="str">
        <f aca="false">'DG-PV Organic'!X53</f>
        <v>Busan</v>
      </c>
      <c r="L101" s="2212" t="n">
        <f aca="false">'DG-PV Organic'!K98</f>
        <v>537223.9</v>
      </c>
      <c r="M101" s="2195" t="str">
        <f aca="false">'DG-PV Organic'!G53</f>
        <v>CCC0</v>
      </c>
      <c r="N101" s="2195" t="s">
        <v>362</v>
      </c>
      <c r="O101" s="2337" t="n">
        <f aca="false">'DG-PV Organic'!O53</f>
        <v>4535.52</v>
      </c>
      <c r="P101" s="2187" t="n">
        <f aca="false">'DG-PV Organic'!L53</f>
        <v>1399</v>
      </c>
      <c r="Q101" s="2197" t="n">
        <f aca="false">P101/365</f>
        <v>3.83287671232877</v>
      </c>
      <c r="R101" s="2187" t="n">
        <f aca="false">'DG-PV Organic'!H53</f>
        <v>0.0856</v>
      </c>
      <c r="S101" s="2403" t="str">
        <f aca="false">'DG-PV Organic'!Q53</f>
        <v>TBD</v>
      </c>
      <c r="T101" s="2199" t="e">
        <f aca="false">+EDATE(S101,6)</f>
        <v>#VALUE!</v>
      </c>
      <c r="U101" s="2200" t="n">
        <f aca="false">'DG-PV Organic'!AJ53/1000*1.1</f>
        <v>997814.4</v>
      </c>
      <c r="V101" s="2201" t="n">
        <f aca="false">'DG-PV Organic'!AK53/1000*1.1</f>
        <v>1496721.6</v>
      </c>
      <c r="W101" s="2201" t="n">
        <f aca="false">SUM(U101:V101)</f>
        <v>2494536</v>
      </c>
      <c r="X101" s="2201" t="n">
        <f aca="false">W101/O101</f>
        <v>550</v>
      </c>
      <c r="Y101" s="2201" t="n">
        <f aca="false">'DG-PV Organic'!AL53/1000*1.1</f>
        <v>5238525.6</v>
      </c>
      <c r="Z101" s="2202" t="n">
        <v>65000</v>
      </c>
      <c r="AA101" s="2203" t="n">
        <f aca="false">'DG-PV Organic'!AI98</f>
        <v>83438000</v>
      </c>
    </row>
    <row r="102" customFormat="false" ht="16.5" hidden="false" customHeight="true" outlineLevel="0" collapsed="false">
      <c r="A102" s="2205"/>
      <c r="B102" s="2410"/>
      <c r="C102" s="2384" t="n">
        <f aca="false">SUBTOTAL(103,$D$99:D102)</f>
        <v>4</v>
      </c>
      <c r="D102" s="2188" t="str">
        <f aca="false">'DG-PV Organic'!B54</f>
        <v>Fine vestil</v>
      </c>
      <c r="E102" s="2208" t="s">
        <v>1272</v>
      </c>
      <c r="F102" s="2223" t="s">
        <v>1273</v>
      </c>
      <c r="G102" s="2209"/>
      <c r="H102" s="2209"/>
      <c r="I102" s="2209"/>
      <c r="J102" s="2210" t="s">
        <v>1274</v>
      </c>
      <c r="K102" s="2193" t="str">
        <f aca="false">'DG-PV Organic'!X54</f>
        <v>Gyeongsangnam-do</v>
      </c>
      <c r="L102" s="2212" t="n">
        <f aca="false">'DG-PV Organic'!K99</f>
        <v>690964.8</v>
      </c>
      <c r="M102" s="2195" t="str">
        <f aca="false">'DG-PV Organic'!G54</f>
        <v>CCC0</v>
      </c>
      <c r="N102" s="2195" t="s">
        <v>362</v>
      </c>
      <c r="O102" s="2337" t="n">
        <f aca="false">'DG-PV Organic'!O54</f>
        <v>3818.5</v>
      </c>
      <c r="P102" s="2187" t="n">
        <f aca="false">'DG-PV Organic'!L54</f>
        <v>1426</v>
      </c>
      <c r="Q102" s="2197" t="n">
        <f aca="false">P102/365</f>
        <v>3.90684931506849</v>
      </c>
      <c r="R102" s="2187" t="n">
        <f aca="false">'DG-PV Organic'!H54</f>
        <v>0.0886</v>
      </c>
      <c r="S102" s="2403" t="str">
        <f aca="false">'DG-PV Organic'!Q54</f>
        <v>TBD</v>
      </c>
      <c r="T102" s="2199" t="e">
        <f aca="false">+EDATE(S102,6)</f>
        <v>#VALUE!</v>
      </c>
      <c r="U102" s="2200" t="n">
        <f aca="false">'DG-PV Organic'!AJ54/1000*1.1</f>
        <v>840070</v>
      </c>
      <c r="V102" s="2201" t="n">
        <f aca="false">'DG-PV Organic'!AK54/1000*1.1</f>
        <v>1260105</v>
      </c>
      <c r="W102" s="2201" t="n">
        <f aca="false">SUM(U102:V102)</f>
        <v>2100175</v>
      </c>
      <c r="X102" s="2201" t="n">
        <f aca="false">W102/O102</f>
        <v>550</v>
      </c>
      <c r="Y102" s="2201" t="n">
        <f aca="false">'DG-PV Organic'!AL54/1000*1.1</f>
        <v>4410367.5</v>
      </c>
      <c r="Z102" s="2202" t="n">
        <v>65000</v>
      </c>
      <c r="AA102" s="2203" t="n">
        <f aca="false">'DG-PV Organic'!AI99</f>
        <v>107315000</v>
      </c>
    </row>
    <row r="103" customFormat="false" ht="16.5" hidden="false" customHeight="true" outlineLevel="0" collapsed="false">
      <c r="A103" s="2205"/>
      <c r="B103" s="2410"/>
      <c r="C103" s="2384" t="n">
        <f aca="false">SUBTOTAL(103,$D$99:D103)</f>
        <v>5</v>
      </c>
      <c r="D103" s="2188" t="str">
        <f aca="false">'DG-PV Organic'!B55</f>
        <v>Dongil Steel</v>
      </c>
      <c r="E103" s="2208" t="s">
        <v>1277</v>
      </c>
      <c r="F103" s="2223" t="s">
        <v>1278</v>
      </c>
      <c r="G103" s="2209"/>
      <c r="H103" s="2209"/>
      <c r="I103" s="2209"/>
      <c r="J103" s="2210" t="s">
        <v>1279</v>
      </c>
      <c r="K103" s="2193" t="str">
        <f aca="false">'DG-PV Organic'!X55</f>
        <v>Busan</v>
      </c>
      <c r="L103" s="2212" t="n">
        <f aca="false">'DG-PV Organic'!K100</f>
        <v>1395000</v>
      </c>
      <c r="M103" s="2195" t="str">
        <f aca="false">'DG-PV Organic'!G55</f>
        <v>B-</v>
      </c>
      <c r="N103" s="2195" t="s">
        <v>362</v>
      </c>
      <c r="O103" s="2337" t="n">
        <f aca="false">'DG-PV Organic'!O55</f>
        <v>453.42</v>
      </c>
      <c r="P103" s="2187" t="n">
        <f aca="false">'DG-PV Organic'!L55</f>
        <v>1422</v>
      </c>
      <c r="Q103" s="2197" t="n">
        <f aca="false">P103/365</f>
        <v>3.8958904109589</v>
      </c>
      <c r="R103" s="2187" t="n">
        <f aca="false">'DG-PV Organic'!H55</f>
        <v>0</v>
      </c>
      <c r="S103" s="2403" t="str">
        <f aca="false">'DG-PV Organic'!Q55</f>
        <v>TBD</v>
      </c>
      <c r="T103" s="2199" t="e">
        <f aca="false">+EDATE(S103,6)</f>
        <v>#VALUE!</v>
      </c>
      <c r="U103" s="2200" t="n">
        <f aca="false">'DG-PV Organic'!AJ55/1000*1.1</f>
        <v>99752.4</v>
      </c>
      <c r="V103" s="2201" t="n">
        <f aca="false">'DG-PV Organic'!AK55/1000*1.1</f>
        <v>149628.6</v>
      </c>
      <c r="W103" s="2201" t="n">
        <f aca="false">SUM(U103:V103)</f>
        <v>249381</v>
      </c>
      <c r="X103" s="2201" t="n">
        <f aca="false">W103/O103</f>
        <v>550</v>
      </c>
      <c r="Y103" s="2201" t="n">
        <f aca="false">'DG-PV Organic'!AL55/1000*1.1</f>
        <v>523700.1</v>
      </c>
      <c r="Z103" s="2202" t="n">
        <v>65000</v>
      </c>
      <c r="AA103" s="2203" t="n">
        <f aca="false">'DG-PV Organic'!AI100</f>
        <v>216662000</v>
      </c>
    </row>
    <row r="104" customFormat="false" ht="16.5" hidden="false" customHeight="true" outlineLevel="0" collapsed="false">
      <c r="A104" s="2205"/>
      <c r="B104" s="2410"/>
      <c r="C104" s="2384" t="n">
        <f aca="false">SUBTOTAL(103,$D$99:D104)</f>
        <v>6</v>
      </c>
      <c r="D104" s="2188" t="str">
        <f aca="false">'DG-PV Organic'!B116</f>
        <v>Samjin Food</v>
      </c>
      <c r="E104" s="2208" t="s">
        <v>1283</v>
      </c>
      <c r="F104" s="2223" t="s">
        <v>2184</v>
      </c>
      <c r="G104" s="2209"/>
      <c r="H104" s="2209"/>
      <c r="I104" s="2209"/>
      <c r="J104" s="2210" t="s">
        <v>1285</v>
      </c>
      <c r="K104" s="2193" t="str">
        <f aca="false">'DG-PV Organic'!X116</f>
        <v>Busan</v>
      </c>
      <c r="L104" s="2212" t="n">
        <f aca="false">'DG-PV Organic'!K101</f>
        <v>4938921.3</v>
      </c>
      <c r="M104" s="2195" t="str">
        <f aca="false">'DG-PV Organic'!G116</f>
        <v>BBB0</v>
      </c>
      <c r="N104" s="2195" t="s">
        <v>362</v>
      </c>
      <c r="O104" s="2337" t="n">
        <f aca="false">'DG-PV Organic'!O116</f>
        <v>483.7</v>
      </c>
      <c r="P104" s="2187" t="n">
        <f aca="false">'DG-PV Organic'!L116</f>
        <v>1424</v>
      </c>
      <c r="Q104" s="2197" t="n">
        <f aca="false">P104/365</f>
        <v>3.9013698630137</v>
      </c>
      <c r="R104" s="2187" t="str">
        <f aca="false">'DG-PV Organic'!H116</f>
        <v>TBD</v>
      </c>
      <c r="S104" s="2403" t="str">
        <f aca="false">'DG-PV Organic'!Q116</f>
        <v>TBD</v>
      </c>
      <c r="T104" s="2199" t="e">
        <f aca="false">+EDATE(S104,6)</f>
        <v>#VALUE!</v>
      </c>
      <c r="U104" s="2200" t="n">
        <f aca="false">'DG-PV Organic'!AJ116/1000*1.1</f>
        <v>106414</v>
      </c>
      <c r="V104" s="2201" t="n">
        <f aca="false">'DG-PV Organic'!AK116/1000*1.1</f>
        <v>159621</v>
      </c>
      <c r="W104" s="2201" t="n">
        <f aca="false">SUM(U104:V104)</f>
        <v>266035</v>
      </c>
      <c r="X104" s="2201" t="n">
        <f aca="false">W104/O104</f>
        <v>550</v>
      </c>
      <c r="Y104" s="2201" t="n">
        <f aca="false">'DG-PV Organic'!AL116/1000*1.1</f>
        <v>558673.5</v>
      </c>
      <c r="Z104" s="2202" t="n">
        <v>65000</v>
      </c>
      <c r="AA104" s="2203" t="n">
        <f aca="false">'DG-PV Organic'!AI101</f>
        <v>767080000</v>
      </c>
    </row>
    <row r="105" customFormat="false" ht="16.5" hidden="false" customHeight="false" outlineLevel="0" collapsed="false">
      <c r="A105" s="2205"/>
      <c r="B105" s="2410"/>
      <c r="C105" s="2384" t="n">
        <f aca="false">SUBTOTAL(103,$D$99:D105)</f>
        <v>7</v>
      </c>
      <c r="D105" s="2188" t="str">
        <f aca="false">'DG-PV Organic'!B117</f>
        <v>IEN Hanchang Kijang</v>
      </c>
      <c r="E105" s="2208" t="s">
        <v>1288</v>
      </c>
      <c r="F105" s="2223" t="s">
        <v>1289</v>
      </c>
      <c r="G105" s="2209"/>
      <c r="H105" s="2209"/>
      <c r="I105" s="2209"/>
      <c r="J105" s="2210" t="s">
        <v>1290</v>
      </c>
      <c r="K105" s="2193" t="str">
        <f aca="false">'DG-PV Organic'!X117</f>
        <v>Busan</v>
      </c>
      <c r="L105" s="2212" t="n">
        <f aca="false">'DG-PV Organic'!K102</f>
        <v>2318192.2</v>
      </c>
      <c r="M105" s="2195" t="str">
        <f aca="false">'DG-PV Organic'!G117</f>
        <v>A0</v>
      </c>
      <c r="N105" s="2195" t="s">
        <v>362</v>
      </c>
      <c r="O105" s="2337" t="n">
        <f aca="false">'DG-PV Organic'!O117</f>
        <v>1602.48</v>
      </c>
      <c r="P105" s="2187" t="n">
        <f aca="false">'DG-PV Organic'!L117</f>
        <v>1391</v>
      </c>
      <c r="Q105" s="2197" t="n">
        <f aca="false">P105/365</f>
        <v>3.81095890410959</v>
      </c>
      <c r="R105" s="2187" t="str">
        <f aca="false">'DG-PV Organic'!H117</f>
        <v>TBD</v>
      </c>
      <c r="S105" s="2403" t="str">
        <f aca="false">'DG-PV Organic'!Q117</f>
        <v>TBD</v>
      </c>
      <c r="T105" s="2199" t="e">
        <f aca="false">+EDATE(S105,6)</f>
        <v>#VALUE!</v>
      </c>
      <c r="U105" s="2200" t="n">
        <f aca="false">'DG-PV Organic'!AJ117/1000*1.1</f>
        <v>352545.6</v>
      </c>
      <c r="V105" s="2201" t="n">
        <f aca="false">'DG-PV Organic'!AK117/1000*1.1</f>
        <v>528818.4</v>
      </c>
      <c r="W105" s="2201" t="n">
        <f aca="false">SUM(U105:V105)</f>
        <v>881364</v>
      </c>
      <c r="X105" s="2201" t="n">
        <f aca="false">W105/O105</f>
        <v>550</v>
      </c>
      <c r="Y105" s="2201" t="n">
        <f aca="false">'DG-PV Organic'!AL117/1000*1.1</f>
        <v>1850864.4</v>
      </c>
      <c r="Z105" s="2202" t="n">
        <v>65000</v>
      </c>
      <c r="AA105" s="2289" t="n">
        <f aca="false">'DG-PV Organic'!AI102</f>
        <v>360045000</v>
      </c>
      <c r="AB105" s="2226"/>
      <c r="AC105" s="2238"/>
      <c r="AE105" s="2221"/>
    </row>
    <row r="106" customFormat="false" ht="16.5" hidden="false" customHeight="true" outlineLevel="0" collapsed="false">
      <c r="A106" s="2205"/>
      <c r="B106" s="2410" t="str">
        <f aca="false">"DG Batch 5 - 40 PJT"</f>
        <v>DG Batch 5 - 40 PJT</v>
      </c>
      <c r="C106" s="2384" t="n">
        <f aca="false">SUBTOTAL(103,$D$99:D106)</f>
        <v>8</v>
      </c>
      <c r="D106" s="2188" t="str">
        <f aca="false">'DG-PV Organic'!B118</f>
        <v>IEN Hanchang Kangseo</v>
      </c>
      <c r="E106" s="2208" t="s">
        <v>1293</v>
      </c>
      <c r="F106" s="2223" t="s">
        <v>1294</v>
      </c>
      <c r="G106" s="2209"/>
      <c r="H106" s="2209"/>
      <c r="I106" s="2209"/>
      <c r="J106" s="2210" t="s">
        <v>1295</v>
      </c>
      <c r="K106" s="2193" t="str">
        <f aca="false">'DG-PV Organic'!X118</f>
        <v>Busan</v>
      </c>
      <c r="L106" s="2212" t="n">
        <f aca="false">'DG-PV Organic'!K103</f>
        <v>1756424.3</v>
      </c>
      <c r="M106" s="2195" t="str">
        <f aca="false">'DG-PV Organic'!G118</f>
        <v>A0</v>
      </c>
      <c r="N106" s="2195" t="s">
        <v>362</v>
      </c>
      <c r="O106" s="2337" t="n">
        <f aca="false">'DG-PV Organic'!O118</f>
        <v>483.12</v>
      </c>
      <c r="P106" s="2187" t="n">
        <f aca="false">'DG-PV Organic'!L118</f>
        <v>1432</v>
      </c>
      <c r="Q106" s="2197" t="n">
        <f aca="false">P106/365</f>
        <v>3.92328767123288</v>
      </c>
      <c r="R106" s="2187" t="str">
        <f aca="false">'DG-PV Organic'!H118</f>
        <v>TBD</v>
      </c>
      <c r="S106" s="2403" t="str">
        <f aca="false">'DG-PV Organic'!Q118</f>
        <v>TBD</v>
      </c>
      <c r="T106" s="2199" t="e">
        <f aca="false">+EDATE(S106,6)</f>
        <v>#VALUE!</v>
      </c>
      <c r="U106" s="2200" t="n">
        <f aca="false">'DG-PV Organic'!AJ118/1000*1.1</f>
        <v>106286.4</v>
      </c>
      <c r="V106" s="2201" t="n">
        <f aca="false">'DG-PV Organic'!AK118/1000*1.1</f>
        <v>159429.6</v>
      </c>
      <c r="W106" s="2201" t="n">
        <f aca="false">SUM(U106:V106)</f>
        <v>265716</v>
      </c>
      <c r="X106" s="2201" t="n">
        <f aca="false">W106/O106</f>
        <v>550</v>
      </c>
      <c r="Y106" s="2201" t="n">
        <f aca="false">'DG-PV Organic'!AL118/1000*1.1</f>
        <v>558003.6</v>
      </c>
      <c r="Z106" s="2202" t="n">
        <v>65000</v>
      </c>
      <c r="AA106" s="2203" t="n">
        <f aca="false">'DG-PV Organic'!AI103</f>
        <v>272796000</v>
      </c>
    </row>
    <row r="107" customFormat="false" ht="16.5" hidden="false" customHeight="true" outlineLevel="0" collapsed="false">
      <c r="A107" s="2205"/>
      <c r="B107" s="2410"/>
      <c r="C107" s="2384" t="n">
        <f aca="false">SUBTOTAL(103,$D$99:D107)</f>
        <v>9</v>
      </c>
      <c r="D107" s="2188" t="str">
        <f aca="false">'DG-PV Organic'!B119</f>
        <v>Lee Won Precision</v>
      </c>
      <c r="E107" s="2208" t="s">
        <v>1298</v>
      </c>
      <c r="F107" s="2209" t="s">
        <v>1299</v>
      </c>
      <c r="G107" s="2209"/>
      <c r="H107" s="2209"/>
      <c r="I107" s="2209"/>
      <c r="J107" s="2210" t="s">
        <v>1300</v>
      </c>
      <c r="K107" s="2193" t="str">
        <f aca="false">'DG-PV Organic'!X119</f>
        <v>Busan</v>
      </c>
      <c r="L107" s="2212" t="n">
        <f aca="false">'DG-PV Organic'!K104</f>
        <v>1726987</v>
      </c>
      <c r="M107" s="2195" t="str">
        <f aca="false">'DG-PV Organic'!G119</f>
        <v>B-</v>
      </c>
      <c r="N107" s="2195" t="s">
        <v>362</v>
      </c>
      <c r="O107" s="2337" t="n">
        <f aca="false">'DG-PV Organic'!O119</f>
        <v>320.76</v>
      </c>
      <c r="P107" s="2187" t="n">
        <f aca="false">'DG-PV Organic'!L119</f>
        <v>1372</v>
      </c>
      <c r="Q107" s="2197" t="n">
        <f aca="false">P107/365</f>
        <v>3.75890410958904</v>
      </c>
      <c r="R107" s="2187" t="str">
        <f aca="false">'DG-PV Organic'!H119</f>
        <v>TBD</v>
      </c>
      <c r="S107" s="2403" t="str">
        <f aca="false">'DG-PV Organic'!Q119</f>
        <v>TBD</v>
      </c>
      <c r="T107" s="2199" t="e">
        <f aca="false">+EDATE(S107,6)</f>
        <v>#VALUE!</v>
      </c>
      <c r="U107" s="2200" t="n">
        <f aca="false">'DG-PV Organic'!AJ119/1000*1.1</f>
        <v>70567.2</v>
      </c>
      <c r="V107" s="2201" t="n">
        <f aca="false">'DG-PV Organic'!AK119/1000*1.1</f>
        <v>105850.8</v>
      </c>
      <c r="W107" s="2201" t="n">
        <f aca="false">SUM(U107:V107)</f>
        <v>176418</v>
      </c>
      <c r="X107" s="2201" t="n">
        <f aca="false">W107/O107</f>
        <v>550</v>
      </c>
      <c r="Y107" s="2201" t="n">
        <f aca="false">'DG-PV Organic'!AL119/1000*1.1</f>
        <v>370477.8</v>
      </c>
      <c r="Z107" s="2202" t="n">
        <v>65000</v>
      </c>
      <c r="AA107" s="2203" t="n">
        <f aca="false">'DG-PV Organic'!AI104</f>
        <v>268224000</v>
      </c>
    </row>
    <row r="108" customFormat="false" ht="16.5" hidden="false" customHeight="true" outlineLevel="0" collapsed="false">
      <c r="A108" s="2205"/>
      <c r="B108" s="2410"/>
      <c r="C108" s="2384" t="n">
        <f aca="false">SUBTOTAL(103,$D$99:D108)</f>
        <v>10</v>
      </c>
      <c r="D108" s="2188" t="str">
        <f aca="false">'DG-PV Organic'!B120</f>
        <v>Lee Won Precision Factory 1</v>
      </c>
      <c r="E108" s="2208" t="s">
        <v>1303</v>
      </c>
      <c r="F108" s="2209" t="s">
        <v>1304</v>
      </c>
      <c r="G108" s="2209"/>
      <c r="H108" s="2209"/>
      <c r="I108" s="2209"/>
      <c r="J108" s="2210" t="s">
        <v>1305</v>
      </c>
      <c r="K108" s="2193" t="str">
        <f aca="false">'DG-PV Organic'!X120</f>
        <v>Busan</v>
      </c>
      <c r="L108" s="2212" t="n">
        <f aca="false">'DG-PV Organic'!K105</f>
        <v>523329.4</v>
      </c>
      <c r="M108" s="2195" t="str">
        <f aca="false">'DG-PV Organic'!G120</f>
        <v>B-</v>
      </c>
      <c r="N108" s="2195" t="s">
        <v>362</v>
      </c>
      <c r="O108" s="2337" t="n">
        <f aca="false">'DG-PV Organic'!O120</f>
        <v>326.7</v>
      </c>
      <c r="P108" s="2187" t="n">
        <f aca="false">'DG-PV Organic'!L120</f>
        <v>1389</v>
      </c>
      <c r="Q108" s="2197" t="n">
        <f aca="false">P108/365</f>
        <v>3.80547945205479</v>
      </c>
      <c r="R108" s="2187" t="str">
        <f aca="false">'DG-PV Organic'!H120</f>
        <v>TBD</v>
      </c>
      <c r="S108" s="2403" t="str">
        <f aca="false">'DG-PV Organic'!Q120</f>
        <v>TBD</v>
      </c>
      <c r="T108" s="2199" t="e">
        <f aca="false">+EDATE(S108,6)</f>
        <v>#VALUE!</v>
      </c>
      <c r="U108" s="2200" t="n">
        <f aca="false">'DG-PV Organic'!AJ120/1000*1.1</f>
        <v>71874</v>
      </c>
      <c r="V108" s="2201" t="n">
        <f aca="false">'DG-PV Organic'!AK120/1000*1.1</f>
        <v>107811</v>
      </c>
      <c r="W108" s="2201" t="n">
        <f aca="false">SUM(U108:V108)</f>
        <v>179685</v>
      </c>
      <c r="X108" s="2201" t="n">
        <f aca="false">W108/O108</f>
        <v>550</v>
      </c>
      <c r="Y108" s="2201" t="n">
        <f aca="false">'DG-PV Organic'!AL120/1000*1.1</f>
        <v>377338.5</v>
      </c>
      <c r="Z108" s="2202" t="n">
        <v>65000</v>
      </c>
      <c r="AA108" s="2203" t="n">
        <f aca="false">'DG-PV Organic'!AI105</f>
        <v>81280000</v>
      </c>
    </row>
    <row r="109" customFormat="false" ht="16.5" hidden="false" customHeight="true" outlineLevel="0" collapsed="false">
      <c r="A109" s="2205"/>
      <c r="B109" s="2410"/>
      <c r="C109" s="2384" t="n">
        <f aca="false">SUBTOTAL(103,$D$99:D109)</f>
        <v>11</v>
      </c>
      <c r="D109" s="2188" t="str">
        <f aca="false">'DG-PV Organic'!B121</f>
        <v>Seyoung Tech</v>
      </c>
      <c r="E109" s="2208" t="s">
        <v>1308</v>
      </c>
      <c r="F109" s="2209" t="s">
        <v>1309</v>
      </c>
      <c r="G109" s="2209"/>
      <c r="H109" s="2209"/>
      <c r="I109" s="2209"/>
      <c r="J109" s="2210" t="s">
        <v>1310</v>
      </c>
      <c r="K109" s="2193" t="str">
        <f aca="false">'DG-PV Organic'!X121</f>
        <v>Chungcheongnam-do</v>
      </c>
      <c r="L109" s="2212" t="n">
        <f aca="false">'DG-PV Organic'!K106</f>
        <v>5413.886</v>
      </c>
      <c r="M109" s="2195" t="str">
        <f aca="false">'DG-PV Organic'!G121</f>
        <v>B-</v>
      </c>
      <c r="N109" s="2195" t="s">
        <v>362</v>
      </c>
      <c r="O109" s="2337" t="n">
        <f aca="false">'DG-PV Organic'!O121</f>
        <v>769.56</v>
      </c>
      <c r="P109" s="2187" t="n">
        <f aca="false">'DG-PV Organic'!L121</f>
        <v>1467</v>
      </c>
      <c r="Q109" s="2197" t="n">
        <f aca="false">P109/365</f>
        <v>4.01917808219178</v>
      </c>
      <c r="R109" s="2187" t="str">
        <f aca="false">'DG-PV Organic'!H121</f>
        <v>TBD</v>
      </c>
      <c r="S109" s="2403" t="str">
        <f aca="false">'DG-PV Organic'!Q121</f>
        <v>TBD</v>
      </c>
      <c r="T109" s="2199" t="e">
        <f aca="false">+EDATE(S109,6)</f>
        <v>#VALUE!</v>
      </c>
      <c r="U109" s="2200" t="n">
        <f aca="false">'DG-PV Organic'!AJ121/1000*1.1</f>
        <v>169303.2</v>
      </c>
      <c r="V109" s="2201" t="n">
        <f aca="false">'DG-PV Organic'!AK121/1000*1.1</f>
        <v>253954.8</v>
      </c>
      <c r="W109" s="2201" t="n">
        <f aca="false">SUM(U109:V109)</f>
        <v>423258</v>
      </c>
      <c r="X109" s="2201" t="n">
        <f aca="false">W109/O109</f>
        <v>550</v>
      </c>
      <c r="Y109" s="2201" t="n">
        <f aca="false">'DG-PV Organic'!AL121/1000*1.1</f>
        <v>888841.8</v>
      </c>
      <c r="Z109" s="2202" t="n">
        <v>65000</v>
      </c>
      <c r="AA109" s="2203" t="n">
        <f aca="false">'DG-PV Organic'!AI106</f>
        <v>207264000</v>
      </c>
    </row>
    <row r="110" customFormat="false" ht="16.5" hidden="false" customHeight="true" outlineLevel="0" collapsed="false">
      <c r="A110" s="2205"/>
      <c r="B110" s="2410"/>
      <c r="C110" s="2384" t="n">
        <f aca="false">SUBTOTAL(103,$D$99:D110)</f>
        <v>12</v>
      </c>
      <c r="D110" s="2188" t="str">
        <f aca="false">'DG-PV Organic'!B122</f>
        <v>Seji Solotech Busan</v>
      </c>
      <c r="E110" s="2208" t="s">
        <v>2185</v>
      </c>
      <c r="F110" s="2209" t="s">
        <v>2186</v>
      </c>
      <c r="G110" s="2209"/>
      <c r="H110" s="2209"/>
      <c r="I110" s="2209"/>
      <c r="J110" s="2210" t="s">
        <v>2187</v>
      </c>
      <c r="K110" s="2193" t="str">
        <f aca="false">'DG-PV Organic'!X122</f>
        <v>Busan</v>
      </c>
      <c r="L110" s="2212" t="e">
        <f aca="false">'dg-pv organic'!#ref!</f>
        <v>#VALUE!</v>
      </c>
      <c r="M110" s="2195" t="str">
        <f aca="false">'DG-PV Organic'!G122</f>
        <v>BBB0</v>
      </c>
      <c r="N110" s="2195" t="s">
        <v>362</v>
      </c>
      <c r="O110" s="2337" t="n">
        <f aca="false">'DG-PV Organic'!O122</f>
        <v>773.5</v>
      </c>
      <c r="P110" s="2187" t="n">
        <f aca="false">'DG-PV Organic'!L122</f>
        <v>1386</v>
      </c>
      <c r="Q110" s="2197" t="n">
        <f aca="false">P110/365</f>
        <v>3.7972602739726</v>
      </c>
      <c r="R110" s="2187" t="str">
        <f aca="false">'DG-PV Organic'!H122</f>
        <v>TBD</v>
      </c>
      <c r="S110" s="2403" t="str">
        <f aca="false">'DG-PV Organic'!Q122</f>
        <v>TBD</v>
      </c>
      <c r="T110" s="2199" t="e">
        <f aca="false">+EDATE(S110,6)</f>
        <v>#VALUE!</v>
      </c>
      <c r="U110" s="2200" t="n">
        <f aca="false">'DG-PV Organic'!AJ122/1000*1.1</f>
        <v>170170</v>
      </c>
      <c r="V110" s="2201" t="n">
        <f aca="false">'DG-PV Organic'!AK122/1000*1.1</f>
        <v>255255</v>
      </c>
      <c r="W110" s="2201" t="n">
        <f aca="false">SUM(U110:V110)</f>
        <v>425425</v>
      </c>
      <c r="X110" s="2201" t="n">
        <f aca="false">W110/O110</f>
        <v>550</v>
      </c>
      <c r="Y110" s="2201" t="n">
        <f aca="false">'DG-PV Organic'!AL122/1000*1.1</f>
        <v>893392.5</v>
      </c>
      <c r="Z110" s="2202" t="n">
        <v>65000</v>
      </c>
      <c r="AA110" s="2203" t="e">
        <f aca="false">'dg-pv organic'!#ref!</f>
        <v>#VALUE!</v>
      </c>
    </row>
    <row r="111" customFormat="false" ht="16.5" hidden="false" customHeight="true" outlineLevel="0" collapsed="false">
      <c r="A111" s="2205"/>
      <c r="B111" s="2410"/>
      <c r="C111" s="2384" t="n">
        <f aca="false">SUBTOTAL(103,$D$99:D111)</f>
        <v>13</v>
      </c>
      <c r="D111" s="2188" t="str">
        <f aca="false">'DG-PV Organic'!B123</f>
        <v>Seji Solotech Ulsan</v>
      </c>
      <c r="E111" s="2208" t="s">
        <v>1313</v>
      </c>
      <c r="F111" s="2209" t="s">
        <v>1314</v>
      </c>
      <c r="G111" s="2209"/>
      <c r="H111" s="2209"/>
      <c r="I111" s="2209"/>
      <c r="J111" s="2210" t="s">
        <v>1315</v>
      </c>
      <c r="K111" s="2193" t="str">
        <f aca="false">'DG-PV Organic'!X123</f>
        <v>Ulsan</v>
      </c>
      <c r="L111" s="2212" t="n">
        <f aca="false">'DG-PV Organic'!K107</f>
        <v>681963.6</v>
      </c>
      <c r="M111" s="2195" t="str">
        <f aca="false">'DG-PV Organic'!G123</f>
        <v>BBB0</v>
      </c>
      <c r="N111" s="2195" t="s">
        <v>362</v>
      </c>
      <c r="O111" s="2337" t="n">
        <f aca="false">'DG-PV Organic'!O123</f>
        <v>414.12</v>
      </c>
      <c r="P111" s="2187" t="n">
        <f aca="false">'DG-PV Organic'!L123</f>
        <v>1368</v>
      </c>
      <c r="Q111" s="2197" t="n">
        <f aca="false">P111/365</f>
        <v>3.74794520547945</v>
      </c>
      <c r="R111" s="2187" t="str">
        <f aca="false">'DG-PV Organic'!H123</f>
        <v>TBD</v>
      </c>
      <c r="S111" s="2403" t="str">
        <f aca="false">'DG-PV Organic'!Q123</f>
        <v>TBD</v>
      </c>
      <c r="T111" s="2199" t="e">
        <f aca="false">+EDATE(S111,6)</f>
        <v>#VALUE!</v>
      </c>
      <c r="U111" s="2200" t="n">
        <f aca="false">'DG-PV Organic'!AJ123/1000*1.1</f>
        <v>91106.4</v>
      </c>
      <c r="V111" s="2201" t="n">
        <f aca="false">'DG-PV Organic'!AK123/1000*1.1</f>
        <v>136659.6</v>
      </c>
      <c r="W111" s="2201" t="n">
        <f aca="false">SUM(U111:V111)</f>
        <v>227766</v>
      </c>
      <c r="X111" s="2201" t="n">
        <f aca="false">W111/O111</f>
        <v>550</v>
      </c>
      <c r="Y111" s="2201" t="n">
        <f aca="false">'DG-PV Organic'!AL123/1000*1.1</f>
        <v>478308.6</v>
      </c>
      <c r="Z111" s="2202" t="n">
        <v>65000</v>
      </c>
      <c r="AA111" s="2203" t="n">
        <f aca="false">'DG-PV Organic'!AI107</f>
        <v>105918000</v>
      </c>
    </row>
    <row r="112" customFormat="false" ht="16.5" hidden="false" customHeight="true" outlineLevel="0" collapsed="false">
      <c r="A112" s="2205"/>
      <c r="B112" s="2410"/>
      <c r="C112" s="2384" t="n">
        <f aca="false">SUBTOTAL(103,$D$99:D112)</f>
        <v>14</v>
      </c>
      <c r="D112" s="2188" t="str">
        <f aca="false">'DG-PV Organic'!B70</f>
        <v>KORENS EM</v>
      </c>
      <c r="E112" s="2208" t="s">
        <v>1319</v>
      </c>
      <c r="F112" s="2209" t="s">
        <v>1320</v>
      </c>
      <c r="G112" s="2209"/>
      <c r="H112" s="2209"/>
      <c r="I112" s="2209"/>
      <c r="J112" s="2210" t="s">
        <v>1321</v>
      </c>
      <c r="K112" s="2193" t="str">
        <f aca="false">'DG-PV Organic'!X70</f>
        <v>Busan</v>
      </c>
      <c r="L112" s="2212" t="n">
        <f aca="false">'DG-PV Organic'!K108</f>
        <v>1334490</v>
      </c>
      <c r="M112" s="2195" t="str">
        <f aca="false">'DG-PV Organic'!G70</f>
        <v>B0</v>
      </c>
      <c r="N112" s="2195" t="s">
        <v>362</v>
      </c>
      <c r="O112" s="2337" t="n">
        <f aca="false">'DG-PV Organic'!O70</f>
        <v>4098</v>
      </c>
      <c r="P112" s="2187" t="n">
        <f aca="false">'DG-PV Organic'!L70</f>
        <v>1403</v>
      </c>
      <c r="Q112" s="2197" t="n">
        <f aca="false">P112/365</f>
        <v>3.84383561643836</v>
      </c>
      <c r="R112" s="2187" t="str">
        <f aca="false">'DG-PV Organic'!H70</f>
        <v>TBD</v>
      </c>
      <c r="S112" s="2403" t="str">
        <f aca="false">'DG-PV Organic'!Q70</f>
        <v>TBD</v>
      </c>
      <c r="T112" s="2199" t="e">
        <f aca="false">+EDATE(S112,6)</f>
        <v>#VALUE!</v>
      </c>
      <c r="U112" s="2200" t="n">
        <f aca="false">'DG-PV Organic'!AJ70/1000*1.1</f>
        <v>901560</v>
      </c>
      <c r="V112" s="2201" t="n">
        <f aca="false">'DG-PV Organic'!AK70/1000*1.1</f>
        <v>1352340</v>
      </c>
      <c r="W112" s="2201" t="n">
        <f aca="false">SUM(U112:V112)</f>
        <v>2253900</v>
      </c>
      <c r="X112" s="2201" t="n">
        <f aca="false">W112/O112</f>
        <v>550</v>
      </c>
      <c r="Y112" s="2201" t="n">
        <f aca="false">'DG-PV Organic'!AL70/1000*1.1</f>
        <v>4733190</v>
      </c>
      <c r="Z112" s="2202" t="n">
        <v>65000</v>
      </c>
      <c r="AA112" s="2203" t="n">
        <f aca="false">'DG-PV Organic'!AI108</f>
        <v>207264000</v>
      </c>
    </row>
    <row r="113" customFormat="false" ht="16.5" hidden="false" customHeight="true" outlineLevel="0" collapsed="false">
      <c r="A113" s="2205"/>
      <c r="B113" s="2410"/>
      <c r="C113" s="2384" t="n">
        <f aca="false">SUBTOTAL(103,$D$99:D113)</f>
        <v>15</v>
      </c>
      <c r="D113" s="2188" t="str">
        <f aca="false">'DG-PV Organic'!B71</f>
        <v>KORENS RTX</v>
      </c>
      <c r="E113" s="2208" t="s">
        <v>1324</v>
      </c>
      <c r="F113" s="2209" t="s">
        <v>2188</v>
      </c>
      <c r="G113" s="2209"/>
      <c r="H113" s="2209"/>
      <c r="I113" s="2209"/>
      <c r="J113" s="2210" t="s">
        <v>1326</v>
      </c>
      <c r="K113" s="2193" t="str">
        <f aca="false">'DG-PV Organic'!X71</f>
        <v>Chungcheongnam-do</v>
      </c>
      <c r="L113" s="2212" t="n">
        <f aca="false">'DG-PV Organic'!K109</f>
        <v>14643951.8</v>
      </c>
      <c r="M113" s="2195" t="str">
        <f aca="false">'DG-PV Organic'!G71</f>
        <v>CCC-</v>
      </c>
      <c r="N113" s="2195" t="s">
        <v>362</v>
      </c>
      <c r="O113" s="2337" t="n">
        <f aca="false">'DG-PV Organic'!O71</f>
        <v>195</v>
      </c>
      <c r="P113" s="2187" t="n">
        <f aca="false">'DG-PV Organic'!L71</f>
        <v>1414</v>
      </c>
      <c r="Q113" s="2197" t="n">
        <f aca="false">P113/365</f>
        <v>3.87397260273973</v>
      </c>
      <c r="R113" s="2187" t="str">
        <f aca="false">'DG-PV Organic'!H71</f>
        <v>TBD</v>
      </c>
      <c r="S113" s="2403" t="str">
        <f aca="false">'DG-PV Organic'!Q71</f>
        <v>TBD</v>
      </c>
      <c r="T113" s="2199" t="e">
        <f aca="false">+EDATE(S113,6)</f>
        <v>#VALUE!</v>
      </c>
      <c r="U113" s="2200" t="n">
        <f aca="false">'DG-PV Organic'!AJ71/1000*1.1</f>
        <v>42900</v>
      </c>
      <c r="V113" s="2201" t="n">
        <f aca="false">'DG-PV Organic'!AK71/1000*1.1</f>
        <v>64350</v>
      </c>
      <c r="W113" s="2201" t="n">
        <f aca="false">SUM(U113:V113)</f>
        <v>107250</v>
      </c>
      <c r="X113" s="2201" t="n">
        <f aca="false">W113/O113</f>
        <v>550</v>
      </c>
      <c r="Y113" s="2201" t="n">
        <f aca="false">'DG-PV Organic'!AL71/1000*1.1</f>
        <v>225225</v>
      </c>
      <c r="Z113" s="2202" t="n">
        <v>65000</v>
      </c>
      <c r="AA113" s="2203" t="n">
        <f aca="false">'DG-PV Organic'!AI109</f>
        <v>2274400000</v>
      </c>
    </row>
    <row r="114" customFormat="false" ht="16.5" hidden="false" customHeight="true" outlineLevel="0" collapsed="false">
      <c r="A114" s="2205"/>
      <c r="B114" s="2410"/>
      <c r="C114" s="2384" t="n">
        <f aca="false">SUBTOTAL(103,$D$99:D114)</f>
        <v>16</v>
      </c>
      <c r="D114" s="2188" t="str">
        <f aca="false">'DG-PV Organic'!B72</f>
        <v>KORENS Yangsan</v>
      </c>
      <c r="E114" s="2208" t="s">
        <v>2189</v>
      </c>
      <c r="F114" s="2209" t="s">
        <v>2190</v>
      </c>
      <c r="G114" s="2209"/>
      <c r="H114" s="2209"/>
      <c r="I114" s="2209"/>
      <c r="J114" s="2210" t="s">
        <v>2191</v>
      </c>
      <c r="K114" s="2193" t="str">
        <f aca="false">'DG-PV Organic'!X72</f>
        <v>Gyeongsangnam-do</v>
      </c>
      <c r="L114" s="2212" t="e">
        <f aca="false">'dg-pv organic'!#ref!</f>
        <v>#VALUE!</v>
      </c>
      <c r="M114" s="2195" t="str">
        <f aca="false">'DG-PV Organic'!G72</f>
        <v>BB+</v>
      </c>
      <c r="N114" s="2195" t="s">
        <v>362</v>
      </c>
      <c r="O114" s="2337" t="n">
        <f aca="false">'DG-PV Organic'!O72</f>
        <v>1285.2</v>
      </c>
      <c r="P114" s="2187" t="n">
        <f aca="false">'DG-PV Organic'!L72</f>
        <v>1374</v>
      </c>
      <c r="Q114" s="2197" t="n">
        <f aca="false">P114/365</f>
        <v>3.76438356164384</v>
      </c>
      <c r="R114" s="2187" t="str">
        <f aca="false">'DG-PV Organic'!H72</f>
        <v>TBD</v>
      </c>
      <c r="S114" s="2403" t="str">
        <f aca="false">'DG-PV Organic'!Q72</f>
        <v>TBD</v>
      </c>
      <c r="T114" s="2199" t="e">
        <f aca="false">+EDATE(S114,6)</f>
        <v>#VALUE!</v>
      </c>
      <c r="U114" s="2200" t="n">
        <f aca="false">'DG-PV Organic'!AJ72/1000*1.1</f>
        <v>282744</v>
      </c>
      <c r="V114" s="2201" t="n">
        <f aca="false">'DG-PV Organic'!AK72/1000*1.1</f>
        <v>424116</v>
      </c>
      <c r="W114" s="2201" t="n">
        <f aca="false">SUM(U114:V114)</f>
        <v>706860</v>
      </c>
      <c r="X114" s="2201" t="n">
        <f aca="false">W114/O114</f>
        <v>550</v>
      </c>
      <c r="Y114" s="2201" t="n">
        <f aca="false">'DG-PV Organic'!AL72/1000*1.1</f>
        <v>1484406</v>
      </c>
      <c r="Z114" s="2202" t="n">
        <v>65000</v>
      </c>
      <c r="AA114" s="2203" t="e">
        <f aca="false">'dg-pv organic'!#ref!</f>
        <v>#VALUE!</v>
      </c>
    </row>
    <row r="115" customFormat="false" ht="16.5" hidden="false" customHeight="true" outlineLevel="0" collapsed="false">
      <c r="A115" s="2205"/>
      <c r="B115" s="2410"/>
      <c r="C115" s="2384" t="n">
        <f aca="false">SUBTOTAL(103,$D$99:D115)</f>
        <v>17</v>
      </c>
      <c r="D115" s="2188" t="str">
        <f aca="false">'DG-PV Organic'!B80</f>
        <v>Songwol Towel Shinpyeong</v>
      </c>
      <c r="E115" s="2208" t="s">
        <v>2192</v>
      </c>
      <c r="F115" s="2209" t="s">
        <v>2193</v>
      </c>
      <c r="G115" s="2209"/>
      <c r="H115" s="2209"/>
      <c r="I115" s="2209"/>
      <c r="J115" s="2210" t="s">
        <v>2194</v>
      </c>
      <c r="K115" s="2193" t="str">
        <f aca="false">'DG-PV Organic'!X80</f>
        <v>Busan</v>
      </c>
      <c r="L115" s="2212" t="e">
        <f aca="false">'dg-pv organic'!#ref!</f>
        <v>#VALUE!</v>
      </c>
      <c r="M115" s="2195" t="str">
        <f aca="false">'DG-PV Organic'!G80</f>
        <v>A0</v>
      </c>
      <c r="N115" s="2195" t="s">
        <v>362</v>
      </c>
      <c r="O115" s="2337" t="n">
        <f aca="false">'DG-PV Organic'!O80</f>
        <v>330.6</v>
      </c>
      <c r="P115" s="2187" t="n">
        <f aca="false">'DG-PV Organic'!L80</f>
        <v>1438</v>
      </c>
      <c r="Q115" s="2197" t="n">
        <f aca="false">P115/365</f>
        <v>3.93972602739726</v>
      </c>
      <c r="R115" s="2187" t="str">
        <f aca="false">'DG-PV Organic'!H80</f>
        <v>TBD</v>
      </c>
      <c r="S115" s="2403" t="str">
        <f aca="false">'DG-PV Organic'!Q80</f>
        <v>TBD</v>
      </c>
      <c r="T115" s="2199" t="e">
        <f aca="false">+EDATE(S115,6)</f>
        <v>#VALUE!</v>
      </c>
      <c r="U115" s="2200" t="n">
        <f aca="false">'DG-PV Organic'!AJ80/1000*1.1</f>
        <v>72732</v>
      </c>
      <c r="V115" s="2201" t="n">
        <f aca="false">'DG-PV Organic'!AK80/1000*1.1</f>
        <v>109098</v>
      </c>
      <c r="W115" s="2201" t="n">
        <f aca="false">SUM(U115:V115)</f>
        <v>181830</v>
      </c>
      <c r="X115" s="2201" t="n">
        <f aca="false">W115/O115</f>
        <v>550</v>
      </c>
      <c r="Y115" s="2201" t="n">
        <f aca="false">'DG-PV Organic'!AL80/1000*1.1</f>
        <v>381843</v>
      </c>
      <c r="Z115" s="2202" t="n">
        <v>65000</v>
      </c>
      <c r="AA115" s="2203" t="e">
        <f aca="false">'dg-pv organic'!#ref!</f>
        <v>#VALUE!</v>
      </c>
    </row>
    <row r="116" customFormat="false" ht="16.5" hidden="false" customHeight="true" outlineLevel="0" collapsed="false">
      <c r="A116" s="2205"/>
      <c r="B116" s="2410"/>
      <c r="C116" s="2384" t="n">
        <f aca="false">SUBTOTAL(103,$D$99:D116)</f>
        <v>18</v>
      </c>
      <c r="D116" s="2188" t="str">
        <f aca="false">'DG-PV Organic'!B81</f>
        <v>Songwol Towel Bukjeong 1-1</v>
      </c>
      <c r="E116" s="2208"/>
      <c r="F116" s="2209" t="s">
        <v>1331</v>
      </c>
      <c r="G116" s="2209"/>
      <c r="H116" s="2209"/>
      <c r="I116" s="2209"/>
      <c r="J116" s="2210" t="s">
        <v>1332</v>
      </c>
      <c r="K116" s="2193" t="str">
        <f aca="false">'DG-PV Organic'!X81</f>
        <v>Gyeongsangnam-do</v>
      </c>
      <c r="L116" s="2212" t="n">
        <f aca="false">'DG-PV Organic'!K110</f>
        <v>280478.3</v>
      </c>
      <c r="M116" s="2195" t="str">
        <f aca="false">'DG-PV Organic'!G81</f>
        <v>A0</v>
      </c>
      <c r="N116" s="2195" t="s">
        <v>362</v>
      </c>
      <c r="O116" s="2337" t="n">
        <f aca="false">'DG-PV Organic'!O81</f>
        <v>618.6</v>
      </c>
      <c r="P116" s="2187" t="n">
        <f aca="false">'DG-PV Organic'!L81</f>
        <v>1408</v>
      </c>
      <c r="Q116" s="2197" t="n">
        <f aca="false">P116/365</f>
        <v>3.85753424657534</v>
      </c>
      <c r="R116" s="2187" t="str">
        <f aca="false">'DG-PV Organic'!H81</f>
        <v>TBD</v>
      </c>
      <c r="S116" s="2403" t="str">
        <f aca="false">'DG-PV Organic'!Q81</f>
        <v>TBD</v>
      </c>
      <c r="T116" s="2199" t="e">
        <f aca="false">+EDATE(S116,6)</f>
        <v>#VALUE!</v>
      </c>
      <c r="U116" s="2200" t="n">
        <f aca="false">'DG-PV Organic'!AJ81/1000*1.1</f>
        <v>136092</v>
      </c>
      <c r="V116" s="2201" t="n">
        <f aca="false">'DG-PV Organic'!AK81/1000*1.1</f>
        <v>204138</v>
      </c>
      <c r="W116" s="2201" t="n">
        <f aca="false">SUM(U116:V116)</f>
        <v>340230</v>
      </c>
      <c r="X116" s="2201" t="n">
        <f aca="false">W116/O116</f>
        <v>550</v>
      </c>
      <c r="Y116" s="2201" t="n">
        <f aca="false">'DG-PV Organic'!AL81/1000*1.1</f>
        <v>714483</v>
      </c>
      <c r="Z116" s="2202" t="n">
        <v>65000</v>
      </c>
      <c r="AA116" s="2203" t="n">
        <f aca="false">'DG-PV Organic'!AI110</f>
        <v>43561000</v>
      </c>
    </row>
    <row r="117" customFormat="false" ht="16.5" hidden="false" customHeight="true" outlineLevel="0" collapsed="false">
      <c r="A117" s="2205"/>
      <c r="B117" s="2410"/>
      <c r="C117" s="2384" t="n">
        <f aca="false">SUBTOTAL(103,$D$99:D117)</f>
        <v>19</v>
      </c>
      <c r="D117" s="2188" t="str">
        <f aca="false">'DG-PV Organic'!B82</f>
        <v>Songwol Towel Bukjeong 1-2</v>
      </c>
      <c r="E117" s="2208"/>
      <c r="F117" s="2223" t="s">
        <v>1336</v>
      </c>
      <c r="G117" s="2209"/>
      <c r="H117" s="2209"/>
      <c r="I117" s="2209"/>
      <c r="J117" s="2210" t="s">
        <v>1337</v>
      </c>
      <c r="K117" s="2193" t="str">
        <f aca="false">'DG-PV Organic'!X82</f>
        <v>Gyeongsangnam-do</v>
      </c>
      <c r="L117" s="2212" t="n">
        <f aca="false">'DG-PV Organic'!K111</f>
        <v>341799.5</v>
      </c>
      <c r="M117" s="2195" t="str">
        <f aca="false">'DG-PV Organic'!G82</f>
        <v>A0</v>
      </c>
      <c r="N117" s="2195" t="s">
        <v>362</v>
      </c>
      <c r="O117" s="2337" t="n">
        <f aca="false">'DG-PV Organic'!O82</f>
        <v>393.6</v>
      </c>
      <c r="P117" s="2187" t="n">
        <f aca="false">'DG-PV Organic'!L82</f>
        <v>1408</v>
      </c>
      <c r="Q117" s="2197" t="n">
        <f aca="false">P117/365</f>
        <v>3.85753424657534</v>
      </c>
      <c r="R117" s="2187" t="str">
        <f aca="false">'DG-PV Organic'!H82</f>
        <v>TBD</v>
      </c>
      <c r="S117" s="2403" t="str">
        <f aca="false">'DG-PV Organic'!Q82</f>
        <v>TBD</v>
      </c>
      <c r="T117" s="2199" t="e">
        <f aca="false">+EDATE(S117,6)</f>
        <v>#VALUE!</v>
      </c>
      <c r="U117" s="2200" t="n">
        <f aca="false">'DG-PV Organic'!AJ82/1000*1.1</f>
        <v>86592</v>
      </c>
      <c r="V117" s="2201" t="n">
        <f aca="false">'DG-PV Organic'!AK82/1000*1.1</f>
        <v>129888</v>
      </c>
      <c r="W117" s="2201" t="n">
        <f aca="false">SUM(U117:V117)</f>
        <v>216480</v>
      </c>
      <c r="X117" s="2201" t="n">
        <f aca="false">W117/O117</f>
        <v>550</v>
      </c>
      <c r="Y117" s="2201" t="n">
        <f aca="false">'DG-PV Organic'!AL82/1000*1.1</f>
        <v>454608</v>
      </c>
      <c r="Z117" s="2202" t="n">
        <v>65000</v>
      </c>
      <c r="AA117" s="2203" t="n">
        <f aca="false">'DG-PV Organic'!AI111</f>
        <v>53086000</v>
      </c>
    </row>
    <row r="118" customFormat="false" ht="16.5" hidden="false" customHeight="true" outlineLevel="0" collapsed="false">
      <c r="A118" s="2205"/>
      <c r="B118" s="2410"/>
      <c r="C118" s="2384" t="n">
        <f aca="false">SUBTOTAL(103,$D$99:D118)</f>
        <v>20</v>
      </c>
      <c r="D118" s="2188" t="str">
        <f aca="false">'DG-PV Organic'!B83</f>
        <v>Songwol Towel Yusan</v>
      </c>
      <c r="E118" s="2208"/>
      <c r="F118" s="2223" t="s">
        <v>1340</v>
      </c>
      <c r="G118" s="2209"/>
      <c r="H118" s="2209"/>
      <c r="I118" s="2209"/>
      <c r="J118" s="2210" t="s">
        <v>1341</v>
      </c>
      <c r="K118" s="2193" t="str">
        <f aca="false">'DG-PV Organic'!X83</f>
        <v>Gyeongsangnam-do</v>
      </c>
      <c r="L118" s="2212" t="n">
        <f aca="false">'DG-PV Organic'!K112</f>
        <v>152916.8</v>
      </c>
      <c r="M118" s="2195" t="str">
        <f aca="false">'DG-PV Organic'!G83</f>
        <v>A0</v>
      </c>
      <c r="N118" s="2195" t="s">
        <v>362</v>
      </c>
      <c r="O118" s="2337" t="n">
        <f aca="false">'DG-PV Organic'!O83</f>
        <v>1473.6</v>
      </c>
      <c r="P118" s="2187" t="n">
        <f aca="false">'DG-PV Organic'!L83</f>
        <v>1378</v>
      </c>
      <c r="Q118" s="2197" t="n">
        <f aca="false">P118/365</f>
        <v>3.77534246575342</v>
      </c>
      <c r="R118" s="2187" t="str">
        <f aca="false">'DG-PV Organic'!H83</f>
        <v>TBD</v>
      </c>
      <c r="S118" s="2403" t="str">
        <f aca="false">'DG-PV Organic'!Q83</f>
        <v>TBD</v>
      </c>
      <c r="T118" s="2199" t="e">
        <f aca="false">+EDATE(S118,6)</f>
        <v>#VALUE!</v>
      </c>
      <c r="U118" s="2200" t="n">
        <f aca="false">'DG-PV Organic'!AJ83/1000*1.1</f>
        <v>324192</v>
      </c>
      <c r="V118" s="2201" t="n">
        <f aca="false">'DG-PV Organic'!AK83/1000*1.1</f>
        <v>486288</v>
      </c>
      <c r="W118" s="2201" t="n">
        <f aca="false">SUM(U118:V118)</f>
        <v>810480</v>
      </c>
      <c r="X118" s="2201" t="n">
        <f aca="false">W118/O118</f>
        <v>550</v>
      </c>
      <c r="Y118" s="2201" t="n">
        <f aca="false">'DG-PV Organic'!AL83/1000*1.1</f>
        <v>1702008</v>
      </c>
      <c r="Z118" s="2202" t="n">
        <v>65000</v>
      </c>
      <c r="AA118" s="2289" t="n">
        <f aca="false">'DG-PV Organic'!AI112</f>
        <v>23749000</v>
      </c>
    </row>
    <row r="119" customFormat="false" ht="16.5" hidden="false" customHeight="true" outlineLevel="0" collapsed="false">
      <c r="A119" s="2411"/>
      <c r="B119" s="2412" t="n">
        <f aca="false">SUM(O99:O138)</f>
        <v>56726.235</v>
      </c>
      <c r="C119" s="2384" t="n">
        <f aca="false">SUBTOTAL(103,$D$99:D119)</f>
        <v>21</v>
      </c>
      <c r="D119" s="2188" t="str">
        <f aca="false">'DG-PV Organic'!B124</f>
        <v>Lee Jinhee (building owned by an individual)</v>
      </c>
      <c r="E119" s="2208"/>
      <c r="F119" s="2223" t="s">
        <v>1345</v>
      </c>
      <c r="G119" s="2209"/>
      <c r="H119" s="2209"/>
      <c r="I119" s="2209"/>
      <c r="J119" s="2210" t="s">
        <v>1346</v>
      </c>
      <c r="K119" s="2193" t="str">
        <f aca="false">'DG-PV Organic'!X124</f>
        <v>Gyeonggi-do</v>
      </c>
      <c r="L119" s="2212" t="n">
        <f aca="false">'DG-PV Organic'!K113</f>
        <v>521694</v>
      </c>
      <c r="M119" s="2195" t="str">
        <f aca="false">'DG-PV Organic'!G124</f>
        <v>Individual business owner</v>
      </c>
      <c r="N119" s="2195" t="s">
        <v>362</v>
      </c>
      <c r="O119" s="2337" t="n">
        <f aca="false">'DG-PV Organic'!O124</f>
        <v>218.44</v>
      </c>
      <c r="P119" s="2187" t="n">
        <f aca="false">'DG-PV Organic'!L124</f>
        <v>1441</v>
      </c>
      <c r="Q119" s="2197" t="n">
        <f aca="false">P119/365</f>
        <v>3.94794520547945</v>
      </c>
      <c r="R119" s="2187" t="str">
        <f aca="false">'DG-PV Organic'!H124</f>
        <v>TBD</v>
      </c>
      <c r="S119" s="2403" t="str">
        <f aca="false">'DG-PV Organic'!Q124</f>
        <v>TBD</v>
      </c>
      <c r="T119" s="2199" t="e">
        <f aca="false">+EDATE(S119,6)</f>
        <v>#VALUE!</v>
      </c>
      <c r="U119" s="2200" t="n">
        <f aca="false">'DG-PV Organic'!AJ124/1000*1.1</f>
        <v>48056.8</v>
      </c>
      <c r="V119" s="2201" t="n">
        <f aca="false">'DG-PV Organic'!AK124/1000*1.1</f>
        <v>72085.2</v>
      </c>
      <c r="W119" s="2201" t="n">
        <f aca="false">SUM(U119:V119)</f>
        <v>120142</v>
      </c>
      <c r="X119" s="2201" t="n">
        <f aca="false">W119/O119</f>
        <v>550</v>
      </c>
      <c r="Y119" s="2201" t="n">
        <f aca="false">'DG-PV Organic'!AL124/1000*1.1</f>
        <v>252298.2</v>
      </c>
      <c r="Z119" s="2202" t="n">
        <v>65000</v>
      </c>
      <c r="AA119" s="2203" t="n">
        <f aca="false">'DG-PV Organic'!AI113</f>
        <v>81026000</v>
      </c>
    </row>
    <row r="120" customFormat="false" ht="16.5" hidden="false" customHeight="true" outlineLevel="0" collapsed="false">
      <c r="A120" s="2411"/>
      <c r="B120" s="2410"/>
      <c r="C120" s="2384" t="n">
        <f aca="false">SUBTOTAL(103,$D$99:D120)</f>
        <v>22</v>
      </c>
      <c r="D120" s="2188" t="str">
        <f aca="false">'DG-PV Organic'!B125</f>
        <v>Jang Minki (building owned by an individual)</v>
      </c>
      <c r="E120" s="2208"/>
      <c r="F120" s="2223" t="s">
        <v>2195</v>
      </c>
      <c r="G120" s="2209"/>
      <c r="H120" s="2209"/>
      <c r="I120" s="2209"/>
      <c r="J120" s="2210" t="s">
        <v>2196</v>
      </c>
      <c r="K120" s="2193" t="str">
        <f aca="false">'DG-PV Organic'!X125</f>
        <v>Gyeonggi-do</v>
      </c>
      <c r="L120" s="2212" t="e">
        <f aca="false">'dg-pv organic'!#ref!</f>
        <v>#VALUE!</v>
      </c>
      <c r="M120" s="2195" t="str">
        <f aca="false">'DG-PV Organic'!G125</f>
        <v>Individual business owner</v>
      </c>
      <c r="N120" s="2195" t="s">
        <v>362</v>
      </c>
      <c r="O120" s="2337" t="n">
        <f aca="false">'DG-PV Organic'!O125</f>
        <v>286.385</v>
      </c>
      <c r="P120" s="2187" t="n">
        <f aca="false">'DG-PV Organic'!L125</f>
        <v>1437</v>
      </c>
      <c r="Q120" s="2197" t="n">
        <f aca="false">P120/365</f>
        <v>3.93698630136986</v>
      </c>
      <c r="R120" s="2187" t="str">
        <f aca="false">'DG-PV Organic'!H125</f>
        <v>TBD</v>
      </c>
      <c r="S120" s="2403" t="str">
        <f aca="false">'DG-PV Organic'!Q125</f>
        <v>TBD</v>
      </c>
      <c r="T120" s="2199" t="e">
        <f aca="false">+EDATE(S120,6)</f>
        <v>#VALUE!</v>
      </c>
      <c r="U120" s="2200" t="n">
        <f aca="false">'DG-PV Organic'!AJ125/1000*1.1</f>
        <v>63004.7</v>
      </c>
      <c r="V120" s="2201" t="n">
        <f aca="false">'DG-PV Organic'!AK125/1000*1.1</f>
        <v>94507.05</v>
      </c>
      <c r="W120" s="2201" t="n">
        <f aca="false">SUM(U120:V120)</f>
        <v>157511.75</v>
      </c>
      <c r="X120" s="2201" t="n">
        <f aca="false">W120/O120</f>
        <v>550</v>
      </c>
      <c r="Y120" s="2201" t="n">
        <f aca="false">'DG-PV Organic'!AL125/1000*1.1</f>
        <v>330774.675</v>
      </c>
      <c r="Z120" s="2202" t="n">
        <v>65000</v>
      </c>
      <c r="AA120" s="2203" t="e">
        <f aca="false">'dg-pv organic'!#ref!</f>
        <v>#VALUE!</v>
      </c>
    </row>
    <row r="121" customFormat="false" ht="16.5" hidden="false" customHeight="true" outlineLevel="0" collapsed="false">
      <c r="A121" s="2411"/>
      <c r="B121" s="2410"/>
      <c r="C121" s="2384" t="n">
        <f aca="false">SUBTOTAL(103,$D$99:D121)</f>
        <v>23</v>
      </c>
      <c r="D121" s="2188" t="str">
        <f aca="false">'DG-PV Organic'!B126</f>
        <v>Oracom</v>
      </c>
      <c r="E121" s="2208"/>
      <c r="F121" s="2223" t="s">
        <v>1349</v>
      </c>
      <c r="G121" s="2209"/>
      <c r="H121" s="2209"/>
      <c r="I121" s="2209"/>
      <c r="J121" s="2210" t="s">
        <v>1350</v>
      </c>
      <c r="K121" s="2193" t="str">
        <f aca="false">'DG-PV Organic'!X126</f>
        <v>Gyeonggi-do</v>
      </c>
      <c r="L121" s="2212" t="n">
        <f aca="false">'DG-PV Organic'!K114</f>
        <v>5189138.2</v>
      </c>
      <c r="M121" s="2195" t="str">
        <f aca="false">'DG-PV Organic'!G126</f>
        <v>CCC+</v>
      </c>
      <c r="N121" s="2195" t="s">
        <v>362</v>
      </c>
      <c r="O121" s="2337" t="n">
        <f aca="false">'DG-PV Organic'!O126</f>
        <v>299.72</v>
      </c>
      <c r="P121" s="2187" t="n">
        <f aca="false">'DG-PV Organic'!L126</f>
        <v>1440</v>
      </c>
      <c r="Q121" s="2197" t="n">
        <f aca="false">P121/365</f>
        <v>3.94520547945205</v>
      </c>
      <c r="R121" s="2187" t="str">
        <f aca="false">'DG-PV Organic'!H126</f>
        <v>TBD</v>
      </c>
      <c r="S121" s="2403" t="str">
        <f aca="false">'DG-PV Organic'!Q126</f>
        <v>TBD</v>
      </c>
      <c r="T121" s="2199" t="e">
        <f aca="false">+EDATE(S121,6)</f>
        <v>#VALUE!</v>
      </c>
      <c r="U121" s="2200" t="n">
        <f aca="false">'DG-PV Organic'!AJ126/1000*1.1</f>
        <v>65938.4</v>
      </c>
      <c r="V121" s="2201" t="n">
        <f aca="false">'DG-PV Organic'!AK126/1000*1.1</f>
        <v>98907.6</v>
      </c>
      <c r="W121" s="2201" t="n">
        <f aca="false">SUM(U121:V121)</f>
        <v>164846</v>
      </c>
      <c r="X121" s="2201" t="n">
        <f aca="false">W121/O121</f>
        <v>550</v>
      </c>
      <c r="Y121" s="2201" t="n">
        <f aca="false">'DG-PV Organic'!AL126/1000*1.1</f>
        <v>346176.6</v>
      </c>
      <c r="Z121" s="2202" t="n">
        <v>65000</v>
      </c>
      <c r="AA121" s="2203" t="n">
        <f aca="false">'DG-PV Organic'!AI114</f>
        <v>805942000</v>
      </c>
    </row>
    <row r="122" customFormat="false" ht="16.5" hidden="false" customHeight="true" outlineLevel="0" collapsed="false">
      <c r="A122" s="2411"/>
      <c r="B122" s="2410"/>
      <c r="C122" s="2384" t="n">
        <f aca="false">SUBTOTAL(103,$D$99:D122)</f>
        <v>24</v>
      </c>
      <c r="D122" s="2188" t="str">
        <f aca="false">'DG-PV Organic'!B127</f>
        <v>Boseung</v>
      </c>
      <c r="E122" s="2208"/>
      <c r="F122" s="2223" t="s">
        <v>1354</v>
      </c>
      <c r="G122" s="2209"/>
      <c r="H122" s="2209"/>
      <c r="I122" s="2209"/>
      <c r="J122" s="2210" t="s">
        <v>1355</v>
      </c>
      <c r="K122" s="2193" t="str">
        <f aca="false">'DG-PV Organic'!X127</f>
        <v>Gyeonggi-do</v>
      </c>
      <c r="L122" s="2212" t="n">
        <f aca="false">'DG-PV Organic'!K115</f>
        <v>1702.5</v>
      </c>
      <c r="M122" s="2195" t="str">
        <f aca="false">'DG-PV Organic'!G127</f>
        <v>B+</v>
      </c>
      <c r="N122" s="2195" t="s">
        <v>362</v>
      </c>
      <c r="O122" s="2337" t="n">
        <f aca="false">'DG-PV Organic'!O127</f>
        <v>688.34</v>
      </c>
      <c r="P122" s="2187" t="n">
        <f aca="false">'DG-PV Organic'!L127</f>
        <v>1431</v>
      </c>
      <c r="Q122" s="2197" t="n">
        <f aca="false">P122/365</f>
        <v>3.92054794520548</v>
      </c>
      <c r="R122" s="2187" t="str">
        <f aca="false">'DG-PV Organic'!H127</f>
        <v>TBD</v>
      </c>
      <c r="S122" s="2403" t="str">
        <f aca="false">'DG-PV Organic'!Q127</f>
        <v>TBD</v>
      </c>
      <c r="T122" s="2199" t="e">
        <f aca="false">+EDATE(S122,6)</f>
        <v>#VALUE!</v>
      </c>
      <c r="U122" s="2200" t="n">
        <f aca="false">'DG-PV Organic'!AJ127/1000*1.1</f>
        <v>151434.8</v>
      </c>
      <c r="V122" s="2201" t="n">
        <f aca="false">'DG-PV Organic'!AK127/1000*1.1</f>
        <v>227152.2</v>
      </c>
      <c r="W122" s="2201" t="n">
        <f aca="false">SUM(U122:V122)</f>
        <v>378587</v>
      </c>
      <c r="X122" s="2201" t="n">
        <f aca="false">W122/O122</f>
        <v>550</v>
      </c>
      <c r="Y122" s="2201" t="n">
        <f aca="false">'DG-PV Organic'!AL127/1000*1.1</f>
        <v>795032.7</v>
      </c>
      <c r="Z122" s="2202" t="n">
        <v>65000</v>
      </c>
      <c r="AA122" s="2203" t="n">
        <f aca="false">'DG-PV Organic'!AI115</f>
        <v>244920000</v>
      </c>
    </row>
    <row r="123" customFormat="false" ht="16.5" hidden="false" customHeight="true" outlineLevel="0" collapsed="false">
      <c r="A123" s="2411"/>
      <c r="B123" s="2410"/>
      <c r="C123" s="2384" t="n">
        <f aca="false">SUBTOTAL(103,$D$99:D123)</f>
        <v>25</v>
      </c>
      <c r="D123" s="2188" t="str">
        <f aca="false">'DG-PV Organic'!B128</f>
        <v>Daesung Metal</v>
      </c>
      <c r="E123" s="2208" t="s">
        <v>1062</v>
      </c>
      <c r="F123" s="2223" t="s">
        <v>1063</v>
      </c>
      <c r="G123" s="2209"/>
      <c r="H123" s="2209"/>
      <c r="I123" s="2209"/>
      <c r="J123" s="2210" t="s">
        <v>1064</v>
      </c>
      <c r="K123" s="2193" t="str">
        <f aca="false">'DG-PV Organic'!X128</f>
        <v>Gyeongsangbuk-do</v>
      </c>
      <c r="L123" s="2212" t="n">
        <f aca="false">'DG-PV Organic'!K52</f>
        <v>385.68024</v>
      </c>
      <c r="M123" s="2195" t="str">
        <f aca="false">'DG-PV Organic'!G128</f>
        <v>BB-</v>
      </c>
      <c r="N123" s="2195" t="s">
        <v>362</v>
      </c>
      <c r="O123" s="2337" t="n">
        <f aca="false">'DG-PV Organic'!O128</f>
        <v>894.08</v>
      </c>
      <c r="P123" s="2187" t="n">
        <f aca="false">'DG-PV Organic'!L128</f>
        <v>1402</v>
      </c>
      <c r="Q123" s="2197" t="n">
        <f aca="false">P123/365</f>
        <v>3.84109589041096</v>
      </c>
      <c r="R123" s="2187" t="str">
        <f aca="false">'DG-PV Organic'!H128</f>
        <v>TBD</v>
      </c>
      <c r="S123" s="2403" t="str">
        <f aca="false">'DG-PV Organic'!Q128</f>
        <v>TBD</v>
      </c>
      <c r="T123" s="2199" t="e">
        <f aca="false">+EDATE(S123,6)</f>
        <v>#VALUE!</v>
      </c>
      <c r="U123" s="2200" t="n">
        <f aca="false">'DG-PV Organic'!AJ128/1000*1.1</f>
        <v>196697.6</v>
      </c>
      <c r="V123" s="2201" t="n">
        <f aca="false">'DG-PV Organic'!AK128/1000*1.1</f>
        <v>295046.4</v>
      </c>
      <c r="W123" s="2201" t="n">
        <f aca="false">SUM(U123:V123)</f>
        <v>491744</v>
      </c>
      <c r="X123" s="2201" t="n">
        <f aca="false">W123/O123</f>
        <v>550</v>
      </c>
      <c r="Y123" s="2201" t="n">
        <f aca="false">'DG-PV Organic'!AL128/1000*1.1</f>
        <v>1032662.4</v>
      </c>
      <c r="Z123" s="2202" t="n">
        <v>65000</v>
      </c>
      <c r="AA123" s="2203" t="n">
        <f aca="false">'DG-PV Organic'!AI52</f>
        <v>55176000</v>
      </c>
    </row>
    <row r="124" customFormat="false" ht="16.5" hidden="false" customHeight="true" outlineLevel="0" collapsed="false">
      <c r="A124" s="2411"/>
      <c r="B124" s="2410"/>
      <c r="C124" s="2384" t="n">
        <f aca="false">SUBTOTAL(103,$D$99:D124)</f>
        <v>26</v>
      </c>
      <c r="D124" s="2188" t="str">
        <f aca="false">'DG-PV Organic'!B129</f>
        <v>Taesung Chemical</v>
      </c>
      <c r="E124" s="2208" t="s">
        <v>1067</v>
      </c>
      <c r="F124" s="2223" t="s">
        <v>1068</v>
      </c>
      <c r="G124" s="2209"/>
      <c r="H124" s="2209"/>
      <c r="I124" s="2209"/>
      <c r="J124" s="2210" t="s">
        <v>1069</v>
      </c>
      <c r="K124" s="2193" t="str">
        <f aca="false">'DG-PV Organic'!X129</f>
        <v>Gyeonggi-do</v>
      </c>
      <c r="L124" s="2212" t="n">
        <f aca="false">'DG-PV Organic'!K53</f>
        <v>6345.19248</v>
      </c>
      <c r="M124" s="2195" t="str">
        <f aca="false">'DG-PV Organic'!G129</f>
        <v>B+</v>
      </c>
      <c r="N124" s="2195" t="s">
        <v>362</v>
      </c>
      <c r="O124" s="2337" t="n">
        <f aca="false">'DG-PV Organic'!O129</f>
        <v>316.23</v>
      </c>
      <c r="P124" s="2187" t="n">
        <f aca="false">'DG-PV Organic'!L129</f>
        <v>1422</v>
      </c>
      <c r="Q124" s="2197" t="n">
        <f aca="false">P124/365</f>
        <v>3.8958904109589</v>
      </c>
      <c r="R124" s="2187" t="str">
        <f aca="false">'DG-PV Organic'!H129</f>
        <v>TBD</v>
      </c>
      <c r="S124" s="2403" t="str">
        <f aca="false">'DG-PV Organic'!Q129</f>
        <v>TBD</v>
      </c>
      <c r="T124" s="2199" t="e">
        <f aca="false">+EDATE(S124,6)</f>
        <v>#VALUE!</v>
      </c>
      <c r="U124" s="2200" t="n">
        <f aca="false">'DG-PV Organic'!AJ129/1000*1.1</f>
        <v>69570.6</v>
      </c>
      <c r="V124" s="2201" t="n">
        <f aca="false">'DG-PV Organic'!AK129/1000*1.1</f>
        <v>104355.9</v>
      </c>
      <c r="W124" s="2201" t="n">
        <f aca="false">SUM(U124:V124)</f>
        <v>173926.5</v>
      </c>
      <c r="X124" s="2201" t="n">
        <f aca="false">W124/O124</f>
        <v>550</v>
      </c>
      <c r="Y124" s="2201" t="n">
        <f aca="false">'DG-PV Organic'!AL129/1000*1.1</f>
        <v>365245.65</v>
      </c>
      <c r="Z124" s="2202" t="n">
        <v>65000</v>
      </c>
      <c r="AA124" s="2203" t="n">
        <f aca="false">'DG-PV Organic'!AI53</f>
        <v>907104000</v>
      </c>
    </row>
    <row r="125" customFormat="false" ht="16.5" hidden="false" customHeight="true" outlineLevel="0" collapsed="false">
      <c r="A125" s="2411"/>
      <c r="B125" s="2410"/>
      <c r="C125" s="2384" t="n">
        <f aca="false">SUBTOTAL(103,$D$99:D125)</f>
        <v>27</v>
      </c>
      <c r="D125" s="2188" t="str">
        <f aca="false">'DG-PV Organic'!B60</f>
        <v>World Paper 1-1</v>
      </c>
      <c r="E125" s="2208" t="s">
        <v>1072</v>
      </c>
      <c r="F125" s="2223" t="s">
        <v>1073</v>
      </c>
      <c r="G125" s="2209"/>
      <c r="H125" s="2209"/>
      <c r="I125" s="2209"/>
      <c r="J125" s="2210" t="s">
        <v>1074</v>
      </c>
      <c r="K125" s="2193" t="str">
        <f aca="false">'DG-PV Organic'!X60</f>
        <v>Gyeonggi-do</v>
      </c>
      <c r="L125" s="2212" t="n">
        <f aca="false">'DG-PV Organic'!K54</f>
        <v>5445.181</v>
      </c>
      <c r="M125" s="2195" t="str">
        <f aca="false">'DG-PV Organic'!G60</f>
        <v>BB+</v>
      </c>
      <c r="N125" s="2195" t="s">
        <v>362</v>
      </c>
      <c r="O125" s="2337" t="n">
        <f aca="false">'DG-PV Organic'!O60</f>
        <v>142.24</v>
      </c>
      <c r="P125" s="2187" t="n">
        <f aca="false">'DG-PV Organic'!L60</f>
        <v>1464</v>
      </c>
      <c r="Q125" s="2197" t="n">
        <f aca="false">P125/365</f>
        <v>4.01095890410959</v>
      </c>
      <c r="R125" s="2187" t="n">
        <f aca="false">'DG-PV Organic'!H60</f>
        <v>0</v>
      </c>
      <c r="S125" s="2403" t="str">
        <f aca="false">'DG-PV Organic'!Q60</f>
        <v>TBD</v>
      </c>
      <c r="T125" s="2199" t="e">
        <f aca="false">+EDATE(S125,6)</f>
        <v>#VALUE!</v>
      </c>
      <c r="U125" s="2200" t="n">
        <f aca="false">'DG-PV Organic'!AJ60/1000*1.1</f>
        <v>31292.8</v>
      </c>
      <c r="V125" s="2201" t="n">
        <f aca="false">'DG-PV Organic'!AK60/1000*1.1</f>
        <v>46939.2</v>
      </c>
      <c r="W125" s="2201" t="n">
        <f aca="false">SUM(U125:V125)</f>
        <v>78232</v>
      </c>
      <c r="X125" s="2201" t="n">
        <f aca="false">W125/O125</f>
        <v>550</v>
      </c>
      <c r="Y125" s="2201" t="n">
        <f aca="false">'DG-PV Organic'!AL60/1000*1.1</f>
        <v>164287.2</v>
      </c>
      <c r="Z125" s="2202" t="n">
        <v>65000</v>
      </c>
      <c r="AA125" s="2203" t="n">
        <f aca="false">'DG-PV Organic'!AI54</f>
        <v>763700000</v>
      </c>
    </row>
    <row r="126" customFormat="false" ht="16.5" hidden="false" customHeight="true" outlineLevel="0" collapsed="false">
      <c r="A126" s="2411"/>
      <c r="B126" s="2410"/>
      <c r="C126" s="2384" t="n">
        <f aca="false">SUBTOTAL(103,$D$99:D126)</f>
        <v>28</v>
      </c>
      <c r="D126" s="2188" t="str">
        <f aca="false">'DG-PV Organic'!B61</f>
        <v>World paper 1-2</v>
      </c>
      <c r="E126" s="2208" t="s">
        <v>2197</v>
      </c>
      <c r="F126" s="2223" t="s">
        <v>2198</v>
      </c>
      <c r="G126" s="2209"/>
      <c r="H126" s="2209"/>
      <c r="I126" s="2209"/>
      <c r="J126" s="2210" t="s">
        <v>2199</v>
      </c>
      <c r="K126" s="2193" t="str">
        <f aca="false">'DG-PV Organic'!X61</f>
        <v>Gyeonggi-do</v>
      </c>
      <c r="L126" s="2212" t="n">
        <f aca="false">'DG-PV Organic'!K55</f>
        <v>644.76324</v>
      </c>
      <c r="M126" s="2195" t="str">
        <f aca="false">'DG-PV Organic'!G61</f>
        <v>BB+</v>
      </c>
      <c r="N126" s="2195" t="s">
        <v>362</v>
      </c>
      <c r="O126" s="2337" t="n">
        <f aca="false">'DG-PV Organic'!O61</f>
        <v>217.17</v>
      </c>
      <c r="P126" s="2187" t="n">
        <f aca="false">'DG-PV Organic'!L61</f>
        <v>1473</v>
      </c>
      <c r="Q126" s="2197" t="n">
        <f aca="false">P126/365</f>
        <v>4.03561643835617</v>
      </c>
      <c r="R126" s="2187" t="n">
        <f aca="false">'DG-PV Organic'!H61</f>
        <v>0</v>
      </c>
      <c r="S126" s="2403" t="str">
        <f aca="false">'DG-PV Organic'!Q61</f>
        <v>TBD</v>
      </c>
      <c r="T126" s="2199" t="e">
        <f aca="false">+EDATE(S126,6)</f>
        <v>#VALUE!</v>
      </c>
      <c r="U126" s="2200" t="n">
        <f aca="false">'DG-PV Organic'!AJ61/1000*1.1</f>
        <v>47777.4</v>
      </c>
      <c r="V126" s="2201" t="n">
        <f aca="false">'DG-PV Organic'!AK61/1000*1.1</f>
        <v>71666.1</v>
      </c>
      <c r="W126" s="2201" t="n">
        <f aca="false">SUM(U126:V126)</f>
        <v>119443.5</v>
      </c>
      <c r="X126" s="2201" t="n">
        <f aca="false">W126/O126</f>
        <v>550</v>
      </c>
      <c r="Y126" s="2201" t="n">
        <f aca="false">'DG-PV Organic'!AL61/1000*1.1</f>
        <v>250831.35</v>
      </c>
      <c r="Z126" s="2202" t="n">
        <v>65000</v>
      </c>
      <c r="AA126" s="2203" t="n">
        <f aca="false">'DG-PV Organic'!AI55</f>
        <v>90684000</v>
      </c>
    </row>
    <row r="127" customFormat="false" ht="16.5" hidden="false" customHeight="true" outlineLevel="0" collapsed="false">
      <c r="A127" s="2411"/>
      <c r="B127" s="2410"/>
      <c r="C127" s="2384" t="n">
        <f aca="false">SUBTOTAL(103,$D$99:D127)</f>
        <v>29</v>
      </c>
      <c r="D127" s="2188" t="str">
        <f aca="false">'DG-PV Organic'!B62</f>
        <v>Hanjin Susan  (building owned by an individual)</v>
      </c>
      <c r="E127" s="2208" t="s">
        <v>2200</v>
      </c>
      <c r="F127" s="2223" t="s">
        <v>2201</v>
      </c>
      <c r="G127" s="2209"/>
      <c r="H127" s="2209"/>
      <c r="I127" s="2209"/>
      <c r="J127" s="2210" t="s">
        <v>2202</v>
      </c>
      <c r="K127" s="2193" t="str">
        <f aca="false">'DG-PV Organic'!X62</f>
        <v>Gyeongsangnam-do</v>
      </c>
      <c r="L127" s="2212" t="n">
        <f aca="false">'DG-PV Organic'!K116</f>
        <v>687.86</v>
      </c>
      <c r="M127" s="2195" t="str">
        <f aca="false">'DG-PV Organic'!G62</f>
        <v>Individual business owner</v>
      </c>
      <c r="N127" s="2195" t="s">
        <v>362</v>
      </c>
      <c r="O127" s="2337" t="n">
        <f aca="false">'DG-PV Organic'!O62</f>
        <v>167.64</v>
      </c>
      <c r="P127" s="2187" t="n">
        <f aca="false">'DG-PV Organic'!L62</f>
        <v>1458</v>
      </c>
      <c r="Q127" s="2197" t="n">
        <f aca="false">P127/365</f>
        <v>3.99452054794521</v>
      </c>
      <c r="R127" s="2187" t="n">
        <f aca="false">'DG-PV Organic'!H62</f>
        <v>0</v>
      </c>
      <c r="S127" s="2403" t="str">
        <f aca="false">'DG-PV Organic'!Q62</f>
        <v>TBD</v>
      </c>
      <c r="T127" s="2199" t="e">
        <f aca="false">+EDATE(S127,6)</f>
        <v>#VALUE!</v>
      </c>
      <c r="U127" s="2200" t="n">
        <f aca="false">'DG-PV Organic'!AJ62/1000*1.1</f>
        <v>36880.8</v>
      </c>
      <c r="V127" s="2201" t="n">
        <f aca="false">'DG-PV Organic'!AK62/1000*1.1</f>
        <v>55321.2</v>
      </c>
      <c r="W127" s="2201" t="n">
        <f aca="false">SUM(U127:V127)</f>
        <v>92202</v>
      </c>
      <c r="X127" s="2201" t="n">
        <f aca="false">W127/O127</f>
        <v>550</v>
      </c>
      <c r="Y127" s="2201" t="n">
        <f aca="false">'DG-PV Organic'!AL62/1000*1.1</f>
        <v>193624.2</v>
      </c>
      <c r="Z127" s="2202" t="n">
        <v>65000</v>
      </c>
      <c r="AA127" s="2203" t="n">
        <f aca="false">'DG-PV Organic'!AI116</f>
        <v>96740000</v>
      </c>
    </row>
    <row r="128" customFormat="false" ht="16.5" hidden="false" customHeight="true" outlineLevel="0" collapsed="false">
      <c r="A128" s="2411"/>
      <c r="B128" s="2410"/>
      <c r="C128" s="2384" t="n">
        <f aca="false">SUBTOTAL(103,$D$99:D128)</f>
        <v>30</v>
      </c>
      <c r="D128" s="2188" t="str">
        <f aca="false">'DG-PV Organic'!B73</f>
        <v>Seunsteel Changwon</v>
      </c>
      <c r="E128" s="2208" t="s">
        <v>2203</v>
      </c>
      <c r="F128" s="2223" t="s">
        <v>2204</v>
      </c>
      <c r="G128" s="2209"/>
      <c r="H128" s="2209"/>
      <c r="I128" s="2209"/>
      <c r="J128" s="2210" t="s">
        <v>2205</v>
      </c>
      <c r="K128" s="2193" t="str">
        <f aca="false">'DG-PV Organic'!X73</f>
        <v>Gyeonggi-do</v>
      </c>
      <c r="L128" s="2212" t="n">
        <f aca="false">'DG-PV Organic'!K117</f>
        <v>2232.6</v>
      </c>
      <c r="M128" s="2195" t="str">
        <f aca="false">'DG-PV Organic'!G73</f>
        <v>BB-</v>
      </c>
      <c r="N128" s="2195" t="s">
        <v>362</v>
      </c>
      <c r="O128" s="2337" t="n">
        <f aca="false">'DG-PV Organic'!O73</f>
        <v>1666</v>
      </c>
      <c r="P128" s="2187" t="n">
        <f aca="false">'DG-PV Organic'!L73</f>
        <v>1439</v>
      </c>
      <c r="Q128" s="2197" t="n">
        <f aca="false">P128/365</f>
        <v>3.94246575342466</v>
      </c>
      <c r="R128" s="2187" t="str">
        <f aca="false">'DG-PV Organic'!H73</f>
        <v>TBD</v>
      </c>
      <c r="S128" s="2403" t="str">
        <f aca="false">'DG-PV Organic'!Q73</f>
        <v>TBD</v>
      </c>
      <c r="T128" s="2199" t="e">
        <f aca="false">+EDATE(S128,6)</f>
        <v>#VALUE!</v>
      </c>
      <c r="U128" s="2200" t="n">
        <f aca="false">'DG-PV Organic'!AJ73/1000*1.1</f>
        <v>366520</v>
      </c>
      <c r="V128" s="2201" t="n">
        <f aca="false">'DG-PV Organic'!AK73/1000*1.1</f>
        <v>549780</v>
      </c>
      <c r="W128" s="2201" t="n">
        <f aca="false">SUM(U128:V128)</f>
        <v>916300</v>
      </c>
      <c r="X128" s="2201" t="n">
        <f aca="false">W128/O128</f>
        <v>550</v>
      </c>
      <c r="Y128" s="2201" t="n">
        <f aca="false">'DG-PV Organic'!AL73/1000*1.1</f>
        <v>1924230</v>
      </c>
      <c r="Z128" s="2202" t="n">
        <v>65000</v>
      </c>
      <c r="AA128" s="2203" t="n">
        <f aca="false">'DG-PV Organic'!AI117</f>
        <v>320496000</v>
      </c>
    </row>
    <row r="129" customFormat="false" ht="16.5" hidden="false" customHeight="true" outlineLevel="0" collapsed="false">
      <c r="A129" s="2411"/>
      <c r="B129" s="2410"/>
      <c r="C129" s="2384" t="n">
        <f aca="false">SUBTOTAL(103,$D$99:D129)</f>
        <v>31</v>
      </c>
      <c r="D129" s="2188" t="str">
        <f aca="false">'DG-PV Organic'!B84</f>
        <v>Samkwang Automotive</v>
      </c>
      <c r="E129" s="2208" t="s">
        <v>2206</v>
      </c>
      <c r="F129" s="2223" t="s">
        <v>2207</v>
      </c>
      <c r="G129" s="2209"/>
      <c r="H129" s="2209"/>
      <c r="I129" s="2209"/>
      <c r="J129" s="2210" t="s">
        <v>2208</v>
      </c>
      <c r="K129" s="2193" t="str">
        <f aca="false">'DG-PV Organic'!X84</f>
        <v>Gyeongsangbuk-do</v>
      </c>
      <c r="L129" s="2212" t="n">
        <f aca="false">'DG-PV Organic'!K118</f>
        <v>690.99</v>
      </c>
      <c r="M129" s="2195" t="str">
        <f aca="false">'DG-PV Organic'!G84</f>
        <v>BB</v>
      </c>
      <c r="N129" s="2195" t="s">
        <v>362</v>
      </c>
      <c r="O129" s="2337" t="n">
        <f aca="false">'DG-PV Organic'!O84</f>
        <v>269.875</v>
      </c>
      <c r="P129" s="2187" t="n">
        <f aca="false">'DG-PV Organic'!L84</f>
        <v>1433</v>
      </c>
      <c r="Q129" s="2197" t="n">
        <f aca="false">P129/365</f>
        <v>3.92602739726027</v>
      </c>
      <c r="R129" s="2187" t="str">
        <f aca="false">'DG-PV Organic'!H84</f>
        <v>TBD</v>
      </c>
      <c r="S129" s="2403" t="str">
        <f aca="false">'DG-PV Organic'!Q84</f>
        <v>TBD</v>
      </c>
      <c r="T129" s="2199" t="e">
        <f aca="false">+EDATE(S129,6)</f>
        <v>#VALUE!</v>
      </c>
      <c r="U129" s="2200" t="n">
        <f aca="false">'DG-PV Organic'!AJ84/1000*1.1</f>
        <v>0</v>
      </c>
      <c r="V129" s="2201" t="n">
        <f aca="false">'DG-PV Organic'!AK84/1000*1.1</f>
        <v>0</v>
      </c>
      <c r="W129" s="2201" t="n">
        <f aca="false">SUM(U129:V129)</f>
        <v>0</v>
      </c>
      <c r="X129" s="2201" t="n">
        <f aca="false">W129/O129</f>
        <v>0</v>
      </c>
      <c r="Y129" s="2201" t="n">
        <f aca="false">'DG-PV Organic'!AL84/1000*1.1</f>
        <v>0</v>
      </c>
      <c r="Z129" s="2202" t="n">
        <v>65000</v>
      </c>
      <c r="AA129" s="2203" t="n">
        <f aca="false">'DG-PV Organic'!AI118</f>
        <v>96624000</v>
      </c>
    </row>
    <row r="130" customFormat="false" ht="16.5" hidden="false" customHeight="true" outlineLevel="0" collapsed="false">
      <c r="A130" s="2411"/>
      <c r="B130" s="2410"/>
      <c r="C130" s="2384" t="n">
        <f aca="false">SUBTOTAL(103,$D$99:D130)</f>
        <v>32</v>
      </c>
      <c r="D130" s="2188" t="str">
        <f aca="false">'DG-PV Organic'!B85</f>
        <v>Samkwang OneTech</v>
      </c>
      <c r="E130" s="2208" t="s">
        <v>2209</v>
      </c>
      <c r="F130" s="2223" t="s">
        <v>2210</v>
      </c>
      <c r="G130" s="2209"/>
      <c r="H130" s="2209"/>
      <c r="I130" s="2209"/>
      <c r="J130" s="2210" t="s">
        <v>2211</v>
      </c>
      <c r="K130" s="2193" t="str">
        <f aca="false">'DG-PV Organic'!X85</f>
        <v>Gyeongsangbuk-do</v>
      </c>
      <c r="L130" s="2212" t="n">
        <f aca="false">'DG-PV Organic'!K119</f>
        <v>440.19</v>
      </c>
      <c r="M130" s="2195" t="str">
        <f aca="false">'DG-PV Organic'!G85</f>
        <v>BB</v>
      </c>
      <c r="N130" s="2195" t="s">
        <v>362</v>
      </c>
      <c r="O130" s="2337" t="n">
        <f aca="false">'DG-PV Organic'!O85</f>
        <v>657.225</v>
      </c>
      <c r="P130" s="2187" t="n">
        <f aca="false">'DG-PV Organic'!L85</f>
        <v>1444</v>
      </c>
      <c r="Q130" s="2197" t="n">
        <f aca="false">P130/365</f>
        <v>3.95616438356164</v>
      </c>
      <c r="R130" s="2187" t="str">
        <f aca="false">'DG-PV Organic'!H85</f>
        <v>TBD</v>
      </c>
      <c r="S130" s="2403" t="str">
        <f aca="false">'DG-PV Organic'!Q85</f>
        <v>TBD</v>
      </c>
      <c r="T130" s="2199" t="e">
        <f aca="false">+EDATE(S130,6)</f>
        <v>#VALUE!</v>
      </c>
      <c r="U130" s="2200" t="n">
        <f aca="false">'DG-PV Organic'!AJ85/1000*1.1</f>
        <v>0</v>
      </c>
      <c r="V130" s="2201" t="n">
        <f aca="false">'DG-PV Organic'!AK85/1000*1.1</f>
        <v>0</v>
      </c>
      <c r="W130" s="2201" t="n">
        <f aca="false">SUM(U130:V130)</f>
        <v>0</v>
      </c>
      <c r="X130" s="2201" t="n">
        <f aca="false">W130/O130</f>
        <v>0</v>
      </c>
      <c r="Y130" s="2201" t="n">
        <f aca="false">'DG-PV Organic'!AL85/1000*1.1</f>
        <v>0</v>
      </c>
      <c r="Z130" s="2202" t="n">
        <v>65000</v>
      </c>
      <c r="AA130" s="2203" t="n">
        <f aca="false">'DG-PV Organic'!AI119</f>
        <v>64152000</v>
      </c>
    </row>
    <row r="131" customFormat="false" ht="16.5" hidden="false" customHeight="true" outlineLevel="0" collapsed="false">
      <c r="A131" s="2411"/>
      <c r="B131" s="2410"/>
      <c r="C131" s="2384" t="n">
        <f aca="false">SUBTOTAL(103,$D$99:D131)</f>
        <v>33</v>
      </c>
      <c r="D131" s="2188" t="str">
        <f aca="false">'DG-PV Organic'!B86</f>
        <v>Samkwang HQ</v>
      </c>
      <c r="E131" s="2208" t="s">
        <v>2212</v>
      </c>
      <c r="F131" s="2223" t="s">
        <v>2213</v>
      </c>
      <c r="G131" s="2209"/>
      <c r="H131" s="2209"/>
      <c r="I131" s="2209"/>
      <c r="J131" s="2210" t="s">
        <v>2214</v>
      </c>
      <c r="K131" s="2193" t="str">
        <f aca="false">'DG-PV Organic'!X86</f>
        <v>Gyeongsangbuk-do</v>
      </c>
      <c r="L131" s="2212" t="n">
        <f aca="false">'DG-PV Organic'!K120</f>
        <v>452.81</v>
      </c>
      <c r="M131" s="2195" t="str">
        <f aca="false">'DG-PV Organic'!G86</f>
        <v>BBB-</v>
      </c>
      <c r="N131" s="2195" t="s">
        <v>362</v>
      </c>
      <c r="O131" s="2337" t="n">
        <f aca="false">'DG-PV Organic'!O86</f>
        <v>598.17</v>
      </c>
      <c r="P131" s="2187" t="n">
        <f aca="false">'DG-PV Organic'!L86</f>
        <v>1447</v>
      </c>
      <c r="Q131" s="2197" t="n">
        <f aca="false">P131/365</f>
        <v>3.96438356164384</v>
      </c>
      <c r="R131" s="2187" t="str">
        <f aca="false">'DG-PV Organic'!H86</f>
        <v>TBD</v>
      </c>
      <c r="S131" s="2403" t="str">
        <f aca="false">'DG-PV Organic'!Q86</f>
        <v>TBD</v>
      </c>
      <c r="T131" s="2199" t="e">
        <f aca="false">+EDATE(S131,6)</f>
        <v>#VALUE!</v>
      </c>
      <c r="U131" s="2200" t="n">
        <f aca="false">'DG-PV Organic'!AJ86/1000*1.1</f>
        <v>0</v>
      </c>
      <c r="V131" s="2201" t="n">
        <f aca="false">'DG-PV Organic'!AK86/1000*1.1</f>
        <v>0</v>
      </c>
      <c r="W131" s="2201" t="n">
        <f aca="false">SUM(U131:V131)</f>
        <v>0</v>
      </c>
      <c r="X131" s="2201" t="n">
        <f aca="false">W131/O131</f>
        <v>0</v>
      </c>
      <c r="Y131" s="2201" t="n">
        <f aca="false">'DG-PV Organic'!AL86/1000*1.1</f>
        <v>0</v>
      </c>
      <c r="Z131" s="2202" t="n">
        <v>65000</v>
      </c>
      <c r="AA131" s="2203" t="n">
        <f aca="false">'DG-PV Organic'!AI120</f>
        <v>65340000</v>
      </c>
    </row>
    <row r="132" customFormat="false" ht="16.5" hidden="false" customHeight="true" outlineLevel="0" collapsed="false">
      <c r="A132" s="2411"/>
      <c r="B132" s="2410"/>
      <c r="C132" s="2384" t="n">
        <f aca="false">SUBTOTAL(103,$D$99:D132)</f>
        <v>34</v>
      </c>
      <c r="D132" s="2188" t="str">
        <f aca="false">'DG-PV Organic'!B74</f>
        <v>GMB Korea Factory 2</v>
      </c>
      <c r="E132" s="2208" t="s">
        <v>2215</v>
      </c>
      <c r="F132" s="2223" t="s">
        <v>2216</v>
      </c>
      <c r="G132" s="2209"/>
      <c r="H132" s="2209"/>
      <c r="I132" s="2209"/>
      <c r="J132" s="2210" t="s">
        <v>2217</v>
      </c>
      <c r="K132" s="2193" t="str">
        <f aca="false">'DG-PV Organic'!X74</f>
        <v>Gyeongsangnam-do</v>
      </c>
      <c r="L132" s="2212" t="n">
        <f aca="false">'DG-PV Organic'!K121</f>
        <v>1311.2</v>
      </c>
      <c r="M132" s="2195" t="str">
        <f aca="false">'DG-PV Organic'!G74</f>
        <v>A-</v>
      </c>
      <c r="N132" s="2195" t="s">
        <v>362</v>
      </c>
      <c r="O132" s="2337" t="n">
        <f aca="false">'DG-PV Organic'!O74</f>
        <v>1537.97</v>
      </c>
      <c r="P132" s="2187" t="n">
        <f aca="false">'DG-PV Organic'!L74</f>
        <v>1389</v>
      </c>
      <c r="Q132" s="2197" t="n">
        <f aca="false">P132/365</f>
        <v>3.80547945205479</v>
      </c>
      <c r="R132" s="2187" t="str">
        <f aca="false">'DG-PV Organic'!H74</f>
        <v>TBD</v>
      </c>
      <c r="S132" s="2403" t="str">
        <f aca="false">'DG-PV Organic'!Q74</f>
        <v>TBD</v>
      </c>
      <c r="T132" s="2199" t="e">
        <f aca="false">+EDATE(S132,6)</f>
        <v>#VALUE!</v>
      </c>
      <c r="U132" s="2200" t="n">
        <f aca="false">'DG-PV Organic'!AJ74/1000*1.1</f>
        <v>0</v>
      </c>
      <c r="V132" s="2201" t="n">
        <f aca="false">'DG-PV Organic'!AK74/1000*1.1</f>
        <v>0</v>
      </c>
      <c r="W132" s="2201" t="n">
        <f aca="false">SUM(U132:V132)</f>
        <v>0</v>
      </c>
      <c r="X132" s="2201" t="n">
        <f aca="false">W132/O132</f>
        <v>0</v>
      </c>
      <c r="Y132" s="2201" t="n">
        <f aca="false">'DG-PV Organic'!AL74/1000*1.1</f>
        <v>0</v>
      </c>
      <c r="Z132" s="2202" t="n">
        <v>65000</v>
      </c>
      <c r="AA132" s="2203" t="n">
        <f aca="false">'DG-PV Organic'!AI121</f>
        <v>153912000</v>
      </c>
    </row>
    <row r="133" customFormat="false" ht="16.5" hidden="false" customHeight="true" outlineLevel="0" collapsed="false">
      <c r="A133" s="2411"/>
      <c r="B133" s="2410"/>
      <c r="C133" s="2384" t="n">
        <f aca="false">SUBTOTAL(103,$D$99:D133)</f>
        <v>35</v>
      </c>
      <c r="D133" s="2188" t="str">
        <f aca="false">'DG-PV Organic'!B75</f>
        <v>GMB Korea Headquarters</v>
      </c>
      <c r="E133" s="2208" t="s">
        <v>2197</v>
      </c>
      <c r="F133" s="2223" t="s">
        <v>2198</v>
      </c>
      <c r="G133" s="2209"/>
      <c r="H133" s="2209"/>
      <c r="I133" s="2209"/>
      <c r="J133" s="2210" t="s">
        <v>2199</v>
      </c>
      <c r="K133" s="2193" t="str">
        <f aca="false">'DG-PV Organic'!X75</f>
        <v>Gyeongsangnam-do</v>
      </c>
      <c r="L133" s="2212" t="n">
        <f aca="false">'DG-PV Organic'!K122</f>
        <v>1071.7</v>
      </c>
      <c r="M133" s="2195" t="str">
        <f aca="false">'DG-PV Organic'!G75</f>
        <v>A-</v>
      </c>
      <c r="N133" s="2195" t="s">
        <v>362</v>
      </c>
      <c r="O133" s="2337" t="n">
        <f aca="false">'DG-PV Organic'!O75</f>
        <v>1645.92</v>
      </c>
      <c r="P133" s="2187" t="n">
        <f aca="false">'DG-PV Organic'!L75</f>
        <v>1400</v>
      </c>
      <c r="Q133" s="2197" t="n">
        <f aca="false">P133/365</f>
        <v>3.83561643835616</v>
      </c>
      <c r="R133" s="2187" t="str">
        <f aca="false">'DG-PV Organic'!H75</f>
        <v>TBD</v>
      </c>
      <c r="S133" s="2403" t="str">
        <f aca="false">'DG-PV Organic'!Q75</f>
        <v>TBD</v>
      </c>
      <c r="T133" s="2199" t="e">
        <f aca="false">+EDATE(S133,6)</f>
        <v>#VALUE!</v>
      </c>
      <c r="U133" s="2200" t="n">
        <f aca="false">'DG-PV Organic'!AJ75/1000*1.1</f>
        <v>0</v>
      </c>
      <c r="V133" s="2201" t="n">
        <f aca="false">'DG-PV Organic'!AK75/1000*1.1</f>
        <v>0</v>
      </c>
      <c r="W133" s="2201" t="n">
        <f aca="false">SUM(U133:V133)</f>
        <v>0</v>
      </c>
      <c r="X133" s="2201" t="n">
        <f aca="false">W133/O133</f>
        <v>0</v>
      </c>
      <c r="Y133" s="2201" t="n">
        <f aca="false">'DG-PV Organic'!AL75/1000*1.1</f>
        <v>0</v>
      </c>
      <c r="Z133" s="2202" t="n">
        <v>65000</v>
      </c>
      <c r="AA133" s="2203" t="n">
        <f aca="false">'DG-PV Organic'!AI122</f>
        <v>154700000</v>
      </c>
    </row>
    <row r="134" customFormat="false" ht="16.5" hidden="false" customHeight="true" outlineLevel="0" collapsed="false">
      <c r="A134" s="2411"/>
      <c r="B134" s="2410"/>
      <c r="C134" s="2384" t="n">
        <f aca="false">SUBTOTAL(103,$D$99:D134)</f>
        <v>36</v>
      </c>
      <c r="D134" s="2188" t="str">
        <f aca="false">'DG-PV Organic'!B76</f>
        <v>GMB Korea Seosan</v>
      </c>
      <c r="E134" s="2208" t="s">
        <v>2200</v>
      </c>
      <c r="F134" s="2223" t="s">
        <v>2201</v>
      </c>
      <c r="G134" s="2209"/>
      <c r="H134" s="2209"/>
      <c r="I134" s="2209"/>
      <c r="J134" s="2210" t="s">
        <v>2202</v>
      </c>
      <c r="K134" s="2193" t="str">
        <f aca="false">'DG-PV Organic'!X76</f>
        <v>Chungcheongnam-do</v>
      </c>
      <c r="L134" s="2212" t="n">
        <f aca="false">'DG-PV Organic'!K123</f>
        <v>566.62</v>
      </c>
      <c r="M134" s="2195" t="str">
        <f aca="false">'DG-PV Organic'!G76</f>
        <v>A-</v>
      </c>
      <c r="N134" s="2195" t="s">
        <v>362</v>
      </c>
      <c r="O134" s="2337" t="n">
        <f aca="false">'DG-PV Organic'!O76</f>
        <v>1076.325</v>
      </c>
      <c r="P134" s="2187" t="n">
        <f aca="false">'DG-PV Organic'!L76</f>
        <v>1427</v>
      </c>
      <c r="Q134" s="2197" t="n">
        <f aca="false">P134/365</f>
        <v>3.90958904109589</v>
      </c>
      <c r="R134" s="2187" t="str">
        <f aca="false">'DG-PV Organic'!H76</f>
        <v>TBD</v>
      </c>
      <c r="S134" s="2403" t="str">
        <f aca="false">'DG-PV Organic'!Q76</f>
        <v>TBD</v>
      </c>
      <c r="T134" s="2199" t="e">
        <f aca="false">+EDATE(S134,6)</f>
        <v>#VALUE!</v>
      </c>
      <c r="U134" s="2200" t="n">
        <f aca="false">'DG-PV Organic'!AJ76/1000*1.1</f>
        <v>0</v>
      </c>
      <c r="V134" s="2201" t="n">
        <f aca="false">'DG-PV Organic'!AK76/1000*1.1</f>
        <v>0</v>
      </c>
      <c r="W134" s="2201" t="n">
        <f aca="false">SUM(U134:V134)</f>
        <v>0</v>
      </c>
      <c r="X134" s="2201" t="n">
        <f aca="false">W134/O134</f>
        <v>0</v>
      </c>
      <c r="Y134" s="2201" t="n">
        <f aca="false">'DG-PV Organic'!AL76/1000*1.1</f>
        <v>0</v>
      </c>
      <c r="Z134" s="2202" t="n">
        <v>65000</v>
      </c>
      <c r="AA134" s="2203"/>
    </row>
    <row r="135" customFormat="false" ht="16.5" hidden="false" customHeight="true" outlineLevel="0" collapsed="false">
      <c r="A135" s="2411"/>
      <c r="B135" s="2410"/>
      <c r="C135" s="2384" t="n">
        <f aca="false">SUBTOTAL(103,$D$99:D135)</f>
        <v>37</v>
      </c>
      <c r="D135" s="2188" t="str">
        <f aca="false">'DG-PV Organic'!B87</f>
        <v>SNT Dynamics(주차장포함)</v>
      </c>
      <c r="E135" s="2208" t="s">
        <v>2203</v>
      </c>
      <c r="F135" s="2223" t="s">
        <v>2204</v>
      </c>
      <c r="G135" s="2209"/>
      <c r="H135" s="2209"/>
      <c r="I135" s="2209"/>
      <c r="J135" s="2210" t="s">
        <v>2205</v>
      </c>
      <c r="K135" s="2193" t="str">
        <f aca="false">'DG-PV Organic'!X87</f>
        <v>Gyeongsangnam-do</v>
      </c>
      <c r="L135" s="2212" t="n">
        <f aca="false">'DG-PV Organic'!K70</f>
        <v>5749.494</v>
      </c>
      <c r="M135" s="2195" t="str">
        <f aca="false">'DG-PV Organic'!G87</f>
        <v>AA-</v>
      </c>
      <c r="N135" s="2195" t="s">
        <v>362</v>
      </c>
      <c r="O135" s="2337" t="n">
        <f aca="false">'DG-PV Organic'!O87</f>
        <v>8953.5</v>
      </c>
      <c r="P135" s="2187" t="n">
        <f aca="false">'DG-PV Organic'!L87</f>
        <v>1407</v>
      </c>
      <c r="Q135" s="2197" t="n">
        <f aca="false">P135/365</f>
        <v>3.85479452054795</v>
      </c>
      <c r="R135" s="2187" t="str">
        <f aca="false">'DG-PV Organic'!H87</f>
        <v>TBD</v>
      </c>
      <c r="S135" s="2403" t="str">
        <f aca="false">'DG-PV Organic'!Q87</f>
        <v>TBD</v>
      </c>
      <c r="T135" s="2199" t="e">
        <f aca="false">+EDATE(S135,6)</f>
        <v>#VALUE!</v>
      </c>
      <c r="U135" s="2200" t="n">
        <f aca="false">'DG-PV Organic'!AJ87/1000*1.1</f>
        <v>0</v>
      </c>
      <c r="V135" s="2201" t="n">
        <f aca="false">'DG-PV Organic'!AK87/1000*1.1</f>
        <v>0</v>
      </c>
      <c r="W135" s="2201" t="n">
        <f aca="false">SUM(U135:V135)</f>
        <v>0</v>
      </c>
      <c r="X135" s="2201" t="n">
        <f aca="false">W135/O135</f>
        <v>0</v>
      </c>
      <c r="Y135" s="2201" t="n">
        <f aca="false">'DG-PV Organic'!AL87/1000*1.1</f>
        <v>0</v>
      </c>
      <c r="Z135" s="2202" t="n">
        <v>65000</v>
      </c>
      <c r="AA135" s="2203"/>
    </row>
    <row r="136" customFormat="false" ht="16.5" hidden="false" customHeight="true" outlineLevel="0" collapsed="false">
      <c r="A136" s="2411"/>
      <c r="B136" s="2410"/>
      <c r="C136" s="2384" t="n">
        <f aca="false">SUBTOTAL(103,$D$99:D136)</f>
        <v>38</v>
      </c>
      <c r="D136" s="2188" t="str">
        <f aca="false">'DG-PV Organic'!B88</f>
        <v>STX Engine</v>
      </c>
      <c r="E136" s="2208" t="s">
        <v>2197</v>
      </c>
      <c r="F136" s="2223" t="s">
        <v>2198</v>
      </c>
      <c r="G136" s="2209"/>
      <c r="H136" s="2209"/>
      <c r="I136" s="2209"/>
      <c r="J136" s="2210" t="s">
        <v>2199</v>
      </c>
      <c r="K136" s="2193" t="str">
        <f aca="false">'DG-PV Organic'!X88</f>
        <v>Gyeongsangnam-do</v>
      </c>
      <c r="L136" s="2212" t="n">
        <f aca="false">'DG-PV Organic'!K71</f>
        <v>275.73</v>
      </c>
      <c r="M136" s="2195" t="str">
        <f aca="false">'DG-PV Organic'!G88</f>
        <v>BB+</v>
      </c>
      <c r="N136" s="2195" t="s">
        <v>362</v>
      </c>
      <c r="O136" s="2337" t="n">
        <f aca="false">'DG-PV Organic'!O88</f>
        <v>3794.125</v>
      </c>
      <c r="P136" s="2187" t="n">
        <f aca="false">'DG-PV Organic'!L88</f>
        <v>1388</v>
      </c>
      <c r="Q136" s="2197" t="n">
        <f aca="false">P136/365</f>
        <v>3.8027397260274</v>
      </c>
      <c r="R136" s="2187" t="str">
        <f aca="false">'DG-PV Organic'!H88</f>
        <v>TBD</v>
      </c>
      <c r="S136" s="2403" t="str">
        <f aca="false">'DG-PV Organic'!Q88</f>
        <v>TBD</v>
      </c>
      <c r="T136" s="2199" t="e">
        <f aca="false">+EDATE(S136,6)</f>
        <v>#VALUE!</v>
      </c>
      <c r="U136" s="2200" t="n">
        <f aca="false">'DG-PV Organic'!AJ88/1000*1.1</f>
        <v>0</v>
      </c>
      <c r="V136" s="2201" t="n">
        <f aca="false">'DG-PV Organic'!AK88/1000*1.1</f>
        <v>0</v>
      </c>
      <c r="W136" s="2201" t="n">
        <f aca="false">SUM(U136:V136)</f>
        <v>0</v>
      </c>
      <c r="X136" s="2201" t="n">
        <f aca="false">W136/O136</f>
        <v>0</v>
      </c>
      <c r="Y136" s="2201" t="n">
        <f aca="false">'DG-PV Organic'!AL88/1000*1.1</f>
        <v>0</v>
      </c>
      <c r="Z136" s="2202" t="n">
        <v>65000</v>
      </c>
      <c r="AA136" s="2203"/>
    </row>
    <row r="137" customFormat="false" ht="16.5" hidden="false" customHeight="true" outlineLevel="0" collapsed="false">
      <c r="A137" s="2411"/>
      <c r="B137" s="2410"/>
      <c r="C137" s="2384" t="n">
        <f aca="false">SUBTOTAL(103,$D$99:D137)</f>
        <v>39</v>
      </c>
      <c r="D137" s="2188" t="str">
        <f aca="false">'DG-PV Organic'!B89</f>
        <v>Kunhwa Changwon</v>
      </c>
      <c r="E137" s="2208" t="s">
        <v>2200</v>
      </c>
      <c r="F137" s="2223" t="s">
        <v>2201</v>
      </c>
      <c r="G137" s="2209"/>
      <c r="H137" s="2209"/>
      <c r="I137" s="2209"/>
      <c r="J137" s="2210" t="s">
        <v>2202</v>
      </c>
      <c r="K137" s="2193" t="str">
        <f aca="false">'DG-PV Organic'!X89</f>
        <v>Gyeongsangnam-do</v>
      </c>
      <c r="L137" s="2212" t="n">
        <f aca="false">'DG-PV Organic'!K72</f>
        <v>1765.8648</v>
      </c>
      <c r="M137" s="2195" t="str">
        <f aca="false">'DG-PV Organic'!G89</f>
        <v>BBB</v>
      </c>
      <c r="N137" s="2195" t="s">
        <v>362</v>
      </c>
      <c r="O137" s="2337" t="n">
        <f aca="false">'DG-PV Organic'!O89</f>
        <v>9240.52</v>
      </c>
      <c r="P137" s="2187" t="n">
        <f aca="false">'DG-PV Organic'!L89</f>
        <v>1410</v>
      </c>
      <c r="Q137" s="2197" t="n">
        <f aca="false">P137/365</f>
        <v>3.86301369863014</v>
      </c>
      <c r="R137" s="2187" t="str">
        <f aca="false">'DG-PV Organic'!H89</f>
        <v>TBD</v>
      </c>
      <c r="S137" s="2403" t="str">
        <f aca="false">'DG-PV Organic'!Q89</f>
        <v>TBD</v>
      </c>
      <c r="T137" s="2199" t="e">
        <f aca="false">+EDATE(S137,6)</f>
        <v>#VALUE!</v>
      </c>
      <c r="U137" s="2200" t="n">
        <f aca="false">'DG-PV Organic'!AJ137/1000*1.1</f>
        <v>0</v>
      </c>
      <c r="V137" s="2201" t="n">
        <f aca="false">'DG-PV Organic'!AK137/1000*1.1</f>
        <v>0</v>
      </c>
      <c r="W137" s="2201" t="n">
        <f aca="false">SUM(U137:V137)</f>
        <v>0</v>
      </c>
      <c r="X137" s="2201" t="n">
        <f aca="false">W137/O137</f>
        <v>0</v>
      </c>
      <c r="Y137" s="2201" t="n">
        <f aca="false">'DG-PV Organic'!AL137/1000*1.1</f>
        <v>0</v>
      </c>
      <c r="Z137" s="2202" t="n">
        <v>65000</v>
      </c>
      <c r="AA137" s="2203" t="n">
        <f aca="false">'DG-PV Organic'!AI123</f>
        <v>82824000</v>
      </c>
    </row>
    <row r="138" customFormat="false" ht="16.5" hidden="false" customHeight="false" outlineLevel="0" collapsed="false">
      <c r="A138" s="2271"/>
      <c r="B138" s="2413"/>
      <c r="C138" s="2414" t="n">
        <f aca="false">SUBTOTAL(103,$D$99:D138)</f>
        <v>40</v>
      </c>
      <c r="D138" s="2415" t="str">
        <f aca="false">'DG-PV Organic'!B90</f>
        <v>Taekwang</v>
      </c>
      <c r="E138" s="2275"/>
      <c r="F138" s="2276" t="s">
        <v>1141</v>
      </c>
      <c r="G138" s="2277"/>
      <c r="H138" s="2277"/>
      <c r="I138" s="2277"/>
      <c r="J138" s="2278" t="s">
        <v>1142</v>
      </c>
      <c r="K138" s="2393" t="str">
        <f aca="false">'DG-PV Organic'!X90</f>
        <v>Gyeongsangnam-do</v>
      </c>
      <c r="L138" s="2280" t="n">
        <f aca="false">'DG-PV Organic'!K70</f>
        <v>5749.494</v>
      </c>
      <c r="M138" s="2416" t="str">
        <f aca="false">'DG-PV Organic'!G90</f>
        <v>BB</v>
      </c>
      <c r="N138" s="2281" t="s">
        <v>362</v>
      </c>
      <c r="O138" s="2367" t="n">
        <f aca="false">'DG-PV Organic'!O90</f>
        <v>179.9</v>
      </c>
      <c r="P138" s="2407" t="n">
        <f aca="false">'DG-PV Organic'!L90</f>
        <v>1433</v>
      </c>
      <c r="Q138" s="2283" t="n">
        <f aca="false">P138/365</f>
        <v>3.92602739726027</v>
      </c>
      <c r="R138" s="2407" t="str">
        <f aca="false">'DG-PV Organic'!H90</f>
        <v>TBD</v>
      </c>
      <c r="S138" s="2408" t="str">
        <f aca="false">'DG-PV Organic'!Q90</f>
        <v>TBD</v>
      </c>
      <c r="T138" s="2409" t="e">
        <f aca="false">+EDATE(S138,6)</f>
        <v>#VALUE!</v>
      </c>
      <c r="U138" s="2286" t="n">
        <f aca="false">'DG-PV Organic'!AJ138/1000*1.1</f>
        <v>0</v>
      </c>
      <c r="V138" s="2287" t="n">
        <f aca="false">'DG-PV Organic'!AK138/1000*1.1</f>
        <v>0</v>
      </c>
      <c r="W138" s="2287" t="n">
        <f aca="false">SUM(U138:V138)</f>
        <v>0</v>
      </c>
      <c r="X138" s="2287" t="n">
        <f aca="false">W138/O138</f>
        <v>0</v>
      </c>
      <c r="Y138" s="2287" t="n">
        <f aca="false">'DG-PV Organic'!AL138/1000*1.1</f>
        <v>0</v>
      </c>
      <c r="Z138" s="2288" t="n">
        <v>65000</v>
      </c>
      <c r="AA138" s="2289" t="n">
        <f aca="false">'DG-PV Organic'!AI70</f>
        <v>819600000</v>
      </c>
      <c r="AB138" s="2226"/>
      <c r="AC138" s="2238"/>
      <c r="AE138" s="2221"/>
    </row>
    <row r="139" customFormat="false" ht="16.5" hidden="false" customHeight="false" outlineLevel="0" collapsed="false">
      <c r="K139" s="1270"/>
      <c r="R139" s="1269"/>
      <c r="AA139" s="925"/>
    </row>
    <row r="140" customFormat="false" ht="16.5" hidden="false" customHeight="false" outlineLevel="0" collapsed="false">
      <c r="D140" s="914"/>
      <c r="K140" s="1270"/>
      <c r="R140" s="1269"/>
      <c r="AA140" s="925"/>
    </row>
    <row r="141" customFormat="false" ht="16.5" hidden="false" customHeight="false" outlineLevel="0" collapsed="false">
      <c r="F141" s="912"/>
      <c r="G141" s="912"/>
      <c r="H141" s="912"/>
      <c r="I141" s="912"/>
      <c r="J141" s="912"/>
      <c r="K141" s="1270"/>
      <c r="P141" s="925"/>
      <c r="Q141" s="912"/>
      <c r="S141" s="912"/>
      <c r="T141" s="912"/>
      <c r="AA141" s="925"/>
    </row>
    <row r="142" customFormat="false" ht="16.5" hidden="false" customHeight="false" outlineLevel="0" collapsed="false">
      <c r="F142" s="912"/>
      <c r="G142" s="912"/>
      <c r="H142" s="912"/>
      <c r="I142" s="912"/>
      <c r="J142" s="912"/>
      <c r="K142" s="1270"/>
      <c r="P142" s="925"/>
      <c r="Q142" s="912"/>
      <c r="S142" s="912"/>
      <c r="T142" s="912"/>
      <c r="AA142" s="925"/>
    </row>
    <row r="143" customFormat="false" ht="16.5" hidden="false" customHeight="false" outlineLevel="0" collapsed="false">
      <c r="F143" s="912"/>
      <c r="G143" s="912"/>
      <c r="H143" s="912"/>
      <c r="I143" s="912"/>
      <c r="J143" s="912"/>
      <c r="K143" s="1270"/>
      <c r="P143" s="925"/>
      <c r="Q143" s="912"/>
      <c r="S143" s="912"/>
      <c r="T143" s="912"/>
      <c r="AA143" s="925"/>
    </row>
    <row r="144" customFormat="false" ht="16.5" hidden="true" customHeight="true" outlineLevel="0" collapsed="false">
      <c r="A144" s="2417" t="str">
        <f aca="false">"PAST DG Batch 2
 - 12 PJT"</f>
        <v>PAST DG Batch 2
 - 12 PJT</v>
      </c>
      <c r="B144" s="2417"/>
      <c r="C144" s="2418" t="n">
        <f aca="false">SUBTOTAL(103,$D$144:D144)</f>
        <v>0</v>
      </c>
      <c r="D144" s="2316" t="s">
        <v>2075</v>
      </c>
      <c r="E144" s="2419" t="s">
        <v>1129</v>
      </c>
      <c r="F144" s="2420" t="s">
        <v>2135</v>
      </c>
      <c r="G144" s="2318"/>
      <c r="H144" s="2318"/>
      <c r="I144" s="2318"/>
      <c r="J144" s="2421" t="s">
        <v>1131</v>
      </c>
      <c r="K144" s="2422" t="s">
        <v>2218</v>
      </c>
      <c r="L144" s="2322" t="n">
        <f aca="false">'DG-PV Organic'!K139</f>
        <v>0</v>
      </c>
      <c r="M144" s="2323" t="s">
        <v>966</v>
      </c>
      <c r="N144" s="2323" t="s">
        <v>362</v>
      </c>
      <c r="O144" s="2423" t="n">
        <v>342.9</v>
      </c>
      <c r="P144" s="2315" t="n">
        <v>1438</v>
      </c>
      <c r="Q144" s="2325" t="n">
        <v>3.93972602739726</v>
      </c>
      <c r="R144" s="2326" t="s">
        <v>966</v>
      </c>
      <c r="S144" s="2424" t="s">
        <v>966</v>
      </c>
      <c r="T144" s="2424" t="s">
        <v>966</v>
      </c>
      <c r="U144" s="2425" t="n">
        <v>68580</v>
      </c>
      <c r="V144" s="2426" t="n">
        <v>102870</v>
      </c>
      <c r="W144" s="2426" t="n">
        <v>171450</v>
      </c>
      <c r="X144" s="2427"/>
      <c r="Y144" s="2428" t="n">
        <v>360045</v>
      </c>
      <c r="Z144" s="2429"/>
      <c r="AA144" s="925"/>
    </row>
    <row r="145" s="920" customFormat="true" ht="16.5" hidden="true" customHeight="false" outlineLevel="0" collapsed="false">
      <c r="A145" s="2417"/>
      <c r="B145" s="2417"/>
      <c r="C145" s="2206" t="n">
        <f aca="false">SUBTOTAL(103,$D$144:D145)</f>
        <v>0</v>
      </c>
      <c r="D145" s="2207" t="s">
        <v>2076</v>
      </c>
      <c r="E145" s="2208" t="s">
        <v>2136</v>
      </c>
      <c r="F145" s="2223" t="s">
        <v>2137</v>
      </c>
      <c r="G145" s="2209"/>
      <c r="H145" s="2209"/>
      <c r="I145" s="2209"/>
      <c r="J145" s="2210" t="s">
        <v>2138</v>
      </c>
      <c r="K145" s="2211" t="s">
        <v>2218</v>
      </c>
      <c r="L145" s="2212" t="n">
        <f aca="false">'DG-PV Organic'!K140</f>
        <v>0</v>
      </c>
      <c r="M145" s="2213" t="s">
        <v>966</v>
      </c>
      <c r="N145" s="2213" t="s">
        <v>362</v>
      </c>
      <c r="O145" s="2430" t="n">
        <v>499.75</v>
      </c>
      <c r="P145" s="2206" t="n">
        <v>1528</v>
      </c>
      <c r="Q145" s="2215" t="n">
        <v>4.18630136986301</v>
      </c>
      <c r="R145" s="2216" t="s">
        <v>966</v>
      </c>
      <c r="S145" s="2217" t="s">
        <v>966</v>
      </c>
      <c r="T145" s="2217" t="s">
        <v>966</v>
      </c>
      <c r="U145" s="2431" t="n">
        <v>99950</v>
      </c>
      <c r="V145" s="2432" t="n">
        <v>149925</v>
      </c>
      <c r="W145" s="2432" t="n">
        <v>249875</v>
      </c>
      <c r="X145" s="2433"/>
      <c r="Y145" s="2232" t="n">
        <v>524737.5</v>
      </c>
      <c r="Z145" s="2429"/>
      <c r="AA145" s="925"/>
    </row>
    <row r="146" s="920" customFormat="true" ht="16.5" hidden="true" customHeight="false" outlineLevel="0" collapsed="false">
      <c r="A146" s="2417"/>
      <c r="B146" s="2417"/>
      <c r="C146" s="2206" t="n">
        <f aca="false">SUBTOTAL(103,$D$144:D146)</f>
        <v>0</v>
      </c>
      <c r="D146" s="2207" t="s">
        <v>1986</v>
      </c>
      <c r="E146" s="2208" t="s">
        <v>2139</v>
      </c>
      <c r="F146" s="2223" t="s">
        <v>2140</v>
      </c>
      <c r="G146" s="2209"/>
      <c r="H146" s="2209"/>
      <c r="I146" s="2209"/>
      <c r="J146" s="2210" t="s">
        <v>2141</v>
      </c>
      <c r="K146" s="2211" t="s">
        <v>2219</v>
      </c>
      <c r="L146" s="2212" t="n">
        <f aca="false">'DG-PV Organic'!K141</f>
        <v>0</v>
      </c>
      <c r="M146" s="2213" t="s">
        <v>966</v>
      </c>
      <c r="N146" s="2213" t="s">
        <v>362</v>
      </c>
      <c r="O146" s="2430" t="n">
        <v>1099.35</v>
      </c>
      <c r="P146" s="2206" t="n">
        <v>1324</v>
      </c>
      <c r="Q146" s="2215" t="n">
        <f aca="false">P146/365</f>
        <v>3.62739726027397</v>
      </c>
      <c r="R146" s="2216" t="n">
        <v>0.093</v>
      </c>
      <c r="S146" s="2217" t="s">
        <v>966</v>
      </c>
      <c r="T146" s="2217" t="s">
        <v>966</v>
      </c>
      <c r="U146" s="2431" t="n">
        <v>241857</v>
      </c>
      <c r="V146" s="2432" t="n">
        <v>362785.5</v>
      </c>
      <c r="W146" s="2432" t="n">
        <v>604642.5</v>
      </c>
      <c r="X146" s="2433"/>
      <c r="Y146" s="2232" t="n">
        <v>1269749.25</v>
      </c>
      <c r="Z146" s="2429"/>
      <c r="AA146" s="925"/>
    </row>
    <row r="147" s="920" customFormat="true" ht="16.5" hidden="true" customHeight="false" outlineLevel="0" collapsed="false">
      <c r="A147" s="2417"/>
      <c r="B147" s="2417"/>
      <c r="C147" s="2206" t="n">
        <f aca="false">SUBTOTAL(103,$D$144:D147)</f>
        <v>0</v>
      </c>
      <c r="D147" s="2207" t="s">
        <v>1988</v>
      </c>
      <c r="E147" s="2208" t="s">
        <v>2142</v>
      </c>
      <c r="F147" s="2223" t="s">
        <v>2143</v>
      </c>
      <c r="G147" s="2209"/>
      <c r="H147" s="2209"/>
      <c r="I147" s="2209"/>
      <c r="J147" s="2210" t="s">
        <v>2144</v>
      </c>
      <c r="K147" s="2211" t="s">
        <v>2219</v>
      </c>
      <c r="L147" s="2212" t="n">
        <f aca="false">'DG-PV Organic'!K142</f>
        <v>0</v>
      </c>
      <c r="M147" s="2213" t="s">
        <v>966</v>
      </c>
      <c r="N147" s="2213" t="s">
        <v>362</v>
      </c>
      <c r="O147" s="2430" t="n">
        <v>1322.37</v>
      </c>
      <c r="P147" s="2206" t="n">
        <v>1318</v>
      </c>
      <c r="Q147" s="2215" t="n">
        <f aca="false">P147/365</f>
        <v>3.61095890410959</v>
      </c>
      <c r="R147" s="2216" t="n">
        <v>0.093</v>
      </c>
      <c r="S147" s="2217" t="s">
        <v>966</v>
      </c>
      <c r="T147" s="2217" t="s">
        <v>966</v>
      </c>
      <c r="U147" s="2431" t="n">
        <v>290921.4</v>
      </c>
      <c r="V147" s="2432" t="n">
        <v>436382.1</v>
      </c>
      <c r="W147" s="2432" t="n">
        <v>727303.5</v>
      </c>
      <c r="X147" s="2433"/>
      <c r="Y147" s="2232" t="n">
        <v>1527337.35</v>
      </c>
      <c r="Z147" s="2429"/>
      <c r="AA147" s="925"/>
    </row>
    <row r="148" s="920" customFormat="true" ht="16.5" hidden="true" customHeight="false" outlineLevel="0" collapsed="false">
      <c r="A148" s="2417"/>
      <c r="B148" s="2417"/>
      <c r="C148" s="2206" t="n">
        <f aca="false">SUBTOTAL(103,$D$144:D148)</f>
        <v>0</v>
      </c>
      <c r="D148" s="2207" t="s">
        <v>2074</v>
      </c>
      <c r="E148" s="2208" t="s">
        <v>2145</v>
      </c>
      <c r="F148" s="2223" t="s">
        <v>2146</v>
      </c>
      <c r="G148" s="2209"/>
      <c r="H148" s="2209"/>
      <c r="I148" s="2209"/>
      <c r="J148" s="2210" t="s">
        <v>2147</v>
      </c>
      <c r="K148" s="2211" t="s">
        <v>2220</v>
      </c>
      <c r="L148" s="2212" t="n">
        <f aca="false">'DG-PV Organic'!K143</f>
        <v>0</v>
      </c>
      <c r="M148" s="2213" t="s">
        <v>966</v>
      </c>
      <c r="N148" s="2213" t="s">
        <v>362</v>
      </c>
      <c r="O148" s="2430" t="n">
        <v>1111.32</v>
      </c>
      <c r="P148" s="2206" t="n">
        <v>1309</v>
      </c>
      <c r="Q148" s="2215" t="n">
        <f aca="false">P148/365</f>
        <v>3.58630136986301</v>
      </c>
      <c r="R148" s="2216" t="n">
        <v>0.093</v>
      </c>
      <c r="S148" s="2217" t="s">
        <v>966</v>
      </c>
      <c r="T148" s="2217" t="s">
        <v>966</v>
      </c>
      <c r="U148" s="2431" t="n">
        <v>244490.4</v>
      </c>
      <c r="V148" s="2432" t="n">
        <v>366735.6</v>
      </c>
      <c r="W148" s="2432" t="n">
        <v>611226</v>
      </c>
      <c r="X148" s="2433"/>
      <c r="Y148" s="2232" t="n">
        <v>1283574.6</v>
      </c>
      <c r="Z148" s="2429"/>
      <c r="AA148" s="925"/>
    </row>
    <row r="149" s="920" customFormat="true" ht="16.5" hidden="true" customHeight="false" outlineLevel="0" collapsed="false">
      <c r="A149" s="2417"/>
      <c r="B149" s="2417"/>
      <c r="C149" s="2206" t="n">
        <f aca="false">SUBTOTAL(103,$D$144:D149)</f>
        <v>0</v>
      </c>
      <c r="D149" s="2207" t="s">
        <v>1061</v>
      </c>
      <c r="E149" s="2208" t="s">
        <v>1062</v>
      </c>
      <c r="F149" s="2220" t="s">
        <v>2221</v>
      </c>
      <c r="G149" s="2209"/>
      <c r="H149" s="2209"/>
      <c r="I149" s="2209"/>
      <c r="J149" s="2210" t="s">
        <v>1064</v>
      </c>
      <c r="K149" s="2211" t="s">
        <v>300</v>
      </c>
      <c r="L149" s="2212" t="n">
        <v>385.73</v>
      </c>
      <c r="M149" s="2213" t="s">
        <v>966</v>
      </c>
      <c r="N149" s="2213" t="s">
        <v>362</v>
      </c>
      <c r="O149" s="2430" t="n">
        <v>275.88</v>
      </c>
      <c r="P149" s="2206" t="n">
        <v>1398</v>
      </c>
      <c r="Q149" s="2215" t="n">
        <v>3.83013698630137</v>
      </c>
      <c r="R149" s="2216" t="s">
        <v>966</v>
      </c>
      <c r="S149" s="2217" t="s">
        <v>966</v>
      </c>
      <c r="T149" s="2217" t="s">
        <v>966</v>
      </c>
      <c r="U149" s="2431" t="n">
        <v>55176</v>
      </c>
      <c r="V149" s="2432" t="n">
        <v>82764</v>
      </c>
      <c r="W149" s="2432" t="n">
        <v>137940</v>
      </c>
      <c r="X149" s="2433"/>
      <c r="Y149" s="2232" t="n">
        <v>289674</v>
      </c>
      <c r="Z149" s="2429"/>
      <c r="AA149" s="925"/>
    </row>
    <row r="150" s="920" customFormat="true" ht="16.5" hidden="true" customHeight="false" outlineLevel="0" collapsed="false">
      <c r="A150" s="2434" t="n">
        <f aca="false">ROUND(SUM(O144:O155),1)</f>
        <v>15416.2</v>
      </c>
      <c r="B150" s="2434"/>
      <c r="C150" s="2206" t="n">
        <f aca="false">SUBTOTAL(103,$D$144:D150)</f>
        <v>0</v>
      </c>
      <c r="D150" s="2207" t="s">
        <v>1066</v>
      </c>
      <c r="E150" s="2208" t="s">
        <v>1067</v>
      </c>
      <c r="F150" s="2220" t="s">
        <v>2222</v>
      </c>
      <c r="G150" s="2209"/>
      <c r="H150" s="2209"/>
      <c r="I150" s="2209"/>
      <c r="J150" s="2210" t="s">
        <v>1069</v>
      </c>
      <c r="K150" s="2211" t="s">
        <v>300</v>
      </c>
      <c r="L150" s="2212" t="n">
        <v>6344.3</v>
      </c>
      <c r="M150" s="2213" t="s">
        <v>966</v>
      </c>
      <c r="N150" s="2213" t="s">
        <v>362</v>
      </c>
      <c r="O150" s="2430" t="n">
        <v>4535.52</v>
      </c>
      <c r="P150" s="2206" t="n">
        <v>1399</v>
      </c>
      <c r="Q150" s="2215" t="n">
        <v>3.83287671232877</v>
      </c>
      <c r="R150" s="2216" t="s">
        <v>966</v>
      </c>
      <c r="S150" s="2217" t="s">
        <v>966</v>
      </c>
      <c r="T150" s="2217" t="s">
        <v>966</v>
      </c>
      <c r="U150" s="2431" t="n">
        <v>907104</v>
      </c>
      <c r="V150" s="2432" t="n">
        <v>1360656</v>
      </c>
      <c r="W150" s="2432" t="n">
        <v>2267760</v>
      </c>
      <c r="X150" s="2433"/>
      <c r="Y150" s="2232" t="n">
        <v>4762296</v>
      </c>
      <c r="Z150" s="2429"/>
      <c r="AA150" s="925"/>
    </row>
    <row r="151" s="920" customFormat="true" ht="16.5" hidden="true" customHeight="false" outlineLevel="0" collapsed="false">
      <c r="A151" s="2434"/>
      <c r="B151" s="2434"/>
      <c r="C151" s="2206" t="n">
        <f aca="false">SUBTOTAL(103,$D$144:D151)</f>
        <v>0</v>
      </c>
      <c r="D151" s="2207" t="s">
        <v>1071</v>
      </c>
      <c r="E151" s="2208" t="s">
        <v>1072</v>
      </c>
      <c r="F151" s="2220" t="s">
        <v>2223</v>
      </c>
      <c r="G151" s="2209"/>
      <c r="H151" s="2209"/>
      <c r="I151" s="2209"/>
      <c r="J151" s="2210" t="s">
        <v>1074</v>
      </c>
      <c r="K151" s="2211" t="s">
        <v>2218</v>
      </c>
      <c r="L151" s="2212" t="n">
        <v>5445</v>
      </c>
      <c r="M151" s="2213" t="s">
        <v>966</v>
      </c>
      <c r="N151" s="2213" t="s">
        <v>362</v>
      </c>
      <c r="O151" s="2430" t="n">
        <v>3818.5</v>
      </c>
      <c r="P151" s="2206" t="n">
        <v>1426</v>
      </c>
      <c r="Q151" s="2215" t="n">
        <v>3.90684931506849</v>
      </c>
      <c r="R151" s="2216" t="s">
        <v>966</v>
      </c>
      <c r="S151" s="2217" t="s">
        <v>966</v>
      </c>
      <c r="T151" s="2217" t="s">
        <v>966</v>
      </c>
      <c r="U151" s="2431" t="n">
        <v>763700</v>
      </c>
      <c r="V151" s="2432" t="n">
        <v>1145550</v>
      </c>
      <c r="W151" s="2432" t="n">
        <v>1909250</v>
      </c>
      <c r="X151" s="2433"/>
      <c r="Y151" s="2232" t="n">
        <v>4009425</v>
      </c>
      <c r="Z151" s="2429"/>
      <c r="AA151" s="925"/>
    </row>
    <row r="152" s="920" customFormat="true" ht="16.5" hidden="true" customHeight="false" outlineLevel="0" collapsed="false">
      <c r="A152" s="2434"/>
      <c r="B152" s="2434"/>
      <c r="C152" s="2206" t="n">
        <f aca="false">SUBTOTAL(103,$D$144:D152)</f>
        <v>0</v>
      </c>
      <c r="D152" s="2207" t="s">
        <v>1076</v>
      </c>
      <c r="E152" s="2208" t="s">
        <v>1077</v>
      </c>
      <c r="F152" s="2220" t="s">
        <v>2224</v>
      </c>
      <c r="G152" s="2209"/>
      <c r="H152" s="2209"/>
      <c r="I152" s="2209"/>
      <c r="J152" s="2210" t="s">
        <v>1079</v>
      </c>
      <c r="K152" s="2211" t="s">
        <v>300</v>
      </c>
      <c r="L152" s="2212" t="n">
        <v>645.89</v>
      </c>
      <c r="M152" s="2213" t="s">
        <v>966</v>
      </c>
      <c r="N152" s="2213" t="s">
        <v>362</v>
      </c>
      <c r="O152" s="2430" t="n">
        <v>453.42</v>
      </c>
      <c r="P152" s="2206" t="n">
        <v>1422</v>
      </c>
      <c r="Q152" s="2215" t="n">
        <v>3.8958904109589</v>
      </c>
      <c r="R152" s="2216" t="s">
        <v>966</v>
      </c>
      <c r="S152" s="2217" t="s">
        <v>966</v>
      </c>
      <c r="T152" s="2217" t="s">
        <v>966</v>
      </c>
      <c r="U152" s="2431" t="n">
        <v>90684</v>
      </c>
      <c r="V152" s="2432" t="n">
        <v>136026</v>
      </c>
      <c r="W152" s="2432" t="n">
        <v>226710</v>
      </c>
      <c r="X152" s="2433"/>
      <c r="Y152" s="2232" t="n">
        <v>476091</v>
      </c>
      <c r="Z152" s="2429"/>
      <c r="AA152" s="925"/>
    </row>
    <row r="153" s="920" customFormat="true" ht="16.5" hidden="true" customHeight="false" outlineLevel="0" collapsed="false">
      <c r="A153" s="2434"/>
      <c r="B153" s="2434"/>
      <c r="C153" s="2206" t="n">
        <f aca="false">SUBTOTAL(103,$D$144:D153)</f>
        <v>0</v>
      </c>
      <c r="D153" s="2207" t="s">
        <v>1381</v>
      </c>
      <c r="E153" s="2208" t="s">
        <v>1382</v>
      </c>
      <c r="F153" s="2220" t="s">
        <v>2225</v>
      </c>
      <c r="G153" s="2209"/>
      <c r="H153" s="2209"/>
      <c r="I153" s="2209"/>
      <c r="J153" s="2210" t="s">
        <v>1384</v>
      </c>
      <c r="K153" s="2211" t="s">
        <v>2218</v>
      </c>
      <c r="L153" s="2212" t="n">
        <v>1311.2</v>
      </c>
      <c r="M153" s="2213" t="s">
        <v>966</v>
      </c>
      <c r="N153" s="2213" t="s">
        <v>362</v>
      </c>
      <c r="O153" s="2430" t="n">
        <v>769.56</v>
      </c>
      <c r="P153" s="2206" t="n">
        <v>1467</v>
      </c>
      <c r="Q153" s="2215" t="n">
        <v>4.01917808219178</v>
      </c>
      <c r="R153" s="2216" t="s">
        <v>966</v>
      </c>
      <c r="S153" s="2217" t="s">
        <v>966</v>
      </c>
      <c r="T153" s="2217" t="s">
        <v>966</v>
      </c>
      <c r="U153" s="2431" t="n">
        <v>153912</v>
      </c>
      <c r="V153" s="2432" t="n">
        <v>230868</v>
      </c>
      <c r="W153" s="2432" t="n">
        <v>384780</v>
      </c>
      <c r="X153" s="2433"/>
      <c r="Y153" s="2232" t="n">
        <v>808038</v>
      </c>
      <c r="Z153" s="2429"/>
      <c r="AA153" s="925"/>
    </row>
    <row r="154" s="920" customFormat="true" ht="16.5" hidden="true" customHeight="false" outlineLevel="0" collapsed="false">
      <c r="A154" s="2434"/>
      <c r="B154" s="2434"/>
      <c r="C154" s="2206" t="n">
        <f aca="false">SUBTOTAL(103,$D$144:D154)</f>
        <v>0</v>
      </c>
      <c r="D154" s="2207" t="s">
        <v>1386</v>
      </c>
      <c r="E154" s="2208" t="s">
        <v>1387</v>
      </c>
      <c r="F154" s="2220" t="s">
        <v>2226</v>
      </c>
      <c r="G154" s="2209"/>
      <c r="H154" s="2209"/>
      <c r="I154" s="2209"/>
      <c r="J154" s="2210" t="s">
        <v>1389</v>
      </c>
      <c r="K154" s="2211" t="s">
        <v>300</v>
      </c>
      <c r="L154" s="2212" t="n">
        <v>1071.7</v>
      </c>
      <c r="M154" s="2213" t="s">
        <v>966</v>
      </c>
      <c r="N154" s="2213" t="s">
        <v>362</v>
      </c>
      <c r="O154" s="2430" t="n">
        <v>773.5</v>
      </c>
      <c r="P154" s="2206" t="n">
        <v>1386</v>
      </c>
      <c r="Q154" s="2215" t="n">
        <v>3.7972602739726</v>
      </c>
      <c r="R154" s="2216" t="s">
        <v>966</v>
      </c>
      <c r="S154" s="2217" t="s">
        <v>966</v>
      </c>
      <c r="T154" s="2217" t="s">
        <v>966</v>
      </c>
      <c r="U154" s="2431" t="n">
        <v>154700</v>
      </c>
      <c r="V154" s="2432" t="n">
        <v>232050</v>
      </c>
      <c r="W154" s="2432" t="n">
        <v>386750</v>
      </c>
      <c r="X154" s="2433"/>
      <c r="Y154" s="2232" t="n">
        <v>812175</v>
      </c>
      <c r="Z154" s="2429"/>
      <c r="AA154" s="925"/>
    </row>
    <row r="155" s="920" customFormat="true" ht="16.5" hidden="true" customHeight="false" outlineLevel="0" collapsed="false">
      <c r="A155" s="2434"/>
      <c r="B155" s="2434"/>
      <c r="C155" s="2435" t="n">
        <f aca="false">SUBTOTAL(103,$D$144:D155)</f>
        <v>0</v>
      </c>
      <c r="D155" s="2436" t="s">
        <v>1391</v>
      </c>
      <c r="E155" s="2437" t="s">
        <v>1392</v>
      </c>
      <c r="F155" s="2438" t="s">
        <v>2227</v>
      </c>
      <c r="G155" s="2438"/>
      <c r="H155" s="2438"/>
      <c r="I155" s="2438"/>
      <c r="J155" s="2439" t="s">
        <v>1394</v>
      </c>
      <c r="K155" s="2440" t="s">
        <v>864</v>
      </c>
      <c r="L155" s="2441" t="n">
        <v>533270.6</v>
      </c>
      <c r="M155" s="2442" t="s">
        <v>966</v>
      </c>
      <c r="N155" s="2442" t="s">
        <v>362</v>
      </c>
      <c r="O155" s="2442" t="n">
        <v>414.12</v>
      </c>
      <c r="P155" s="2443" t="s">
        <v>373</v>
      </c>
      <c r="Q155" s="2444" t="s">
        <v>373</v>
      </c>
      <c r="R155" s="2445" t="s">
        <v>966</v>
      </c>
      <c r="S155" s="2446" t="s">
        <v>966</v>
      </c>
      <c r="T155" s="2446" t="s">
        <v>966</v>
      </c>
      <c r="U155" s="2447" t="n">
        <v>82824</v>
      </c>
      <c r="V155" s="2448" t="n">
        <v>124236</v>
      </c>
      <c r="W155" s="2448" t="n">
        <v>207060</v>
      </c>
      <c r="X155" s="2449"/>
      <c r="Y155" s="2450" t="n">
        <v>434826</v>
      </c>
      <c r="Z155" s="2429"/>
    </row>
    <row r="156" s="920" customFormat="true" ht="16.5" hidden="true" customHeight="false" outlineLevel="0" collapsed="false">
      <c r="B156" s="914"/>
      <c r="C156" s="912"/>
      <c r="D156" s="1275"/>
      <c r="E156" s="914"/>
      <c r="F156" s="915"/>
      <c r="G156" s="915"/>
      <c r="H156" s="915"/>
      <c r="I156" s="915"/>
      <c r="J156" s="914"/>
      <c r="K156" s="922"/>
      <c r="L156" s="2162"/>
      <c r="M156" s="912"/>
      <c r="N156" s="912"/>
      <c r="O156" s="2162"/>
      <c r="P156" s="917"/>
      <c r="Q156" s="939"/>
      <c r="R156" s="1269"/>
      <c r="U156" s="925"/>
      <c r="V156" s="925"/>
      <c r="W156" s="925"/>
      <c r="X156" s="925"/>
      <c r="Y156" s="924"/>
      <c r="Z156" s="925"/>
    </row>
    <row r="157" s="920" customFormat="true" ht="16.5" hidden="false" customHeight="false" outlineLevel="0" collapsed="false">
      <c r="B157" s="914"/>
      <c r="C157" s="912"/>
      <c r="D157" s="1275"/>
      <c r="E157" s="914"/>
      <c r="F157" s="915"/>
      <c r="G157" s="915"/>
      <c r="H157" s="915"/>
      <c r="I157" s="915"/>
      <c r="J157" s="914"/>
      <c r="K157" s="922"/>
      <c r="L157" s="2162"/>
      <c r="M157" s="912"/>
      <c r="N157" s="912"/>
      <c r="O157" s="2162"/>
      <c r="P157" s="917"/>
      <c r="Q157" s="939"/>
      <c r="R157" s="912"/>
      <c r="U157" s="925"/>
      <c r="V157" s="925"/>
      <c r="W157" s="925"/>
      <c r="X157" s="925"/>
      <c r="Y157" s="924"/>
      <c r="Z157" s="925"/>
    </row>
    <row r="158" s="920" customFormat="true" ht="16.5" hidden="false" customHeight="false" outlineLevel="0" collapsed="false">
      <c r="B158" s="914"/>
      <c r="C158" s="912"/>
      <c r="D158" s="1275"/>
      <c r="E158" s="914"/>
      <c r="F158" s="915"/>
      <c r="G158" s="915"/>
      <c r="H158" s="915"/>
      <c r="I158" s="915"/>
      <c r="J158" s="914"/>
      <c r="K158" s="922"/>
      <c r="L158" s="2162"/>
      <c r="M158" s="912"/>
      <c r="N158" s="912"/>
      <c r="O158" s="2162"/>
      <c r="P158" s="917"/>
      <c r="Q158" s="939"/>
      <c r="R158" s="912"/>
      <c r="U158" s="925"/>
      <c r="V158" s="925"/>
      <c r="W158" s="925"/>
      <c r="X158" s="925"/>
      <c r="Y158" s="924"/>
      <c r="Z158" s="925"/>
    </row>
    <row r="159" s="920" customFormat="true" ht="16.5" hidden="false" customHeight="false" outlineLevel="0" collapsed="false">
      <c r="B159" s="914"/>
      <c r="C159" s="912"/>
      <c r="D159" s="1275"/>
      <c r="E159" s="914"/>
      <c r="F159" s="915"/>
      <c r="G159" s="915"/>
      <c r="H159" s="915"/>
      <c r="I159" s="915"/>
      <c r="J159" s="914"/>
      <c r="K159" s="922"/>
      <c r="L159" s="2162"/>
      <c r="M159" s="912"/>
      <c r="N159" s="912"/>
      <c r="O159" s="2162"/>
      <c r="P159" s="917"/>
      <c r="Q159" s="939"/>
      <c r="R159" s="912"/>
      <c r="U159" s="925"/>
      <c r="V159" s="925"/>
      <c r="W159" s="925"/>
      <c r="X159" s="925"/>
      <c r="Y159" s="924"/>
      <c r="Z159" s="925"/>
    </row>
    <row r="160" s="920" customFormat="true" ht="16.5" hidden="false" customHeight="false" outlineLevel="0" collapsed="false">
      <c r="B160" s="914"/>
      <c r="C160" s="912"/>
      <c r="D160" s="1275"/>
      <c r="E160" s="914"/>
      <c r="F160" s="915"/>
      <c r="G160" s="915"/>
      <c r="H160" s="915"/>
      <c r="I160" s="915"/>
      <c r="J160" s="914"/>
      <c r="K160" s="922"/>
      <c r="L160" s="2162"/>
      <c r="M160" s="912"/>
      <c r="N160" s="912"/>
      <c r="O160" s="2162"/>
      <c r="P160" s="917"/>
      <c r="Q160" s="939"/>
      <c r="R160" s="912"/>
      <c r="U160" s="925"/>
      <c r="V160" s="925"/>
      <c r="W160" s="925"/>
      <c r="X160" s="925"/>
      <c r="Y160" s="924"/>
      <c r="Z160" s="925"/>
    </row>
    <row r="161" s="920" customFormat="true" ht="16.5" hidden="false" customHeight="false" outlineLevel="0" collapsed="false">
      <c r="B161" s="914"/>
      <c r="C161" s="912"/>
      <c r="D161" s="1275"/>
      <c r="E161" s="914"/>
      <c r="F161" s="915"/>
      <c r="G161" s="915"/>
      <c r="H161" s="915"/>
      <c r="I161" s="915"/>
      <c r="J161" s="914"/>
      <c r="K161" s="922"/>
      <c r="L161" s="2162"/>
      <c r="M161" s="912"/>
      <c r="N161" s="912"/>
      <c r="O161" s="2162"/>
      <c r="P161" s="917"/>
      <c r="Q161" s="939"/>
      <c r="R161" s="912"/>
      <c r="U161" s="925"/>
      <c r="V161" s="925"/>
      <c r="W161" s="925"/>
      <c r="X161" s="925"/>
      <c r="Y161" s="924"/>
      <c r="Z161" s="925"/>
    </row>
    <row r="162" s="920" customFormat="true" ht="16.5" hidden="false" customHeight="false" outlineLevel="0" collapsed="false">
      <c r="B162" s="914"/>
      <c r="C162" s="912"/>
      <c r="D162" s="1275"/>
      <c r="E162" s="914"/>
      <c r="F162" s="915"/>
      <c r="G162" s="915"/>
      <c r="H162" s="915"/>
      <c r="I162" s="915"/>
      <c r="J162" s="914"/>
      <c r="K162" s="922"/>
      <c r="L162" s="2162"/>
      <c r="M162" s="912"/>
      <c r="N162" s="912"/>
      <c r="O162" s="2162"/>
      <c r="P162" s="917"/>
      <c r="Q162" s="939"/>
      <c r="R162" s="912"/>
      <c r="U162" s="925"/>
      <c r="V162" s="925"/>
      <c r="W162" s="925"/>
      <c r="X162" s="925"/>
      <c r="Y162" s="924"/>
      <c r="Z162" s="925"/>
    </row>
    <row r="163" s="920" customFormat="true" ht="16.5" hidden="false" customHeight="false" outlineLevel="0" collapsed="false">
      <c r="B163" s="914"/>
      <c r="C163" s="912"/>
      <c r="D163" s="1275"/>
      <c r="E163" s="914"/>
      <c r="F163" s="915"/>
      <c r="G163" s="915"/>
      <c r="H163" s="915"/>
      <c r="I163" s="915"/>
      <c r="J163" s="914"/>
      <c r="K163" s="922"/>
      <c r="L163" s="2162"/>
      <c r="M163" s="912"/>
      <c r="N163" s="912"/>
      <c r="O163" s="2162"/>
      <c r="P163" s="917"/>
      <c r="Q163" s="939"/>
      <c r="R163" s="912"/>
      <c r="U163" s="925"/>
      <c r="V163" s="925"/>
      <c r="W163" s="925"/>
      <c r="X163" s="925"/>
      <c r="Y163" s="924"/>
      <c r="Z163" s="925"/>
    </row>
    <row r="164" s="920" customFormat="true" ht="16.5" hidden="false" customHeight="false" outlineLevel="0" collapsed="false">
      <c r="B164" s="914"/>
      <c r="C164" s="912"/>
      <c r="D164" s="1275"/>
      <c r="E164" s="914"/>
      <c r="F164" s="915"/>
      <c r="G164" s="915"/>
      <c r="H164" s="915"/>
      <c r="I164" s="915"/>
      <c r="J164" s="914"/>
      <c r="K164" s="922"/>
      <c r="L164" s="2162"/>
      <c r="M164" s="912"/>
      <c r="N164" s="912"/>
      <c r="O164" s="2162"/>
      <c r="P164" s="917"/>
      <c r="Q164" s="939"/>
      <c r="R164" s="912"/>
      <c r="U164" s="925"/>
      <c r="V164" s="925"/>
      <c r="W164" s="925"/>
      <c r="X164" s="925"/>
      <c r="Y164" s="924"/>
      <c r="Z164" s="925"/>
    </row>
    <row r="165" s="920" customFormat="true" ht="16.5" hidden="false" customHeight="false" outlineLevel="0" collapsed="false">
      <c r="B165" s="914"/>
      <c r="C165" s="912"/>
      <c r="D165" s="1275"/>
      <c r="E165" s="914"/>
      <c r="F165" s="915"/>
      <c r="G165" s="915"/>
      <c r="H165" s="915"/>
      <c r="I165" s="915"/>
      <c r="J165" s="914"/>
      <c r="K165" s="922"/>
      <c r="L165" s="2162"/>
      <c r="M165" s="912"/>
      <c r="N165" s="912"/>
      <c r="O165" s="2162"/>
      <c r="P165" s="917"/>
      <c r="Q165" s="939"/>
      <c r="R165" s="912"/>
      <c r="U165" s="925"/>
      <c r="V165" s="925"/>
      <c r="W165" s="925"/>
      <c r="X165" s="925"/>
      <c r="Y165" s="924"/>
      <c r="Z165" s="925"/>
    </row>
    <row r="166" s="920" customFormat="true" ht="16.5" hidden="false" customHeight="false" outlineLevel="0" collapsed="false">
      <c r="B166" s="914"/>
      <c r="C166" s="912"/>
      <c r="D166" s="1275"/>
      <c r="E166" s="914"/>
      <c r="F166" s="915"/>
      <c r="G166" s="915"/>
      <c r="H166" s="915"/>
      <c r="I166" s="915"/>
      <c r="J166" s="914"/>
      <c r="K166" s="922"/>
      <c r="L166" s="2162"/>
      <c r="M166" s="912"/>
      <c r="N166" s="912"/>
      <c r="O166" s="2162"/>
      <c r="P166" s="917"/>
      <c r="Q166" s="939"/>
      <c r="R166" s="912"/>
      <c r="U166" s="925"/>
      <c r="V166" s="925"/>
      <c r="W166" s="925"/>
      <c r="X166" s="925"/>
      <c r="Y166" s="924"/>
      <c r="Z166" s="925"/>
    </row>
    <row r="167" s="920" customFormat="true" ht="16.5" hidden="false" customHeight="false" outlineLevel="0" collapsed="false">
      <c r="B167" s="914"/>
      <c r="C167" s="912"/>
      <c r="D167" s="1275"/>
      <c r="E167" s="914"/>
      <c r="F167" s="915"/>
      <c r="G167" s="915"/>
      <c r="H167" s="915"/>
      <c r="I167" s="915"/>
      <c r="J167" s="914"/>
      <c r="K167" s="922"/>
      <c r="L167" s="2162"/>
      <c r="M167" s="912"/>
      <c r="N167" s="912"/>
      <c r="O167" s="2162"/>
      <c r="P167" s="917"/>
      <c r="Q167" s="939"/>
      <c r="R167" s="912"/>
      <c r="U167" s="925"/>
      <c r="V167" s="925"/>
      <c r="W167" s="925"/>
      <c r="X167" s="925"/>
      <c r="Y167" s="924"/>
      <c r="Z167" s="925"/>
    </row>
    <row r="168" s="920" customFormat="true" ht="16.5" hidden="false" customHeight="false" outlineLevel="0" collapsed="false">
      <c r="B168" s="914"/>
      <c r="C168" s="912"/>
      <c r="D168" s="1275"/>
      <c r="E168" s="914"/>
      <c r="F168" s="915"/>
      <c r="G168" s="915"/>
      <c r="H168" s="915"/>
      <c r="I168" s="915"/>
      <c r="J168" s="914"/>
      <c r="K168" s="922"/>
      <c r="L168" s="2162"/>
      <c r="M168" s="912"/>
      <c r="N168" s="912"/>
      <c r="O168" s="2162"/>
      <c r="P168" s="917"/>
      <c r="Q168" s="939"/>
      <c r="R168" s="912"/>
      <c r="U168" s="925"/>
      <c r="V168" s="925"/>
      <c r="W168" s="925"/>
      <c r="X168" s="925"/>
      <c r="Y168" s="924"/>
      <c r="Z168" s="925"/>
    </row>
    <row r="169" s="920" customFormat="true" ht="16.5" hidden="false" customHeight="false" outlineLevel="0" collapsed="false">
      <c r="B169" s="914"/>
      <c r="C169" s="912"/>
      <c r="D169" s="1275"/>
      <c r="E169" s="914"/>
      <c r="F169" s="915"/>
      <c r="G169" s="915"/>
      <c r="H169" s="915"/>
      <c r="I169" s="915"/>
      <c r="J169" s="914"/>
      <c r="K169" s="922"/>
      <c r="L169" s="2162"/>
      <c r="M169" s="912"/>
      <c r="N169" s="912"/>
      <c r="O169" s="2162"/>
      <c r="P169" s="917"/>
      <c r="Q169" s="939"/>
      <c r="R169" s="912"/>
      <c r="U169" s="925"/>
      <c r="V169" s="925"/>
      <c r="W169" s="925"/>
      <c r="X169" s="925"/>
      <c r="Y169" s="924"/>
      <c r="Z169" s="925"/>
    </row>
    <row r="170" s="920" customFormat="true" ht="16.5" hidden="false" customHeight="false" outlineLevel="0" collapsed="false">
      <c r="B170" s="914"/>
      <c r="C170" s="912"/>
      <c r="D170" s="1275"/>
      <c r="E170" s="914"/>
      <c r="F170" s="915"/>
      <c r="G170" s="915"/>
      <c r="H170" s="915"/>
      <c r="I170" s="915"/>
      <c r="J170" s="914"/>
      <c r="K170" s="922"/>
      <c r="L170" s="2162"/>
      <c r="M170" s="912"/>
      <c r="N170" s="912"/>
      <c r="O170" s="2162"/>
      <c r="P170" s="917"/>
      <c r="Q170" s="939"/>
      <c r="R170" s="912"/>
      <c r="U170" s="925"/>
      <c r="V170" s="925"/>
      <c r="W170" s="925"/>
      <c r="X170" s="925"/>
      <c r="Y170" s="924"/>
      <c r="Z170" s="925"/>
    </row>
    <row r="171" s="920" customFormat="true" ht="16.5" hidden="false" customHeight="false" outlineLevel="0" collapsed="false">
      <c r="B171" s="914"/>
      <c r="C171" s="912"/>
      <c r="D171" s="1275"/>
      <c r="E171" s="914"/>
      <c r="F171" s="915"/>
      <c r="G171" s="915"/>
      <c r="H171" s="915"/>
      <c r="I171" s="915"/>
      <c r="J171" s="914"/>
      <c r="K171" s="922"/>
      <c r="L171" s="2162"/>
      <c r="M171" s="912"/>
      <c r="N171" s="912"/>
      <c r="O171" s="2162"/>
      <c r="P171" s="917"/>
      <c r="Q171" s="939"/>
      <c r="R171" s="912"/>
      <c r="U171" s="925"/>
      <c r="V171" s="925"/>
      <c r="W171" s="925"/>
      <c r="X171" s="925"/>
      <c r="Y171" s="924"/>
      <c r="Z171" s="925"/>
    </row>
    <row r="172" s="920" customFormat="true" ht="16.5" hidden="false" customHeight="false" outlineLevel="0" collapsed="false">
      <c r="B172" s="914"/>
      <c r="C172" s="912"/>
      <c r="D172" s="913"/>
      <c r="E172" s="914"/>
      <c r="F172" s="915"/>
      <c r="G172" s="915"/>
      <c r="H172" s="915"/>
      <c r="I172" s="915"/>
      <c r="J172" s="914"/>
      <c r="K172" s="922"/>
      <c r="L172" s="2162"/>
      <c r="M172" s="912"/>
      <c r="N172" s="912"/>
      <c r="O172" s="2162"/>
      <c r="P172" s="917"/>
      <c r="Q172" s="939"/>
      <c r="R172" s="912"/>
      <c r="U172" s="925"/>
      <c r="V172" s="925"/>
      <c r="W172" s="925"/>
      <c r="X172" s="925"/>
      <c r="Y172" s="924"/>
      <c r="Z172" s="925"/>
    </row>
    <row r="173" s="920" customFormat="true" ht="16.5" hidden="false" customHeight="false" outlineLevel="0" collapsed="false">
      <c r="B173" s="914"/>
      <c r="C173" s="912"/>
      <c r="D173" s="913"/>
      <c r="E173" s="914"/>
      <c r="F173" s="915"/>
      <c r="G173" s="915"/>
      <c r="H173" s="915"/>
      <c r="I173" s="915"/>
      <c r="J173" s="914"/>
      <c r="K173" s="922"/>
      <c r="L173" s="2162"/>
      <c r="M173" s="912"/>
      <c r="N173" s="912"/>
      <c r="O173" s="2162"/>
      <c r="P173" s="917"/>
      <c r="Q173" s="939"/>
      <c r="R173" s="912"/>
      <c r="U173" s="925"/>
      <c r="V173" s="925"/>
      <c r="W173" s="925"/>
      <c r="X173" s="925"/>
      <c r="Y173" s="924"/>
      <c r="Z173" s="925"/>
    </row>
    <row r="174" s="920" customFormat="true" ht="16.5" hidden="false" customHeight="false" outlineLevel="0" collapsed="false">
      <c r="B174" s="914"/>
      <c r="C174" s="912"/>
      <c r="D174" s="913"/>
      <c r="E174" s="914"/>
      <c r="F174" s="915"/>
      <c r="G174" s="915"/>
      <c r="H174" s="915"/>
      <c r="I174" s="915"/>
      <c r="J174" s="914"/>
      <c r="K174" s="922"/>
      <c r="L174" s="2162"/>
      <c r="M174" s="912"/>
      <c r="N174" s="912"/>
      <c r="O174" s="2162"/>
      <c r="P174" s="917"/>
      <c r="Q174" s="939"/>
      <c r="R174" s="912"/>
      <c r="U174" s="925"/>
      <c r="V174" s="925"/>
      <c r="W174" s="925"/>
      <c r="X174" s="925"/>
      <c r="Y174" s="924"/>
      <c r="Z174" s="925"/>
    </row>
    <row r="175" s="920" customFormat="true" ht="16.5" hidden="false" customHeight="false" outlineLevel="0" collapsed="false">
      <c r="B175" s="914"/>
      <c r="C175" s="912"/>
      <c r="D175" s="913"/>
      <c r="E175" s="914"/>
      <c r="F175" s="915"/>
      <c r="G175" s="915"/>
      <c r="H175" s="915"/>
      <c r="I175" s="915"/>
      <c r="J175" s="914"/>
      <c r="K175" s="922"/>
      <c r="L175" s="2162"/>
      <c r="M175" s="912"/>
      <c r="N175" s="912"/>
      <c r="O175" s="2162"/>
      <c r="P175" s="917"/>
      <c r="Q175" s="939"/>
      <c r="R175" s="912"/>
      <c r="U175" s="925"/>
      <c r="V175" s="925"/>
      <c r="W175" s="925"/>
      <c r="X175" s="925"/>
      <c r="Y175" s="924"/>
      <c r="Z175" s="925"/>
    </row>
    <row r="176" s="920" customFormat="true" ht="16.5" hidden="false" customHeight="false" outlineLevel="0" collapsed="false">
      <c r="B176" s="914"/>
      <c r="C176" s="912"/>
      <c r="D176" s="913"/>
      <c r="E176" s="914"/>
      <c r="F176" s="915"/>
      <c r="G176" s="915"/>
      <c r="H176" s="915"/>
      <c r="I176" s="915"/>
      <c r="J176" s="914"/>
      <c r="K176" s="922"/>
      <c r="L176" s="2162"/>
      <c r="M176" s="912"/>
      <c r="N176" s="912"/>
      <c r="O176" s="2162"/>
      <c r="P176" s="917"/>
      <c r="Q176" s="939"/>
      <c r="R176" s="912"/>
      <c r="U176" s="925"/>
      <c r="V176" s="925"/>
      <c r="W176" s="925"/>
      <c r="X176" s="925"/>
      <c r="Y176" s="924"/>
      <c r="Z176" s="925"/>
    </row>
    <row r="177" s="920" customFormat="true" ht="16.5" hidden="false" customHeight="false" outlineLevel="0" collapsed="false">
      <c r="B177" s="914"/>
      <c r="C177" s="912"/>
      <c r="D177" s="913"/>
      <c r="E177" s="914"/>
      <c r="F177" s="915"/>
      <c r="G177" s="915"/>
      <c r="H177" s="915"/>
      <c r="I177" s="915"/>
      <c r="J177" s="914"/>
      <c r="K177" s="922"/>
      <c r="L177" s="2162"/>
      <c r="M177" s="912"/>
      <c r="N177" s="912"/>
      <c r="O177" s="2162"/>
      <c r="P177" s="917"/>
      <c r="Q177" s="939"/>
      <c r="R177" s="912"/>
      <c r="U177" s="925"/>
      <c r="V177" s="925"/>
      <c r="W177" s="925"/>
      <c r="X177" s="925"/>
      <c r="Y177" s="924"/>
      <c r="Z177" s="925"/>
    </row>
    <row r="178" s="920" customFormat="true" ht="16.5" hidden="false" customHeight="false" outlineLevel="0" collapsed="false">
      <c r="B178" s="914"/>
      <c r="C178" s="912"/>
      <c r="D178" s="913"/>
      <c r="E178" s="914"/>
      <c r="F178" s="915"/>
      <c r="G178" s="915"/>
      <c r="H178" s="915"/>
      <c r="I178" s="915"/>
      <c r="J178" s="914"/>
      <c r="K178" s="922"/>
      <c r="L178" s="2162"/>
      <c r="M178" s="912"/>
      <c r="N178" s="912"/>
      <c r="O178" s="2162"/>
      <c r="P178" s="917"/>
      <c r="Q178" s="939"/>
      <c r="R178" s="912"/>
      <c r="U178" s="925"/>
      <c r="V178" s="925"/>
      <c r="W178" s="925"/>
      <c r="X178" s="925"/>
      <c r="Y178" s="924"/>
      <c r="Z178" s="925"/>
    </row>
    <row r="179" s="920" customFormat="true" ht="16.5" hidden="false" customHeight="false" outlineLevel="0" collapsed="false">
      <c r="B179" s="914"/>
      <c r="C179" s="912"/>
      <c r="D179" s="913"/>
      <c r="E179" s="914"/>
      <c r="F179" s="915"/>
      <c r="G179" s="915"/>
      <c r="H179" s="915"/>
      <c r="I179" s="915"/>
      <c r="J179" s="914"/>
      <c r="K179" s="922"/>
      <c r="L179" s="2162"/>
      <c r="M179" s="912"/>
      <c r="N179" s="912"/>
      <c r="O179" s="2162"/>
      <c r="P179" s="917"/>
      <c r="Q179" s="939"/>
      <c r="R179" s="912"/>
      <c r="U179" s="925"/>
      <c r="V179" s="925"/>
      <c r="W179" s="925"/>
      <c r="X179" s="925"/>
      <c r="Y179" s="924"/>
      <c r="Z179" s="925"/>
    </row>
    <row r="180" s="920" customFormat="true" ht="16.5" hidden="false" customHeight="false" outlineLevel="0" collapsed="false">
      <c r="B180" s="914"/>
      <c r="C180" s="912"/>
      <c r="D180" s="913"/>
      <c r="E180" s="914"/>
      <c r="F180" s="915"/>
      <c r="G180" s="915"/>
      <c r="H180" s="915"/>
      <c r="I180" s="915"/>
      <c r="J180" s="914"/>
      <c r="K180" s="922"/>
      <c r="L180" s="2162"/>
      <c r="M180" s="912"/>
      <c r="N180" s="912"/>
      <c r="O180" s="2162"/>
      <c r="P180" s="917"/>
      <c r="Q180" s="939"/>
      <c r="R180" s="912"/>
      <c r="U180" s="925"/>
      <c r="V180" s="925"/>
      <c r="W180" s="925"/>
      <c r="X180" s="925"/>
      <c r="Y180" s="924"/>
      <c r="Z180" s="925"/>
    </row>
    <row r="181" s="920" customFormat="true" ht="16.5" hidden="false" customHeight="false" outlineLevel="0" collapsed="false">
      <c r="B181" s="914"/>
      <c r="C181" s="912"/>
      <c r="D181" s="913"/>
      <c r="E181" s="914"/>
      <c r="F181" s="915"/>
      <c r="G181" s="915"/>
      <c r="H181" s="915"/>
      <c r="I181" s="915"/>
      <c r="J181" s="914"/>
      <c r="K181" s="922"/>
      <c r="L181" s="2162"/>
      <c r="M181" s="912"/>
      <c r="N181" s="912"/>
      <c r="O181" s="2162"/>
      <c r="P181" s="917"/>
      <c r="Q181" s="939"/>
      <c r="R181" s="912"/>
      <c r="U181" s="925"/>
      <c r="V181" s="925"/>
      <c r="W181" s="925"/>
      <c r="X181" s="925"/>
      <c r="Y181" s="924"/>
      <c r="Z181" s="925"/>
    </row>
    <row r="182" s="920" customFormat="true" ht="16.5" hidden="false" customHeight="false" outlineLevel="0" collapsed="false">
      <c r="B182" s="914"/>
      <c r="C182" s="912"/>
      <c r="D182" s="913"/>
      <c r="E182" s="914"/>
      <c r="F182" s="915"/>
      <c r="G182" s="915"/>
      <c r="H182" s="915"/>
      <c r="I182" s="915"/>
      <c r="J182" s="914"/>
      <c r="K182" s="922"/>
      <c r="L182" s="2162"/>
      <c r="M182" s="912"/>
      <c r="N182" s="912"/>
      <c r="O182" s="2162"/>
      <c r="P182" s="917"/>
      <c r="Q182" s="939"/>
      <c r="R182" s="912"/>
      <c r="U182" s="925"/>
      <c r="V182" s="925"/>
      <c r="W182" s="925"/>
      <c r="X182" s="925"/>
      <c r="Y182" s="924"/>
      <c r="Z182" s="925"/>
    </row>
    <row r="183" s="920" customFormat="true" ht="16.5" hidden="false" customHeight="false" outlineLevel="0" collapsed="false">
      <c r="B183" s="914"/>
      <c r="C183" s="912"/>
      <c r="D183" s="913"/>
      <c r="E183" s="914"/>
      <c r="F183" s="915"/>
      <c r="G183" s="915"/>
      <c r="H183" s="915"/>
      <c r="I183" s="915"/>
      <c r="J183" s="914"/>
      <c r="K183" s="922"/>
      <c r="L183" s="2162"/>
      <c r="M183" s="912"/>
      <c r="N183" s="912"/>
      <c r="O183" s="2162"/>
      <c r="P183" s="917"/>
      <c r="Q183" s="939"/>
      <c r="R183" s="912"/>
      <c r="U183" s="925"/>
      <c r="V183" s="925"/>
      <c r="W183" s="925"/>
      <c r="X183" s="925"/>
      <c r="Y183" s="924"/>
      <c r="Z183" s="925"/>
    </row>
    <row r="184" s="920" customFormat="true" ht="16.5" hidden="false" customHeight="false" outlineLevel="0" collapsed="false">
      <c r="B184" s="914"/>
      <c r="C184" s="912"/>
      <c r="D184" s="913"/>
      <c r="E184" s="914"/>
      <c r="F184" s="915"/>
      <c r="G184" s="915"/>
      <c r="H184" s="915"/>
      <c r="I184" s="915"/>
      <c r="J184" s="914"/>
      <c r="K184" s="922"/>
      <c r="L184" s="2162"/>
      <c r="M184" s="912"/>
      <c r="N184" s="912"/>
      <c r="O184" s="2162"/>
      <c r="P184" s="917"/>
      <c r="Q184" s="939"/>
      <c r="R184" s="912"/>
      <c r="U184" s="925"/>
      <c r="V184" s="925"/>
      <c r="W184" s="925"/>
      <c r="X184" s="925"/>
      <c r="Y184" s="924"/>
      <c r="Z184" s="925"/>
    </row>
    <row r="185" s="920" customFormat="true" ht="16.5" hidden="false" customHeight="false" outlineLevel="0" collapsed="false">
      <c r="B185" s="914"/>
      <c r="C185" s="912"/>
      <c r="D185" s="913"/>
      <c r="E185" s="914"/>
      <c r="F185" s="915"/>
      <c r="G185" s="915"/>
      <c r="H185" s="915"/>
      <c r="I185" s="915"/>
      <c r="J185" s="914"/>
      <c r="K185" s="922"/>
      <c r="L185" s="2162"/>
      <c r="M185" s="912"/>
      <c r="N185" s="912"/>
      <c r="O185" s="2162"/>
      <c r="P185" s="917"/>
      <c r="Q185" s="939"/>
      <c r="R185" s="912"/>
      <c r="U185" s="925"/>
      <c r="V185" s="925"/>
      <c r="W185" s="925"/>
      <c r="X185" s="925"/>
      <c r="Y185" s="924"/>
      <c r="Z185" s="925"/>
    </row>
    <row r="186" s="920" customFormat="true" ht="16.5" hidden="false" customHeight="false" outlineLevel="0" collapsed="false">
      <c r="B186" s="914"/>
      <c r="C186" s="912"/>
      <c r="D186" s="913"/>
      <c r="E186" s="914"/>
      <c r="F186" s="915"/>
      <c r="G186" s="915"/>
      <c r="H186" s="915"/>
      <c r="I186" s="915"/>
      <c r="J186" s="914"/>
      <c r="K186" s="922"/>
      <c r="L186" s="2162"/>
      <c r="M186" s="912"/>
      <c r="N186" s="912"/>
      <c r="O186" s="2162"/>
      <c r="P186" s="917"/>
      <c r="Q186" s="939"/>
      <c r="R186" s="912"/>
      <c r="U186" s="925"/>
      <c r="V186" s="925"/>
      <c r="W186" s="925"/>
      <c r="X186" s="925"/>
      <c r="Y186" s="924"/>
      <c r="Z186" s="925"/>
    </row>
    <row r="187" s="920" customFormat="true" ht="16.5" hidden="false" customHeight="false" outlineLevel="0" collapsed="false">
      <c r="B187" s="914"/>
      <c r="C187" s="912"/>
      <c r="D187" s="913"/>
      <c r="E187" s="914"/>
      <c r="F187" s="915"/>
      <c r="G187" s="915"/>
      <c r="H187" s="915"/>
      <c r="I187" s="915"/>
      <c r="J187" s="914"/>
      <c r="K187" s="922"/>
      <c r="L187" s="2162"/>
      <c r="M187" s="912"/>
      <c r="N187" s="912"/>
      <c r="O187" s="2162"/>
      <c r="P187" s="917"/>
      <c r="Q187" s="939"/>
      <c r="R187" s="912"/>
      <c r="U187" s="925"/>
      <c r="V187" s="925"/>
      <c r="W187" s="925"/>
      <c r="X187" s="925"/>
      <c r="Y187" s="924"/>
      <c r="Z187" s="925"/>
    </row>
    <row r="188" s="920" customFormat="true" ht="16.5" hidden="false" customHeight="false" outlineLevel="0" collapsed="false">
      <c r="B188" s="914"/>
      <c r="C188" s="912"/>
      <c r="D188" s="913"/>
      <c r="E188" s="914"/>
      <c r="F188" s="915"/>
      <c r="G188" s="915"/>
      <c r="H188" s="915"/>
      <c r="I188" s="915"/>
      <c r="J188" s="914"/>
      <c r="K188" s="922"/>
      <c r="L188" s="2162"/>
      <c r="M188" s="912"/>
      <c r="N188" s="912"/>
      <c r="O188" s="2162"/>
      <c r="P188" s="917"/>
      <c r="Q188" s="939"/>
      <c r="R188" s="912"/>
      <c r="U188" s="925"/>
      <c r="V188" s="925"/>
      <c r="W188" s="925"/>
      <c r="X188" s="925"/>
      <c r="Y188" s="924"/>
      <c r="Z188" s="925"/>
    </row>
    <row r="189" s="920" customFormat="true" ht="16.5" hidden="false" customHeight="false" outlineLevel="0" collapsed="false">
      <c r="B189" s="914"/>
      <c r="C189" s="912"/>
      <c r="D189" s="913"/>
      <c r="E189" s="914"/>
      <c r="F189" s="915"/>
      <c r="G189" s="915"/>
      <c r="H189" s="915"/>
      <c r="I189" s="915"/>
      <c r="J189" s="914"/>
      <c r="K189" s="922"/>
      <c r="L189" s="2162"/>
      <c r="M189" s="912"/>
      <c r="N189" s="912"/>
      <c r="O189" s="2162"/>
      <c r="P189" s="917"/>
      <c r="Q189" s="939"/>
      <c r="R189" s="912"/>
      <c r="U189" s="925"/>
      <c r="V189" s="925"/>
      <c r="W189" s="925"/>
      <c r="X189" s="925"/>
      <c r="Y189" s="924"/>
      <c r="Z189" s="925"/>
    </row>
    <row r="190" s="920" customFormat="true" ht="16.5" hidden="false" customHeight="false" outlineLevel="0" collapsed="false">
      <c r="B190" s="914"/>
      <c r="C190" s="912"/>
      <c r="D190" s="913"/>
      <c r="E190" s="914"/>
      <c r="F190" s="915"/>
      <c r="G190" s="915"/>
      <c r="H190" s="915"/>
      <c r="I190" s="915"/>
      <c r="J190" s="914"/>
      <c r="K190" s="922"/>
      <c r="L190" s="2162"/>
      <c r="M190" s="912"/>
      <c r="N190" s="912"/>
      <c r="O190" s="2162"/>
      <c r="P190" s="917"/>
      <c r="Q190" s="939"/>
      <c r="R190" s="912"/>
      <c r="U190" s="925"/>
      <c r="V190" s="925"/>
      <c r="W190" s="925"/>
      <c r="X190" s="925"/>
      <c r="Y190" s="924"/>
      <c r="Z190" s="925"/>
    </row>
    <row r="191" s="920" customFormat="true" ht="16.5" hidden="false" customHeight="false" outlineLevel="0" collapsed="false">
      <c r="B191" s="914"/>
      <c r="C191" s="912"/>
      <c r="D191" s="913"/>
      <c r="E191" s="914"/>
      <c r="F191" s="915"/>
      <c r="G191" s="915"/>
      <c r="H191" s="915"/>
      <c r="I191" s="915"/>
      <c r="J191" s="914"/>
      <c r="K191" s="922"/>
      <c r="L191" s="2162"/>
      <c r="M191" s="912"/>
      <c r="N191" s="912"/>
      <c r="O191" s="2162"/>
      <c r="P191" s="917"/>
      <c r="Q191" s="939"/>
      <c r="R191" s="912"/>
      <c r="U191" s="925"/>
      <c r="V191" s="925"/>
      <c r="W191" s="925"/>
      <c r="X191" s="925"/>
      <c r="Y191" s="924"/>
      <c r="Z191" s="925"/>
    </row>
    <row r="192" s="920" customFormat="true" ht="16.5" hidden="false" customHeight="false" outlineLevel="0" collapsed="false">
      <c r="B192" s="914"/>
      <c r="C192" s="912"/>
      <c r="D192" s="913"/>
      <c r="E192" s="914"/>
      <c r="F192" s="915"/>
      <c r="G192" s="915"/>
      <c r="H192" s="915"/>
      <c r="I192" s="915"/>
      <c r="J192" s="914"/>
      <c r="K192" s="922"/>
      <c r="L192" s="2162"/>
      <c r="M192" s="912"/>
      <c r="N192" s="912"/>
      <c r="O192" s="2162"/>
      <c r="P192" s="917"/>
      <c r="Q192" s="939"/>
      <c r="R192" s="912"/>
      <c r="U192" s="925"/>
      <c r="V192" s="925"/>
      <c r="W192" s="925"/>
      <c r="X192" s="925"/>
      <c r="Y192" s="924"/>
      <c r="Z192" s="925"/>
    </row>
    <row r="193" s="920" customFormat="true" ht="16.5" hidden="false" customHeight="false" outlineLevel="0" collapsed="false">
      <c r="B193" s="914"/>
      <c r="C193" s="912"/>
      <c r="D193" s="913"/>
      <c r="E193" s="914"/>
      <c r="F193" s="915"/>
      <c r="G193" s="915"/>
      <c r="H193" s="915"/>
      <c r="I193" s="915"/>
      <c r="J193" s="914"/>
      <c r="K193" s="922"/>
      <c r="L193" s="2162"/>
      <c r="M193" s="912"/>
      <c r="N193" s="912"/>
      <c r="O193" s="2162"/>
      <c r="P193" s="917"/>
      <c r="Q193" s="939"/>
      <c r="R193" s="912"/>
      <c r="U193" s="925"/>
      <c r="V193" s="925"/>
      <c r="W193" s="925"/>
      <c r="X193" s="925"/>
      <c r="Y193" s="924"/>
      <c r="Z193" s="925"/>
    </row>
    <row r="194" s="920" customFormat="true" ht="16.5" hidden="false" customHeight="false" outlineLevel="0" collapsed="false">
      <c r="B194" s="914"/>
      <c r="C194" s="912"/>
      <c r="D194" s="913"/>
      <c r="E194" s="914"/>
      <c r="F194" s="915"/>
      <c r="G194" s="915"/>
      <c r="H194" s="915"/>
      <c r="I194" s="915"/>
      <c r="J194" s="914"/>
      <c r="K194" s="922"/>
      <c r="L194" s="2162"/>
      <c r="M194" s="912"/>
      <c r="N194" s="912"/>
      <c r="O194" s="2162"/>
      <c r="P194" s="917"/>
      <c r="Q194" s="939"/>
      <c r="R194" s="912"/>
      <c r="U194" s="925"/>
      <c r="V194" s="925"/>
      <c r="W194" s="925"/>
      <c r="X194" s="925"/>
      <c r="Y194" s="924"/>
      <c r="Z194" s="925"/>
    </row>
    <row r="195" s="920" customFormat="true" ht="16.5" hidden="false" customHeight="false" outlineLevel="0" collapsed="false">
      <c r="B195" s="914"/>
      <c r="C195" s="912"/>
      <c r="D195" s="913"/>
      <c r="E195" s="914"/>
      <c r="F195" s="915"/>
      <c r="G195" s="915"/>
      <c r="H195" s="915"/>
      <c r="I195" s="915"/>
      <c r="J195" s="914"/>
      <c r="K195" s="922"/>
      <c r="L195" s="2162"/>
      <c r="M195" s="912"/>
      <c r="N195" s="912"/>
      <c r="O195" s="2162"/>
      <c r="P195" s="917"/>
      <c r="Q195" s="939"/>
      <c r="R195" s="912"/>
      <c r="U195" s="925"/>
      <c r="V195" s="925"/>
      <c r="W195" s="925"/>
      <c r="X195" s="925"/>
      <c r="Y195" s="924"/>
      <c r="Z195" s="925"/>
    </row>
    <row r="196" s="920" customFormat="true" ht="16.5" hidden="false" customHeight="false" outlineLevel="0" collapsed="false">
      <c r="B196" s="914"/>
      <c r="C196" s="912"/>
      <c r="D196" s="913"/>
      <c r="E196" s="914"/>
      <c r="F196" s="915"/>
      <c r="G196" s="915"/>
      <c r="H196" s="915"/>
      <c r="I196" s="915"/>
      <c r="J196" s="914"/>
      <c r="K196" s="922"/>
      <c r="L196" s="2162"/>
      <c r="M196" s="912"/>
      <c r="N196" s="912"/>
      <c r="O196" s="2162"/>
      <c r="P196" s="917"/>
      <c r="Q196" s="939"/>
      <c r="R196" s="912"/>
      <c r="U196" s="925"/>
      <c r="V196" s="925"/>
      <c r="W196" s="925"/>
      <c r="X196" s="925"/>
      <c r="Y196" s="924"/>
      <c r="Z196" s="925"/>
    </row>
    <row r="197" s="920" customFormat="true" ht="16.5" hidden="false" customHeight="false" outlineLevel="0" collapsed="false">
      <c r="B197" s="914"/>
      <c r="C197" s="912"/>
      <c r="D197" s="913"/>
      <c r="E197" s="914"/>
      <c r="F197" s="915"/>
      <c r="G197" s="915"/>
      <c r="H197" s="915"/>
      <c r="I197" s="915"/>
      <c r="J197" s="914"/>
      <c r="K197" s="922"/>
      <c r="L197" s="2162"/>
      <c r="M197" s="912"/>
      <c r="N197" s="912"/>
      <c r="O197" s="2162"/>
      <c r="P197" s="917"/>
      <c r="Q197" s="939"/>
      <c r="R197" s="912"/>
      <c r="U197" s="925"/>
      <c r="V197" s="925"/>
      <c r="W197" s="925"/>
      <c r="X197" s="925"/>
      <c r="Y197" s="924"/>
      <c r="Z197" s="925"/>
    </row>
    <row r="198" s="920" customFormat="true" ht="16.5" hidden="false" customHeight="false" outlineLevel="0" collapsed="false">
      <c r="B198" s="914"/>
      <c r="C198" s="912"/>
      <c r="D198" s="913"/>
      <c r="E198" s="914"/>
      <c r="F198" s="915"/>
      <c r="G198" s="915"/>
      <c r="H198" s="915"/>
      <c r="I198" s="915"/>
      <c r="J198" s="914"/>
      <c r="K198" s="922"/>
      <c r="L198" s="2162"/>
      <c r="M198" s="912"/>
      <c r="N198" s="912"/>
      <c r="O198" s="2162"/>
      <c r="P198" s="917"/>
      <c r="Q198" s="939"/>
      <c r="R198" s="912"/>
      <c r="U198" s="925"/>
      <c r="V198" s="925"/>
      <c r="W198" s="925"/>
      <c r="X198" s="925"/>
      <c r="Y198" s="924"/>
      <c r="Z198" s="925"/>
    </row>
    <row r="199" s="920" customFormat="true" ht="16.5" hidden="false" customHeight="false" outlineLevel="0" collapsed="false">
      <c r="B199" s="914"/>
      <c r="C199" s="912"/>
      <c r="D199" s="913"/>
      <c r="E199" s="914"/>
      <c r="F199" s="915"/>
      <c r="G199" s="915"/>
      <c r="H199" s="915"/>
      <c r="I199" s="915"/>
      <c r="J199" s="914"/>
      <c r="K199" s="922"/>
      <c r="L199" s="2162"/>
      <c r="M199" s="912"/>
      <c r="N199" s="912"/>
      <c r="O199" s="2162"/>
      <c r="P199" s="917"/>
      <c r="Q199" s="939"/>
      <c r="R199" s="912"/>
      <c r="U199" s="925"/>
      <c r="V199" s="925"/>
      <c r="W199" s="925"/>
      <c r="X199" s="925"/>
      <c r="Y199" s="924"/>
      <c r="Z199" s="925"/>
    </row>
    <row r="200" s="920" customFormat="true" ht="16.5" hidden="false" customHeight="false" outlineLevel="0" collapsed="false">
      <c r="B200" s="914"/>
      <c r="C200" s="912"/>
      <c r="D200" s="913"/>
      <c r="E200" s="914"/>
      <c r="F200" s="915"/>
      <c r="G200" s="915"/>
      <c r="H200" s="915"/>
      <c r="I200" s="915"/>
      <c r="J200" s="914"/>
      <c r="K200" s="922"/>
      <c r="L200" s="2162"/>
      <c r="M200" s="912"/>
      <c r="N200" s="912"/>
      <c r="O200" s="2162"/>
      <c r="P200" s="917"/>
      <c r="Q200" s="939"/>
      <c r="R200" s="912"/>
      <c r="U200" s="925"/>
      <c r="V200" s="925"/>
      <c r="W200" s="925"/>
      <c r="X200" s="925"/>
      <c r="Y200" s="924"/>
      <c r="Z200" s="925"/>
    </row>
    <row r="201" s="920" customFormat="true" ht="16.5" hidden="false" customHeight="false" outlineLevel="0" collapsed="false">
      <c r="B201" s="914"/>
      <c r="C201" s="912"/>
      <c r="D201" s="913"/>
      <c r="E201" s="914"/>
      <c r="F201" s="915"/>
      <c r="G201" s="915"/>
      <c r="H201" s="915"/>
      <c r="I201" s="915"/>
      <c r="J201" s="914"/>
      <c r="K201" s="922"/>
      <c r="L201" s="2162"/>
      <c r="M201" s="912"/>
      <c r="N201" s="912"/>
      <c r="O201" s="2162"/>
      <c r="P201" s="917"/>
      <c r="Q201" s="939"/>
      <c r="R201" s="912"/>
      <c r="U201" s="925"/>
      <c r="V201" s="925"/>
      <c r="W201" s="925"/>
      <c r="X201" s="925"/>
      <c r="Y201" s="924"/>
      <c r="Z201" s="925"/>
    </row>
    <row r="202" s="920" customFormat="true" ht="16.5" hidden="false" customHeight="false" outlineLevel="0" collapsed="false">
      <c r="B202" s="914"/>
      <c r="C202" s="912"/>
      <c r="D202" s="913"/>
      <c r="E202" s="914"/>
      <c r="F202" s="915"/>
      <c r="G202" s="915"/>
      <c r="H202" s="915"/>
      <c r="I202" s="915"/>
      <c r="J202" s="914"/>
      <c r="K202" s="922"/>
      <c r="L202" s="2162"/>
      <c r="M202" s="912"/>
      <c r="N202" s="912"/>
      <c r="O202" s="2162"/>
      <c r="P202" s="917"/>
      <c r="Q202" s="939"/>
      <c r="R202" s="912"/>
      <c r="U202" s="925"/>
      <c r="V202" s="925"/>
      <c r="W202" s="925"/>
      <c r="X202" s="925"/>
      <c r="Y202" s="924"/>
      <c r="Z202" s="925"/>
    </row>
    <row r="203" s="920" customFormat="true" ht="16.5" hidden="false" customHeight="false" outlineLevel="0" collapsed="false">
      <c r="B203" s="914"/>
      <c r="C203" s="912"/>
      <c r="D203" s="913"/>
      <c r="E203" s="914"/>
      <c r="F203" s="915"/>
      <c r="G203" s="915"/>
      <c r="H203" s="915"/>
      <c r="I203" s="915"/>
      <c r="J203" s="914"/>
      <c r="K203" s="922"/>
      <c r="L203" s="2162"/>
      <c r="M203" s="912"/>
      <c r="N203" s="912"/>
      <c r="O203" s="2162"/>
      <c r="P203" s="917"/>
      <c r="Q203" s="939"/>
      <c r="R203" s="912"/>
      <c r="U203" s="925"/>
      <c r="V203" s="925"/>
      <c r="W203" s="925"/>
      <c r="X203" s="925"/>
      <c r="Y203" s="924"/>
      <c r="Z203" s="925"/>
    </row>
    <row r="204" s="920" customFormat="true" ht="16.5" hidden="false" customHeight="false" outlineLevel="0" collapsed="false">
      <c r="B204" s="914"/>
      <c r="C204" s="912"/>
      <c r="D204" s="913"/>
      <c r="E204" s="914"/>
      <c r="F204" s="915"/>
      <c r="G204" s="915"/>
      <c r="H204" s="915"/>
      <c r="I204" s="915"/>
      <c r="J204" s="914"/>
      <c r="K204" s="922"/>
      <c r="L204" s="2162"/>
      <c r="M204" s="912"/>
      <c r="N204" s="912"/>
      <c r="O204" s="2162"/>
      <c r="P204" s="917"/>
      <c r="Q204" s="939"/>
      <c r="R204" s="912"/>
      <c r="U204" s="925"/>
      <c r="V204" s="925"/>
      <c r="W204" s="925"/>
      <c r="X204" s="925"/>
      <c r="Y204" s="924"/>
      <c r="Z204" s="925"/>
    </row>
    <row r="205" s="920" customFormat="true" ht="16.5" hidden="false" customHeight="false" outlineLevel="0" collapsed="false">
      <c r="B205" s="914"/>
      <c r="C205" s="912"/>
      <c r="D205" s="913"/>
      <c r="E205" s="914"/>
      <c r="F205" s="915"/>
      <c r="G205" s="915"/>
      <c r="H205" s="915"/>
      <c r="I205" s="915"/>
      <c r="J205" s="914"/>
      <c r="K205" s="922"/>
      <c r="L205" s="2162"/>
      <c r="M205" s="912"/>
      <c r="N205" s="912"/>
      <c r="O205" s="2162"/>
      <c r="P205" s="917"/>
      <c r="Q205" s="939"/>
      <c r="R205" s="912"/>
      <c r="U205" s="925"/>
      <c r="V205" s="925"/>
      <c r="W205" s="925"/>
      <c r="X205" s="925"/>
      <c r="Y205" s="924"/>
      <c r="Z205" s="925"/>
    </row>
    <row r="206" s="920" customFormat="true" ht="16.5" hidden="false" customHeight="false" outlineLevel="0" collapsed="false">
      <c r="B206" s="914"/>
      <c r="C206" s="912"/>
      <c r="D206" s="913"/>
      <c r="E206" s="914"/>
      <c r="F206" s="915"/>
      <c r="G206" s="915"/>
      <c r="H206" s="915"/>
      <c r="I206" s="915"/>
      <c r="J206" s="914"/>
      <c r="K206" s="922"/>
      <c r="L206" s="2162"/>
      <c r="M206" s="912"/>
      <c r="N206" s="912"/>
      <c r="O206" s="2162"/>
      <c r="P206" s="917"/>
      <c r="Q206" s="939"/>
      <c r="R206" s="912"/>
      <c r="U206" s="925"/>
      <c r="V206" s="925"/>
      <c r="W206" s="925"/>
      <c r="X206" s="925"/>
      <c r="Y206" s="924"/>
      <c r="Z206" s="925"/>
    </row>
    <row r="207" s="920" customFormat="true" ht="16.5" hidden="false" customHeight="false" outlineLevel="0" collapsed="false">
      <c r="B207" s="914"/>
      <c r="C207" s="912"/>
      <c r="D207" s="913"/>
      <c r="E207" s="914"/>
      <c r="F207" s="915"/>
      <c r="G207" s="915"/>
      <c r="H207" s="915"/>
      <c r="I207" s="915"/>
      <c r="J207" s="914"/>
      <c r="K207" s="922"/>
      <c r="L207" s="2162"/>
      <c r="M207" s="912"/>
      <c r="N207" s="912"/>
      <c r="O207" s="2162"/>
      <c r="P207" s="917"/>
      <c r="Q207" s="939"/>
      <c r="R207" s="912"/>
      <c r="U207" s="925"/>
      <c r="V207" s="925"/>
      <c r="W207" s="925"/>
      <c r="X207" s="925"/>
      <c r="Y207" s="924"/>
      <c r="Z207" s="925"/>
    </row>
    <row r="208" s="920" customFormat="true" ht="16.5" hidden="false" customHeight="false" outlineLevel="0" collapsed="false">
      <c r="B208" s="914"/>
      <c r="C208" s="912"/>
      <c r="D208" s="913"/>
      <c r="E208" s="914"/>
      <c r="F208" s="915"/>
      <c r="G208" s="915"/>
      <c r="H208" s="915"/>
      <c r="I208" s="915"/>
      <c r="J208" s="914"/>
      <c r="K208" s="922"/>
      <c r="L208" s="2162"/>
      <c r="M208" s="912"/>
      <c r="N208" s="912"/>
      <c r="O208" s="2162"/>
      <c r="P208" s="917"/>
      <c r="Q208" s="939"/>
      <c r="R208" s="912"/>
      <c r="U208" s="925"/>
      <c r="V208" s="925"/>
      <c r="W208" s="925"/>
      <c r="X208" s="925"/>
      <c r="Y208" s="924"/>
      <c r="Z208" s="925"/>
    </row>
    <row r="209" s="920" customFormat="true" ht="16.5" hidden="false" customHeight="false" outlineLevel="0" collapsed="false">
      <c r="B209" s="914"/>
      <c r="C209" s="912"/>
      <c r="D209" s="913"/>
      <c r="E209" s="914"/>
      <c r="F209" s="915"/>
      <c r="G209" s="915"/>
      <c r="H209" s="915"/>
      <c r="I209" s="915"/>
      <c r="J209" s="914"/>
      <c r="K209" s="922"/>
      <c r="L209" s="2162"/>
      <c r="M209" s="912"/>
      <c r="N209" s="912"/>
      <c r="O209" s="2162"/>
      <c r="P209" s="917"/>
      <c r="Q209" s="939"/>
      <c r="R209" s="912"/>
      <c r="U209" s="925"/>
      <c r="V209" s="925"/>
      <c r="W209" s="925"/>
      <c r="X209" s="925"/>
      <c r="Y209" s="924"/>
      <c r="Z209" s="925"/>
    </row>
    <row r="210" s="920" customFormat="true" ht="16.5" hidden="false" customHeight="false" outlineLevel="0" collapsed="false">
      <c r="B210" s="914"/>
      <c r="C210" s="912"/>
      <c r="D210" s="913"/>
      <c r="E210" s="914"/>
      <c r="F210" s="915"/>
      <c r="G210" s="915"/>
      <c r="H210" s="915"/>
      <c r="I210" s="915"/>
      <c r="J210" s="914"/>
      <c r="K210" s="922"/>
      <c r="L210" s="2162"/>
      <c r="M210" s="912"/>
      <c r="N210" s="912"/>
      <c r="O210" s="2162"/>
      <c r="P210" s="917"/>
      <c r="Q210" s="939"/>
      <c r="R210" s="912"/>
      <c r="U210" s="925"/>
      <c r="V210" s="925"/>
      <c r="W210" s="925"/>
      <c r="X210" s="925"/>
      <c r="Y210" s="924"/>
      <c r="Z210" s="925"/>
    </row>
    <row r="211" s="920" customFormat="true" ht="16.5" hidden="false" customHeight="false" outlineLevel="0" collapsed="false">
      <c r="B211" s="914"/>
      <c r="C211" s="912"/>
      <c r="D211" s="913"/>
      <c r="E211" s="914"/>
      <c r="F211" s="915"/>
      <c r="G211" s="915"/>
      <c r="H211" s="915"/>
      <c r="I211" s="915"/>
      <c r="J211" s="914"/>
      <c r="K211" s="922"/>
      <c r="L211" s="2162"/>
      <c r="M211" s="912"/>
      <c r="N211" s="912"/>
      <c r="O211" s="2162"/>
      <c r="P211" s="917"/>
      <c r="Q211" s="939"/>
      <c r="R211" s="912"/>
      <c r="U211" s="925"/>
      <c r="V211" s="925"/>
      <c r="W211" s="925"/>
      <c r="X211" s="925"/>
      <c r="Y211" s="924"/>
      <c r="Z211" s="925"/>
    </row>
    <row r="212" s="920" customFormat="true" ht="16.5" hidden="false" customHeight="false" outlineLevel="0" collapsed="false">
      <c r="B212" s="914"/>
      <c r="C212" s="912"/>
      <c r="D212" s="913"/>
      <c r="E212" s="914"/>
      <c r="F212" s="915"/>
      <c r="G212" s="915"/>
      <c r="H212" s="915"/>
      <c r="I212" s="915"/>
      <c r="J212" s="914"/>
      <c r="K212" s="922"/>
      <c r="L212" s="2162"/>
      <c r="M212" s="912"/>
      <c r="N212" s="912"/>
      <c r="O212" s="2162"/>
      <c r="P212" s="917"/>
      <c r="Q212" s="939"/>
      <c r="R212" s="912"/>
      <c r="U212" s="925"/>
      <c r="V212" s="925"/>
      <c r="W212" s="925"/>
      <c r="X212" s="925"/>
      <c r="Y212" s="924"/>
      <c r="Z212" s="925"/>
    </row>
    <row r="213" s="920" customFormat="true" ht="16.5" hidden="false" customHeight="false" outlineLevel="0" collapsed="false">
      <c r="B213" s="914"/>
      <c r="C213" s="912"/>
      <c r="D213" s="913"/>
      <c r="E213" s="914"/>
      <c r="F213" s="915"/>
      <c r="G213" s="915"/>
      <c r="H213" s="915"/>
      <c r="I213" s="915"/>
      <c r="J213" s="914"/>
      <c r="K213" s="922"/>
      <c r="L213" s="2162"/>
      <c r="M213" s="912"/>
      <c r="N213" s="912"/>
      <c r="O213" s="2162"/>
      <c r="P213" s="917"/>
      <c r="Q213" s="939"/>
      <c r="R213" s="912"/>
      <c r="U213" s="925"/>
      <c r="V213" s="925"/>
      <c r="W213" s="925"/>
      <c r="X213" s="925"/>
      <c r="Y213" s="924"/>
      <c r="Z213" s="925"/>
    </row>
    <row r="214" s="920" customFormat="true" ht="16.5" hidden="false" customHeight="false" outlineLevel="0" collapsed="false">
      <c r="B214" s="914"/>
      <c r="C214" s="912"/>
      <c r="D214" s="913"/>
      <c r="E214" s="914"/>
      <c r="F214" s="915"/>
      <c r="G214" s="915"/>
      <c r="H214" s="915"/>
      <c r="I214" s="915"/>
      <c r="J214" s="914"/>
      <c r="K214" s="922"/>
      <c r="L214" s="2162"/>
      <c r="M214" s="912"/>
      <c r="N214" s="912"/>
      <c r="O214" s="2162"/>
      <c r="P214" s="917"/>
      <c r="Q214" s="939"/>
      <c r="R214" s="912"/>
      <c r="U214" s="925"/>
      <c r="V214" s="925"/>
      <c r="W214" s="925"/>
      <c r="X214" s="925"/>
      <c r="Y214" s="924"/>
      <c r="Z214" s="925"/>
    </row>
    <row r="215" s="920" customFormat="true" ht="16.5" hidden="false" customHeight="false" outlineLevel="0" collapsed="false">
      <c r="B215" s="914"/>
      <c r="C215" s="912"/>
      <c r="D215" s="913"/>
      <c r="E215" s="914"/>
      <c r="F215" s="915"/>
      <c r="G215" s="915"/>
      <c r="H215" s="915"/>
      <c r="I215" s="915"/>
      <c r="J215" s="914"/>
      <c r="K215" s="922"/>
      <c r="L215" s="2162"/>
      <c r="M215" s="912"/>
      <c r="N215" s="912"/>
      <c r="O215" s="2162"/>
      <c r="P215" s="917"/>
      <c r="Q215" s="939"/>
      <c r="R215" s="912"/>
      <c r="U215" s="925"/>
      <c r="V215" s="925"/>
      <c r="W215" s="925"/>
      <c r="X215" s="925"/>
      <c r="Y215" s="924"/>
      <c r="Z215" s="925"/>
    </row>
    <row r="216" s="920" customFormat="true" ht="16.5" hidden="false" customHeight="false" outlineLevel="0" collapsed="false">
      <c r="B216" s="914"/>
      <c r="C216" s="912"/>
      <c r="D216" s="913"/>
      <c r="E216" s="914"/>
      <c r="F216" s="915"/>
      <c r="G216" s="915"/>
      <c r="H216" s="915"/>
      <c r="I216" s="915"/>
      <c r="J216" s="914"/>
      <c r="K216" s="922"/>
      <c r="L216" s="2162"/>
      <c r="M216" s="912"/>
      <c r="N216" s="912"/>
      <c r="O216" s="2162"/>
      <c r="P216" s="917"/>
      <c r="Q216" s="939"/>
      <c r="R216" s="912"/>
      <c r="U216" s="925"/>
      <c r="V216" s="925"/>
      <c r="W216" s="925"/>
      <c r="X216" s="925"/>
      <c r="Y216" s="924"/>
      <c r="Z216" s="925"/>
    </row>
    <row r="217" s="920" customFormat="true" ht="16.5" hidden="false" customHeight="false" outlineLevel="0" collapsed="false">
      <c r="B217" s="914"/>
      <c r="C217" s="912"/>
      <c r="D217" s="913"/>
      <c r="E217" s="914"/>
      <c r="F217" s="915"/>
      <c r="G217" s="915"/>
      <c r="H217" s="915"/>
      <c r="I217" s="915"/>
      <c r="J217" s="914"/>
      <c r="K217" s="922"/>
      <c r="L217" s="2162"/>
      <c r="M217" s="912"/>
      <c r="N217" s="912"/>
      <c r="O217" s="2162"/>
      <c r="P217" s="917"/>
      <c r="Q217" s="939"/>
      <c r="R217" s="912"/>
      <c r="U217" s="925"/>
      <c r="V217" s="925"/>
      <c r="W217" s="925"/>
      <c r="X217" s="925"/>
      <c r="Y217" s="924"/>
      <c r="Z217" s="925"/>
    </row>
    <row r="218" s="920" customFormat="true" ht="16.5" hidden="false" customHeight="false" outlineLevel="0" collapsed="false">
      <c r="B218" s="914"/>
      <c r="C218" s="912"/>
      <c r="D218" s="913"/>
      <c r="E218" s="914"/>
      <c r="F218" s="915"/>
      <c r="G218" s="915"/>
      <c r="H218" s="915"/>
      <c r="I218" s="915"/>
      <c r="J218" s="914"/>
      <c r="K218" s="922"/>
      <c r="L218" s="2162"/>
      <c r="M218" s="912"/>
      <c r="N218" s="912"/>
      <c r="O218" s="2162"/>
      <c r="P218" s="917"/>
      <c r="Q218" s="939"/>
      <c r="R218" s="912"/>
      <c r="U218" s="925"/>
      <c r="V218" s="925"/>
      <c r="W218" s="925"/>
      <c r="X218" s="925"/>
      <c r="Y218" s="924"/>
      <c r="Z218" s="925"/>
    </row>
    <row r="219" s="920" customFormat="true" ht="16.5" hidden="false" customHeight="false" outlineLevel="0" collapsed="false">
      <c r="B219" s="914"/>
      <c r="C219" s="912"/>
      <c r="D219" s="913"/>
      <c r="E219" s="914"/>
      <c r="F219" s="915"/>
      <c r="G219" s="915"/>
      <c r="H219" s="915"/>
      <c r="I219" s="915"/>
      <c r="J219" s="914"/>
      <c r="K219" s="922"/>
      <c r="L219" s="2162"/>
      <c r="M219" s="912"/>
      <c r="N219" s="912"/>
      <c r="O219" s="2162"/>
      <c r="P219" s="917"/>
      <c r="Q219" s="939"/>
      <c r="R219" s="912"/>
      <c r="U219" s="925"/>
      <c r="V219" s="925"/>
      <c r="W219" s="925"/>
      <c r="X219" s="925"/>
      <c r="Y219" s="924"/>
      <c r="Z219" s="925"/>
    </row>
    <row r="220" s="920" customFormat="true" ht="16.5" hidden="false" customHeight="false" outlineLevel="0" collapsed="false">
      <c r="B220" s="914"/>
      <c r="C220" s="912"/>
      <c r="D220" s="913"/>
      <c r="E220" s="914"/>
      <c r="F220" s="915"/>
      <c r="G220" s="915"/>
      <c r="H220" s="915"/>
      <c r="I220" s="915"/>
      <c r="J220" s="914"/>
      <c r="K220" s="922"/>
      <c r="L220" s="2162"/>
      <c r="M220" s="912"/>
      <c r="N220" s="912"/>
      <c r="O220" s="2162"/>
      <c r="P220" s="917"/>
      <c r="Q220" s="939"/>
      <c r="R220" s="912"/>
      <c r="U220" s="925"/>
      <c r="V220" s="925"/>
      <c r="W220" s="925"/>
      <c r="X220" s="925"/>
      <c r="Y220" s="924"/>
      <c r="Z220" s="925"/>
    </row>
    <row r="221" s="920" customFormat="true" ht="16.5" hidden="false" customHeight="false" outlineLevel="0" collapsed="false">
      <c r="B221" s="914"/>
      <c r="C221" s="912"/>
      <c r="D221" s="913"/>
      <c r="E221" s="914"/>
      <c r="F221" s="915"/>
      <c r="G221" s="915"/>
      <c r="H221" s="915"/>
      <c r="I221" s="915"/>
      <c r="J221" s="914"/>
      <c r="K221" s="922"/>
      <c r="L221" s="2162"/>
      <c r="M221" s="912"/>
      <c r="N221" s="912"/>
      <c r="O221" s="2162"/>
      <c r="P221" s="917"/>
      <c r="Q221" s="939"/>
      <c r="R221" s="912"/>
      <c r="U221" s="925"/>
      <c r="V221" s="925"/>
      <c r="W221" s="925"/>
      <c r="X221" s="925"/>
      <c r="Y221" s="924"/>
      <c r="Z221" s="925"/>
    </row>
    <row r="222" s="920" customFormat="true" ht="16.5" hidden="false" customHeight="false" outlineLevel="0" collapsed="false">
      <c r="B222" s="914"/>
      <c r="C222" s="912"/>
      <c r="D222" s="913"/>
      <c r="E222" s="914"/>
      <c r="F222" s="915"/>
      <c r="G222" s="915"/>
      <c r="H222" s="915"/>
      <c r="I222" s="915"/>
      <c r="J222" s="914"/>
      <c r="K222" s="922"/>
      <c r="L222" s="2162"/>
      <c r="M222" s="912"/>
      <c r="N222" s="912"/>
      <c r="O222" s="2162"/>
      <c r="P222" s="917"/>
      <c r="Q222" s="939"/>
      <c r="R222" s="912"/>
      <c r="U222" s="925"/>
      <c r="V222" s="925"/>
      <c r="W222" s="925"/>
      <c r="X222" s="925"/>
      <c r="Y222" s="924"/>
      <c r="Z222" s="925"/>
    </row>
    <row r="223" s="920" customFormat="true" ht="16.5" hidden="false" customHeight="false" outlineLevel="0" collapsed="false">
      <c r="B223" s="914"/>
      <c r="C223" s="912"/>
      <c r="D223" s="913"/>
      <c r="E223" s="914"/>
      <c r="F223" s="915"/>
      <c r="G223" s="915"/>
      <c r="H223" s="915"/>
      <c r="I223" s="915"/>
      <c r="J223" s="914"/>
      <c r="K223" s="922"/>
      <c r="L223" s="2162"/>
      <c r="M223" s="912"/>
      <c r="N223" s="912"/>
      <c r="O223" s="2162"/>
      <c r="P223" s="917"/>
      <c r="Q223" s="939"/>
      <c r="R223" s="912"/>
      <c r="U223" s="925"/>
      <c r="V223" s="925"/>
      <c r="W223" s="925"/>
      <c r="X223" s="925"/>
      <c r="Y223" s="924"/>
      <c r="Z223" s="925"/>
    </row>
    <row r="224" s="920" customFormat="true" ht="16.5" hidden="false" customHeight="false" outlineLevel="0" collapsed="false">
      <c r="B224" s="914"/>
      <c r="C224" s="912"/>
      <c r="D224" s="913"/>
      <c r="E224" s="914"/>
      <c r="F224" s="915"/>
      <c r="G224" s="915"/>
      <c r="H224" s="915"/>
      <c r="I224" s="915"/>
      <c r="J224" s="914"/>
      <c r="K224" s="922"/>
      <c r="L224" s="2162"/>
      <c r="M224" s="912"/>
      <c r="N224" s="912"/>
      <c r="O224" s="2162"/>
      <c r="P224" s="917"/>
      <c r="Q224" s="939"/>
      <c r="R224" s="912"/>
      <c r="U224" s="925"/>
      <c r="V224" s="925"/>
      <c r="W224" s="925"/>
      <c r="X224" s="925"/>
      <c r="Y224" s="924"/>
      <c r="Z224" s="925"/>
    </row>
    <row r="225" s="920" customFormat="true" ht="16.5" hidden="false" customHeight="false" outlineLevel="0" collapsed="false">
      <c r="B225" s="914"/>
      <c r="C225" s="912"/>
      <c r="D225" s="913"/>
      <c r="E225" s="914"/>
      <c r="F225" s="915"/>
      <c r="G225" s="915"/>
      <c r="H225" s="915"/>
      <c r="I225" s="915"/>
      <c r="J225" s="914"/>
      <c r="K225" s="922"/>
      <c r="L225" s="2162"/>
      <c r="M225" s="912"/>
      <c r="N225" s="912"/>
      <c r="O225" s="2162"/>
      <c r="P225" s="917"/>
      <c r="Q225" s="939"/>
      <c r="R225" s="912"/>
      <c r="U225" s="925"/>
      <c r="V225" s="925"/>
      <c r="W225" s="925"/>
      <c r="X225" s="925"/>
      <c r="Y225" s="924"/>
      <c r="Z225" s="925"/>
    </row>
  </sheetData>
  <autoFilter ref="B4:S137"/>
  <mergeCells count="42">
    <mergeCell ref="A1:L1"/>
    <mergeCell ref="V2:Y2"/>
    <mergeCell ref="U3:Y3"/>
    <mergeCell ref="A4:B4"/>
    <mergeCell ref="B8:B9"/>
    <mergeCell ref="C11:C12"/>
    <mergeCell ref="D11:D12"/>
    <mergeCell ref="K11:K12"/>
    <mergeCell ref="M11:M12"/>
    <mergeCell ref="N11:N12"/>
    <mergeCell ref="O11:O12"/>
    <mergeCell ref="U11:U12"/>
    <mergeCell ref="V11:V12"/>
    <mergeCell ref="W11:W12"/>
    <mergeCell ref="X11:X12"/>
    <mergeCell ref="Y11:Y12"/>
    <mergeCell ref="Z11:Z12"/>
    <mergeCell ref="AA11:AA12"/>
    <mergeCell ref="AC12:AC13"/>
    <mergeCell ref="AF12:AF13"/>
    <mergeCell ref="A20:B20"/>
    <mergeCell ref="A21:B21"/>
    <mergeCell ref="A22:B22"/>
    <mergeCell ref="W22:Y22"/>
    <mergeCell ref="B29:B30"/>
    <mergeCell ref="A41:B41"/>
    <mergeCell ref="A42:B42"/>
    <mergeCell ref="A43:B43"/>
    <mergeCell ref="W43:Y43"/>
    <mergeCell ref="A69:B69"/>
    <mergeCell ref="A70:B70"/>
    <mergeCell ref="A71:B71"/>
    <mergeCell ref="W71:Y71"/>
    <mergeCell ref="A72:A95"/>
    <mergeCell ref="B72:B83"/>
    <mergeCell ref="B84:B95"/>
    <mergeCell ref="A96:B96"/>
    <mergeCell ref="A97:B97"/>
    <mergeCell ref="A98:B98"/>
    <mergeCell ref="W98:Y98"/>
    <mergeCell ref="A144:B149"/>
    <mergeCell ref="A150:B155"/>
  </mergeCells>
  <printOptions headings="false" gridLines="false" gridLinesSet="true" horizontalCentered="true" verticalCentered="tru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79" man="true" max="16383" min="0"/>
  </rowBreaks>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B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S63" activeCellId="0" sqref="S63"/>
    </sheetView>
  </sheetViews>
  <sheetFormatPr defaultColWidth="8.57421875" defaultRowHeight="16.5" zeroHeight="false" outlineLevelRow="0" outlineLevelCol="1"/>
  <cols>
    <col collapsed="false" customWidth="true" hidden="false" outlineLevel="0" max="1" min="1" style="0" width="24.25"/>
    <col collapsed="false" customWidth="true" hidden="false" outlineLevel="0" max="2" min="2" style="0" width="15.12"/>
    <col collapsed="false" customWidth="true" hidden="false" outlineLevel="1" max="3" min="3" style="0" width="28.75"/>
    <col collapsed="false" customWidth="true" hidden="false" outlineLevel="1" max="4" min="4" style="0" width="35.5"/>
    <col collapsed="false" customWidth="true" hidden="false" outlineLevel="0" max="5" min="5" style="9" width="21.37"/>
    <col collapsed="false" customWidth="true" hidden="false" outlineLevel="0" max="6" min="6" style="0" width="15.37"/>
    <col collapsed="false" customWidth="true" hidden="false" outlineLevel="0" max="7" min="7" style="0" width="8.25"/>
    <col collapsed="false" customWidth="true" hidden="true" outlineLevel="0" max="8" min="8" style="0" width="8.88"/>
    <col collapsed="false" customWidth="true" hidden="false" outlineLevel="0" max="9" min="9" style="0" width="11.62"/>
    <col collapsed="false" customWidth="true" hidden="false" outlineLevel="0" max="10" min="10" style="0" width="11"/>
    <col collapsed="false" customWidth="true" hidden="false" outlineLevel="0" max="11" min="11" style="0" width="10.62"/>
    <col collapsed="false" customWidth="true" hidden="false" outlineLevel="0" max="12" min="12" style="0" width="9.88"/>
    <col collapsed="false" customWidth="true" hidden="false" outlineLevel="0" max="13" min="13" style="0" width="11.25"/>
    <col collapsed="false" customWidth="true" hidden="false" outlineLevel="0" max="14" min="14" style="2451" width="13.25"/>
    <col collapsed="false" customWidth="true" hidden="false" outlineLevel="0" max="15" min="15" style="2452" width="12.62"/>
    <col collapsed="false" customWidth="true" hidden="false" outlineLevel="0" max="16" min="16" style="0" width="11.62"/>
    <col collapsed="false" customWidth="true" hidden="false" outlineLevel="0" max="17" min="17" style="0" width="14.37"/>
    <col collapsed="false" customWidth="true" hidden="false" outlineLevel="0" max="18" min="18" style="0" width="13.37"/>
    <col collapsed="false" customWidth="true" hidden="false" outlineLevel="0" max="19" min="19" style="0" width="15.12"/>
    <col collapsed="false" customWidth="true" hidden="false" outlineLevel="0" max="20" min="20" style="0" width="14.75"/>
    <col collapsed="false" customWidth="true" hidden="false" outlineLevel="0" max="21" min="21" style="0" width="17.75"/>
    <col collapsed="false" customWidth="true" hidden="false" outlineLevel="0" max="23" min="22" style="0" width="8.12"/>
    <col collapsed="false" customWidth="true" hidden="false" outlineLevel="0" max="24" min="24" style="0" width="14.25"/>
    <col collapsed="false" customWidth="true" hidden="true" outlineLevel="1" max="25" min="25" style="0" width="15.88"/>
    <col collapsed="false" customWidth="true" hidden="true" outlineLevel="1" max="26" min="26" style="0" width="12.12"/>
    <col collapsed="false" customWidth="true" hidden="true" outlineLevel="1" max="27" min="27" style="0" width="17.88"/>
    <col collapsed="false" customWidth="true" hidden="true" outlineLevel="1" max="28" min="28" style="0" width="14"/>
    <col collapsed="false" customWidth="true" hidden="true" outlineLevel="1" max="29" min="29" style="0" width="15.88"/>
    <col collapsed="false" customWidth="true" hidden="true" outlineLevel="1" max="30" min="30" style="0" width="14.88"/>
    <col collapsed="false" customWidth="true" hidden="true" outlineLevel="1" max="31" min="31" style="0" width="9.12"/>
    <col collapsed="false" customWidth="true" hidden="true" outlineLevel="1" max="32" min="32" style="0" width="19.63"/>
    <col collapsed="false" customWidth="true" hidden="false" outlineLevel="0" max="33" min="33" style="0" width="9.25"/>
    <col collapsed="false" customWidth="true" hidden="false" outlineLevel="0" max="34" min="34" style="0" width="8.75"/>
    <col collapsed="false" customWidth="true" hidden="false" outlineLevel="0" max="36" min="36" style="0" width="15"/>
    <col collapsed="false" customWidth="true" hidden="false" outlineLevel="0" max="37" min="37" style="0" width="11.88"/>
    <col collapsed="false" customWidth="true" hidden="false" outlineLevel="0" max="38" min="38" style="0" width="14.12"/>
    <col collapsed="false" customWidth="true" hidden="false" outlineLevel="0" max="39" min="39" style="0" width="14.37"/>
    <col collapsed="false" customWidth="true" hidden="false" outlineLevel="0" max="40" min="40" style="0" width="10.75"/>
    <col collapsed="false" customWidth="true" hidden="false" outlineLevel="0" max="41" min="41" style="0" width="7.88"/>
    <col collapsed="false" customWidth="true" hidden="false" outlineLevel="0" max="42" min="42" style="0" width="11.12"/>
    <col collapsed="false" customWidth="true" hidden="false" outlineLevel="0" max="43" min="43" style="0" width="13"/>
    <col collapsed="false" customWidth="true" hidden="true" outlineLevel="1" max="45" min="44" style="0" width="9.77"/>
    <col collapsed="false" customWidth="true" hidden="true" outlineLevel="1" max="46" min="46" style="0" width="10.12"/>
    <col collapsed="false" customWidth="true" hidden="true" outlineLevel="1" max="47" min="47" style="0" width="8.12"/>
    <col collapsed="false" customWidth="true" hidden="true" outlineLevel="1" max="48" min="48" style="0" width="9.77"/>
    <col collapsed="false" customWidth="true" hidden="false" outlineLevel="0" max="49" min="49" style="0" width="13.37"/>
    <col collapsed="false" customWidth="true" hidden="false" outlineLevel="0" max="50" min="50" style="0" width="18.38"/>
    <col collapsed="false" customWidth="true" hidden="false" outlineLevel="0" max="51" min="51" style="0" width="14.12"/>
    <col collapsed="false" customWidth="true" hidden="false" outlineLevel="0" max="52" min="52" style="0" width="12.75"/>
    <col collapsed="false" customWidth="true" hidden="false" outlineLevel="0" max="53" min="53" style="0" width="14.12"/>
    <col collapsed="false" customWidth="true" hidden="false" outlineLevel="0" max="54" min="54" style="0" width="43"/>
  </cols>
  <sheetData>
    <row r="1" s="932" customFormat="true" ht="33.75" hidden="false" customHeight="true" outlineLevel="0" collapsed="false">
      <c r="A1" s="1642" t="s">
        <v>2228</v>
      </c>
      <c r="B1" s="2453"/>
      <c r="E1" s="934"/>
      <c r="F1" s="932" t="s">
        <v>71</v>
      </c>
      <c r="H1" s="939"/>
      <c r="I1" s="940"/>
      <c r="J1" s="940"/>
      <c r="K1" s="940"/>
      <c r="L1" s="1908"/>
      <c r="M1" s="941"/>
      <c r="N1" s="934"/>
      <c r="O1" s="2454" t="s">
        <v>750</v>
      </c>
      <c r="P1" s="943"/>
      <c r="Q1" s="943"/>
      <c r="R1" s="943"/>
      <c r="S1" s="943"/>
      <c r="T1" s="1909"/>
      <c r="U1" s="943"/>
      <c r="V1" s="943"/>
      <c r="W1" s="943"/>
      <c r="X1" s="943"/>
      <c r="Y1" s="1645" t="s">
        <v>751</v>
      </c>
      <c r="Z1" s="1647"/>
      <c r="AA1" s="1646"/>
      <c r="AB1" s="1647"/>
      <c r="AC1" s="1647"/>
      <c r="AD1" s="1647"/>
      <c r="AE1" s="1647"/>
      <c r="AF1" s="1649"/>
      <c r="AG1" s="1650" t="s">
        <v>1540</v>
      </c>
      <c r="AH1" s="1651" t="s">
        <v>753</v>
      </c>
      <c r="AI1" s="948"/>
      <c r="AJ1" s="948"/>
      <c r="AK1" s="948"/>
      <c r="AL1" s="948"/>
      <c r="AM1" s="1652"/>
      <c r="AN1" s="1651" t="s">
        <v>1541</v>
      </c>
      <c r="AO1" s="948"/>
      <c r="AP1" s="948"/>
      <c r="AQ1" s="948"/>
      <c r="AR1" s="948"/>
      <c r="AS1" s="948"/>
      <c r="AT1" s="948"/>
      <c r="AU1" s="948"/>
      <c r="AV1" s="1652"/>
      <c r="AW1" s="1651" t="s">
        <v>1542</v>
      </c>
      <c r="AX1" s="948"/>
      <c r="AY1" s="948"/>
      <c r="AZ1" s="948"/>
      <c r="BA1" s="948"/>
      <c r="BB1" s="1652"/>
    </row>
    <row r="2" s="1932" customFormat="true" ht="44.25" hidden="false" customHeight="true" outlineLevel="0" collapsed="false">
      <c r="A2" s="1912" t="s">
        <v>755</v>
      </c>
      <c r="B2" s="1912" t="s">
        <v>2229</v>
      </c>
      <c r="C2" s="1912" t="s">
        <v>757</v>
      </c>
      <c r="D2" s="1912" t="s">
        <v>2230</v>
      </c>
      <c r="E2" s="1912" t="s">
        <v>1543</v>
      </c>
      <c r="F2" s="1913" t="s">
        <v>766</v>
      </c>
      <c r="G2" s="1914" t="s">
        <v>767</v>
      </c>
      <c r="H2" s="1914" t="s">
        <v>1545</v>
      </c>
      <c r="I2" s="1912" t="s">
        <v>769</v>
      </c>
      <c r="J2" s="1915" t="s">
        <v>770</v>
      </c>
      <c r="K2" s="1915" t="s">
        <v>771</v>
      </c>
      <c r="L2" s="1916" t="s">
        <v>1855</v>
      </c>
      <c r="M2" s="1912" t="s">
        <v>772</v>
      </c>
      <c r="N2" s="1912" t="s">
        <v>773</v>
      </c>
      <c r="O2" s="1917" t="s">
        <v>1856</v>
      </c>
      <c r="P2" s="1918" t="s">
        <v>1857</v>
      </c>
      <c r="Q2" s="1918" t="s">
        <v>1858</v>
      </c>
      <c r="R2" s="1918" t="s">
        <v>1859</v>
      </c>
      <c r="S2" s="1918" t="s">
        <v>1860</v>
      </c>
      <c r="T2" s="1918" t="s">
        <v>1546</v>
      </c>
      <c r="U2" s="1918" t="s">
        <v>1861</v>
      </c>
      <c r="V2" s="1918" t="s">
        <v>1862</v>
      </c>
      <c r="W2" s="1916" t="s">
        <v>1862</v>
      </c>
      <c r="X2" s="1918" t="s">
        <v>776</v>
      </c>
      <c r="Y2" s="1917" t="s">
        <v>1548</v>
      </c>
      <c r="Z2" s="1918" t="s">
        <v>1549</v>
      </c>
      <c r="AA2" s="1918" t="s">
        <v>1550</v>
      </c>
      <c r="AB2" s="1918" t="s">
        <v>1551</v>
      </c>
      <c r="AC2" s="1918" t="s">
        <v>1552</v>
      </c>
      <c r="AD2" s="1918" t="s">
        <v>1553</v>
      </c>
      <c r="AE2" s="1918" t="s">
        <v>1555</v>
      </c>
      <c r="AF2" s="1919" t="s">
        <v>1863</v>
      </c>
      <c r="AG2" s="1920" t="s">
        <v>306</v>
      </c>
      <c r="AH2" s="1921" t="s">
        <v>1557</v>
      </c>
      <c r="AI2" s="2455" t="s">
        <v>1558</v>
      </c>
      <c r="AJ2" s="2455" t="s">
        <v>1559</v>
      </c>
      <c r="AK2" s="1923" t="s">
        <v>1562</v>
      </c>
      <c r="AL2" s="1924" t="s">
        <v>1563</v>
      </c>
      <c r="AM2" s="1925" t="s">
        <v>1564</v>
      </c>
      <c r="AN2" s="1926" t="s">
        <v>1565</v>
      </c>
      <c r="AO2" s="1926" t="s">
        <v>1866</v>
      </c>
      <c r="AP2" s="1926" t="s">
        <v>1567</v>
      </c>
      <c r="AQ2" s="1926" t="s">
        <v>571</v>
      </c>
      <c r="AR2" s="1927" t="s">
        <v>1867</v>
      </c>
      <c r="AS2" s="1927" t="s">
        <v>1868</v>
      </c>
      <c r="AT2" s="1927" t="s">
        <v>1869</v>
      </c>
      <c r="AU2" s="1927" t="s">
        <v>1870</v>
      </c>
      <c r="AV2" s="1927" t="s">
        <v>1871</v>
      </c>
      <c r="AW2" s="1928" t="s">
        <v>1568</v>
      </c>
      <c r="AX2" s="1929" t="s">
        <v>1872</v>
      </c>
      <c r="AY2" s="1930" t="s">
        <v>1570</v>
      </c>
      <c r="AZ2" s="1931" t="s">
        <v>1571</v>
      </c>
      <c r="BA2" s="1928" t="s">
        <v>1572</v>
      </c>
      <c r="BB2" s="1919" t="s">
        <v>370</v>
      </c>
    </row>
  </sheetData>
  <autoFilter ref="A2:AP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F0D9"/>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F14" activeCellId="0" sqref="F14"/>
    </sheetView>
  </sheetViews>
  <sheetFormatPr defaultColWidth="14.25390625" defaultRowHeight="15" zeroHeight="false" outlineLevelRow="0" outlineLevelCol="0"/>
  <cols>
    <col collapsed="false" customWidth="true" hidden="false" outlineLevel="0" max="2" min="1" style="932" width="3.25"/>
    <col collapsed="false" customWidth="true" hidden="false" outlineLevel="0" max="3" min="3" style="931" width="17.12"/>
    <col collapsed="false" customWidth="true" hidden="false" outlineLevel="0" max="5" min="4" style="934" width="5.88"/>
    <col collapsed="false" customWidth="true" hidden="false" outlineLevel="0" max="6" min="6" style="932" width="54.62"/>
    <col collapsed="false" customWidth="true" hidden="false" outlineLevel="0" max="7" min="7" style="932" width="81.37"/>
    <col collapsed="false" customWidth="true" hidden="false" outlineLevel="0" max="57" min="8" style="932" width="9"/>
    <col collapsed="false" customWidth="false" hidden="false" outlineLevel="0" max="16384" min="58" style="932" width="14.25"/>
  </cols>
  <sheetData>
    <row r="1" customFormat="false" ht="15" hidden="false" customHeight="false" outlineLevel="0" collapsed="false">
      <c r="G1" s="1911" t="s">
        <v>1851</v>
      </c>
    </row>
    <row r="2" s="1932" customFormat="true" ht="83.55" hidden="false" customHeight="false" outlineLevel="0" collapsed="false">
      <c r="A2" s="2456" t="s">
        <v>2231</v>
      </c>
      <c r="B2" s="2456" t="s">
        <v>2232</v>
      </c>
      <c r="C2" s="1912" t="s">
        <v>1909</v>
      </c>
      <c r="D2" s="1912" t="s">
        <v>1910</v>
      </c>
      <c r="E2" s="1912" t="s">
        <v>1911</v>
      </c>
      <c r="F2" s="1912" t="s">
        <v>757</v>
      </c>
      <c r="G2" s="1919" t="s">
        <v>1874</v>
      </c>
    </row>
    <row r="3" customFormat="false" ht="61.15" hidden="false" customHeight="false" outlineLevel="0" collapsed="false">
      <c r="A3" s="965"/>
      <c r="B3" s="965"/>
      <c r="C3" s="2457" t="s">
        <v>2233</v>
      </c>
      <c r="D3" s="1669" t="s">
        <v>2234</v>
      </c>
      <c r="E3" s="1669" t="s">
        <v>2234</v>
      </c>
      <c r="F3" s="965" t="s">
        <v>2235</v>
      </c>
      <c r="G3" s="2458" t="s">
        <v>2236</v>
      </c>
    </row>
    <row r="4" customFormat="false" ht="18" hidden="false" customHeight="true" outlineLevel="0" collapsed="false">
      <c r="A4" s="965"/>
      <c r="B4" s="965"/>
      <c r="C4" s="1746"/>
      <c r="D4" s="1981"/>
      <c r="E4" s="1981"/>
      <c r="F4" s="965"/>
    </row>
    <row r="5" customFormat="false" ht="18" hidden="false" customHeight="true" outlineLevel="0" collapsed="false">
      <c r="A5" s="965"/>
      <c r="B5" s="965"/>
      <c r="C5" s="1746"/>
      <c r="D5" s="1981"/>
      <c r="E5" s="1981"/>
      <c r="F5" s="965"/>
    </row>
    <row r="6" customFormat="false" ht="18" hidden="false" customHeight="true" outlineLevel="0" collapsed="false">
      <c r="A6" s="965"/>
      <c r="B6" s="965"/>
      <c r="C6" s="1746"/>
      <c r="D6" s="1981"/>
      <c r="E6" s="1981"/>
      <c r="F6" s="965"/>
    </row>
    <row r="7" customFormat="false" ht="18" hidden="false" customHeight="true" outlineLevel="0" collapsed="false">
      <c r="A7" s="965"/>
      <c r="B7" s="965"/>
      <c r="C7" s="1989"/>
      <c r="D7" s="1669"/>
      <c r="E7" s="1669"/>
      <c r="F7" s="1990"/>
    </row>
    <row r="8" customFormat="false" ht="18" hidden="false" customHeight="true" outlineLevel="0" collapsed="false">
      <c r="A8" s="965"/>
      <c r="B8" s="965"/>
      <c r="C8" s="1989"/>
      <c r="D8" s="1669"/>
      <c r="E8" s="1669"/>
      <c r="F8" s="965"/>
    </row>
    <row r="9" customFormat="false" ht="14.25" hidden="false" customHeight="true" outlineLevel="0" collapsed="false"/>
    <row r="11" customFormat="false" ht="16.5" hidden="false" customHeight="true" outlineLevel="0" collapsed="false"/>
  </sheetData>
  <autoFilter ref="A2:F8"/>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G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AZ60" activePane="bottomRight" state="frozen"/>
      <selection pane="topLeft" activeCell="A1" activeCellId="0" sqref="A1"/>
      <selection pane="topRight" activeCell="AZ1" activeCellId="0" sqref="AZ1"/>
      <selection pane="bottomLeft" activeCell="A60" activeCellId="0" sqref="A60"/>
      <selection pane="bottomRight" activeCell="S63" activeCellId="0" sqref="S63"/>
    </sheetView>
  </sheetViews>
  <sheetFormatPr defaultColWidth="14.25390625" defaultRowHeight="15" zeroHeight="false" outlineLevelRow="0" outlineLevelCol="0"/>
  <cols>
    <col collapsed="false" customWidth="true" hidden="false" outlineLevel="0" max="1" min="1" style="932" width="21.12"/>
    <col collapsed="false" customWidth="true" hidden="false" outlineLevel="0" max="2" min="2" style="931" width="28.12"/>
    <col collapsed="false" customWidth="true" hidden="false" outlineLevel="0" max="3" min="3" style="932" width="54.62"/>
    <col collapsed="false" customWidth="true" hidden="false" outlineLevel="0" max="4" min="4" style="932" width="30.25"/>
    <col collapsed="false" customWidth="true" hidden="false" outlineLevel="0" max="5" min="5" style="932" width="19.88"/>
    <col collapsed="false" customWidth="true" hidden="false" outlineLevel="0" max="6" min="6" style="932" width="15.63"/>
    <col collapsed="false" customWidth="true" hidden="false" outlineLevel="0" max="7" min="7" style="932" width="7.75"/>
    <col collapsed="false" customWidth="true" hidden="false" outlineLevel="0" max="8" min="8" style="939" width="6.63"/>
    <col collapsed="false" customWidth="true" hidden="false" outlineLevel="0" max="9" min="9" style="939" width="15.88"/>
    <col collapsed="false" customWidth="true" hidden="false" outlineLevel="0" max="10" min="10" style="940" width="12.75"/>
    <col collapsed="false" customWidth="true" hidden="false" outlineLevel="0" max="11" min="11" style="940" width="13.12"/>
    <col collapsed="false" customWidth="true" hidden="false" outlineLevel="0" max="12" min="12" style="934" width="12.25"/>
    <col collapsed="false" customWidth="true" hidden="false" outlineLevel="0" max="13" min="13" style="934" width="8.88"/>
    <col collapsed="false" customWidth="true" hidden="false" outlineLevel="0" max="14" min="14" style="932" width="11.12"/>
    <col collapsed="false" customWidth="true" hidden="false" outlineLevel="0" max="15" min="15" style="934" width="9.62"/>
    <col collapsed="false" customWidth="true" hidden="false" outlineLevel="0" max="16" min="16" style="940" width="10.12"/>
    <col collapsed="false" customWidth="true" hidden="false" outlineLevel="0" max="17" min="17" style="940" width="10.88"/>
    <col collapsed="false" customWidth="true" hidden="false" outlineLevel="0" max="18" min="18" style="940" width="12"/>
    <col collapsed="false" customWidth="true" hidden="false" outlineLevel="0" max="19" min="19" style="1638" width="15.25"/>
    <col collapsed="false" customWidth="true" hidden="false" outlineLevel="0" max="20" min="20" style="934" width="19.25"/>
    <col collapsed="false" customWidth="true" hidden="false" outlineLevel="0" max="22" min="21" style="934" width="12.25"/>
    <col collapsed="false" customWidth="true" hidden="false" outlineLevel="0" max="23" min="23" style="934" width="17.25"/>
    <col collapsed="false" customWidth="true" hidden="false" outlineLevel="0" max="24" min="24" style="934" width="11"/>
    <col collapsed="false" customWidth="false" hidden="false" outlineLevel="0" max="25" min="25" style="934" width="14.25"/>
    <col collapsed="false" customWidth="true" hidden="false" outlineLevel="0" max="26" min="26" style="1638" width="13.37"/>
    <col collapsed="false" customWidth="true" hidden="false" outlineLevel="0" max="27" min="27" style="1639" width="14"/>
    <col collapsed="false" customWidth="true" hidden="false" outlineLevel="0" max="28" min="28" style="1639" width="14.37"/>
    <col collapsed="false" customWidth="true" hidden="false" outlineLevel="0" max="29" min="29" style="1639" width="13.88"/>
    <col collapsed="false" customWidth="true" hidden="false" outlineLevel="0" max="30" min="30" style="934" width="15.37"/>
    <col collapsed="false" customWidth="true" hidden="false" outlineLevel="0" max="31" min="31" style="1641" width="11"/>
    <col collapsed="false" customWidth="true" hidden="false" outlineLevel="0" max="32" min="32" style="934" width="10.75"/>
    <col collapsed="false" customWidth="true" hidden="false" outlineLevel="0" max="33" min="33" style="934" width="14.37"/>
    <col collapsed="false" customWidth="true" hidden="false" outlineLevel="0" max="34" min="34" style="934" width="7.63"/>
    <col collapsed="false" customWidth="true" hidden="false" outlineLevel="0" max="35" min="35" style="934" width="15"/>
    <col collapsed="false" customWidth="true" hidden="false" outlineLevel="0" max="36" min="36" style="934" width="12.75"/>
    <col collapsed="false" customWidth="true" hidden="false" outlineLevel="0" max="37" min="37" style="934" width="18.88"/>
    <col collapsed="false" customWidth="true" hidden="false" outlineLevel="0" max="38" min="38" style="917" width="16.63"/>
    <col collapsed="false" customWidth="true" hidden="false" outlineLevel="0" max="41" min="39" style="917" width="11.62"/>
    <col collapsed="false" customWidth="true" hidden="false" outlineLevel="0" max="46" min="42" style="917" width="13.88"/>
    <col collapsed="false" customWidth="true" hidden="false" outlineLevel="0" max="47" min="47" style="917" width="8.12"/>
    <col collapsed="false" customWidth="true" hidden="false" outlineLevel="0" max="48" min="48" style="935" width="13.12"/>
    <col collapsed="false" customWidth="true" hidden="false" outlineLevel="0" max="49" min="49" style="935" width="17"/>
    <col collapsed="false" customWidth="true" hidden="false" outlineLevel="0" max="50" min="50" style="935" width="14.88"/>
    <col collapsed="false" customWidth="true" hidden="false" outlineLevel="0" max="51" min="51" style="935" width="16"/>
    <col collapsed="false" customWidth="true" hidden="false" outlineLevel="0" max="52" min="52" style="935" width="11.75"/>
    <col collapsed="false" customWidth="true" hidden="false" outlineLevel="0" max="53" min="53" style="934" width="11.25"/>
    <col collapsed="false" customWidth="true" hidden="false" outlineLevel="0" max="54" min="54" style="932" width="29.75"/>
    <col collapsed="false" customWidth="false" hidden="false" outlineLevel="0" max="16384" min="55" style="932" width="14.25"/>
  </cols>
  <sheetData>
    <row r="1" customFormat="false" ht="15" hidden="false" customHeight="false" outlineLevel="0" collapsed="false">
      <c r="F1" s="932" t="s">
        <v>71</v>
      </c>
      <c r="L1" s="940"/>
      <c r="M1" s="1908"/>
      <c r="N1" s="941"/>
      <c r="P1" s="1644" t="s">
        <v>750</v>
      </c>
      <c r="Q1" s="943"/>
      <c r="R1" s="943"/>
      <c r="S1" s="943"/>
      <c r="T1" s="943"/>
      <c r="U1" s="1909"/>
      <c r="V1" s="943"/>
      <c r="W1" s="943"/>
      <c r="X1" s="943"/>
      <c r="Y1" s="943"/>
      <c r="Z1" s="1645" t="s">
        <v>751</v>
      </c>
      <c r="AA1" s="1647"/>
      <c r="AB1" s="1646"/>
      <c r="AC1" s="1647"/>
      <c r="AD1" s="1647"/>
      <c r="AE1" s="1647"/>
      <c r="AF1" s="1647"/>
      <c r="AG1" s="1649"/>
      <c r="AH1" s="1910" t="s">
        <v>1540</v>
      </c>
      <c r="AI1" s="947" t="s">
        <v>753</v>
      </c>
      <c r="AJ1" s="948"/>
      <c r="AK1" s="948"/>
      <c r="AL1" s="948"/>
      <c r="AM1" s="948"/>
      <c r="AN1" s="948"/>
      <c r="AO1" s="1652"/>
      <c r="AP1" s="947" t="s">
        <v>1850</v>
      </c>
      <c r="AQ1" s="948"/>
      <c r="AR1" s="948"/>
      <c r="AS1" s="948"/>
      <c r="AT1" s="948"/>
      <c r="AU1" s="948"/>
      <c r="AV1" s="948"/>
      <c r="AW1" s="948"/>
      <c r="AX1" s="1652"/>
      <c r="AY1" s="947" t="s">
        <v>1542</v>
      </c>
      <c r="AZ1" s="948"/>
      <c r="BA1" s="948"/>
      <c r="BB1" s="948"/>
      <c r="BC1" s="948"/>
      <c r="BD1" s="948"/>
      <c r="BE1" s="1652"/>
    </row>
    <row r="2" s="1932" customFormat="true" ht="83.55" hidden="false" customHeight="false" outlineLevel="0" collapsed="false">
      <c r="A2" s="2456"/>
      <c r="B2" s="1912" t="s">
        <v>1852</v>
      </c>
      <c r="C2" s="1912" t="s">
        <v>757</v>
      </c>
      <c r="D2" s="1912" t="s">
        <v>758</v>
      </c>
      <c r="E2" s="1912" t="s">
        <v>1543</v>
      </c>
      <c r="F2" s="1913" t="s">
        <v>766</v>
      </c>
      <c r="G2" s="1914" t="s">
        <v>1853</v>
      </c>
      <c r="H2" s="1914" t="s">
        <v>1854</v>
      </c>
      <c r="I2" s="1914" t="s">
        <v>1545</v>
      </c>
      <c r="J2" s="1912" t="s">
        <v>769</v>
      </c>
      <c r="K2" s="1915" t="s">
        <v>770</v>
      </c>
      <c r="L2" s="1915" t="s">
        <v>771</v>
      </c>
      <c r="M2" s="1916" t="s">
        <v>1855</v>
      </c>
      <c r="N2" s="1912" t="s">
        <v>772</v>
      </c>
      <c r="O2" s="1912" t="s">
        <v>773</v>
      </c>
      <c r="P2" s="1917" t="s">
        <v>1856</v>
      </c>
      <c r="Q2" s="1918" t="s">
        <v>1857</v>
      </c>
      <c r="R2" s="1918" t="s">
        <v>1858</v>
      </c>
      <c r="S2" s="1918" t="s">
        <v>1859</v>
      </c>
      <c r="T2" s="1918" t="s">
        <v>1860</v>
      </c>
      <c r="U2" s="1918" t="s">
        <v>1546</v>
      </c>
      <c r="V2" s="1918" t="s">
        <v>1861</v>
      </c>
      <c r="W2" s="1918" t="s">
        <v>1862</v>
      </c>
      <c r="X2" s="1916" t="s">
        <v>1862</v>
      </c>
      <c r="Y2" s="1918" t="s">
        <v>776</v>
      </c>
      <c r="Z2" s="1917" t="s">
        <v>1548</v>
      </c>
      <c r="AA2" s="1918" t="s">
        <v>1549</v>
      </c>
      <c r="AB2" s="1918" t="s">
        <v>1550</v>
      </c>
      <c r="AC2" s="1918" t="s">
        <v>1551</v>
      </c>
      <c r="AD2" s="1918" t="s">
        <v>1552</v>
      </c>
      <c r="AE2" s="1918" t="s">
        <v>1553</v>
      </c>
      <c r="AF2" s="1918" t="s">
        <v>1555</v>
      </c>
      <c r="AG2" s="1919" t="s">
        <v>1863</v>
      </c>
      <c r="AH2" s="1920" t="s">
        <v>306</v>
      </c>
      <c r="AI2" s="1921" t="s">
        <v>1557</v>
      </c>
      <c r="AJ2" s="1922" t="s">
        <v>1912</v>
      </c>
      <c r="AK2" s="1922" t="s">
        <v>1559</v>
      </c>
      <c r="AL2" s="1923" t="s">
        <v>1865</v>
      </c>
      <c r="AM2" s="1923" t="s">
        <v>1562</v>
      </c>
      <c r="AN2" s="1924" t="s">
        <v>1563</v>
      </c>
      <c r="AO2" s="1925" t="s">
        <v>1564</v>
      </c>
      <c r="AP2" s="1926" t="s">
        <v>1565</v>
      </c>
      <c r="AQ2" s="1926" t="s">
        <v>1866</v>
      </c>
      <c r="AR2" s="1926" t="s">
        <v>1567</v>
      </c>
      <c r="AS2" s="1926" t="s">
        <v>571</v>
      </c>
      <c r="AT2" s="1927" t="s">
        <v>1867</v>
      </c>
      <c r="AU2" s="1927" t="s">
        <v>1868</v>
      </c>
      <c r="AV2" s="1927" t="s">
        <v>1869</v>
      </c>
      <c r="AW2" s="1927" t="s">
        <v>1870</v>
      </c>
      <c r="AX2" s="1927" t="s">
        <v>1871</v>
      </c>
      <c r="AY2" s="1928" t="s">
        <v>1568</v>
      </c>
      <c r="AZ2" s="1929" t="s">
        <v>1872</v>
      </c>
      <c r="BA2" s="1930" t="s">
        <v>1570</v>
      </c>
      <c r="BB2" s="1931" t="s">
        <v>1571</v>
      </c>
      <c r="BC2" s="1928" t="s">
        <v>1873</v>
      </c>
      <c r="BD2" s="1928" t="s">
        <v>1572</v>
      </c>
      <c r="BE2" s="1919" t="s">
        <v>370</v>
      </c>
    </row>
    <row r="3" s="2463" customFormat="true" ht="18" hidden="false" customHeight="true" outlineLevel="0" collapsed="false">
      <c r="A3" s="2459"/>
      <c r="B3" s="2460" t="s">
        <v>2237</v>
      </c>
      <c r="C3" s="2461" t="s">
        <v>2238</v>
      </c>
      <c r="D3" s="2462" t="s">
        <v>2239</v>
      </c>
      <c r="E3" s="2463" t="s">
        <v>2240</v>
      </c>
      <c r="F3" s="2464"/>
      <c r="G3" s="2464"/>
      <c r="H3" s="2465"/>
      <c r="I3" s="2466" t="s">
        <v>966</v>
      </c>
      <c r="J3" s="2466" t="s">
        <v>966</v>
      </c>
      <c r="K3" s="2466"/>
      <c r="L3" s="2467"/>
      <c r="M3" s="2467"/>
      <c r="N3" s="2468"/>
      <c r="O3" s="2467"/>
      <c r="P3" s="2466"/>
      <c r="Q3" s="2466"/>
      <c r="R3" s="2466"/>
      <c r="S3" s="2467"/>
      <c r="T3" s="2467"/>
      <c r="U3" s="2469" t="n">
        <f aca="false">20000000*180</f>
        <v>3600000000</v>
      </c>
      <c r="V3" s="2466"/>
      <c r="W3" s="2467"/>
      <c r="X3" s="2467"/>
      <c r="Y3" s="2470" t="s">
        <v>301</v>
      </c>
      <c r="Z3" s="2471"/>
      <c r="AA3" s="2470" t="s">
        <v>402</v>
      </c>
      <c r="AB3" s="2472" t="n">
        <f aca="false">(AG3/3.305)*AC3*1.8</f>
        <v>97764562.7836611</v>
      </c>
      <c r="AC3" s="2473" t="n">
        <v>9800</v>
      </c>
      <c r="AD3" s="2474" t="n">
        <f aca="false">42500*1470</f>
        <v>62475000</v>
      </c>
      <c r="AE3" s="2473" t="n">
        <f aca="false">AD3/AG3*3.305</f>
        <v>11272.5814816837</v>
      </c>
      <c r="AF3" s="2470" t="s">
        <v>2241</v>
      </c>
      <c r="AG3" s="2469" t="n">
        <f aca="false">12363+5954</f>
        <v>18317</v>
      </c>
      <c r="AH3" s="2467"/>
      <c r="AI3" s="2467"/>
      <c r="AJ3" s="2467"/>
      <c r="AK3" s="2467"/>
      <c r="AL3" s="2475"/>
      <c r="AM3" s="2475"/>
      <c r="AN3" s="2475"/>
      <c r="AO3" s="2475"/>
      <c r="AP3" s="2476" t="n">
        <v>89100000</v>
      </c>
      <c r="AQ3" s="2477" t="s">
        <v>609</v>
      </c>
      <c r="AR3" s="2476" t="n">
        <v>95400000</v>
      </c>
      <c r="AS3" s="2476" t="n">
        <v>2035006182</v>
      </c>
      <c r="AT3" s="2475"/>
      <c r="AU3" s="2475"/>
      <c r="AV3" s="2464"/>
      <c r="AW3" s="2478"/>
      <c r="AX3" s="2467"/>
      <c r="AY3" s="2467"/>
      <c r="AZ3" s="2467"/>
      <c r="BA3" s="2467"/>
      <c r="BB3" s="2479"/>
      <c r="BD3" s="2470" t="s">
        <v>1586</v>
      </c>
    </row>
    <row r="4" customFormat="false" ht="18" hidden="false" customHeight="true" outlineLevel="0" collapsed="false">
      <c r="A4" s="2480" t="s">
        <v>2242</v>
      </c>
      <c r="B4" s="2460" t="s">
        <v>2243</v>
      </c>
      <c r="C4" s="2461" t="s">
        <v>2244</v>
      </c>
      <c r="D4" s="2462" t="s">
        <v>2245</v>
      </c>
      <c r="E4" s="2481" t="s">
        <v>2246</v>
      </c>
      <c r="F4" s="2482"/>
      <c r="G4" s="2482"/>
      <c r="H4" s="2483"/>
      <c r="I4" s="2484" t="n">
        <v>45754</v>
      </c>
      <c r="J4" s="2484" t="n">
        <v>45783</v>
      </c>
      <c r="K4" s="2484" t="s">
        <v>1576</v>
      </c>
      <c r="L4" s="2484" t="s">
        <v>966</v>
      </c>
      <c r="M4" s="2485"/>
      <c r="N4" s="2486"/>
      <c r="O4" s="2481" t="n">
        <v>1</v>
      </c>
      <c r="P4" s="2487"/>
      <c r="Q4" s="2481"/>
      <c r="R4" s="2486"/>
      <c r="S4" s="2486"/>
      <c r="T4" s="2486"/>
      <c r="U4" s="2488" t="n">
        <f aca="false">20000000*999.92</f>
        <v>19998400000</v>
      </c>
      <c r="V4" s="1820" t="n">
        <v>5</v>
      </c>
      <c r="W4" s="2486"/>
      <c r="X4" s="2481"/>
      <c r="Y4" s="2481" t="s">
        <v>1316</v>
      </c>
      <c r="Z4" s="2481" t="s">
        <v>362</v>
      </c>
      <c r="AA4" s="2481" t="s">
        <v>362</v>
      </c>
      <c r="AB4" s="2489" t="n">
        <f aca="false">(AH4/3.305)*AC4*1.8</f>
        <v>177788387.796236</v>
      </c>
      <c r="AC4" s="2490" t="n">
        <f aca="false">6640*3.3058*1.8</f>
        <v>39510.9216</v>
      </c>
      <c r="AD4" s="2491" t="n">
        <f aca="false">20000000</f>
        <v>20000000</v>
      </c>
      <c r="AE4" s="2490" t="n">
        <f aca="false">AD4/AH4*3.3058</f>
        <v>8002.42072137497</v>
      </c>
      <c r="AF4" s="2490"/>
      <c r="AG4" s="2481" t="s">
        <v>1579</v>
      </c>
      <c r="AH4" s="2488" t="n">
        <v>8262</v>
      </c>
      <c r="AI4" s="2481" t="s">
        <v>1580</v>
      </c>
      <c r="AJ4" s="2481" t="s">
        <v>1580</v>
      </c>
      <c r="AK4" s="2481" t="s">
        <v>1580</v>
      </c>
      <c r="AL4" s="2481"/>
      <c r="AM4" s="2481" t="s">
        <v>1580</v>
      </c>
      <c r="AN4" s="2481" t="s">
        <v>121</v>
      </c>
      <c r="AO4" s="2481" t="s">
        <v>1582</v>
      </c>
      <c r="AP4" s="2492" t="n">
        <v>400000000</v>
      </c>
      <c r="AQ4" s="2476" t="n">
        <v>18230304</v>
      </c>
      <c r="AR4" s="2477" t="s">
        <v>609</v>
      </c>
      <c r="AS4" s="2493" t="n">
        <f aca="false">+BA4/(SUM($BA$11:$BA$23)+SUM($BA$29:$BA$33))*2906550000</f>
        <v>492884394.434033</v>
      </c>
      <c r="AT4" s="2476" t="n">
        <v>1018668553</v>
      </c>
      <c r="AU4" s="2475"/>
      <c r="AV4" s="2475"/>
      <c r="AW4" s="2494"/>
      <c r="AX4" s="2475"/>
      <c r="AY4" s="2475"/>
      <c r="AZ4" s="2464"/>
      <c r="BA4" s="2495" t="n">
        <v>999.92</v>
      </c>
      <c r="BB4" s="2496" t="n">
        <f aca="false">3.6*365*999.92*0.98</f>
        <v>1287616.9824</v>
      </c>
      <c r="BC4" s="2481" t="s">
        <v>2247</v>
      </c>
      <c r="BD4" s="2481" t="s">
        <v>2247</v>
      </c>
      <c r="BE4" s="2497"/>
      <c r="BF4" s="2481" t="s">
        <v>1586</v>
      </c>
      <c r="BG4" s="2463"/>
    </row>
    <row r="5" customFormat="false" ht="18" hidden="false" customHeight="true" outlineLevel="0" collapsed="false">
      <c r="A5" s="2480"/>
      <c r="B5" s="2460" t="s">
        <v>2248</v>
      </c>
      <c r="C5" s="2461" t="s">
        <v>2249</v>
      </c>
      <c r="D5" s="2462" t="s">
        <v>2250</v>
      </c>
      <c r="E5" s="2481" t="s">
        <v>2251</v>
      </c>
      <c r="F5" s="2482"/>
      <c r="G5" s="2482"/>
      <c r="H5" s="2483"/>
      <c r="I5" s="2484" t="n">
        <v>45754</v>
      </c>
      <c r="J5" s="2484" t="n">
        <v>45783</v>
      </c>
      <c r="K5" s="2484" t="s">
        <v>1576</v>
      </c>
      <c r="L5" s="2484" t="s">
        <v>966</v>
      </c>
      <c r="M5" s="2485"/>
      <c r="N5" s="2486"/>
      <c r="O5" s="2481" t="n">
        <v>2</v>
      </c>
      <c r="P5" s="2487"/>
      <c r="Q5" s="2481"/>
      <c r="R5" s="2486"/>
      <c r="S5" s="2486"/>
      <c r="T5" s="2486"/>
      <c r="U5" s="2488" t="n">
        <f aca="false">20000000*698.32</f>
        <v>13966400000</v>
      </c>
      <c r="V5" s="1820" t="n">
        <v>5</v>
      </c>
      <c r="W5" s="2486"/>
      <c r="X5" s="2481"/>
      <c r="Y5" s="2481" t="s">
        <v>1316</v>
      </c>
      <c r="Z5" s="2481" t="s">
        <v>362</v>
      </c>
      <c r="AA5" s="2481" t="s">
        <v>362</v>
      </c>
      <c r="AB5" s="2489" t="n">
        <f aca="false">(AH5/3.305)*AC5*1.8</f>
        <v>123614400.950415</v>
      </c>
      <c r="AC5" s="2490" t="n">
        <f aca="false">8560*3.3058*1.8</f>
        <v>50935.7664</v>
      </c>
      <c r="AD5" s="2491" t="n">
        <v>20000000</v>
      </c>
      <c r="AE5" s="2490" t="n">
        <f aca="false">AD5/AH5*3.3058</f>
        <v>14837.5224416517</v>
      </c>
      <c r="AF5" s="2490"/>
      <c r="AG5" s="2481" t="s">
        <v>1579</v>
      </c>
      <c r="AH5" s="2488" t="n">
        <v>4456</v>
      </c>
      <c r="AI5" s="2481" t="s">
        <v>1580</v>
      </c>
      <c r="AJ5" s="2481" t="s">
        <v>1580</v>
      </c>
      <c r="AK5" s="2481" t="s">
        <v>1580</v>
      </c>
      <c r="AL5" s="2481"/>
      <c r="AM5" s="2481" t="s">
        <v>1580</v>
      </c>
      <c r="AN5" s="2481" t="s">
        <v>121</v>
      </c>
      <c r="AO5" s="2481" t="s">
        <v>1582</v>
      </c>
      <c r="AP5" s="2492" t="n">
        <v>400000000</v>
      </c>
      <c r="AQ5" s="2476" t="n">
        <v>9104578</v>
      </c>
      <c r="AR5" s="2477" t="s">
        <v>609</v>
      </c>
      <c r="AS5" s="2493" t="n">
        <f aca="false">+BA5/(SUM($BA$11:$BA$23)+SUM($BA$29:$BA$33))*2906550000</f>
        <v>246156301.396579</v>
      </c>
      <c r="AT5" s="2476" t="n">
        <v>508743401</v>
      </c>
      <c r="AU5" s="2475"/>
      <c r="AV5" s="2475"/>
      <c r="AW5" s="2494"/>
      <c r="AX5" s="2475"/>
      <c r="AY5" s="2475"/>
      <c r="AZ5" s="2464"/>
      <c r="BA5" s="2495" t="n">
        <v>499.38</v>
      </c>
      <c r="BB5" s="2496" t="n">
        <f aca="false">3.6*365*499.38*0.98</f>
        <v>643061.6136</v>
      </c>
      <c r="BC5" s="2481" t="s">
        <v>2252</v>
      </c>
      <c r="BD5" s="2481" t="s">
        <v>2252</v>
      </c>
      <c r="BE5" s="2497"/>
      <c r="BF5" s="2481" t="s">
        <v>1586</v>
      </c>
      <c r="BG5" s="2463"/>
    </row>
    <row r="6" customFormat="false" ht="18" hidden="false" customHeight="true" outlineLevel="0" collapsed="false">
      <c r="A6" s="2480"/>
      <c r="B6" s="2460" t="s">
        <v>2253</v>
      </c>
      <c r="C6" s="2461" t="s">
        <v>2254</v>
      </c>
      <c r="D6" s="2462" t="s">
        <v>2255</v>
      </c>
      <c r="E6" s="2481" t="s">
        <v>2256</v>
      </c>
      <c r="F6" s="2482"/>
      <c r="G6" s="2482"/>
      <c r="H6" s="2483"/>
      <c r="I6" s="2484" t="n">
        <v>45754</v>
      </c>
      <c r="J6" s="2484" t="n">
        <v>45783</v>
      </c>
      <c r="K6" s="2484" t="s">
        <v>1576</v>
      </c>
      <c r="L6" s="2484" t="s">
        <v>966</v>
      </c>
      <c r="M6" s="2485"/>
      <c r="N6" s="2486"/>
      <c r="O6" s="2481" t="n">
        <v>7</v>
      </c>
      <c r="P6" s="2487"/>
      <c r="Q6" s="2481"/>
      <c r="R6" s="2486"/>
      <c r="S6" s="2486"/>
      <c r="T6" s="2486"/>
      <c r="U6" s="2488" t="n">
        <f aca="false">20000000*698.32</f>
        <v>13966400000</v>
      </c>
      <c r="V6" s="1820" t="n">
        <v>5</v>
      </c>
      <c r="W6" s="2486"/>
      <c r="X6" s="2481"/>
      <c r="Y6" s="2481" t="s">
        <v>1316</v>
      </c>
      <c r="Z6" s="2481" t="s">
        <v>362</v>
      </c>
      <c r="AA6" s="2481" t="s">
        <v>362</v>
      </c>
      <c r="AB6" s="2489" t="n">
        <f aca="false">(AH6/3.305)*AC6*1.8</f>
        <v>222215806.70323</v>
      </c>
      <c r="AC6" s="2490" t="n">
        <f aca="false">6356*3.3058*1.8</f>
        <v>37820.99664</v>
      </c>
      <c r="AD6" s="2491" t="n">
        <v>20000000</v>
      </c>
      <c r="AE6" s="2490" t="n">
        <f aca="false">AD6/AH6*3.3058</f>
        <v>6128.66147571376</v>
      </c>
      <c r="AF6" s="2490"/>
      <c r="AG6" s="2481" t="s">
        <v>1579</v>
      </c>
      <c r="AH6" s="2488" t="n">
        <v>10788</v>
      </c>
      <c r="AI6" s="2481" t="s">
        <v>1580</v>
      </c>
      <c r="AJ6" s="2481" t="s">
        <v>1580</v>
      </c>
      <c r="AK6" s="2481" t="s">
        <v>1580</v>
      </c>
      <c r="AL6" s="2481"/>
      <c r="AM6" s="2481" t="s">
        <v>1580</v>
      </c>
      <c r="AN6" s="2481" t="s">
        <v>121</v>
      </c>
      <c r="AO6" s="2481" t="s">
        <v>1582</v>
      </c>
      <c r="AP6" s="2492" t="n">
        <v>400000000</v>
      </c>
      <c r="AQ6" s="2476" t="n">
        <v>12731604</v>
      </c>
      <c r="AR6" s="2477" t="s">
        <v>609</v>
      </c>
      <c r="AS6" s="2493" t="n">
        <f aca="false">+BA6/(SUM($BA$11:$BA$23)+SUM($BA$29:$BA$33))*2906550000</f>
        <v>344218567.806599</v>
      </c>
      <c r="AT6" s="2476" t="n">
        <v>711413537</v>
      </c>
      <c r="AU6" s="2475"/>
      <c r="AV6" s="2475"/>
      <c r="AW6" s="2494"/>
      <c r="AX6" s="2475"/>
      <c r="AY6" s="2475"/>
      <c r="AZ6" s="2464"/>
      <c r="BA6" s="2495" t="n">
        <v>698.32</v>
      </c>
      <c r="BB6" s="2496" t="n">
        <f aca="false">3.6*365*698.32*0.98</f>
        <v>899240.6304</v>
      </c>
      <c r="BC6" s="2481" t="s">
        <v>2257</v>
      </c>
      <c r="BD6" s="2481" t="s">
        <v>2257</v>
      </c>
      <c r="BE6" s="2497"/>
      <c r="BF6" s="2481" t="s">
        <v>1586</v>
      </c>
      <c r="BG6" s="2463"/>
    </row>
    <row r="7" customFormat="false" ht="18" hidden="false" customHeight="true" outlineLevel="0" collapsed="false">
      <c r="A7" s="2480"/>
      <c r="B7" s="2460" t="s">
        <v>2258</v>
      </c>
      <c r="C7" s="2461" t="s">
        <v>2259</v>
      </c>
      <c r="D7" s="2462" t="s">
        <v>2260</v>
      </c>
      <c r="E7" s="2481" t="s">
        <v>2261</v>
      </c>
      <c r="F7" s="2482"/>
      <c r="G7" s="2482"/>
      <c r="H7" s="2483"/>
      <c r="I7" s="2484" t="n">
        <v>45754</v>
      </c>
      <c r="J7" s="2484" t="n">
        <v>45783</v>
      </c>
      <c r="K7" s="2484" t="s">
        <v>1576</v>
      </c>
      <c r="L7" s="2484" t="s">
        <v>966</v>
      </c>
      <c r="M7" s="2485"/>
      <c r="N7" s="2486"/>
      <c r="O7" s="2481" t="n">
        <v>5</v>
      </c>
      <c r="P7" s="2487"/>
      <c r="Q7" s="2481"/>
      <c r="R7" s="2486"/>
      <c r="S7" s="2486"/>
      <c r="T7" s="2486"/>
      <c r="U7" s="2488" t="n">
        <f aca="false">20000000*469.04</f>
        <v>9380800000</v>
      </c>
      <c r="V7" s="1820" t="n">
        <v>5</v>
      </c>
      <c r="W7" s="2486"/>
      <c r="X7" s="2481"/>
      <c r="Y7" s="2481" t="s">
        <v>794</v>
      </c>
      <c r="Z7" s="2481" t="s">
        <v>362</v>
      </c>
      <c r="AA7" s="2481" t="s">
        <v>362</v>
      </c>
      <c r="AB7" s="2489" t="n">
        <f aca="false">(AH7/3.305)*AC7*1.8</f>
        <v>154847070.422415</v>
      </c>
      <c r="AC7" s="2490" t="n">
        <f aca="false">7937*3.3058*1.8</f>
        <v>47228.64228</v>
      </c>
      <c r="AD7" s="2491" t="n">
        <v>20000000</v>
      </c>
      <c r="AE7" s="2490" t="n">
        <f aca="false">AD7/AH7*3.3058</f>
        <v>10982.7242524917</v>
      </c>
      <c r="AF7" s="2490"/>
      <c r="AG7" s="2481" t="s">
        <v>1579</v>
      </c>
      <c r="AH7" s="2488" t="n">
        <v>6020</v>
      </c>
      <c r="AI7" s="2481" t="s">
        <v>1580</v>
      </c>
      <c r="AJ7" s="2481" t="s">
        <v>1580</v>
      </c>
      <c r="AK7" s="2481" t="s">
        <v>1580</v>
      </c>
      <c r="AL7" s="2481"/>
      <c r="AM7" s="2481" t="s">
        <v>1580</v>
      </c>
      <c r="AN7" s="2481" t="s">
        <v>121</v>
      </c>
      <c r="AO7" s="2481" t="s">
        <v>1582</v>
      </c>
      <c r="AP7" s="2492" t="n">
        <v>400000000</v>
      </c>
      <c r="AQ7" s="2476" t="n">
        <v>8551426</v>
      </c>
      <c r="AR7" s="2477" t="s">
        <v>609</v>
      </c>
      <c r="AS7" s="2493" t="n">
        <f aca="false">+BA7/(SUM($BA$11:$BA$23)+SUM($BA$29:$BA$33))*2906550000</f>
        <v>231200992.444735</v>
      </c>
      <c r="AT7" s="2476" t="n">
        <v>477834525</v>
      </c>
      <c r="AU7" s="2475"/>
      <c r="AV7" s="2475"/>
      <c r="AW7" s="2494"/>
      <c r="AX7" s="2475"/>
      <c r="AY7" s="2475"/>
      <c r="AZ7" s="2464"/>
      <c r="BA7" s="2495" t="n">
        <v>469.04</v>
      </c>
      <c r="BB7" s="2496" t="n">
        <f aca="false">3.6*365*469.04*0.98</f>
        <v>603992.1888</v>
      </c>
      <c r="BC7" s="2481" t="s">
        <v>1625</v>
      </c>
      <c r="BD7" s="2481" t="s">
        <v>1625</v>
      </c>
      <c r="BE7" s="2497"/>
      <c r="BF7" s="2481" t="s">
        <v>1586</v>
      </c>
      <c r="BG7" s="2463"/>
    </row>
    <row r="8" customFormat="false" ht="18" hidden="false" customHeight="true" outlineLevel="0" collapsed="false">
      <c r="A8" s="2480"/>
      <c r="B8" s="2460" t="s">
        <v>2262</v>
      </c>
      <c r="C8" s="2461" t="s">
        <v>2263</v>
      </c>
      <c r="D8" s="2462" t="s">
        <v>2264</v>
      </c>
      <c r="E8" s="2481" t="s">
        <v>2265</v>
      </c>
      <c r="F8" s="2482"/>
      <c r="G8" s="2482"/>
      <c r="H8" s="2483"/>
      <c r="I8" s="2484" t="n">
        <v>45754</v>
      </c>
      <c r="J8" s="2484" t="n">
        <v>45783</v>
      </c>
      <c r="K8" s="2484" t="s">
        <v>1576</v>
      </c>
      <c r="L8" s="2484" t="s">
        <v>966</v>
      </c>
      <c r="M8" s="2485"/>
      <c r="N8" s="2486"/>
      <c r="O8" s="2481" t="n">
        <v>1</v>
      </c>
      <c r="P8" s="2487"/>
      <c r="Q8" s="2481"/>
      <c r="R8" s="2486"/>
      <c r="S8" s="2486"/>
      <c r="T8" s="2486"/>
      <c r="U8" s="2488" t="n">
        <f aca="false">20000000*460.53</f>
        <v>9210600000</v>
      </c>
      <c r="V8" s="1820" t="n">
        <v>5</v>
      </c>
      <c r="W8" s="2486"/>
      <c r="X8" s="2481"/>
      <c r="Y8" s="2481" t="s">
        <v>1616</v>
      </c>
      <c r="Z8" s="2481" t="s">
        <v>362</v>
      </c>
      <c r="AA8" s="2481" t="s">
        <v>362</v>
      </c>
      <c r="AB8" s="2489" t="n">
        <f aca="false">(AH8/3.305)*AC8*1.8</f>
        <v>51744694.9598306</v>
      </c>
      <c r="AC8" s="2490" t="n">
        <f aca="false">4320*3.3058*1.8</f>
        <v>25705.9008</v>
      </c>
      <c r="AD8" s="2491" t="n">
        <v>20000000</v>
      </c>
      <c r="AE8" s="2490" t="n">
        <f aca="false">AD8/AH8*3.3058</f>
        <v>17888.5281385281</v>
      </c>
      <c r="AF8" s="2490"/>
      <c r="AG8" s="2481" t="s">
        <v>1579</v>
      </c>
      <c r="AH8" s="2488" t="n">
        <v>3696</v>
      </c>
      <c r="AI8" s="2481" t="s">
        <v>1580</v>
      </c>
      <c r="AJ8" s="2481" t="s">
        <v>1580</v>
      </c>
      <c r="AK8" s="2481" t="s">
        <v>1580</v>
      </c>
      <c r="AL8" s="2481"/>
      <c r="AM8" s="2481" t="s">
        <v>1580</v>
      </c>
      <c r="AN8" s="2481" t="s">
        <v>121</v>
      </c>
      <c r="AO8" s="2481" t="s">
        <v>1582</v>
      </c>
      <c r="AP8" s="2492" t="n">
        <v>400000000</v>
      </c>
      <c r="AQ8" s="2476" t="n">
        <v>8396274</v>
      </c>
      <c r="AR8" s="2477" t="s">
        <v>609</v>
      </c>
      <c r="AS8" s="2493" t="n">
        <f aca="false">+BA8/(SUM($BA$11:$BA$23)+SUM($BA$29:$BA$33))*2906550000</f>
        <v>227006210.665559</v>
      </c>
      <c r="AT8" s="2476" t="n">
        <v>469164962</v>
      </c>
      <c r="AU8" s="2475"/>
      <c r="AV8" s="2475"/>
      <c r="AW8" s="2494"/>
      <c r="AX8" s="2475"/>
      <c r="AY8" s="2475"/>
      <c r="AZ8" s="2464"/>
      <c r="BA8" s="2495" t="n">
        <v>460.53</v>
      </c>
      <c r="BB8" s="2496" t="n">
        <f aca="false">3.6*365*460.53*0.98</f>
        <v>593033.6916</v>
      </c>
      <c r="BC8" s="2481" t="s">
        <v>2266</v>
      </c>
      <c r="BD8" s="2481" t="s">
        <v>2266</v>
      </c>
      <c r="BE8" s="2497"/>
      <c r="BF8" s="2481" t="s">
        <v>1586</v>
      </c>
      <c r="BG8" s="2463"/>
    </row>
    <row r="9" customFormat="false" ht="14.25" hidden="false" customHeight="true" outlineLevel="0" collapsed="false">
      <c r="A9" s="2498"/>
      <c r="B9" s="2460" t="s">
        <v>2267</v>
      </c>
      <c r="C9" s="2461" t="s">
        <v>2268</v>
      </c>
      <c r="D9" s="2462" t="s">
        <v>2269</v>
      </c>
      <c r="E9" s="2481" t="s">
        <v>2270</v>
      </c>
      <c r="F9" s="2482"/>
      <c r="G9" s="2482"/>
      <c r="H9" s="2483"/>
      <c r="I9" s="2486" t="n">
        <v>45754</v>
      </c>
      <c r="J9" s="2486" t="n">
        <v>45783</v>
      </c>
      <c r="K9" s="2499" t="s">
        <v>1576</v>
      </c>
      <c r="L9" s="2499" t="s">
        <v>966</v>
      </c>
      <c r="M9" s="2485"/>
      <c r="N9" s="2499"/>
      <c r="O9" s="2481" t="n">
        <v>1</v>
      </c>
      <c r="P9" s="2487"/>
      <c r="Q9" s="2481"/>
      <c r="R9" s="2499"/>
      <c r="S9" s="2499"/>
      <c r="T9" s="2499"/>
      <c r="U9" s="2488" t="n">
        <f aca="false">20000000*BA9</f>
        <v>15078400000</v>
      </c>
      <c r="V9" s="2481" t="n">
        <v>5</v>
      </c>
      <c r="W9" s="2499"/>
      <c r="X9" s="2481"/>
      <c r="Y9" s="2481" t="s">
        <v>794</v>
      </c>
      <c r="Z9" s="2481" t="s">
        <v>362</v>
      </c>
      <c r="AA9" s="2481" t="s">
        <v>362</v>
      </c>
      <c r="AB9" s="2500" t="n">
        <f aca="false">(AH9/3.305)*AC9*1.8</f>
        <v>162682544.638642</v>
      </c>
      <c r="AC9" s="2501" t="n">
        <f aca="false">6127*3.3058*1.8</f>
        <v>36458.34588</v>
      </c>
      <c r="AD9" s="2502" t="n">
        <v>20000000</v>
      </c>
      <c r="AE9" s="2501" t="n">
        <f aca="false">AD9/AH9*3.3058</f>
        <v>8069.81569632613</v>
      </c>
      <c r="AF9" s="2501"/>
      <c r="AG9" s="2481" t="s">
        <v>1579</v>
      </c>
      <c r="AH9" s="2488" t="n">
        <v>8193</v>
      </c>
      <c r="AI9" s="2481" t="s">
        <v>1580</v>
      </c>
      <c r="AJ9" s="2481" t="s">
        <v>1580</v>
      </c>
      <c r="AK9" s="2481" t="s">
        <v>1580</v>
      </c>
      <c r="AL9" s="2481" t="n">
        <v>2027</v>
      </c>
      <c r="AM9" s="2481" t="s">
        <v>1580</v>
      </c>
      <c r="AN9" s="2481" t="s">
        <v>121</v>
      </c>
      <c r="AO9" s="2481" t="s">
        <v>1582</v>
      </c>
      <c r="AP9" s="2503" t="n">
        <v>400000000</v>
      </c>
      <c r="AQ9" s="2476" t="n">
        <f aca="false">20000000*BA9/1000</f>
        <v>15078400</v>
      </c>
      <c r="AR9" s="2504" t="s">
        <v>1618</v>
      </c>
      <c r="AS9" s="2505" t="n">
        <f aca="false">+BA9/(SUM($BA$11:$BA$23)+SUM($BA$29:$BA$33))*2906550000</f>
        <v>371625132.66232</v>
      </c>
      <c r="AT9" s="2476" t="n">
        <f aca="false">+BA9*1050000000/1000</f>
        <v>791616000</v>
      </c>
      <c r="AU9" s="2506"/>
      <c r="AV9" s="2506"/>
      <c r="AW9" s="2507"/>
      <c r="AX9" s="2506"/>
      <c r="AY9" s="2506"/>
      <c r="AZ9" s="2464"/>
      <c r="BA9" s="2495" t="n">
        <v>753.92</v>
      </c>
      <c r="BB9" s="2508" t="n">
        <f aca="false">3.6*365*BA9*0.98</f>
        <v>970837.8624</v>
      </c>
      <c r="BC9" s="2481" t="s">
        <v>2271</v>
      </c>
      <c r="BD9" s="2481" t="s">
        <v>2271</v>
      </c>
      <c r="BE9" s="2497"/>
      <c r="BF9" s="2481" t="s">
        <v>1586</v>
      </c>
      <c r="BG9" s="2463"/>
    </row>
    <row r="10" customFormat="false" ht="15" hidden="false" customHeight="false" outlineLevel="0" collapsed="false">
      <c r="A10" s="2498"/>
      <c r="B10" s="2460" t="s">
        <v>2272</v>
      </c>
      <c r="C10" s="2481" t="s">
        <v>2273</v>
      </c>
      <c r="D10" s="2462" t="s">
        <v>2274</v>
      </c>
      <c r="E10" s="2481" t="s">
        <v>2275</v>
      </c>
      <c r="F10" s="2482"/>
      <c r="G10" s="2482"/>
      <c r="H10" s="2483"/>
      <c r="I10" s="2499" t="n">
        <v>45754</v>
      </c>
      <c r="J10" s="2499" t="n">
        <v>45783</v>
      </c>
      <c r="K10" s="2499" t="s">
        <v>1576</v>
      </c>
      <c r="L10" s="2499" t="s">
        <v>966</v>
      </c>
      <c r="M10" s="2485"/>
      <c r="N10" s="2466"/>
      <c r="O10" s="2481" t="n">
        <v>1</v>
      </c>
      <c r="P10" s="2487"/>
      <c r="Q10" s="2481"/>
      <c r="R10" s="2499"/>
      <c r="S10" s="2499"/>
      <c r="T10" s="2499"/>
      <c r="U10" s="2488" t="n">
        <f aca="false">20000000*BA10</f>
        <v>9976000000</v>
      </c>
      <c r="V10" s="2481" t="n">
        <v>5</v>
      </c>
      <c r="W10" s="2499"/>
      <c r="X10" s="2481"/>
      <c r="Y10" s="2481" t="s">
        <v>794</v>
      </c>
      <c r="Z10" s="2481" t="s">
        <v>362</v>
      </c>
      <c r="AA10" s="2481" t="s">
        <v>362</v>
      </c>
      <c r="AB10" s="2500" t="n">
        <f aca="false">(AH10/3.305)*AC10*1.8</f>
        <v>88546483.6726221</v>
      </c>
      <c r="AC10" s="2501" t="n">
        <f aca="false">5388*3.3058*1.8</f>
        <v>32060.97072</v>
      </c>
      <c r="AD10" s="2491" t="n">
        <v>20000000</v>
      </c>
      <c r="AE10" s="2501" t="n">
        <f aca="false">AD10/AH10*3.3058</f>
        <v>13038.0595543285</v>
      </c>
      <c r="AF10" s="2501"/>
      <c r="AG10" s="2481" t="s">
        <v>1579</v>
      </c>
      <c r="AH10" s="2488" t="n">
        <v>5071</v>
      </c>
      <c r="AI10" s="2481" t="s">
        <v>1580</v>
      </c>
      <c r="AJ10" s="2481" t="s">
        <v>1580</v>
      </c>
      <c r="AK10" s="2481" t="s">
        <v>1580</v>
      </c>
      <c r="AL10" s="2481" t="n">
        <v>2027</v>
      </c>
      <c r="AM10" s="2481" t="s">
        <v>1580</v>
      </c>
      <c r="AN10" s="2481" t="s">
        <v>121</v>
      </c>
      <c r="AO10" s="2481" t="s">
        <v>1582</v>
      </c>
      <c r="AP10" s="2503" t="n">
        <v>400000000</v>
      </c>
      <c r="AQ10" s="2476" t="n">
        <f aca="false">20000000*BA10/1000</f>
        <v>9976000</v>
      </c>
      <c r="AR10" s="2504" t="s">
        <v>1618</v>
      </c>
      <c r="AS10" s="2505" t="n">
        <f aca="false">+BA10/(SUM($BA$11:$BA$23)+SUM($BA$29:$BA$33))*2906550000</f>
        <v>245870405.576142</v>
      </c>
      <c r="AT10" s="2476" t="n">
        <f aca="false">+BA10*1050000000/1000</f>
        <v>523740000</v>
      </c>
      <c r="AU10" s="2506"/>
      <c r="AV10" s="2506"/>
      <c r="AW10" s="2507"/>
      <c r="AX10" s="2506"/>
      <c r="AY10" s="2506"/>
      <c r="AZ10" s="2464"/>
      <c r="BA10" s="2495" t="n">
        <v>498.8</v>
      </c>
      <c r="BB10" s="2508" t="n">
        <f aca="false">3.6*365*BA10*0.98</f>
        <v>642314.736</v>
      </c>
      <c r="BC10" s="2481" t="s">
        <v>2276</v>
      </c>
      <c r="BD10" s="2481" t="s">
        <v>2276</v>
      </c>
      <c r="BE10" s="2497"/>
      <c r="BF10" s="2481" t="s">
        <v>1586</v>
      </c>
      <c r="BG10" s="2463"/>
    </row>
    <row r="11" customFormat="false" ht="16.5" hidden="false" customHeight="true" outlineLevel="0" collapsed="false">
      <c r="A11" s="2498"/>
      <c r="B11" s="2460" t="s">
        <v>2277</v>
      </c>
      <c r="C11" s="2461" t="s">
        <v>2278</v>
      </c>
      <c r="D11" s="2462" t="s">
        <v>2279</v>
      </c>
      <c r="E11" s="2481" t="s">
        <v>2280</v>
      </c>
      <c r="F11" s="2482"/>
      <c r="G11" s="2482"/>
      <c r="H11" s="2483"/>
      <c r="I11" s="2499" t="n">
        <v>45754</v>
      </c>
      <c r="J11" s="2499" t="n">
        <v>45783</v>
      </c>
      <c r="K11" s="2499" t="s">
        <v>1576</v>
      </c>
      <c r="L11" s="2499" t="s">
        <v>966</v>
      </c>
      <c r="M11" s="2485"/>
      <c r="N11" s="2466"/>
      <c r="O11" s="2481" t="n">
        <v>1</v>
      </c>
      <c r="P11" s="2487"/>
      <c r="Q11" s="2481"/>
      <c r="R11" s="2499"/>
      <c r="S11" s="2499"/>
      <c r="T11" s="2499"/>
      <c r="U11" s="2488" t="n">
        <f aca="false">20000000*BA11</f>
        <v>19980000000</v>
      </c>
      <c r="V11" s="2481" t="n">
        <v>5</v>
      </c>
      <c r="W11" s="2499"/>
      <c r="X11" s="2481"/>
      <c r="Y11" s="2481" t="s">
        <v>794</v>
      </c>
      <c r="Z11" s="2481" t="s">
        <v>362</v>
      </c>
      <c r="AA11" s="2481" t="s">
        <v>362</v>
      </c>
      <c r="AB11" s="2500" t="n">
        <f aca="false">(AH11/3.305)*AC11*1.8</f>
        <v>386092745.623988</v>
      </c>
      <c r="AC11" s="2501" t="n">
        <f aca="false">8290*3.3058*1.8</f>
        <v>49329.1476</v>
      </c>
      <c r="AD11" s="2491" t="n">
        <v>20000000</v>
      </c>
      <c r="AE11" s="2501" t="n">
        <f aca="false">AD11/AH11*3.3058</f>
        <v>4600.65409505254</v>
      </c>
      <c r="AF11" s="2501"/>
      <c r="AG11" s="2481" t="s">
        <v>1579</v>
      </c>
      <c r="AH11" s="2488" t="n">
        <v>14371</v>
      </c>
      <c r="AI11" s="2481" t="s">
        <v>1580</v>
      </c>
      <c r="AJ11" s="2481" t="s">
        <v>1580</v>
      </c>
      <c r="AK11" s="2481" t="s">
        <v>1580</v>
      </c>
      <c r="AL11" s="2481" t="n">
        <v>2027</v>
      </c>
      <c r="AM11" s="2481" t="s">
        <v>1580</v>
      </c>
      <c r="AN11" s="2481" t="s">
        <v>121</v>
      </c>
      <c r="AO11" s="2481" t="s">
        <v>1582</v>
      </c>
      <c r="AP11" s="2503" t="n">
        <v>400000000</v>
      </c>
      <c r="AQ11" s="2476" t="n">
        <f aca="false">20000000*BA11/1000</f>
        <v>19980000</v>
      </c>
      <c r="AR11" s="2504" t="s">
        <v>1618</v>
      </c>
      <c r="AS11" s="2505" t="n">
        <f aca="false">+BA11/(SUM($BA$11:$BA$23)+SUM($BA$29:$BA$33))*2906550000</f>
        <v>492430904.51196</v>
      </c>
      <c r="AT11" s="2476" t="n">
        <f aca="false">+BA11*1050000000/1000</f>
        <v>1048950000</v>
      </c>
      <c r="AU11" s="2506"/>
      <c r="AV11" s="2506"/>
      <c r="AW11" s="2507"/>
      <c r="AX11" s="2506"/>
      <c r="AY11" s="2506"/>
      <c r="AZ11" s="2464"/>
      <c r="BA11" s="2495" t="n">
        <v>999</v>
      </c>
      <c r="BB11" s="2508" t="n">
        <f aca="false">3.6*365*BA11*0.98</f>
        <v>1286432.28</v>
      </c>
      <c r="BC11" s="2481" t="s">
        <v>2281</v>
      </c>
      <c r="BD11" s="2481" t="s">
        <v>2281</v>
      </c>
      <c r="BE11" s="2497"/>
      <c r="BF11" s="2481" t="s">
        <v>1586</v>
      </c>
      <c r="BG11" s="2461" t="s">
        <v>2282</v>
      </c>
    </row>
    <row r="12" s="2463" customFormat="true" ht="15" hidden="false" customHeight="false" outlineLevel="0" collapsed="false">
      <c r="A12" s="2509" t="s">
        <v>2242</v>
      </c>
      <c r="B12" s="2460" t="s">
        <v>2283</v>
      </c>
      <c r="C12" s="2461" t="s">
        <v>1668</v>
      </c>
      <c r="D12" s="2462" t="s">
        <v>2284</v>
      </c>
      <c r="E12" s="2481" t="s">
        <v>1670</v>
      </c>
      <c r="F12" s="2499" t="n">
        <v>45572</v>
      </c>
      <c r="G12" s="2510" t="n">
        <v>999.18</v>
      </c>
      <c r="H12" s="2483"/>
      <c r="I12" s="2499" t="s">
        <v>966</v>
      </c>
      <c r="J12" s="2499" t="s">
        <v>966</v>
      </c>
      <c r="K12" s="2499" t="s">
        <v>1576</v>
      </c>
      <c r="L12" s="2499" t="s">
        <v>966</v>
      </c>
      <c r="M12" s="2485"/>
      <c r="N12" s="2499" t="s">
        <v>966</v>
      </c>
      <c r="O12" s="2481" t="n">
        <v>1</v>
      </c>
      <c r="P12" s="2487"/>
      <c r="Q12" s="2481"/>
      <c r="R12" s="2499"/>
      <c r="S12" s="2499"/>
      <c r="T12" s="2499"/>
      <c r="U12" s="2488" t="n">
        <f aca="false">20000000*G12</f>
        <v>19983600000</v>
      </c>
      <c r="V12" s="2481" t="n">
        <v>6</v>
      </c>
      <c r="W12" s="2499"/>
      <c r="X12" s="2499"/>
      <c r="Y12" s="2481" t="s">
        <v>817</v>
      </c>
      <c r="Z12" s="2481" t="s">
        <v>362</v>
      </c>
      <c r="AA12" s="2481" t="s">
        <v>362</v>
      </c>
      <c r="AB12" s="2500" t="s">
        <v>373</v>
      </c>
      <c r="AC12" s="2501" t="s">
        <v>373</v>
      </c>
      <c r="AD12" s="2491"/>
      <c r="AE12" s="2490" t="s">
        <v>373</v>
      </c>
      <c r="AF12" s="2511" t="n">
        <v>300000000</v>
      </c>
      <c r="AG12" s="2481" t="s">
        <v>1579</v>
      </c>
      <c r="AH12" s="2488" t="n">
        <f aca="false">2582+1960+1732</f>
        <v>6274</v>
      </c>
      <c r="AI12" s="2481" t="s">
        <v>1580</v>
      </c>
      <c r="AJ12" s="2481" t="s">
        <v>1580</v>
      </c>
      <c r="AK12" s="2512" t="s">
        <v>362</v>
      </c>
      <c r="AL12" s="2481" t="n">
        <v>2026</v>
      </c>
      <c r="AM12" s="2481" t="s">
        <v>1580</v>
      </c>
      <c r="AN12" s="2481" t="s">
        <v>121</v>
      </c>
      <c r="AO12" s="2481" t="s">
        <v>1582</v>
      </c>
      <c r="AP12" s="2513" t="n">
        <v>400000000</v>
      </c>
      <c r="AQ12" s="2476"/>
      <c r="AR12" s="2504" t="s">
        <v>1618</v>
      </c>
      <c r="AS12" s="2505" t="e">
        <f aca="false">+BA12/(SUM($AZ$22:$AZ$30)+SUM($AZ$11:$AZ$30))*2906550000</f>
        <v>#DIV/0!</v>
      </c>
      <c r="AT12" s="2476" t="n">
        <f aca="false">+G12*1050000000/1000</f>
        <v>1049139000</v>
      </c>
      <c r="AU12" s="2475"/>
      <c r="AV12" s="2475"/>
      <c r="AW12" s="2494"/>
      <c r="AX12" s="2475"/>
      <c r="AY12" s="2475"/>
      <c r="AZ12" s="2464"/>
      <c r="BA12" s="2495" t="n">
        <v>999.18</v>
      </c>
      <c r="BB12" s="2508" t="n">
        <f aca="false">365*Sheet1!G9*Sheet1!H9</f>
        <v>5746.56</v>
      </c>
      <c r="BC12" s="2481" t="s">
        <v>666</v>
      </c>
      <c r="BD12" s="2481" t="s">
        <v>666</v>
      </c>
      <c r="BE12" s="2481"/>
      <c r="BF12" s="2481" t="s">
        <v>1586</v>
      </c>
    </row>
    <row r="13" s="2463" customFormat="true" ht="15" hidden="false" customHeight="false" outlineLevel="0" collapsed="false">
      <c r="A13" s="2509"/>
      <c r="B13" s="2460" t="s">
        <v>2285</v>
      </c>
      <c r="C13" s="2461" t="s">
        <v>1672</v>
      </c>
      <c r="D13" s="2462" t="s">
        <v>2286</v>
      </c>
      <c r="E13" s="2481" t="s">
        <v>1670</v>
      </c>
      <c r="F13" s="2499" t="n">
        <v>45572</v>
      </c>
      <c r="G13" s="2510" t="n">
        <v>499.59</v>
      </c>
      <c r="H13" s="2483"/>
      <c r="I13" s="2499" t="s">
        <v>966</v>
      </c>
      <c r="J13" s="2499" t="s">
        <v>966</v>
      </c>
      <c r="K13" s="2499" t="s">
        <v>1576</v>
      </c>
      <c r="L13" s="2499" t="s">
        <v>966</v>
      </c>
      <c r="M13" s="2485"/>
      <c r="N13" s="2499" t="s">
        <v>966</v>
      </c>
      <c r="O13" s="2481" t="n">
        <v>1</v>
      </c>
      <c r="P13" s="2487"/>
      <c r="Q13" s="2481"/>
      <c r="R13" s="2499"/>
      <c r="S13" s="2499"/>
      <c r="T13" s="2499"/>
      <c r="U13" s="2488" t="n">
        <f aca="false">20000000*G13</f>
        <v>9991800000</v>
      </c>
      <c r="V13" s="2481" t="n">
        <v>6</v>
      </c>
      <c r="W13" s="2499"/>
      <c r="X13" s="2499"/>
      <c r="Y13" s="2481" t="s">
        <v>817</v>
      </c>
      <c r="Z13" s="2481" t="s">
        <v>362</v>
      </c>
      <c r="AA13" s="2481" t="s">
        <v>362</v>
      </c>
      <c r="AB13" s="2489" t="s">
        <v>373</v>
      </c>
      <c r="AC13" s="2490" t="s">
        <v>373</v>
      </c>
      <c r="AD13" s="2491"/>
      <c r="AE13" s="2490" t="s">
        <v>373</v>
      </c>
      <c r="AF13" s="2511" t="n">
        <v>150000000</v>
      </c>
      <c r="AG13" s="2481" t="s">
        <v>1579</v>
      </c>
      <c r="AH13" s="2488" t="n">
        <f aca="false">3855+1888+1689</f>
        <v>7432</v>
      </c>
      <c r="AI13" s="2481" t="s">
        <v>1580</v>
      </c>
      <c r="AJ13" s="2481" t="s">
        <v>1580</v>
      </c>
      <c r="AK13" s="2512" t="s">
        <v>362</v>
      </c>
      <c r="AL13" s="2481" t="n">
        <v>2026</v>
      </c>
      <c r="AM13" s="2481" t="s">
        <v>1580</v>
      </c>
      <c r="AN13" s="2481" t="s">
        <v>121</v>
      </c>
      <c r="AO13" s="2481" t="s">
        <v>1582</v>
      </c>
      <c r="AP13" s="2513" t="n">
        <v>400000000</v>
      </c>
      <c r="AQ13" s="2476"/>
      <c r="AR13" s="2504" t="s">
        <v>1618</v>
      </c>
      <c r="AS13" s="2505" t="e">
        <f aca="false">+BA13/(SUM($AZ$22:$AZ$30)+SUM($AZ$11:$AZ$30))*2906550000</f>
        <v>#DIV/0!</v>
      </c>
      <c r="AT13" s="2476" t="n">
        <f aca="false">+G13*1050000000/1000</f>
        <v>524569500</v>
      </c>
      <c r="AU13" s="2475"/>
      <c r="AV13" s="2475"/>
      <c r="AW13" s="2494"/>
      <c r="AX13" s="2475"/>
      <c r="AY13" s="2475"/>
      <c r="AZ13" s="2464"/>
      <c r="BA13" s="2495" t="n">
        <v>499.59</v>
      </c>
      <c r="BB13" s="2508" t="n">
        <f aca="false">365*Sheet1!G10*Sheet1!H10</f>
        <v>5746.56</v>
      </c>
      <c r="BC13" s="2481" t="s">
        <v>674</v>
      </c>
      <c r="BD13" s="2481" t="s">
        <v>674</v>
      </c>
      <c r="BE13" s="2481"/>
      <c r="BF13" s="2481" t="s">
        <v>1586</v>
      </c>
    </row>
    <row r="14" s="2463" customFormat="true" ht="15" hidden="false" customHeight="false" outlineLevel="0" collapsed="false">
      <c r="A14" s="2509"/>
      <c r="B14" s="2460" t="s">
        <v>2287</v>
      </c>
      <c r="C14" s="2461" t="s">
        <v>1675</v>
      </c>
      <c r="D14" s="2462" t="s">
        <v>2288</v>
      </c>
      <c r="E14" s="2481" t="s">
        <v>1677</v>
      </c>
      <c r="F14" s="2499" t="n">
        <v>45572</v>
      </c>
      <c r="G14" s="2510" t="n">
        <v>499.96</v>
      </c>
      <c r="H14" s="2483"/>
      <c r="I14" s="2499" t="s">
        <v>966</v>
      </c>
      <c r="J14" s="2499" t="s">
        <v>966</v>
      </c>
      <c r="K14" s="2499" t="s">
        <v>1576</v>
      </c>
      <c r="L14" s="2499" t="s">
        <v>966</v>
      </c>
      <c r="M14" s="2485"/>
      <c r="N14" s="2499" t="s">
        <v>966</v>
      </c>
      <c r="O14" s="2481" t="n">
        <v>1</v>
      </c>
      <c r="P14" s="2487"/>
      <c r="Q14" s="2481"/>
      <c r="R14" s="2499"/>
      <c r="S14" s="2499"/>
      <c r="T14" s="2499"/>
      <c r="U14" s="2488" t="n">
        <f aca="false">20000000*G14</f>
        <v>9999200000</v>
      </c>
      <c r="V14" s="2481" t="n">
        <v>6</v>
      </c>
      <c r="W14" s="2499"/>
      <c r="X14" s="2499"/>
      <c r="Y14" s="2481" t="s">
        <v>817</v>
      </c>
      <c r="Z14" s="2481" t="s">
        <v>362</v>
      </c>
      <c r="AA14" s="2481" t="s">
        <v>362</v>
      </c>
      <c r="AB14" s="2489" t="s">
        <v>373</v>
      </c>
      <c r="AC14" s="2490" t="s">
        <v>373</v>
      </c>
      <c r="AD14" s="2491"/>
      <c r="AE14" s="2490" t="s">
        <v>373</v>
      </c>
      <c r="AF14" s="2511" t="n">
        <v>150000000</v>
      </c>
      <c r="AG14" s="2481" t="s">
        <v>1579</v>
      </c>
      <c r="AH14" s="2488" t="n">
        <v>6264</v>
      </c>
      <c r="AI14" s="2481" t="s">
        <v>1580</v>
      </c>
      <c r="AJ14" s="2481" t="s">
        <v>1580</v>
      </c>
      <c r="AK14" s="2512" t="s">
        <v>362</v>
      </c>
      <c r="AL14" s="2481" t="n">
        <v>2026</v>
      </c>
      <c r="AM14" s="2481" t="s">
        <v>1580</v>
      </c>
      <c r="AN14" s="2481" t="s">
        <v>121</v>
      </c>
      <c r="AO14" s="2481" t="s">
        <v>1582</v>
      </c>
      <c r="AP14" s="2513" t="n">
        <v>400000000</v>
      </c>
      <c r="AQ14" s="2476"/>
      <c r="AR14" s="2504" t="s">
        <v>1618</v>
      </c>
      <c r="AS14" s="2505" t="e">
        <f aca="false">+BA14/(SUM($AZ$22:$AZ$30)+SUM($AZ$11:$AZ$30))*2906550000</f>
        <v>#DIV/0!</v>
      </c>
      <c r="AT14" s="2476" t="n">
        <f aca="false">+G14*1050000000/1000</f>
        <v>524958000</v>
      </c>
      <c r="AU14" s="2475"/>
      <c r="AV14" s="2475"/>
      <c r="AW14" s="2494"/>
      <c r="AX14" s="2475"/>
      <c r="AY14" s="2475"/>
      <c r="AZ14" s="2464"/>
      <c r="BA14" s="2495" t="n">
        <v>499.96</v>
      </c>
      <c r="BB14" s="2508" t="n">
        <f aca="false">365*Sheet1!G11*Sheet1!H11</f>
        <v>5746.56</v>
      </c>
      <c r="BC14" s="2481" t="s">
        <v>1674</v>
      </c>
      <c r="BD14" s="2481" t="s">
        <v>1674</v>
      </c>
      <c r="BE14" s="2481"/>
      <c r="BF14" s="2481" t="s">
        <v>1586</v>
      </c>
    </row>
    <row r="15" s="2463" customFormat="true" ht="15" hidden="false" customHeight="false" outlineLevel="0" collapsed="false">
      <c r="A15" s="2509"/>
      <c r="B15" s="2460" t="s">
        <v>2289</v>
      </c>
      <c r="C15" s="2461" t="s">
        <v>1679</v>
      </c>
      <c r="D15" s="2462" t="s">
        <v>2290</v>
      </c>
      <c r="E15" s="2481" t="s">
        <v>1681</v>
      </c>
      <c r="F15" s="2499" t="n">
        <v>45572</v>
      </c>
      <c r="G15" s="2510" t="n">
        <v>699.48</v>
      </c>
      <c r="H15" s="2483"/>
      <c r="I15" s="2499" t="s">
        <v>966</v>
      </c>
      <c r="J15" s="2499" t="s">
        <v>966</v>
      </c>
      <c r="K15" s="2499" t="s">
        <v>1576</v>
      </c>
      <c r="L15" s="2499" t="s">
        <v>966</v>
      </c>
      <c r="M15" s="2485"/>
      <c r="N15" s="2499" t="s">
        <v>966</v>
      </c>
      <c r="O15" s="2481" t="n">
        <v>1</v>
      </c>
      <c r="P15" s="2487"/>
      <c r="Q15" s="2481"/>
      <c r="R15" s="2499"/>
      <c r="S15" s="2499"/>
      <c r="T15" s="2499"/>
      <c r="U15" s="2488" t="n">
        <f aca="false">20000000*G15</f>
        <v>13989600000</v>
      </c>
      <c r="V15" s="2481" t="n">
        <v>6</v>
      </c>
      <c r="W15" s="2499"/>
      <c r="X15" s="2499"/>
      <c r="Y15" s="2481" t="s">
        <v>817</v>
      </c>
      <c r="Z15" s="2481" t="s">
        <v>362</v>
      </c>
      <c r="AA15" s="2481" t="s">
        <v>362</v>
      </c>
      <c r="AB15" s="2489" t="s">
        <v>373</v>
      </c>
      <c r="AC15" s="2490" t="s">
        <v>373</v>
      </c>
      <c r="AD15" s="2491"/>
      <c r="AE15" s="2490" t="s">
        <v>373</v>
      </c>
      <c r="AF15" s="2511" t="n">
        <v>210000000</v>
      </c>
      <c r="AG15" s="2481" t="s">
        <v>1579</v>
      </c>
      <c r="AH15" s="2488" t="n">
        <v>6645</v>
      </c>
      <c r="AI15" s="2481" t="s">
        <v>1580</v>
      </c>
      <c r="AJ15" s="2481" t="s">
        <v>1580</v>
      </c>
      <c r="AK15" s="2512" t="s">
        <v>362</v>
      </c>
      <c r="AL15" s="2481" t="n">
        <v>2026</v>
      </c>
      <c r="AM15" s="2481" t="s">
        <v>1580</v>
      </c>
      <c r="AN15" s="2481" t="s">
        <v>121</v>
      </c>
      <c r="AO15" s="2481" t="s">
        <v>1582</v>
      </c>
      <c r="AP15" s="2513" t="n">
        <v>400000000</v>
      </c>
      <c r="AQ15" s="2476"/>
      <c r="AR15" s="2504" t="s">
        <v>1618</v>
      </c>
      <c r="AS15" s="2505" t="e">
        <f aca="false">+BA15/(SUM($AZ$22:$AZ$30)+SUM($AZ$11:$AZ$30))*2906550000</f>
        <v>#DIV/0!</v>
      </c>
      <c r="AT15" s="2476" t="n">
        <f aca="false">+G15*1050000000/1000</f>
        <v>734454000</v>
      </c>
      <c r="AU15" s="2475"/>
      <c r="AV15" s="2475"/>
      <c r="AW15" s="2494"/>
      <c r="AX15" s="2475"/>
      <c r="AY15" s="2475"/>
      <c r="AZ15" s="2464"/>
      <c r="BA15" s="2495" t="n">
        <v>699.48</v>
      </c>
      <c r="BB15" s="2508" t="n">
        <f aca="false">365*Sheet1!G12*Sheet1!H12</f>
        <v>5671.735</v>
      </c>
      <c r="BC15" s="2481" t="s">
        <v>1678</v>
      </c>
      <c r="BD15" s="2481" t="s">
        <v>1678</v>
      </c>
      <c r="BE15" s="2481"/>
      <c r="BF15" s="2481" t="s">
        <v>1586</v>
      </c>
    </row>
    <row r="16" s="2463" customFormat="true" ht="15" hidden="false" customHeight="false" outlineLevel="0" collapsed="false">
      <c r="A16" s="2509"/>
      <c r="B16" s="2460" t="s">
        <v>2291</v>
      </c>
      <c r="C16" s="2461" t="s">
        <v>1683</v>
      </c>
      <c r="D16" s="2462" t="s">
        <v>2292</v>
      </c>
      <c r="E16" s="2481" t="s">
        <v>1685</v>
      </c>
      <c r="F16" s="2499" t="n">
        <v>45572</v>
      </c>
      <c r="G16" s="2510" t="n">
        <v>900.14</v>
      </c>
      <c r="H16" s="2483"/>
      <c r="I16" s="2499" t="s">
        <v>966</v>
      </c>
      <c r="J16" s="2499" t="s">
        <v>966</v>
      </c>
      <c r="K16" s="2499" t="s">
        <v>1576</v>
      </c>
      <c r="L16" s="2499" t="s">
        <v>966</v>
      </c>
      <c r="M16" s="2485"/>
      <c r="N16" s="2499" t="s">
        <v>966</v>
      </c>
      <c r="O16" s="2481" t="n">
        <v>1</v>
      </c>
      <c r="P16" s="2487"/>
      <c r="Q16" s="2481"/>
      <c r="R16" s="2499"/>
      <c r="S16" s="2499"/>
      <c r="T16" s="2499"/>
      <c r="U16" s="2488" t="n">
        <f aca="false">20000000*G16</f>
        <v>18002800000</v>
      </c>
      <c r="V16" s="2481" t="n">
        <v>6</v>
      </c>
      <c r="W16" s="2499"/>
      <c r="X16" s="2499"/>
      <c r="Y16" s="2481" t="s">
        <v>817</v>
      </c>
      <c r="Z16" s="2481" t="s">
        <v>362</v>
      </c>
      <c r="AA16" s="2481" t="s">
        <v>362</v>
      </c>
      <c r="AB16" s="2489" t="s">
        <v>373</v>
      </c>
      <c r="AC16" s="2490" t="s">
        <v>373</v>
      </c>
      <c r="AD16" s="2491"/>
      <c r="AE16" s="2490" t="s">
        <v>373</v>
      </c>
      <c r="AF16" s="2511" t="n">
        <v>270000000</v>
      </c>
      <c r="AG16" s="2481" t="s">
        <v>1579</v>
      </c>
      <c r="AH16" s="2488" t="n">
        <v>8226</v>
      </c>
      <c r="AI16" s="2481" t="s">
        <v>1580</v>
      </c>
      <c r="AJ16" s="2481" t="s">
        <v>1580</v>
      </c>
      <c r="AK16" s="2512" t="s">
        <v>362</v>
      </c>
      <c r="AL16" s="2481" t="n">
        <v>2026</v>
      </c>
      <c r="AM16" s="2481" t="s">
        <v>1580</v>
      </c>
      <c r="AN16" s="2481" t="s">
        <v>121</v>
      </c>
      <c r="AO16" s="2481" t="s">
        <v>1582</v>
      </c>
      <c r="AP16" s="2513" t="n">
        <v>400000000</v>
      </c>
      <c r="AQ16" s="2476"/>
      <c r="AR16" s="2504" t="s">
        <v>1618</v>
      </c>
      <c r="AS16" s="2505" t="e">
        <f aca="false">+BA16/(SUM($AZ$22:$AZ$30)+SUM($AZ$11:$AZ$30))*2906550000</f>
        <v>#DIV/0!</v>
      </c>
      <c r="AT16" s="2476" t="n">
        <f aca="false">+G16*1050000000/1000</f>
        <v>945147000</v>
      </c>
      <c r="AU16" s="2475"/>
      <c r="AV16" s="2475"/>
      <c r="AW16" s="2494"/>
      <c r="AX16" s="2475"/>
      <c r="AY16" s="2475"/>
      <c r="AZ16" s="2464"/>
      <c r="BA16" s="2495" t="n">
        <v>900.14</v>
      </c>
      <c r="BB16" s="2508" t="n">
        <f aca="false">365*Sheet1!G13*Sheet1!H13</f>
        <v>6269.97</v>
      </c>
      <c r="BC16" s="2481" t="s">
        <v>1682</v>
      </c>
      <c r="BD16" s="2481" t="s">
        <v>1682</v>
      </c>
      <c r="BE16" s="2481"/>
      <c r="BF16" s="2481" t="s">
        <v>1586</v>
      </c>
    </row>
    <row r="17" s="2463" customFormat="true" ht="15" hidden="false" customHeight="false" outlineLevel="0" collapsed="false">
      <c r="A17" s="2509"/>
      <c r="B17" s="2460" t="s">
        <v>2293</v>
      </c>
      <c r="C17" s="2461" t="s">
        <v>1687</v>
      </c>
      <c r="D17" s="2462" t="s">
        <v>2294</v>
      </c>
      <c r="E17" s="2481" t="s">
        <v>1689</v>
      </c>
      <c r="F17" s="2499" t="n">
        <v>45572</v>
      </c>
      <c r="G17" s="2510" t="n">
        <v>799.24</v>
      </c>
      <c r="H17" s="2483"/>
      <c r="I17" s="2499" t="s">
        <v>966</v>
      </c>
      <c r="J17" s="2499" t="s">
        <v>966</v>
      </c>
      <c r="K17" s="2499" t="s">
        <v>1576</v>
      </c>
      <c r="L17" s="2499" t="s">
        <v>966</v>
      </c>
      <c r="M17" s="2485"/>
      <c r="N17" s="2499" t="s">
        <v>966</v>
      </c>
      <c r="O17" s="2481" t="n">
        <v>1</v>
      </c>
      <c r="P17" s="2487"/>
      <c r="Q17" s="2481"/>
      <c r="R17" s="2499"/>
      <c r="S17" s="2499"/>
      <c r="T17" s="2499"/>
      <c r="U17" s="2488" t="n">
        <f aca="false">20000000*G17</f>
        <v>15984800000</v>
      </c>
      <c r="V17" s="2481" t="n">
        <v>6</v>
      </c>
      <c r="W17" s="2499"/>
      <c r="X17" s="2499"/>
      <c r="Y17" s="2481" t="s">
        <v>817</v>
      </c>
      <c r="Z17" s="2481" t="s">
        <v>362</v>
      </c>
      <c r="AA17" s="2481" t="s">
        <v>362</v>
      </c>
      <c r="AB17" s="2489" t="s">
        <v>373</v>
      </c>
      <c r="AC17" s="2490" t="s">
        <v>373</v>
      </c>
      <c r="AD17" s="2491"/>
      <c r="AE17" s="2490" t="s">
        <v>373</v>
      </c>
      <c r="AF17" s="2511" t="n">
        <v>240000000</v>
      </c>
      <c r="AG17" s="2481" t="s">
        <v>1579</v>
      </c>
      <c r="AH17" s="2488" t="n">
        <v>7680</v>
      </c>
      <c r="AI17" s="2481" t="s">
        <v>1580</v>
      </c>
      <c r="AJ17" s="2481" t="s">
        <v>1580</v>
      </c>
      <c r="AK17" s="2512" t="s">
        <v>362</v>
      </c>
      <c r="AL17" s="2481" t="n">
        <v>2026</v>
      </c>
      <c r="AM17" s="2481" t="s">
        <v>1580</v>
      </c>
      <c r="AN17" s="2481" t="s">
        <v>121</v>
      </c>
      <c r="AO17" s="2481" t="s">
        <v>1582</v>
      </c>
      <c r="AP17" s="2513" t="n">
        <v>400000000</v>
      </c>
      <c r="AQ17" s="2476"/>
      <c r="AR17" s="2504" t="s">
        <v>1618</v>
      </c>
      <c r="AS17" s="2505" t="e">
        <f aca="false">+BA17/(SUM($AZ$22:$AZ$30)+SUM($AZ$11:$AZ$30))*2906550000</f>
        <v>#DIV/0!</v>
      </c>
      <c r="AT17" s="2476" t="n">
        <f aca="false">+G17*1050000000/1000</f>
        <v>839202000</v>
      </c>
      <c r="AU17" s="2475"/>
      <c r="AV17" s="2475"/>
      <c r="AW17" s="2494"/>
      <c r="AX17" s="2475"/>
      <c r="AY17" s="2475"/>
      <c r="AZ17" s="2464"/>
      <c r="BA17" s="2495" t="n">
        <v>799.24</v>
      </c>
      <c r="BB17" s="2508" t="n">
        <f aca="false">365*Sheet1!G14*Sheet1!H14</f>
        <v>6215.22</v>
      </c>
      <c r="BC17" s="2481" t="s">
        <v>1690</v>
      </c>
      <c r="BD17" s="2481" t="s">
        <v>1690</v>
      </c>
      <c r="BE17" s="2481"/>
      <c r="BF17" s="2481" t="s">
        <v>1586</v>
      </c>
    </row>
    <row r="18" s="2463" customFormat="true" ht="15" hidden="false" customHeight="false" outlineLevel="0" collapsed="false">
      <c r="A18" s="2509"/>
      <c r="B18" s="2514" t="s">
        <v>2295</v>
      </c>
      <c r="C18" s="2515" t="s">
        <v>1692</v>
      </c>
      <c r="D18" s="2516" t="s">
        <v>2296</v>
      </c>
      <c r="E18" s="2517" t="s">
        <v>1694</v>
      </c>
      <c r="F18" s="2518" t="n">
        <v>45572</v>
      </c>
      <c r="G18" s="2519" t="n">
        <v>499.96</v>
      </c>
      <c r="H18" s="2520"/>
      <c r="I18" s="2518" t="s">
        <v>966</v>
      </c>
      <c r="J18" s="2518" t="s">
        <v>966</v>
      </c>
      <c r="K18" s="2518" t="s">
        <v>1576</v>
      </c>
      <c r="L18" s="2518" t="s">
        <v>966</v>
      </c>
      <c r="M18" s="2521"/>
      <c r="N18" s="2518" t="s">
        <v>966</v>
      </c>
      <c r="O18" s="2517" t="n">
        <v>1</v>
      </c>
      <c r="P18" s="2522"/>
      <c r="Q18" s="2517"/>
      <c r="R18" s="2518"/>
      <c r="S18" s="2518"/>
      <c r="T18" s="2518"/>
      <c r="U18" s="2523" t="n">
        <f aca="false">20000000*G18</f>
        <v>9999200000</v>
      </c>
      <c r="V18" s="2517" t="n">
        <v>6</v>
      </c>
      <c r="W18" s="2518"/>
      <c r="X18" s="2517"/>
      <c r="Y18" s="2517" t="s">
        <v>1316</v>
      </c>
      <c r="Z18" s="2517" t="s">
        <v>362</v>
      </c>
      <c r="AA18" s="2517" t="s">
        <v>362</v>
      </c>
      <c r="AB18" s="2524" t="s">
        <v>373</v>
      </c>
      <c r="AC18" s="2525" t="s">
        <v>373</v>
      </c>
      <c r="AD18" s="2526"/>
      <c r="AE18" s="2525" t="s">
        <v>373</v>
      </c>
      <c r="AF18" s="2527" t="n">
        <v>150000000</v>
      </c>
      <c r="AG18" s="2517" t="s">
        <v>1579</v>
      </c>
      <c r="AH18" s="2523" t="n">
        <v>4208</v>
      </c>
      <c r="AI18" s="2517" t="s">
        <v>1580</v>
      </c>
      <c r="AJ18" s="2517" t="s">
        <v>1580</v>
      </c>
      <c r="AK18" s="2528" t="s">
        <v>362</v>
      </c>
      <c r="AL18" s="2517" t="n">
        <v>2026</v>
      </c>
      <c r="AM18" s="2517" t="s">
        <v>1580</v>
      </c>
      <c r="AN18" s="2517" t="s">
        <v>121</v>
      </c>
      <c r="AO18" s="2517" t="s">
        <v>1582</v>
      </c>
      <c r="AP18" s="2529" t="n">
        <v>400000000</v>
      </c>
      <c r="AQ18" s="2530"/>
      <c r="AR18" s="2531" t="s">
        <v>1618</v>
      </c>
      <c r="AS18" s="2532" t="e">
        <f aca="false">+BA18/(SUM($AZ$22:$AZ$30)+SUM($AZ$11:$AZ$30))*2906550000</f>
        <v>#DIV/0!</v>
      </c>
      <c r="AT18" s="2530" t="n">
        <f aca="false">+G18*1050000000/1000</f>
        <v>524958000</v>
      </c>
      <c r="AU18" s="2533"/>
      <c r="AV18" s="2533"/>
      <c r="AW18" s="2534"/>
      <c r="AX18" s="2533"/>
      <c r="AY18" s="2533"/>
      <c r="AZ18" s="2535"/>
      <c r="BA18" s="2536" t="n">
        <v>499.96</v>
      </c>
      <c r="BB18" s="2537" t="n">
        <f aca="false">365*Sheet1!G15*Sheet1!H15</f>
        <v>5671.735</v>
      </c>
      <c r="BC18" s="2517" t="s">
        <v>1695</v>
      </c>
      <c r="BD18" s="2517" t="s">
        <v>1695</v>
      </c>
      <c r="BE18" s="2538"/>
      <c r="BF18" s="2517" t="s">
        <v>1586</v>
      </c>
    </row>
    <row r="19" s="2463" customFormat="true" ht="15" hidden="false" customHeight="false" outlineLevel="0" collapsed="false">
      <c r="A19" s="2480" t="s">
        <v>2242</v>
      </c>
      <c r="B19" s="2539" t="s">
        <v>2297</v>
      </c>
      <c r="H19" s="2465"/>
      <c r="I19" s="2465"/>
      <c r="J19" s="2466"/>
      <c r="K19" s="2466"/>
      <c r="L19" s="2467"/>
      <c r="M19" s="2467"/>
      <c r="O19" s="2467"/>
      <c r="P19" s="2467"/>
      <c r="Q19" s="2466"/>
      <c r="R19" s="2466"/>
      <c r="S19" s="2540"/>
      <c r="T19" s="2467"/>
      <c r="U19" s="2467"/>
      <c r="V19" s="2467"/>
      <c r="W19" s="2467"/>
      <c r="X19" s="2467"/>
      <c r="Y19" s="2467"/>
      <c r="Z19" s="2540"/>
      <c r="AA19" s="2541"/>
      <c r="AB19" s="2541"/>
      <c r="AC19" s="2541"/>
      <c r="AD19" s="2467"/>
      <c r="AE19" s="2469"/>
      <c r="AF19" s="2467"/>
      <c r="AG19" s="2467"/>
      <c r="AH19" s="2467"/>
      <c r="AI19" s="2467"/>
      <c r="AJ19" s="2467"/>
      <c r="AK19" s="2467"/>
      <c r="AL19" s="2542"/>
      <c r="AM19" s="2542"/>
      <c r="AN19" s="2542"/>
      <c r="AO19" s="2542"/>
      <c r="AP19" s="2542"/>
      <c r="AQ19" s="2542"/>
      <c r="AR19" s="2542"/>
      <c r="AS19" s="2542"/>
      <c r="AT19" s="2542"/>
      <c r="AU19" s="2542"/>
      <c r="AV19" s="2543"/>
      <c r="AW19" s="2543"/>
      <c r="AX19" s="2543"/>
      <c r="AY19" s="2543"/>
      <c r="AZ19" s="2543"/>
      <c r="BA19" s="2467"/>
    </row>
    <row r="20" s="2463" customFormat="true" ht="15" hidden="false" customHeight="false" outlineLevel="0" collapsed="false">
      <c r="A20" s="2480" t="s">
        <v>2242</v>
      </c>
      <c r="B20" s="2539" t="s">
        <v>2298</v>
      </c>
      <c r="H20" s="2465"/>
      <c r="I20" s="2465"/>
      <c r="J20" s="2466"/>
      <c r="K20" s="2466"/>
      <c r="L20" s="2467"/>
      <c r="M20" s="2467"/>
      <c r="O20" s="2467"/>
      <c r="P20" s="2467"/>
      <c r="Q20" s="2466"/>
      <c r="R20" s="2466"/>
      <c r="S20" s="2540"/>
      <c r="T20" s="2467"/>
      <c r="U20" s="2467"/>
      <c r="V20" s="2467"/>
      <c r="W20" s="2467"/>
      <c r="X20" s="2467"/>
      <c r="Y20" s="2467"/>
      <c r="Z20" s="2540"/>
      <c r="AA20" s="2541"/>
      <c r="AB20" s="2541"/>
      <c r="AC20" s="2541"/>
      <c r="AD20" s="2467"/>
      <c r="AE20" s="2469"/>
      <c r="AF20" s="2467"/>
      <c r="AG20" s="2467"/>
      <c r="AH20" s="2467"/>
      <c r="AI20" s="2467"/>
      <c r="AJ20" s="2467"/>
      <c r="AK20" s="2467"/>
      <c r="AL20" s="2542"/>
      <c r="AM20" s="2542"/>
      <c r="AN20" s="2542"/>
      <c r="AO20" s="2542"/>
      <c r="AP20" s="2542"/>
      <c r="AQ20" s="2542"/>
      <c r="AR20" s="2542"/>
      <c r="AS20" s="2542"/>
      <c r="AT20" s="2542"/>
      <c r="AU20" s="2542"/>
      <c r="AV20" s="2543"/>
      <c r="AW20" s="2543"/>
      <c r="AX20" s="2543"/>
      <c r="AY20" s="2543"/>
      <c r="AZ20" s="2543"/>
      <c r="BA20" s="2467"/>
    </row>
    <row r="21" s="2463" customFormat="true" ht="15" hidden="false" customHeight="false" outlineLevel="0" collapsed="false">
      <c r="A21" s="2480" t="s">
        <v>2242</v>
      </c>
      <c r="B21" s="2460" t="s">
        <v>2299</v>
      </c>
      <c r="H21" s="2465"/>
      <c r="I21" s="2465"/>
      <c r="J21" s="2466"/>
      <c r="K21" s="2466"/>
      <c r="L21" s="2467"/>
      <c r="M21" s="2467"/>
      <c r="O21" s="2467"/>
      <c r="P21" s="2467"/>
      <c r="Q21" s="2466"/>
      <c r="R21" s="2466"/>
      <c r="S21" s="2540"/>
      <c r="T21" s="2467"/>
      <c r="U21" s="2467"/>
      <c r="V21" s="2467"/>
      <c r="W21" s="2467"/>
      <c r="X21" s="2467"/>
      <c r="Y21" s="2467"/>
      <c r="Z21" s="2540"/>
      <c r="AA21" s="2541"/>
      <c r="AB21" s="2541"/>
      <c r="AC21" s="2541"/>
      <c r="AD21" s="2467"/>
      <c r="AE21" s="2469"/>
      <c r="AF21" s="2467"/>
      <c r="AG21" s="2467"/>
      <c r="AH21" s="2467"/>
      <c r="AI21" s="2467"/>
      <c r="AJ21" s="2467"/>
      <c r="AK21" s="2467"/>
      <c r="AL21" s="2542"/>
      <c r="AM21" s="2542"/>
      <c r="AN21" s="2542"/>
      <c r="AO21" s="2542"/>
      <c r="AP21" s="2542"/>
      <c r="AQ21" s="2542"/>
      <c r="AR21" s="2542"/>
      <c r="AS21" s="2542"/>
      <c r="AT21" s="2542"/>
      <c r="AU21" s="2542"/>
      <c r="AV21" s="2543"/>
      <c r="AW21" s="2543"/>
      <c r="AX21" s="2543"/>
      <c r="AY21" s="2543"/>
      <c r="AZ21" s="2543"/>
      <c r="BA21" s="2467"/>
    </row>
    <row r="22" s="2463" customFormat="true" ht="15" hidden="false" customHeight="false" outlineLevel="0" collapsed="false">
      <c r="A22" s="2544" t="s">
        <v>2242</v>
      </c>
      <c r="B22" s="2460" t="s">
        <v>2300</v>
      </c>
      <c r="C22" s="2461" t="s">
        <v>1697</v>
      </c>
      <c r="H22" s="2465"/>
      <c r="I22" s="2465"/>
      <c r="J22" s="2466"/>
      <c r="K22" s="2466"/>
      <c r="L22" s="2467"/>
      <c r="M22" s="2467"/>
      <c r="O22" s="2467"/>
      <c r="P22" s="2467"/>
      <c r="Q22" s="2466"/>
      <c r="R22" s="2466"/>
      <c r="S22" s="2540"/>
      <c r="T22" s="2467"/>
      <c r="U22" s="2467"/>
      <c r="V22" s="2467"/>
      <c r="W22" s="2467"/>
      <c r="X22" s="2467"/>
      <c r="Y22" s="2467"/>
      <c r="Z22" s="2540"/>
      <c r="AA22" s="2541"/>
      <c r="AB22" s="2541"/>
      <c r="AC22" s="2541"/>
      <c r="AD22" s="2467"/>
      <c r="AE22" s="2469"/>
      <c r="AF22" s="2467"/>
      <c r="AG22" s="2467"/>
      <c r="AH22" s="2467"/>
      <c r="AI22" s="2467"/>
      <c r="AJ22" s="2467"/>
      <c r="AK22" s="2467"/>
      <c r="AL22" s="2542"/>
      <c r="AM22" s="2542"/>
      <c r="AN22" s="2542"/>
      <c r="AO22" s="2542"/>
      <c r="AP22" s="2542"/>
      <c r="AQ22" s="2542"/>
      <c r="AR22" s="2542"/>
      <c r="AS22" s="2542"/>
      <c r="AT22" s="2542"/>
      <c r="AU22" s="2542"/>
      <c r="AV22" s="2543"/>
      <c r="AW22" s="2543"/>
      <c r="AX22" s="2543"/>
      <c r="AY22" s="2543"/>
      <c r="AZ22" s="2543"/>
      <c r="BA22" s="2467"/>
    </row>
    <row r="23" s="2463" customFormat="true" ht="15" hidden="false" customHeight="false" outlineLevel="0" collapsed="false">
      <c r="A23" s="2544"/>
      <c r="B23" s="2460" t="s">
        <v>1702</v>
      </c>
      <c r="C23" s="2461" t="s">
        <v>1697</v>
      </c>
      <c r="H23" s="2465"/>
      <c r="I23" s="2465"/>
      <c r="J23" s="2466"/>
      <c r="K23" s="2466"/>
      <c r="L23" s="2467"/>
      <c r="M23" s="2467"/>
      <c r="O23" s="2467"/>
      <c r="P23" s="2467"/>
      <c r="Q23" s="2466"/>
      <c r="R23" s="2466"/>
      <c r="S23" s="2540"/>
      <c r="T23" s="2467"/>
      <c r="U23" s="2467"/>
      <c r="V23" s="2467"/>
      <c r="W23" s="2467"/>
      <c r="X23" s="2467"/>
      <c r="Y23" s="2467"/>
      <c r="Z23" s="2540"/>
      <c r="AA23" s="2541"/>
      <c r="AB23" s="2541"/>
      <c r="AC23" s="2541"/>
      <c r="AD23" s="2467"/>
      <c r="AE23" s="2469"/>
      <c r="AF23" s="2467"/>
      <c r="AG23" s="2467"/>
      <c r="AH23" s="2467"/>
      <c r="AI23" s="2467"/>
      <c r="AJ23" s="2467"/>
      <c r="AK23" s="2467"/>
      <c r="AL23" s="2542"/>
      <c r="AM23" s="2542"/>
      <c r="AN23" s="2542"/>
      <c r="AO23" s="2542"/>
      <c r="AP23" s="2542"/>
      <c r="AQ23" s="2542"/>
      <c r="AR23" s="2542"/>
      <c r="AS23" s="2542"/>
      <c r="AT23" s="2542"/>
      <c r="AU23" s="2542"/>
      <c r="AV23" s="2543"/>
      <c r="AW23" s="2543"/>
      <c r="AX23" s="2543"/>
      <c r="AY23" s="2543"/>
      <c r="AZ23" s="2543"/>
      <c r="BA23" s="2467"/>
    </row>
    <row r="24" s="2463" customFormat="true" ht="15" hidden="false" customHeight="false" outlineLevel="0" collapsed="false">
      <c r="A24" s="2544"/>
      <c r="B24" s="2460" t="s">
        <v>1703</v>
      </c>
      <c r="C24" s="2461" t="s">
        <v>1697</v>
      </c>
      <c r="H24" s="2465"/>
      <c r="I24" s="2465"/>
      <c r="J24" s="2466"/>
      <c r="K24" s="2466"/>
      <c r="L24" s="2467"/>
      <c r="M24" s="2467"/>
      <c r="O24" s="2467"/>
      <c r="P24" s="2467"/>
      <c r="Q24" s="2466"/>
      <c r="R24" s="2466"/>
      <c r="S24" s="2540"/>
      <c r="T24" s="2467"/>
      <c r="U24" s="2467"/>
      <c r="V24" s="2467"/>
      <c r="W24" s="2467"/>
      <c r="X24" s="2467"/>
      <c r="Y24" s="2467"/>
      <c r="Z24" s="2540"/>
      <c r="AA24" s="2541"/>
      <c r="AB24" s="2541"/>
      <c r="AC24" s="2541"/>
      <c r="AD24" s="2467"/>
      <c r="AE24" s="2469"/>
      <c r="AF24" s="2467"/>
      <c r="AG24" s="2467"/>
      <c r="AH24" s="2467"/>
      <c r="AI24" s="2467"/>
      <c r="AJ24" s="2467"/>
      <c r="AK24" s="2467"/>
      <c r="AL24" s="2542"/>
      <c r="AM24" s="2542"/>
      <c r="AN24" s="2542"/>
      <c r="AO24" s="2542"/>
      <c r="AP24" s="2542"/>
      <c r="AQ24" s="2542"/>
      <c r="AR24" s="2542"/>
      <c r="AS24" s="2542"/>
      <c r="AT24" s="2542"/>
      <c r="AU24" s="2542"/>
      <c r="AV24" s="2543"/>
      <c r="AW24" s="2543"/>
      <c r="AX24" s="2543"/>
      <c r="AY24" s="2543"/>
      <c r="AZ24" s="2543"/>
      <c r="BA24" s="2467"/>
    </row>
    <row r="25" s="2463" customFormat="true" ht="15" hidden="false" customHeight="false" outlineLevel="0" collapsed="false">
      <c r="A25" s="2544"/>
      <c r="B25" s="2460" t="s">
        <v>1704</v>
      </c>
      <c r="C25" s="2461" t="s">
        <v>1697</v>
      </c>
      <c r="H25" s="2465"/>
      <c r="I25" s="2465"/>
      <c r="J25" s="2466"/>
      <c r="K25" s="2466"/>
      <c r="L25" s="2467"/>
      <c r="M25" s="2467"/>
      <c r="O25" s="2467"/>
      <c r="P25" s="2467"/>
      <c r="Q25" s="2466"/>
      <c r="R25" s="2466"/>
      <c r="S25" s="2540"/>
      <c r="T25" s="2467"/>
      <c r="U25" s="2467"/>
      <c r="V25" s="2467"/>
      <c r="W25" s="2467"/>
      <c r="X25" s="2467"/>
      <c r="Y25" s="2467"/>
      <c r="Z25" s="2540"/>
      <c r="AA25" s="2541"/>
      <c r="AB25" s="2541"/>
      <c r="AC25" s="2541"/>
      <c r="AD25" s="2467"/>
      <c r="AE25" s="2469"/>
      <c r="AF25" s="2467"/>
      <c r="AG25" s="2467"/>
      <c r="AH25" s="2467"/>
      <c r="AI25" s="2467"/>
      <c r="AJ25" s="2467"/>
      <c r="AK25" s="2467"/>
      <c r="AL25" s="2542"/>
      <c r="AM25" s="2542"/>
      <c r="AN25" s="2542"/>
      <c r="AO25" s="2542"/>
      <c r="AP25" s="2542"/>
      <c r="AQ25" s="2542"/>
      <c r="AR25" s="2542"/>
      <c r="AS25" s="2542"/>
      <c r="AT25" s="2542"/>
      <c r="AU25" s="2542"/>
      <c r="AV25" s="2543"/>
      <c r="AW25" s="2543"/>
      <c r="AX25" s="2543"/>
      <c r="AY25" s="2543"/>
      <c r="AZ25" s="2543"/>
      <c r="BA25" s="2467"/>
    </row>
    <row r="26" s="2463" customFormat="true" ht="15" hidden="false" customHeight="false" outlineLevel="0" collapsed="false">
      <c r="A26" s="2544"/>
      <c r="B26" s="2460" t="s">
        <v>1705</v>
      </c>
      <c r="C26" s="2461" t="s">
        <v>1697</v>
      </c>
      <c r="H26" s="2465"/>
      <c r="I26" s="2465"/>
      <c r="J26" s="2466"/>
      <c r="K26" s="2466"/>
      <c r="L26" s="2467"/>
      <c r="M26" s="2467"/>
      <c r="O26" s="2467"/>
      <c r="P26" s="2467"/>
      <c r="Q26" s="2466"/>
      <c r="R26" s="2466"/>
      <c r="S26" s="2540"/>
      <c r="T26" s="2467"/>
      <c r="U26" s="2467"/>
      <c r="V26" s="2467"/>
      <c r="W26" s="2467"/>
      <c r="X26" s="2467"/>
      <c r="Y26" s="2467"/>
      <c r="Z26" s="2540"/>
      <c r="AA26" s="2541"/>
      <c r="AB26" s="2541"/>
      <c r="AC26" s="2541"/>
      <c r="AD26" s="2467"/>
      <c r="AE26" s="2469"/>
      <c r="AF26" s="2467"/>
      <c r="AG26" s="2467"/>
      <c r="AH26" s="2467"/>
      <c r="AI26" s="2467"/>
      <c r="AJ26" s="2467"/>
      <c r="AK26" s="2467"/>
      <c r="AL26" s="2542"/>
      <c r="AM26" s="2542"/>
      <c r="AN26" s="2542"/>
      <c r="AO26" s="2542"/>
      <c r="AP26" s="2542"/>
      <c r="AQ26" s="2542"/>
      <c r="AR26" s="2542"/>
      <c r="AS26" s="2542"/>
      <c r="AT26" s="2542"/>
      <c r="AU26" s="2542"/>
      <c r="AV26" s="2543"/>
      <c r="AW26" s="2543"/>
      <c r="AX26" s="2543"/>
      <c r="AY26" s="2543"/>
      <c r="AZ26" s="2543"/>
      <c r="BA26" s="2467"/>
    </row>
    <row r="27" s="2463" customFormat="true" ht="15" hidden="false" customHeight="false" outlineLevel="0" collapsed="false">
      <c r="A27" s="2544"/>
      <c r="B27" s="2460" t="s">
        <v>1706</v>
      </c>
      <c r="C27" s="2461" t="s">
        <v>1697</v>
      </c>
      <c r="H27" s="2465"/>
      <c r="I27" s="2465"/>
      <c r="J27" s="2466"/>
      <c r="K27" s="2466"/>
      <c r="L27" s="2467"/>
      <c r="M27" s="2467"/>
      <c r="O27" s="2467"/>
      <c r="P27" s="2467"/>
      <c r="Q27" s="2466"/>
      <c r="R27" s="2466"/>
      <c r="S27" s="2540"/>
      <c r="T27" s="2467"/>
      <c r="U27" s="2467"/>
      <c r="V27" s="2467"/>
      <c r="W27" s="2467"/>
      <c r="X27" s="2467"/>
      <c r="Y27" s="2467"/>
      <c r="Z27" s="2540"/>
      <c r="AA27" s="2541"/>
      <c r="AB27" s="2541"/>
      <c r="AC27" s="2541"/>
      <c r="AD27" s="2467"/>
      <c r="AE27" s="2469"/>
      <c r="AF27" s="2467"/>
      <c r="AG27" s="2467"/>
      <c r="AH27" s="2467"/>
      <c r="AI27" s="2467"/>
      <c r="AJ27" s="2467"/>
      <c r="AK27" s="2467"/>
      <c r="AL27" s="2542"/>
      <c r="AM27" s="2542"/>
      <c r="AN27" s="2542"/>
      <c r="AO27" s="2542"/>
      <c r="AP27" s="2542"/>
      <c r="AQ27" s="2542"/>
      <c r="AR27" s="2542"/>
      <c r="AS27" s="2542"/>
      <c r="AT27" s="2542"/>
      <c r="AU27" s="2542"/>
      <c r="AV27" s="2543"/>
      <c r="AW27" s="2543"/>
      <c r="AX27" s="2543"/>
      <c r="AY27" s="2543"/>
      <c r="AZ27" s="2543"/>
      <c r="BA27" s="2467"/>
    </row>
    <row r="28" s="2463" customFormat="true" ht="15" hidden="false" customHeight="false" outlineLevel="0" collapsed="false">
      <c r="A28" s="2544"/>
      <c r="B28" s="2460" t="s">
        <v>1707</v>
      </c>
      <c r="C28" s="2461" t="s">
        <v>1697</v>
      </c>
      <c r="H28" s="2465"/>
      <c r="I28" s="2465"/>
      <c r="J28" s="2466"/>
      <c r="K28" s="2466"/>
      <c r="L28" s="2467"/>
      <c r="M28" s="2467"/>
      <c r="O28" s="2467"/>
      <c r="P28" s="2467"/>
      <c r="Q28" s="2466"/>
      <c r="R28" s="2466"/>
      <c r="S28" s="2540"/>
      <c r="T28" s="2467"/>
      <c r="U28" s="2467"/>
      <c r="V28" s="2467"/>
      <c r="W28" s="2467"/>
      <c r="X28" s="2467"/>
      <c r="Y28" s="2467"/>
      <c r="Z28" s="2540"/>
      <c r="AA28" s="2541"/>
      <c r="AB28" s="2541"/>
      <c r="AC28" s="2541"/>
      <c r="AD28" s="2467"/>
      <c r="AE28" s="2469"/>
      <c r="AF28" s="2467"/>
      <c r="AG28" s="2467"/>
      <c r="AH28" s="2467"/>
      <c r="AI28" s="2467"/>
      <c r="AJ28" s="2467"/>
      <c r="AK28" s="2467"/>
      <c r="AL28" s="2542"/>
      <c r="AM28" s="2542"/>
      <c r="AN28" s="2542"/>
      <c r="AO28" s="2542"/>
      <c r="AP28" s="2542"/>
      <c r="AQ28" s="2542"/>
      <c r="AR28" s="2542"/>
      <c r="AS28" s="2542"/>
      <c r="AT28" s="2542"/>
      <c r="AU28" s="2542"/>
      <c r="AV28" s="2543"/>
      <c r="AW28" s="2543"/>
      <c r="AX28" s="2543"/>
      <c r="AY28" s="2543"/>
      <c r="AZ28" s="2543"/>
      <c r="BA28" s="2467"/>
    </row>
    <row r="29" s="2463" customFormat="true" ht="15" hidden="false" customHeight="false" outlineLevel="0" collapsed="false">
      <c r="A29" s="2544"/>
      <c r="B29" s="2460" t="s">
        <v>1708</v>
      </c>
      <c r="C29" s="2461" t="s">
        <v>1697</v>
      </c>
      <c r="H29" s="2465"/>
      <c r="I29" s="2465"/>
      <c r="J29" s="2466"/>
      <c r="K29" s="2466"/>
      <c r="L29" s="2467"/>
      <c r="M29" s="2467"/>
      <c r="O29" s="2467"/>
      <c r="P29" s="2467"/>
      <c r="Q29" s="2466"/>
      <c r="R29" s="2466"/>
      <c r="S29" s="2540"/>
      <c r="T29" s="2467"/>
      <c r="U29" s="2467"/>
      <c r="V29" s="2467"/>
      <c r="W29" s="2467"/>
      <c r="X29" s="2467"/>
      <c r="Y29" s="2467"/>
      <c r="Z29" s="2540"/>
      <c r="AA29" s="2541"/>
      <c r="AB29" s="2541"/>
      <c r="AC29" s="2541"/>
      <c r="AD29" s="2467"/>
      <c r="AE29" s="2469"/>
      <c r="AF29" s="2467"/>
      <c r="AG29" s="2467"/>
      <c r="AH29" s="2467"/>
      <c r="AI29" s="2467"/>
      <c r="AJ29" s="2467"/>
      <c r="AK29" s="2467"/>
      <c r="AL29" s="2542"/>
      <c r="AM29" s="2542"/>
      <c r="AN29" s="2542"/>
      <c r="AO29" s="2542"/>
      <c r="AP29" s="2542"/>
      <c r="AQ29" s="2542"/>
      <c r="AR29" s="2542"/>
      <c r="AS29" s="2542"/>
      <c r="AT29" s="2542"/>
      <c r="AU29" s="2542"/>
      <c r="AV29" s="2543"/>
      <c r="AW29" s="2543"/>
      <c r="AX29" s="2543"/>
      <c r="AY29" s="2543"/>
      <c r="AZ29" s="2543"/>
      <c r="BA29" s="2467"/>
    </row>
    <row r="30" s="2545" customFormat="true" ht="15" hidden="false" customHeight="false" outlineLevel="0" collapsed="false">
      <c r="A30" s="2544"/>
      <c r="B30" s="2514" t="s">
        <v>1709</v>
      </c>
      <c r="C30" s="2515" t="s">
        <v>1697</v>
      </c>
      <c r="H30" s="2546"/>
      <c r="I30" s="2546"/>
      <c r="J30" s="2547"/>
      <c r="K30" s="2547"/>
      <c r="L30" s="2548"/>
      <c r="M30" s="2548"/>
      <c r="O30" s="2548"/>
      <c r="P30" s="2548"/>
      <c r="Q30" s="2547"/>
      <c r="R30" s="2547"/>
      <c r="S30" s="2549"/>
      <c r="T30" s="2548"/>
      <c r="U30" s="2548"/>
      <c r="V30" s="2548"/>
      <c r="W30" s="2548"/>
      <c r="X30" s="2548"/>
      <c r="Y30" s="2548"/>
      <c r="Z30" s="2549"/>
      <c r="AA30" s="2550"/>
      <c r="AB30" s="2550"/>
      <c r="AC30" s="2550"/>
      <c r="AD30" s="2548"/>
      <c r="AE30" s="2551"/>
      <c r="AF30" s="2548"/>
      <c r="AG30" s="2548"/>
      <c r="AH30" s="2548"/>
      <c r="AI30" s="2548"/>
      <c r="AJ30" s="2548"/>
      <c r="AK30" s="2548"/>
      <c r="AL30" s="2552"/>
      <c r="AM30" s="2552"/>
      <c r="AN30" s="2552"/>
      <c r="AO30" s="2552"/>
      <c r="AP30" s="2552"/>
      <c r="AQ30" s="2552"/>
      <c r="AR30" s="2552"/>
      <c r="AS30" s="2552"/>
      <c r="AT30" s="2552"/>
      <c r="AU30" s="2552"/>
      <c r="AV30" s="2553"/>
      <c r="AW30" s="2553"/>
      <c r="AX30" s="2553"/>
      <c r="AY30" s="2553"/>
      <c r="AZ30" s="2553"/>
      <c r="BA30" s="2548"/>
    </row>
    <row r="31" s="2463" customFormat="true" ht="15" hidden="false" customHeight="false" outlineLevel="0" collapsed="false">
      <c r="A31" s="2544" t="s">
        <v>2242</v>
      </c>
      <c r="B31" s="2460" t="s">
        <v>2301</v>
      </c>
      <c r="C31" s="2461" t="s">
        <v>1711</v>
      </c>
      <c r="H31" s="2465"/>
      <c r="I31" s="2465"/>
      <c r="J31" s="2466"/>
      <c r="K31" s="2466"/>
      <c r="L31" s="2467"/>
      <c r="M31" s="2467"/>
      <c r="O31" s="2467"/>
      <c r="P31" s="2467"/>
      <c r="Q31" s="2466"/>
      <c r="R31" s="2466"/>
      <c r="S31" s="2540"/>
      <c r="T31" s="2467"/>
      <c r="U31" s="2467"/>
      <c r="V31" s="2467"/>
      <c r="W31" s="2467"/>
      <c r="X31" s="2467"/>
      <c r="Y31" s="2467"/>
      <c r="Z31" s="2540"/>
      <c r="AA31" s="2541"/>
      <c r="AB31" s="2541"/>
      <c r="AC31" s="2541"/>
      <c r="AD31" s="2467"/>
      <c r="AE31" s="2469"/>
      <c r="AF31" s="2467"/>
      <c r="AG31" s="2467"/>
      <c r="AH31" s="2467"/>
      <c r="AI31" s="2467"/>
      <c r="AJ31" s="2467"/>
      <c r="AK31" s="2467"/>
      <c r="AL31" s="2542"/>
      <c r="AM31" s="2542"/>
      <c r="AN31" s="2542"/>
      <c r="AO31" s="2542"/>
      <c r="AP31" s="2542"/>
      <c r="AQ31" s="2542"/>
      <c r="AR31" s="2542"/>
      <c r="AS31" s="2542"/>
      <c r="AT31" s="2542"/>
      <c r="AU31" s="2542"/>
      <c r="AV31" s="2543"/>
      <c r="AW31" s="2543"/>
      <c r="AX31" s="2543"/>
      <c r="AY31" s="2543"/>
      <c r="AZ31" s="2543"/>
      <c r="BA31" s="2467"/>
    </row>
    <row r="32" s="2463" customFormat="true" ht="15" hidden="false" customHeight="false" outlineLevel="0" collapsed="false">
      <c r="A32" s="2544"/>
      <c r="B32" s="2460" t="s">
        <v>1718</v>
      </c>
      <c r="C32" s="2461" t="s">
        <v>1719</v>
      </c>
      <c r="H32" s="2465"/>
      <c r="I32" s="2465"/>
      <c r="J32" s="2466"/>
      <c r="K32" s="2466"/>
      <c r="L32" s="2467"/>
      <c r="M32" s="2467"/>
      <c r="O32" s="2467"/>
      <c r="P32" s="2467"/>
      <c r="Q32" s="2466"/>
      <c r="R32" s="2466"/>
      <c r="S32" s="2540"/>
      <c r="T32" s="2467"/>
      <c r="U32" s="2467"/>
      <c r="V32" s="2467"/>
      <c r="W32" s="2467"/>
      <c r="X32" s="2467"/>
      <c r="Y32" s="2467"/>
      <c r="Z32" s="2540"/>
      <c r="AA32" s="2541"/>
      <c r="AB32" s="2541"/>
      <c r="AC32" s="2541"/>
      <c r="AD32" s="2467"/>
      <c r="AE32" s="2469"/>
      <c r="AF32" s="2467"/>
      <c r="AG32" s="2467"/>
      <c r="AH32" s="2467"/>
      <c r="AI32" s="2467"/>
      <c r="AJ32" s="2467"/>
      <c r="AK32" s="2467"/>
      <c r="AL32" s="2542"/>
      <c r="AM32" s="2542"/>
      <c r="AN32" s="2542"/>
      <c r="AO32" s="2542"/>
      <c r="AP32" s="2542"/>
      <c r="AQ32" s="2542"/>
      <c r="AR32" s="2542"/>
      <c r="AS32" s="2542"/>
      <c r="AT32" s="2542"/>
      <c r="AU32" s="2542"/>
      <c r="AV32" s="2543"/>
      <c r="AW32" s="2543"/>
      <c r="AX32" s="2543"/>
      <c r="AY32" s="2543"/>
      <c r="AZ32" s="2543"/>
      <c r="BA32" s="2467"/>
    </row>
    <row r="33" s="2463" customFormat="true" ht="15" hidden="false" customHeight="false" outlineLevel="0" collapsed="false">
      <c r="A33" s="2544"/>
      <c r="B33" s="2460" t="s">
        <v>1721</v>
      </c>
      <c r="C33" s="2461" t="s">
        <v>1722</v>
      </c>
      <c r="H33" s="2465"/>
      <c r="I33" s="2465"/>
      <c r="J33" s="2466"/>
      <c r="K33" s="2466"/>
      <c r="L33" s="2467"/>
      <c r="M33" s="2467"/>
      <c r="O33" s="2467"/>
      <c r="P33" s="2467"/>
      <c r="Q33" s="2466"/>
      <c r="R33" s="2466"/>
      <c r="S33" s="2540"/>
      <c r="T33" s="2467"/>
      <c r="U33" s="2467"/>
      <c r="V33" s="2467"/>
      <c r="W33" s="2467"/>
      <c r="X33" s="2467"/>
      <c r="Y33" s="2467"/>
      <c r="Z33" s="2540"/>
      <c r="AA33" s="2541"/>
      <c r="AB33" s="2541"/>
      <c r="AC33" s="2541"/>
      <c r="AD33" s="2467"/>
      <c r="AE33" s="2469"/>
      <c r="AF33" s="2467"/>
      <c r="AG33" s="2467"/>
      <c r="AH33" s="2467"/>
      <c r="AI33" s="2467"/>
      <c r="AJ33" s="2467"/>
      <c r="AK33" s="2467"/>
      <c r="AL33" s="2542"/>
      <c r="AM33" s="2542"/>
      <c r="AN33" s="2542"/>
      <c r="AO33" s="2542"/>
      <c r="AP33" s="2542"/>
      <c r="AQ33" s="2542"/>
      <c r="AR33" s="2542"/>
      <c r="AS33" s="2542"/>
      <c r="AT33" s="2542"/>
      <c r="AU33" s="2542"/>
      <c r="AV33" s="2543"/>
      <c r="AW33" s="2543"/>
      <c r="AX33" s="2543"/>
      <c r="AY33" s="2543"/>
      <c r="AZ33" s="2543"/>
      <c r="BA33" s="2467"/>
    </row>
    <row r="34" s="2463" customFormat="true" ht="15" hidden="false" customHeight="false" outlineLevel="0" collapsed="false">
      <c r="A34" s="2544"/>
      <c r="B34" s="2460" t="s">
        <v>1724</v>
      </c>
      <c r="C34" s="2461" t="s">
        <v>1725</v>
      </c>
      <c r="H34" s="2465"/>
      <c r="I34" s="2465"/>
      <c r="J34" s="2466"/>
      <c r="K34" s="2466"/>
      <c r="L34" s="2467"/>
      <c r="M34" s="2467"/>
      <c r="O34" s="2467"/>
      <c r="P34" s="2467"/>
      <c r="Q34" s="2466"/>
      <c r="R34" s="2466"/>
      <c r="S34" s="2540"/>
      <c r="T34" s="2467"/>
      <c r="U34" s="2467"/>
      <c r="V34" s="2467"/>
      <c r="W34" s="2467"/>
      <c r="X34" s="2467"/>
      <c r="Y34" s="2467"/>
      <c r="Z34" s="2540"/>
      <c r="AA34" s="2541"/>
      <c r="AB34" s="2541"/>
      <c r="AC34" s="2541"/>
      <c r="AD34" s="2467"/>
      <c r="AE34" s="2469"/>
      <c r="AF34" s="2467"/>
      <c r="AG34" s="2467"/>
      <c r="AH34" s="2467"/>
      <c r="AI34" s="2467"/>
      <c r="AJ34" s="2467"/>
      <c r="AK34" s="2467"/>
      <c r="AL34" s="2542"/>
      <c r="AM34" s="2542"/>
      <c r="AN34" s="2542"/>
      <c r="AO34" s="2542"/>
      <c r="AP34" s="2542"/>
      <c r="AQ34" s="2542"/>
      <c r="AR34" s="2542"/>
      <c r="AS34" s="2542"/>
      <c r="AT34" s="2542"/>
      <c r="AU34" s="2542"/>
      <c r="AV34" s="2543"/>
      <c r="AW34" s="2543"/>
      <c r="AX34" s="2543"/>
      <c r="AY34" s="2543"/>
      <c r="AZ34" s="2543"/>
      <c r="BA34" s="2467"/>
    </row>
    <row r="35" s="2463" customFormat="true" ht="15" hidden="false" customHeight="false" outlineLevel="0" collapsed="false">
      <c r="A35" s="2544"/>
      <c r="B35" s="2460" t="s">
        <v>1727</v>
      </c>
      <c r="C35" s="2461" t="s">
        <v>1728</v>
      </c>
      <c r="H35" s="2465"/>
      <c r="I35" s="2465"/>
      <c r="J35" s="2466"/>
      <c r="K35" s="2466"/>
      <c r="L35" s="2467"/>
      <c r="M35" s="2467"/>
      <c r="O35" s="2467"/>
      <c r="P35" s="2467"/>
      <c r="Q35" s="2466"/>
      <c r="R35" s="2466"/>
      <c r="S35" s="2540"/>
      <c r="T35" s="2467"/>
      <c r="U35" s="2467"/>
      <c r="V35" s="2467"/>
      <c r="W35" s="2467"/>
      <c r="X35" s="2467"/>
      <c r="Y35" s="2467"/>
      <c r="Z35" s="2540"/>
      <c r="AA35" s="2541"/>
      <c r="AB35" s="2541"/>
      <c r="AC35" s="2541"/>
      <c r="AD35" s="2467"/>
      <c r="AE35" s="2469"/>
      <c r="AF35" s="2467"/>
      <c r="AG35" s="2467"/>
      <c r="AH35" s="2467"/>
      <c r="AI35" s="2467"/>
      <c r="AJ35" s="2467"/>
      <c r="AK35" s="2467"/>
      <c r="AL35" s="2542"/>
      <c r="AM35" s="2542"/>
      <c r="AN35" s="2542"/>
      <c r="AO35" s="2542"/>
      <c r="AP35" s="2542"/>
      <c r="AQ35" s="2542"/>
      <c r="AR35" s="2542"/>
      <c r="AS35" s="2542"/>
      <c r="AT35" s="2542"/>
      <c r="AU35" s="2542"/>
      <c r="AV35" s="2543"/>
      <c r="AW35" s="2543"/>
      <c r="AX35" s="2543"/>
      <c r="AY35" s="2543"/>
      <c r="AZ35" s="2543"/>
      <c r="BA35" s="2467"/>
    </row>
    <row r="36" s="2463" customFormat="true" ht="15" hidden="false" customHeight="false" outlineLevel="0" collapsed="false">
      <c r="A36" s="2544"/>
      <c r="B36" s="2460" t="s">
        <v>1730</v>
      </c>
      <c r="C36" s="2461" t="s">
        <v>1731</v>
      </c>
      <c r="H36" s="2465"/>
      <c r="I36" s="2465"/>
      <c r="J36" s="2466"/>
      <c r="K36" s="2466"/>
      <c r="L36" s="2467"/>
      <c r="M36" s="2467"/>
      <c r="O36" s="2467"/>
      <c r="P36" s="2467"/>
      <c r="Q36" s="2466"/>
      <c r="R36" s="2466"/>
      <c r="S36" s="2540"/>
      <c r="T36" s="2467"/>
      <c r="U36" s="2467"/>
      <c r="V36" s="2467"/>
      <c r="W36" s="2467"/>
      <c r="X36" s="2467"/>
      <c r="Y36" s="2467"/>
      <c r="Z36" s="2540"/>
      <c r="AA36" s="2541"/>
      <c r="AB36" s="2541"/>
      <c r="AC36" s="2541"/>
      <c r="AD36" s="2467"/>
      <c r="AE36" s="2469"/>
      <c r="AF36" s="2467"/>
      <c r="AG36" s="2467"/>
      <c r="AH36" s="2467"/>
      <c r="AI36" s="2467"/>
      <c r="AJ36" s="2467"/>
      <c r="AK36" s="2467"/>
      <c r="AL36" s="2542"/>
      <c r="AM36" s="2542"/>
      <c r="AN36" s="2542"/>
      <c r="AO36" s="2542"/>
      <c r="AP36" s="2542"/>
      <c r="AQ36" s="2542"/>
      <c r="AR36" s="2542"/>
      <c r="AS36" s="2542"/>
      <c r="AT36" s="2542"/>
      <c r="AU36" s="2542"/>
      <c r="AV36" s="2543"/>
      <c r="AW36" s="2543"/>
      <c r="AX36" s="2543"/>
      <c r="AY36" s="2543"/>
      <c r="AZ36" s="2543"/>
      <c r="BA36" s="2467"/>
    </row>
    <row r="37" s="2463" customFormat="true" ht="15" hidden="false" customHeight="false" outlineLevel="0" collapsed="false">
      <c r="A37" s="2544"/>
      <c r="B37" s="2460" t="s">
        <v>1733</v>
      </c>
      <c r="C37" s="2461" t="s">
        <v>1734</v>
      </c>
      <c r="H37" s="2465"/>
      <c r="I37" s="2465"/>
      <c r="J37" s="2466"/>
      <c r="K37" s="2466"/>
      <c r="L37" s="2467"/>
      <c r="M37" s="2467"/>
      <c r="O37" s="2467"/>
      <c r="P37" s="2467"/>
      <c r="Q37" s="2466"/>
      <c r="R37" s="2466"/>
      <c r="S37" s="2540"/>
      <c r="T37" s="2467"/>
      <c r="U37" s="2467"/>
      <c r="V37" s="2467"/>
      <c r="W37" s="2467"/>
      <c r="X37" s="2467"/>
      <c r="Y37" s="2467"/>
      <c r="Z37" s="2540"/>
      <c r="AA37" s="2541"/>
      <c r="AB37" s="2541"/>
      <c r="AC37" s="2541"/>
      <c r="AD37" s="2467"/>
      <c r="AE37" s="2469"/>
      <c r="AF37" s="2467"/>
      <c r="AG37" s="2467"/>
      <c r="AH37" s="2467"/>
      <c r="AI37" s="2467"/>
      <c r="AJ37" s="2467"/>
      <c r="AK37" s="2467"/>
      <c r="AL37" s="2542"/>
      <c r="AM37" s="2542"/>
      <c r="AN37" s="2542"/>
      <c r="AO37" s="2542"/>
      <c r="AP37" s="2542"/>
      <c r="AQ37" s="2542"/>
      <c r="AR37" s="2542"/>
      <c r="AS37" s="2542"/>
      <c r="AT37" s="2542"/>
      <c r="AU37" s="2542"/>
      <c r="AV37" s="2543"/>
      <c r="AW37" s="2543"/>
      <c r="AX37" s="2543"/>
      <c r="AY37" s="2543"/>
      <c r="AZ37" s="2543"/>
      <c r="BA37" s="2467"/>
    </row>
    <row r="38" s="2463" customFormat="true" ht="15" hidden="false" customHeight="false" outlineLevel="0" collapsed="false">
      <c r="A38" s="2544"/>
      <c r="B38" s="2460" t="s">
        <v>1736</v>
      </c>
      <c r="C38" s="2461" t="s">
        <v>1737</v>
      </c>
      <c r="H38" s="2465"/>
      <c r="I38" s="2465"/>
      <c r="J38" s="2466"/>
      <c r="K38" s="2466"/>
      <c r="L38" s="2467"/>
      <c r="M38" s="2467"/>
      <c r="O38" s="2467"/>
      <c r="P38" s="2467"/>
      <c r="Q38" s="2466"/>
      <c r="R38" s="2466"/>
      <c r="S38" s="2540"/>
      <c r="T38" s="2467"/>
      <c r="U38" s="2467"/>
      <c r="V38" s="2467"/>
      <c r="W38" s="2467"/>
      <c r="X38" s="2467"/>
      <c r="Y38" s="2467"/>
      <c r="Z38" s="2540"/>
      <c r="AA38" s="2541"/>
      <c r="AB38" s="2541"/>
      <c r="AC38" s="2541"/>
      <c r="AD38" s="2467"/>
      <c r="AE38" s="2469"/>
      <c r="AF38" s="2467"/>
      <c r="AG38" s="2467"/>
      <c r="AH38" s="2467"/>
      <c r="AI38" s="2467"/>
      <c r="AJ38" s="2467"/>
      <c r="AK38" s="2467"/>
      <c r="AL38" s="2542"/>
      <c r="AM38" s="2542"/>
      <c r="AN38" s="2542"/>
      <c r="AO38" s="2542"/>
      <c r="AP38" s="2542"/>
      <c r="AQ38" s="2542"/>
      <c r="AR38" s="2542"/>
      <c r="AS38" s="2542"/>
      <c r="AT38" s="2542"/>
      <c r="AU38" s="2542"/>
      <c r="AV38" s="2543"/>
      <c r="AW38" s="2543"/>
      <c r="AX38" s="2543"/>
      <c r="AY38" s="2543"/>
      <c r="AZ38" s="2543"/>
      <c r="BA38" s="2467"/>
    </row>
    <row r="39" s="2545" customFormat="true" ht="15" hidden="false" customHeight="false" outlineLevel="0" collapsed="false">
      <c r="A39" s="2544"/>
      <c r="B39" s="2514" t="s">
        <v>1739</v>
      </c>
      <c r="C39" s="2515" t="s">
        <v>1740</v>
      </c>
      <c r="H39" s="2546"/>
      <c r="I39" s="2546"/>
      <c r="J39" s="2547"/>
      <c r="K39" s="2547"/>
      <c r="L39" s="2548"/>
      <c r="M39" s="2548"/>
      <c r="O39" s="2548"/>
      <c r="P39" s="2548"/>
      <c r="Q39" s="2547"/>
      <c r="R39" s="2547"/>
      <c r="S39" s="2549"/>
      <c r="T39" s="2548"/>
      <c r="U39" s="2548"/>
      <c r="V39" s="2548"/>
      <c r="W39" s="2548"/>
      <c r="X39" s="2548"/>
      <c r="Y39" s="2548"/>
      <c r="Z39" s="2549"/>
      <c r="AA39" s="2550"/>
      <c r="AB39" s="2550"/>
      <c r="AC39" s="2550"/>
      <c r="AD39" s="2548"/>
      <c r="AE39" s="2551"/>
      <c r="AF39" s="2548"/>
      <c r="AG39" s="2548"/>
      <c r="AH39" s="2548"/>
      <c r="AI39" s="2548"/>
      <c r="AJ39" s="2548"/>
      <c r="AK39" s="2548"/>
      <c r="AL39" s="2552"/>
      <c r="AM39" s="2552"/>
      <c r="AN39" s="2552"/>
      <c r="AO39" s="2552"/>
      <c r="AP39" s="2552"/>
      <c r="AQ39" s="2552"/>
      <c r="AR39" s="2552"/>
      <c r="AS39" s="2552"/>
      <c r="AT39" s="2552"/>
      <c r="AU39" s="2552"/>
      <c r="AV39" s="2553"/>
      <c r="AW39" s="2553"/>
      <c r="AX39" s="2553"/>
      <c r="AY39" s="2553"/>
      <c r="AZ39" s="2553"/>
      <c r="BA39" s="2548"/>
    </row>
    <row r="40" s="2463" customFormat="true" ht="15" hidden="false" customHeight="false" outlineLevel="0" collapsed="false">
      <c r="A40" s="2544" t="s">
        <v>2242</v>
      </c>
      <c r="B40" s="2460" t="s">
        <v>2302</v>
      </c>
      <c r="C40" s="2461" t="s">
        <v>1743</v>
      </c>
      <c r="H40" s="2465"/>
      <c r="I40" s="2465"/>
      <c r="J40" s="2466"/>
      <c r="K40" s="2466"/>
      <c r="L40" s="2467"/>
      <c r="M40" s="2467"/>
      <c r="O40" s="2467"/>
      <c r="P40" s="2467"/>
      <c r="Q40" s="2466"/>
      <c r="R40" s="2466"/>
      <c r="S40" s="2540"/>
      <c r="T40" s="2467"/>
      <c r="U40" s="2467"/>
      <c r="V40" s="2467"/>
      <c r="W40" s="2467"/>
      <c r="X40" s="2467"/>
      <c r="Y40" s="2467"/>
      <c r="Z40" s="2540"/>
      <c r="AA40" s="2541"/>
      <c r="AB40" s="2541"/>
      <c r="AC40" s="2541"/>
      <c r="AD40" s="2467"/>
      <c r="AE40" s="2469"/>
      <c r="AF40" s="2467"/>
      <c r="AG40" s="2467"/>
      <c r="AH40" s="2467"/>
      <c r="AI40" s="2467"/>
      <c r="AJ40" s="2467"/>
      <c r="AK40" s="2467"/>
      <c r="AL40" s="2542"/>
      <c r="AM40" s="2542"/>
      <c r="AN40" s="2542"/>
      <c r="AO40" s="2542"/>
      <c r="AP40" s="2542"/>
      <c r="AQ40" s="2542"/>
      <c r="AR40" s="2542"/>
      <c r="AS40" s="2542"/>
      <c r="AT40" s="2542"/>
      <c r="AU40" s="2542"/>
      <c r="AV40" s="2543"/>
      <c r="AW40" s="2543"/>
      <c r="AX40" s="2543"/>
      <c r="AY40" s="2543"/>
      <c r="AZ40" s="2543"/>
      <c r="BA40" s="2467"/>
    </row>
    <row r="41" s="2463" customFormat="true" ht="15" hidden="false" customHeight="false" outlineLevel="0" collapsed="false">
      <c r="A41" s="2544"/>
      <c r="B41" s="2460" t="s">
        <v>1747</v>
      </c>
      <c r="C41" s="2461" t="s">
        <v>1748</v>
      </c>
      <c r="H41" s="2465"/>
      <c r="I41" s="2465"/>
      <c r="J41" s="2466"/>
      <c r="K41" s="2466"/>
      <c r="L41" s="2467"/>
      <c r="M41" s="2467"/>
      <c r="O41" s="2467"/>
      <c r="P41" s="2467"/>
      <c r="Q41" s="2466"/>
      <c r="R41" s="2466"/>
      <c r="S41" s="2540"/>
      <c r="T41" s="2467"/>
      <c r="U41" s="2467"/>
      <c r="V41" s="2467"/>
      <c r="W41" s="2467"/>
      <c r="X41" s="2467"/>
      <c r="Y41" s="2467"/>
      <c r="Z41" s="2540"/>
      <c r="AA41" s="2541"/>
      <c r="AB41" s="2541"/>
      <c r="AC41" s="2541"/>
      <c r="AD41" s="2467"/>
      <c r="AE41" s="2469"/>
      <c r="AF41" s="2467"/>
      <c r="AG41" s="2467"/>
      <c r="AH41" s="2467"/>
      <c r="AI41" s="2467"/>
      <c r="AJ41" s="2467"/>
      <c r="AK41" s="2467"/>
      <c r="AL41" s="2542"/>
      <c r="AM41" s="2542"/>
      <c r="AN41" s="2542"/>
      <c r="AO41" s="2542"/>
      <c r="AP41" s="2542"/>
      <c r="AQ41" s="2542"/>
      <c r="AR41" s="2542"/>
      <c r="AS41" s="2542"/>
      <c r="AT41" s="2542"/>
      <c r="AU41" s="2542"/>
      <c r="AV41" s="2543"/>
      <c r="AW41" s="2543"/>
      <c r="AX41" s="2543"/>
      <c r="AY41" s="2543"/>
      <c r="AZ41" s="2543"/>
      <c r="BA41" s="2467"/>
    </row>
    <row r="42" s="2463" customFormat="true" ht="15" hidden="false" customHeight="false" outlineLevel="0" collapsed="false">
      <c r="A42" s="2544"/>
      <c r="B42" s="2460" t="s">
        <v>1752</v>
      </c>
      <c r="C42" s="2461" t="s">
        <v>1753</v>
      </c>
      <c r="H42" s="2465"/>
      <c r="I42" s="2465"/>
      <c r="J42" s="2466"/>
      <c r="K42" s="2466"/>
      <c r="L42" s="2467"/>
      <c r="M42" s="2467"/>
      <c r="O42" s="2467"/>
      <c r="P42" s="2467"/>
      <c r="Q42" s="2466"/>
      <c r="R42" s="2466"/>
      <c r="S42" s="2540"/>
      <c r="T42" s="2467"/>
      <c r="U42" s="2467"/>
      <c r="V42" s="2467"/>
      <c r="W42" s="2467"/>
      <c r="X42" s="2467"/>
      <c r="Y42" s="2467"/>
      <c r="Z42" s="2540"/>
      <c r="AA42" s="2541"/>
      <c r="AB42" s="2541"/>
      <c r="AC42" s="2541"/>
      <c r="AD42" s="2467"/>
      <c r="AE42" s="2469"/>
      <c r="AF42" s="2467"/>
      <c r="AG42" s="2467"/>
      <c r="AH42" s="2467"/>
      <c r="AI42" s="2467"/>
      <c r="AJ42" s="2467"/>
      <c r="AK42" s="2467"/>
      <c r="AL42" s="2542"/>
      <c r="AM42" s="2542"/>
      <c r="AN42" s="2542"/>
      <c r="AO42" s="2542"/>
      <c r="AP42" s="2542"/>
      <c r="AQ42" s="2542"/>
      <c r="AR42" s="2542"/>
      <c r="AS42" s="2542"/>
      <c r="AT42" s="2542"/>
      <c r="AU42" s="2542"/>
      <c r="AV42" s="2543"/>
      <c r="AW42" s="2543"/>
      <c r="AX42" s="2543"/>
      <c r="AY42" s="2543"/>
      <c r="AZ42" s="2543"/>
      <c r="BA42" s="2467"/>
    </row>
    <row r="43" s="2463" customFormat="true" ht="15" hidden="false" customHeight="false" outlineLevel="0" collapsed="false">
      <c r="A43" s="2544"/>
      <c r="B43" s="2460" t="s">
        <v>1757</v>
      </c>
      <c r="C43" s="2461" t="s">
        <v>1758</v>
      </c>
      <c r="H43" s="2465"/>
      <c r="I43" s="2465"/>
      <c r="J43" s="2466"/>
      <c r="K43" s="2466"/>
      <c r="L43" s="2467"/>
      <c r="M43" s="2467"/>
      <c r="O43" s="2467"/>
      <c r="P43" s="2467"/>
      <c r="Q43" s="2466"/>
      <c r="R43" s="2466"/>
      <c r="S43" s="2540"/>
      <c r="T43" s="2467"/>
      <c r="U43" s="2467"/>
      <c r="V43" s="2467"/>
      <c r="W43" s="2467"/>
      <c r="X43" s="2467"/>
      <c r="Y43" s="2467"/>
      <c r="Z43" s="2540"/>
      <c r="AA43" s="2541"/>
      <c r="AB43" s="2541"/>
      <c r="AC43" s="2541"/>
      <c r="AD43" s="2467"/>
      <c r="AE43" s="2469"/>
      <c r="AF43" s="2467"/>
      <c r="AG43" s="2467"/>
      <c r="AH43" s="2467"/>
      <c r="AI43" s="2467"/>
      <c r="AJ43" s="2467"/>
      <c r="AK43" s="2467"/>
      <c r="AL43" s="2542"/>
      <c r="AM43" s="2542"/>
      <c r="AN43" s="2542"/>
      <c r="AO43" s="2542"/>
      <c r="AP43" s="2542"/>
      <c r="AQ43" s="2542"/>
      <c r="AR43" s="2542"/>
      <c r="AS43" s="2542"/>
      <c r="AT43" s="2542"/>
      <c r="AU43" s="2542"/>
      <c r="AV43" s="2543"/>
      <c r="AW43" s="2543"/>
      <c r="AX43" s="2543"/>
      <c r="AY43" s="2543"/>
      <c r="AZ43" s="2543"/>
      <c r="BA43" s="2467"/>
    </row>
    <row r="44" s="2463" customFormat="true" ht="15" hidden="false" customHeight="false" outlineLevel="0" collapsed="false">
      <c r="A44" s="2544"/>
      <c r="B44" s="2460" t="s">
        <v>1762</v>
      </c>
      <c r="C44" s="2461" t="s">
        <v>1763</v>
      </c>
      <c r="H44" s="2465"/>
      <c r="I44" s="2465"/>
      <c r="J44" s="2466"/>
      <c r="K44" s="2466"/>
      <c r="L44" s="2467"/>
      <c r="M44" s="2467"/>
      <c r="O44" s="2467"/>
      <c r="P44" s="2467"/>
      <c r="Q44" s="2466"/>
      <c r="R44" s="2466"/>
      <c r="S44" s="2540"/>
      <c r="T44" s="2467"/>
      <c r="U44" s="2467"/>
      <c r="V44" s="2467"/>
      <c r="W44" s="2467"/>
      <c r="X44" s="2467"/>
      <c r="Y44" s="2467"/>
      <c r="Z44" s="2540"/>
      <c r="AA44" s="2541"/>
      <c r="AB44" s="2541"/>
      <c r="AC44" s="2541"/>
      <c r="AD44" s="2467"/>
      <c r="AE44" s="2469"/>
      <c r="AF44" s="2467"/>
      <c r="AG44" s="2467"/>
      <c r="AH44" s="2467"/>
      <c r="AI44" s="2467"/>
      <c r="AJ44" s="2467"/>
      <c r="AK44" s="2467"/>
      <c r="AL44" s="2542"/>
      <c r="AM44" s="2542"/>
      <c r="AN44" s="2542"/>
      <c r="AO44" s="2542"/>
      <c r="AP44" s="2542"/>
      <c r="AQ44" s="2542"/>
      <c r="AR44" s="2542"/>
      <c r="AS44" s="2542"/>
      <c r="AT44" s="2542"/>
      <c r="AU44" s="2542"/>
      <c r="AV44" s="2543"/>
      <c r="AW44" s="2543"/>
      <c r="AX44" s="2543"/>
      <c r="AY44" s="2543"/>
      <c r="AZ44" s="2543"/>
      <c r="BA44" s="2467"/>
    </row>
    <row r="45" s="2463" customFormat="true" ht="15" hidden="false" customHeight="false" outlineLevel="0" collapsed="false">
      <c r="A45" s="2544"/>
      <c r="B45" s="2460" t="s">
        <v>1767</v>
      </c>
      <c r="C45" s="2461" t="s">
        <v>1768</v>
      </c>
      <c r="H45" s="2465"/>
      <c r="I45" s="2465"/>
      <c r="J45" s="2466"/>
      <c r="K45" s="2466"/>
      <c r="L45" s="2467"/>
      <c r="M45" s="2467"/>
      <c r="O45" s="2467"/>
      <c r="P45" s="2467"/>
      <c r="Q45" s="2466"/>
      <c r="R45" s="2466"/>
      <c r="S45" s="2540"/>
      <c r="T45" s="2467"/>
      <c r="U45" s="2467"/>
      <c r="V45" s="2467"/>
      <c r="W45" s="2467"/>
      <c r="X45" s="2467"/>
      <c r="Y45" s="2467"/>
      <c r="Z45" s="2540"/>
      <c r="AA45" s="2541"/>
      <c r="AB45" s="2541"/>
      <c r="AC45" s="2541"/>
      <c r="AD45" s="2467"/>
      <c r="AE45" s="2469"/>
      <c r="AF45" s="2467"/>
      <c r="AG45" s="2467"/>
      <c r="AH45" s="2467"/>
      <c r="AI45" s="2467"/>
      <c r="AJ45" s="2467"/>
      <c r="AK45" s="2467"/>
      <c r="AL45" s="2542"/>
      <c r="AM45" s="2542"/>
      <c r="AN45" s="2542"/>
      <c r="AO45" s="2542"/>
      <c r="AP45" s="2542"/>
      <c r="AQ45" s="2542"/>
      <c r="AR45" s="2542"/>
      <c r="AS45" s="2542"/>
      <c r="AT45" s="2542"/>
      <c r="AU45" s="2542"/>
      <c r="AV45" s="2543"/>
      <c r="AW45" s="2543"/>
      <c r="AX45" s="2543"/>
      <c r="AY45" s="2543"/>
      <c r="AZ45" s="2543"/>
      <c r="BA45" s="2467"/>
    </row>
    <row r="46" s="2463" customFormat="true" ht="15" hidden="false" customHeight="false" outlineLevel="0" collapsed="false">
      <c r="A46" s="2544"/>
      <c r="B46" s="2460" t="s">
        <v>1772</v>
      </c>
      <c r="C46" s="2461" t="s">
        <v>1773</v>
      </c>
      <c r="H46" s="2465"/>
      <c r="I46" s="2465"/>
      <c r="J46" s="2466"/>
      <c r="K46" s="2466"/>
      <c r="L46" s="2467"/>
      <c r="M46" s="2467"/>
      <c r="O46" s="2467"/>
      <c r="P46" s="2467"/>
      <c r="Q46" s="2466"/>
      <c r="R46" s="2466"/>
      <c r="S46" s="2540"/>
      <c r="T46" s="2467"/>
      <c r="U46" s="2467"/>
      <c r="V46" s="2467"/>
      <c r="W46" s="2467"/>
      <c r="X46" s="2467"/>
      <c r="Y46" s="2467"/>
      <c r="Z46" s="2540"/>
      <c r="AA46" s="2541"/>
      <c r="AB46" s="2541"/>
      <c r="AC46" s="2541"/>
      <c r="AD46" s="2467"/>
      <c r="AE46" s="2469"/>
      <c r="AF46" s="2467"/>
      <c r="AG46" s="2467"/>
      <c r="AH46" s="2467"/>
      <c r="AI46" s="2467"/>
      <c r="AJ46" s="2467"/>
      <c r="AK46" s="2467"/>
      <c r="AL46" s="2542"/>
      <c r="AM46" s="2542"/>
      <c r="AN46" s="2542"/>
      <c r="AO46" s="2542"/>
      <c r="AP46" s="2542"/>
      <c r="AQ46" s="2542"/>
      <c r="AR46" s="2542"/>
      <c r="AS46" s="2542"/>
      <c r="AT46" s="2542"/>
      <c r="AU46" s="2542"/>
      <c r="AV46" s="2543"/>
      <c r="AW46" s="2543"/>
      <c r="AX46" s="2543"/>
      <c r="AY46" s="2543"/>
      <c r="AZ46" s="2543"/>
      <c r="BA46" s="2467"/>
    </row>
    <row r="47" s="2545" customFormat="true" ht="15" hidden="false" customHeight="false" outlineLevel="0" collapsed="false">
      <c r="A47" s="2544"/>
      <c r="B47" s="2514" t="s">
        <v>1777</v>
      </c>
      <c r="C47" s="2515" t="s">
        <v>1778</v>
      </c>
      <c r="H47" s="2546"/>
      <c r="I47" s="2546"/>
      <c r="J47" s="2547"/>
      <c r="K47" s="2547"/>
      <c r="L47" s="2548"/>
      <c r="M47" s="2548"/>
      <c r="O47" s="2548"/>
      <c r="P47" s="2548"/>
      <c r="Q47" s="2547"/>
      <c r="R47" s="2547"/>
      <c r="S47" s="2549"/>
      <c r="T47" s="2548"/>
      <c r="U47" s="2548"/>
      <c r="V47" s="2548"/>
      <c r="W47" s="2548"/>
      <c r="X47" s="2548"/>
      <c r="Y47" s="2548"/>
      <c r="Z47" s="2549"/>
      <c r="AA47" s="2550"/>
      <c r="AB47" s="2550"/>
      <c r="AC47" s="2550"/>
      <c r="AD47" s="2548"/>
      <c r="AE47" s="2551"/>
      <c r="AF47" s="2548"/>
      <c r="AG47" s="2548"/>
      <c r="AH47" s="2548"/>
      <c r="AI47" s="2548"/>
      <c r="AJ47" s="2548"/>
      <c r="AK47" s="2548"/>
      <c r="AL47" s="2552"/>
      <c r="AM47" s="2552"/>
      <c r="AN47" s="2552"/>
      <c r="AO47" s="2552"/>
      <c r="AP47" s="2552"/>
      <c r="AQ47" s="2552"/>
      <c r="AR47" s="2552"/>
      <c r="AS47" s="2552"/>
      <c r="AT47" s="2552"/>
      <c r="AU47" s="2552"/>
      <c r="AV47" s="2553"/>
      <c r="AW47" s="2553"/>
      <c r="AX47" s="2553"/>
      <c r="AY47" s="2553"/>
      <c r="AZ47" s="2553"/>
      <c r="BA47" s="2548"/>
    </row>
    <row r="48" s="2463" customFormat="true" ht="15" hidden="false" customHeight="true" outlineLevel="0" collapsed="false">
      <c r="A48" s="2554" t="s">
        <v>2303</v>
      </c>
      <c r="B48" s="2460" t="s">
        <v>1537</v>
      </c>
      <c r="C48" s="2461"/>
      <c r="H48" s="2465"/>
      <c r="I48" s="2465"/>
      <c r="J48" s="2466"/>
      <c r="K48" s="2466"/>
      <c r="L48" s="2467"/>
      <c r="M48" s="2467"/>
      <c r="O48" s="2467"/>
      <c r="P48" s="2467"/>
      <c r="Q48" s="2466"/>
      <c r="R48" s="2466"/>
      <c r="S48" s="2540"/>
      <c r="T48" s="2467"/>
      <c r="U48" s="2467"/>
      <c r="V48" s="2467"/>
      <c r="W48" s="2467"/>
      <c r="X48" s="2467"/>
      <c r="Y48" s="2467"/>
      <c r="Z48" s="2540"/>
      <c r="AA48" s="2541"/>
      <c r="AB48" s="2541"/>
      <c r="AC48" s="2541"/>
      <c r="AD48" s="2467"/>
      <c r="AE48" s="2469"/>
      <c r="AF48" s="2467"/>
      <c r="AG48" s="2467"/>
      <c r="AH48" s="2467"/>
      <c r="AI48" s="2467"/>
      <c r="AJ48" s="2467"/>
      <c r="AK48" s="2467"/>
      <c r="AL48" s="2542"/>
      <c r="AM48" s="2542"/>
      <c r="AN48" s="2542"/>
      <c r="AO48" s="2542"/>
      <c r="AP48" s="2542"/>
      <c r="AQ48" s="2542"/>
      <c r="AR48" s="2542"/>
      <c r="AS48" s="2542"/>
      <c r="AT48" s="2542"/>
      <c r="AU48" s="2542"/>
      <c r="AV48" s="2543"/>
      <c r="AW48" s="2543"/>
      <c r="AX48" s="2543"/>
      <c r="AY48" s="2543"/>
      <c r="AZ48" s="2543"/>
      <c r="BA48" s="2467"/>
    </row>
    <row r="49" s="2463" customFormat="true" ht="15" hidden="false" customHeight="true" outlineLevel="0" collapsed="false">
      <c r="A49" s="2554"/>
      <c r="B49" s="2460" t="s">
        <v>2075</v>
      </c>
      <c r="C49" s="2461" t="s">
        <v>2150</v>
      </c>
      <c r="H49" s="2465"/>
      <c r="I49" s="2465"/>
      <c r="J49" s="2466"/>
      <c r="K49" s="2466"/>
      <c r="L49" s="2467"/>
      <c r="M49" s="2467"/>
      <c r="O49" s="2467"/>
      <c r="P49" s="2467"/>
      <c r="Q49" s="2466"/>
      <c r="R49" s="2466"/>
      <c r="S49" s="2540"/>
      <c r="T49" s="2467"/>
      <c r="U49" s="2467"/>
      <c r="V49" s="2467"/>
      <c r="W49" s="2467"/>
      <c r="X49" s="2467"/>
      <c r="Y49" s="2467"/>
      <c r="Z49" s="2540"/>
      <c r="AA49" s="2541"/>
      <c r="AB49" s="2541"/>
      <c r="AC49" s="2541"/>
      <c r="AD49" s="2467"/>
      <c r="AE49" s="2469"/>
      <c r="AF49" s="2467"/>
      <c r="AG49" s="2467"/>
      <c r="AH49" s="2467"/>
      <c r="AI49" s="2467"/>
      <c r="AJ49" s="2467"/>
      <c r="AK49" s="2467"/>
      <c r="AL49" s="2542"/>
      <c r="AM49" s="2542"/>
      <c r="AN49" s="2542"/>
      <c r="AO49" s="2542"/>
      <c r="AP49" s="2542"/>
      <c r="AQ49" s="2542"/>
      <c r="AR49" s="2542"/>
      <c r="AS49" s="2542"/>
      <c r="AT49" s="2542"/>
      <c r="AU49" s="2542"/>
      <c r="AV49" s="2543"/>
      <c r="AW49" s="2543"/>
      <c r="AX49" s="2543"/>
      <c r="AY49" s="2543"/>
      <c r="AZ49" s="2543"/>
      <c r="BA49" s="2467"/>
    </row>
    <row r="50" s="2463" customFormat="true" ht="15" hidden="false" customHeight="false" outlineLevel="0" collapsed="false">
      <c r="A50" s="2554"/>
      <c r="B50" s="2460" t="s">
        <v>2076</v>
      </c>
      <c r="C50" s="2461" t="s">
        <v>2153</v>
      </c>
      <c r="H50" s="2465"/>
      <c r="I50" s="2465"/>
      <c r="J50" s="2466"/>
      <c r="K50" s="2466"/>
      <c r="L50" s="2467"/>
      <c r="M50" s="2467"/>
      <c r="O50" s="2467"/>
      <c r="P50" s="2467"/>
      <c r="Q50" s="2466"/>
      <c r="R50" s="2466"/>
      <c r="S50" s="2540"/>
      <c r="T50" s="2467"/>
      <c r="U50" s="2467"/>
      <c r="V50" s="2467"/>
      <c r="W50" s="2467"/>
      <c r="X50" s="2467"/>
      <c r="Y50" s="2467"/>
      <c r="Z50" s="2540"/>
      <c r="AA50" s="2541"/>
      <c r="AB50" s="2541"/>
      <c r="AC50" s="2541"/>
      <c r="AD50" s="2467"/>
      <c r="AE50" s="2469"/>
      <c r="AF50" s="2467"/>
      <c r="AG50" s="2467"/>
      <c r="AH50" s="2467"/>
      <c r="AI50" s="2467"/>
      <c r="AJ50" s="2467"/>
      <c r="AK50" s="2467"/>
      <c r="AL50" s="2542"/>
      <c r="AM50" s="2542"/>
      <c r="AN50" s="2542"/>
      <c r="AO50" s="2542"/>
      <c r="AP50" s="2542"/>
      <c r="AQ50" s="2542"/>
      <c r="AR50" s="2542"/>
      <c r="AS50" s="2542"/>
      <c r="AT50" s="2542"/>
      <c r="AU50" s="2542"/>
      <c r="AV50" s="2543"/>
      <c r="AW50" s="2543"/>
      <c r="AX50" s="2543"/>
      <c r="AY50" s="2543"/>
      <c r="AZ50" s="2543"/>
      <c r="BA50" s="2467"/>
    </row>
    <row r="51" s="2463" customFormat="true" ht="15" hidden="false" customHeight="false" outlineLevel="0" collapsed="false">
      <c r="A51" s="2554"/>
      <c r="B51" s="2460" t="s">
        <v>2052</v>
      </c>
      <c r="C51" s="2461" t="s">
        <v>2156</v>
      </c>
      <c r="H51" s="2465"/>
      <c r="I51" s="2465"/>
      <c r="J51" s="2466"/>
      <c r="K51" s="2466"/>
      <c r="L51" s="2467"/>
      <c r="M51" s="2467"/>
      <c r="O51" s="2467"/>
      <c r="P51" s="2467"/>
      <c r="Q51" s="2466"/>
      <c r="R51" s="2466"/>
      <c r="S51" s="2540"/>
      <c r="T51" s="2467"/>
      <c r="U51" s="2467"/>
      <c r="V51" s="2467"/>
      <c r="W51" s="2467"/>
      <c r="X51" s="2467"/>
      <c r="Y51" s="2467"/>
      <c r="Z51" s="2540"/>
      <c r="AA51" s="2541"/>
      <c r="AB51" s="2541"/>
      <c r="AC51" s="2541"/>
      <c r="AD51" s="2467"/>
      <c r="AE51" s="2469"/>
      <c r="AF51" s="2467"/>
      <c r="AG51" s="2467"/>
      <c r="AH51" s="2467"/>
      <c r="AI51" s="2467"/>
      <c r="AJ51" s="2467"/>
      <c r="AK51" s="2467"/>
      <c r="AL51" s="2542"/>
      <c r="AM51" s="2542"/>
      <c r="AN51" s="2542"/>
      <c r="AO51" s="2542"/>
      <c r="AP51" s="2542"/>
      <c r="AQ51" s="2542"/>
      <c r="AR51" s="2542"/>
      <c r="AS51" s="2542"/>
      <c r="AT51" s="2542"/>
      <c r="AU51" s="2542"/>
      <c r="AV51" s="2543"/>
      <c r="AW51" s="2543"/>
      <c r="AX51" s="2543"/>
      <c r="AY51" s="2543"/>
      <c r="AZ51" s="2543"/>
      <c r="BA51" s="2467"/>
    </row>
    <row r="52" s="2463" customFormat="true" ht="15" hidden="false" customHeight="false" outlineLevel="0" collapsed="false">
      <c r="A52" s="2554"/>
      <c r="B52" s="2460" t="s">
        <v>2058</v>
      </c>
      <c r="C52" s="2461" t="s">
        <v>2159</v>
      </c>
      <c r="H52" s="2465"/>
      <c r="I52" s="2465"/>
      <c r="J52" s="2466"/>
      <c r="K52" s="2466"/>
      <c r="L52" s="2467"/>
      <c r="M52" s="2467"/>
      <c r="O52" s="2467"/>
      <c r="P52" s="2467"/>
      <c r="Q52" s="2466"/>
      <c r="R52" s="2466"/>
      <c r="S52" s="2540"/>
      <c r="T52" s="2467"/>
      <c r="U52" s="2467"/>
      <c r="V52" s="2467"/>
      <c r="W52" s="2467"/>
      <c r="X52" s="2467"/>
      <c r="Y52" s="2467"/>
      <c r="Z52" s="2540"/>
      <c r="AA52" s="2541"/>
      <c r="AB52" s="2541"/>
      <c r="AC52" s="2541"/>
      <c r="AD52" s="2467"/>
      <c r="AE52" s="2469"/>
      <c r="AF52" s="2467"/>
      <c r="AG52" s="2467"/>
      <c r="AH52" s="2467"/>
      <c r="AI52" s="2467"/>
      <c r="AJ52" s="2467"/>
      <c r="AK52" s="2467"/>
      <c r="AL52" s="2542"/>
      <c r="AM52" s="2542"/>
      <c r="AN52" s="2542"/>
      <c r="AO52" s="2542"/>
      <c r="AP52" s="2542"/>
      <c r="AQ52" s="2542"/>
      <c r="AR52" s="2542"/>
      <c r="AS52" s="2542"/>
      <c r="AT52" s="2542"/>
      <c r="AU52" s="2542"/>
      <c r="AV52" s="2543"/>
      <c r="AW52" s="2543"/>
      <c r="AX52" s="2543"/>
      <c r="AY52" s="2543"/>
      <c r="AZ52" s="2543"/>
      <c r="BA52" s="2467"/>
    </row>
    <row r="53" s="2463" customFormat="true" ht="15" hidden="false" customHeight="false" outlineLevel="0" collapsed="false">
      <c r="A53" s="2554"/>
      <c r="B53" s="2460" t="s">
        <v>2059</v>
      </c>
      <c r="C53" s="2461" t="s">
        <v>2162</v>
      </c>
      <c r="H53" s="2465"/>
      <c r="I53" s="2465"/>
      <c r="J53" s="2466"/>
      <c r="K53" s="2466"/>
      <c r="L53" s="2467"/>
      <c r="M53" s="2467"/>
      <c r="O53" s="2467"/>
      <c r="P53" s="2467"/>
      <c r="Q53" s="2466"/>
      <c r="R53" s="2466"/>
      <c r="S53" s="2540"/>
      <c r="T53" s="2467"/>
      <c r="U53" s="2467"/>
      <c r="V53" s="2467"/>
      <c r="W53" s="2467"/>
      <c r="X53" s="2467"/>
      <c r="Y53" s="2467"/>
      <c r="Z53" s="2540"/>
      <c r="AA53" s="2541"/>
      <c r="AB53" s="2541"/>
      <c r="AC53" s="2541"/>
      <c r="AD53" s="2467"/>
      <c r="AE53" s="2469"/>
      <c r="AF53" s="2467"/>
      <c r="AG53" s="2467"/>
      <c r="AH53" s="2467"/>
      <c r="AI53" s="2467"/>
      <c r="AJ53" s="2467"/>
      <c r="AK53" s="2467"/>
      <c r="AL53" s="2542"/>
      <c r="AM53" s="2542"/>
      <c r="AN53" s="2542"/>
      <c r="AO53" s="2542"/>
      <c r="AP53" s="2542"/>
      <c r="AQ53" s="2542"/>
      <c r="AR53" s="2542"/>
      <c r="AS53" s="2542"/>
      <c r="AT53" s="2542"/>
      <c r="AU53" s="2542"/>
      <c r="AV53" s="2543"/>
      <c r="AW53" s="2543"/>
      <c r="AX53" s="2543"/>
      <c r="AY53" s="2543"/>
      <c r="AZ53" s="2543"/>
      <c r="BA53" s="2467"/>
    </row>
    <row r="54" s="2463" customFormat="true" ht="15" hidden="false" customHeight="false" outlineLevel="0" collapsed="false">
      <c r="A54" s="2554"/>
      <c r="B54" s="2460" t="s">
        <v>2060</v>
      </c>
      <c r="C54" s="2461" t="s">
        <v>2165</v>
      </c>
      <c r="H54" s="2465"/>
      <c r="I54" s="2465"/>
      <c r="J54" s="2466"/>
      <c r="K54" s="2466"/>
      <c r="L54" s="2467"/>
      <c r="M54" s="2467"/>
      <c r="O54" s="2467"/>
      <c r="P54" s="2467"/>
      <c r="Q54" s="2466"/>
      <c r="R54" s="2466"/>
      <c r="S54" s="2540"/>
      <c r="T54" s="2467"/>
      <c r="U54" s="2467"/>
      <c r="V54" s="2467"/>
      <c r="W54" s="2467"/>
      <c r="X54" s="2467"/>
      <c r="Y54" s="2467"/>
      <c r="Z54" s="2540"/>
      <c r="AA54" s="2541"/>
      <c r="AB54" s="2541"/>
      <c r="AC54" s="2541"/>
      <c r="AD54" s="2467"/>
      <c r="AE54" s="2469"/>
      <c r="AF54" s="2467"/>
      <c r="AG54" s="2467"/>
      <c r="AH54" s="2467"/>
      <c r="AI54" s="2467"/>
      <c r="AJ54" s="2467"/>
      <c r="AK54" s="2467"/>
      <c r="AL54" s="2542"/>
      <c r="AM54" s="2542"/>
      <c r="AN54" s="2542"/>
      <c r="AO54" s="2542"/>
      <c r="AP54" s="2542"/>
      <c r="AQ54" s="2542"/>
      <c r="AR54" s="2542"/>
      <c r="AS54" s="2542"/>
      <c r="AT54" s="2542"/>
      <c r="AU54" s="2542"/>
      <c r="AV54" s="2543"/>
      <c r="AW54" s="2543"/>
      <c r="AX54" s="2543"/>
      <c r="AY54" s="2543"/>
      <c r="AZ54" s="2543"/>
      <c r="BA54" s="2467"/>
    </row>
    <row r="55" s="2463" customFormat="true" ht="15" hidden="false" customHeight="false" outlineLevel="0" collapsed="false">
      <c r="A55" s="2554"/>
      <c r="B55" s="2460" t="s">
        <v>2061</v>
      </c>
      <c r="C55" s="2461" t="s">
        <v>2168</v>
      </c>
      <c r="H55" s="2465"/>
      <c r="I55" s="2465"/>
      <c r="J55" s="2466"/>
      <c r="K55" s="2466"/>
      <c r="L55" s="2467"/>
      <c r="M55" s="2467"/>
      <c r="O55" s="2467"/>
      <c r="P55" s="2467"/>
      <c r="Q55" s="2466"/>
      <c r="R55" s="2466"/>
      <c r="S55" s="2540"/>
      <c r="T55" s="2467"/>
      <c r="U55" s="2467"/>
      <c r="V55" s="2467"/>
      <c r="W55" s="2467"/>
      <c r="X55" s="2467"/>
      <c r="Y55" s="2467"/>
      <c r="Z55" s="2540"/>
      <c r="AA55" s="2541"/>
      <c r="AB55" s="2541"/>
      <c r="AC55" s="2541"/>
      <c r="AD55" s="2467"/>
      <c r="AE55" s="2469"/>
      <c r="AF55" s="2467"/>
      <c r="AG55" s="2467"/>
      <c r="AH55" s="2467"/>
      <c r="AI55" s="2467"/>
      <c r="AJ55" s="2467"/>
      <c r="AK55" s="2467"/>
      <c r="AL55" s="2542"/>
      <c r="AM55" s="2542"/>
      <c r="AN55" s="2542"/>
      <c r="AO55" s="2542"/>
      <c r="AP55" s="2542"/>
      <c r="AQ55" s="2542"/>
      <c r="AR55" s="2542"/>
      <c r="AS55" s="2542"/>
      <c r="AT55" s="2542"/>
      <c r="AU55" s="2542"/>
      <c r="AV55" s="2543"/>
      <c r="AW55" s="2543"/>
      <c r="AX55" s="2543"/>
      <c r="AY55" s="2543"/>
      <c r="AZ55" s="2543"/>
      <c r="BA55" s="2467"/>
    </row>
    <row r="56" s="2463" customFormat="true" ht="15" hidden="false" customHeight="false" outlineLevel="0" collapsed="false">
      <c r="A56" s="2554"/>
      <c r="B56" s="2460" t="s">
        <v>2062</v>
      </c>
      <c r="C56" s="2461" t="s">
        <v>2171</v>
      </c>
      <c r="H56" s="2465"/>
      <c r="I56" s="2465"/>
      <c r="J56" s="2466"/>
      <c r="K56" s="2466"/>
      <c r="L56" s="2467"/>
      <c r="M56" s="2467"/>
      <c r="O56" s="2467"/>
      <c r="P56" s="2467"/>
      <c r="Q56" s="2466"/>
      <c r="R56" s="2466"/>
      <c r="S56" s="2540"/>
      <c r="T56" s="2467"/>
      <c r="U56" s="2467"/>
      <c r="V56" s="2467"/>
      <c r="W56" s="2467"/>
      <c r="X56" s="2467"/>
      <c r="Y56" s="2467"/>
      <c r="Z56" s="2540"/>
      <c r="AA56" s="2541"/>
      <c r="AB56" s="2541"/>
      <c r="AC56" s="2541"/>
      <c r="AD56" s="2467"/>
      <c r="AE56" s="2469"/>
      <c r="AF56" s="2467"/>
      <c r="AG56" s="2467"/>
      <c r="AH56" s="2467"/>
      <c r="AI56" s="2467"/>
      <c r="AJ56" s="2467"/>
      <c r="AK56" s="2467"/>
      <c r="AL56" s="2542"/>
      <c r="AM56" s="2542"/>
      <c r="AN56" s="2542"/>
      <c r="AO56" s="2542"/>
      <c r="AP56" s="2542"/>
      <c r="AQ56" s="2542"/>
      <c r="AR56" s="2542"/>
      <c r="AS56" s="2542"/>
      <c r="AT56" s="2542"/>
      <c r="AU56" s="2542"/>
      <c r="AV56" s="2543"/>
      <c r="AW56" s="2543"/>
      <c r="AX56" s="2543"/>
      <c r="AY56" s="2543"/>
      <c r="AZ56" s="2543"/>
      <c r="BA56" s="2467"/>
    </row>
    <row r="57" s="2463" customFormat="true" ht="15" hidden="false" customHeight="false" outlineLevel="0" collapsed="false">
      <c r="A57" s="2554"/>
      <c r="B57" s="2460" t="s">
        <v>2078</v>
      </c>
      <c r="C57" s="2461" t="s">
        <v>2174</v>
      </c>
      <c r="H57" s="2465"/>
      <c r="I57" s="2465"/>
      <c r="J57" s="2466"/>
      <c r="K57" s="2466"/>
      <c r="L57" s="2467"/>
      <c r="M57" s="2467"/>
      <c r="O57" s="2467"/>
      <c r="P57" s="2467"/>
      <c r="Q57" s="2466"/>
      <c r="R57" s="2466"/>
      <c r="S57" s="2540"/>
      <c r="T57" s="2467"/>
      <c r="U57" s="2467"/>
      <c r="V57" s="2467"/>
      <c r="W57" s="2467"/>
      <c r="X57" s="2467"/>
      <c r="Y57" s="2467"/>
      <c r="Z57" s="2540"/>
      <c r="AA57" s="2541"/>
      <c r="AB57" s="2541"/>
      <c r="AC57" s="2541"/>
      <c r="AD57" s="2467"/>
      <c r="AE57" s="2469"/>
      <c r="AF57" s="2467"/>
      <c r="AG57" s="2467"/>
      <c r="AH57" s="2467"/>
      <c r="AI57" s="2467"/>
      <c r="AJ57" s="2467"/>
      <c r="AK57" s="2467"/>
      <c r="AL57" s="2542"/>
      <c r="AM57" s="2542"/>
      <c r="AN57" s="2542"/>
      <c r="AO57" s="2542"/>
      <c r="AP57" s="2542"/>
      <c r="AQ57" s="2542"/>
      <c r="AR57" s="2542"/>
      <c r="AS57" s="2542"/>
      <c r="AT57" s="2542"/>
      <c r="AU57" s="2542"/>
      <c r="AV57" s="2543"/>
      <c r="AW57" s="2543"/>
      <c r="AX57" s="2543"/>
      <c r="AY57" s="2543"/>
      <c r="AZ57" s="2543"/>
      <c r="BA57" s="2467"/>
    </row>
    <row r="58" s="2463" customFormat="true" ht="15" hidden="false" customHeight="false" outlineLevel="0" collapsed="false">
      <c r="A58" s="2554"/>
      <c r="B58" s="2460" t="s">
        <v>2079</v>
      </c>
      <c r="C58" s="2461" t="s">
        <v>2177</v>
      </c>
      <c r="H58" s="2465"/>
      <c r="I58" s="2465"/>
      <c r="J58" s="2466"/>
      <c r="K58" s="2466"/>
      <c r="L58" s="2467"/>
      <c r="M58" s="2467"/>
      <c r="O58" s="2467"/>
      <c r="P58" s="2467"/>
      <c r="Q58" s="2466"/>
      <c r="R58" s="2466"/>
      <c r="S58" s="2540"/>
      <c r="T58" s="2467"/>
      <c r="U58" s="2467"/>
      <c r="V58" s="2467"/>
      <c r="W58" s="2467"/>
      <c r="X58" s="2467"/>
      <c r="Y58" s="2467"/>
      <c r="Z58" s="2540"/>
      <c r="AA58" s="2541"/>
      <c r="AB58" s="2541"/>
      <c r="AC58" s="2541"/>
      <c r="AD58" s="2467"/>
      <c r="AE58" s="2469"/>
      <c r="AF58" s="2467"/>
      <c r="AG58" s="2467"/>
      <c r="AH58" s="2467"/>
      <c r="AI58" s="2467"/>
      <c r="AJ58" s="2467"/>
      <c r="AK58" s="2467"/>
      <c r="AL58" s="2542"/>
      <c r="AM58" s="2542"/>
      <c r="AN58" s="2542"/>
      <c r="AO58" s="2542"/>
      <c r="AP58" s="2542"/>
      <c r="AQ58" s="2542"/>
      <c r="AR58" s="2542"/>
      <c r="AS58" s="2542"/>
      <c r="AT58" s="2542"/>
      <c r="AU58" s="2542"/>
      <c r="AV58" s="2543"/>
      <c r="AW58" s="2543"/>
      <c r="AX58" s="2543"/>
      <c r="AY58" s="2543"/>
      <c r="AZ58" s="2543"/>
      <c r="BA58" s="2467"/>
    </row>
    <row r="59" s="2463" customFormat="true" ht="15" hidden="false" customHeight="false" outlineLevel="0" collapsed="false">
      <c r="A59" s="2554"/>
      <c r="B59" s="2460" t="s">
        <v>2063</v>
      </c>
      <c r="C59" s="2461" t="s">
        <v>2180</v>
      </c>
      <c r="H59" s="2465"/>
      <c r="I59" s="2465"/>
      <c r="J59" s="2466"/>
      <c r="K59" s="2466"/>
      <c r="L59" s="2467"/>
      <c r="M59" s="2467"/>
      <c r="O59" s="2467"/>
      <c r="P59" s="2467"/>
      <c r="Q59" s="2466"/>
      <c r="R59" s="2466"/>
      <c r="S59" s="2540"/>
      <c r="T59" s="2467"/>
      <c r="U59" s="2467"/>
      <c r="V59" s="2467"/>
      <c r="W59" s="2467"/>
      <c r="X59" s="2467"/>
      <c r="Y59" s="2467"/>
      <c r="Z59" s="2540"/>
      <c r="AA59" s="2541"/>
      <c r="AB59" s="2541"/>
      <c r="AC59" s="2541"/>
      <c r="AD59" s="2467"/>
      <c r="AE59" s="2469"/>
      <c r="AF59" s="2467"/>
      <c r="AG59" s="2467"/>
      <c r="AH59" s="2467"/>
      <c r="AI59" s="2467"/>
      <c r="AJ59" s="2467"/>
      <c r="AK59" s="2467"/>
      <c r="AL59" s="2542"/>
      <c r="AM59" s="2542"/>
      <c r="AN59" s="2542"/>
      <c r="AO59" s="2542"/>
      <c r="AP59" s="2542"/>
      <c r="AQ59" s="2542"/>
      <c r="AR59" s="2542"/>
      <c r="AS59" s="2542"/>
      <c r="AT59" s="2542"/>
      <c r="AU59" s="2542"/>
      <c r="AV59" s="2543"/>
      <c r="AW59" s="2543"/>
      <c r="AX59" s="2543"/>
      <c r="AY59" s="2543"/>
      <c r="AZ59" s="2543"/>
      <c r="BA59" s="2467"/>
    </row>
    <row r="60" s="2463" customFormat="true" ht="15" hidden="false" customHeight="false" outlineLevel="0" collapsed="false">
      <c r="A60" s="2554"/>
      <c r="B60" s="2460" t="s">
        <v>2064</v>
      </c>
      <c r="C60" s="2461" t="s">
        <v>2189</v>
      </c>
      <c r="H60" s="2465"/>
      <c r="I60" s="2465"/>
      <c r="J60" s="2466"/>
      <c r="K60" s="2466"/>
      <c r="L60" s="2467"/>
      <c r="M60" s="2467"/>
      <c r="O60" s="2467"/>
      <c r="P60" s="2467"/>
      <c r="Q60" s="2466"/>
      <c r="R60" s="2466"/>
      <c r="S60" s="2540"/>
      <c r="T60" s="2467"/>
      <c r="U60" s="2467"/>
      <c r="V60" s="2467"/>
      <c r="W60" s="2467"/>
      <c r="X60" s="2467"/>
      <c r="Y60" s="2467"/>
      <c r="Z60" s="2540"/>
      <c r="AA60" s="2541"/>
      <c r="AB60" s="2541"/>
      <c r="AC60" s="2541"/>
      <c r="AD60" s="2467"/>
      <c r="AE60" s="2469"/>
      <c r="AF60" s="2467"/>
      <c r="AG60" s="2467"/>
      <c r="AH60" s="2467"/>
      <c r="AI60" s="2467"/>
      <c r="AJ60" s="2467"/>
      <c r="AK60" s="2467"/>
      <c r="AL60" s="2542"/>
      <c r="AM60" s="2542"/>
      <c r="AN60" s="2542"/>
      <c r="AO60" s="2542"/>
      <c r="AP60" s="2542"/>
      <c r="AQ60" s="2542"/>
      <c r="AR60" s="2542"/>
      <c r="AS60" s="2542"/>
      <c r="AT60" s="2542"/>
      <c r="AU60" s="2542"/>
      <c r="AV60" s="2543"/>
      <c r="AW60" s="2543"/>
      <c r="AX60" s="2543"/>
      <c r="AY60" s="2543"/>
      <c r="AZ60" s="2543"/>
      <c r="BA60" s="2467"/>
    </row>
    <row r="61" s="2463" customFormat="true" ht="15" hidden="false" customHeight="false" outlineLevel="0" collapsed="false">
      <c r="A61" s="2554"/>
      <c r="B61" s="2460" t="s">
        <v>2065</v>
      </c>
      <c r="C61" s="2461" t="s">
        <v>2192</v>
      </c>
      <c r="H61" s="2465"/>
      <c r="I61" s="2465"/>
      <c r="J61" s="2466"/>
      <c r="K61" s="2466"/>
      <c r="L61" s="2467"/>
      <c r="M61" s="2467"/>
      <c r="O61" s="2467"/>
      <c r="P61" s="2467"/>
      <c r="Q61" s="2466"/>
      <c r="R61" s="2466"/>
      <c r="S61" s="2540"/>
      <c r="T61" s="2467"/>
      <c r="U61" s="2467"/>
      <c r="V61" s="2467"/>
      <c r="W61" s="2467"/>
      <c r="X61" s="2467"/>
      <c r="Y61" s="2467"/>
      <c r="Z61" s="2540"/>
      <c r="AA61" s="2541"/>
      <c r="AB61" s="2541"/>
      <c r="AC61" s="2541"/>
      <c r="AD61" s="2467"/>
      <c r="AE61" s="2469"/>
      <c r="AF61" s="2467"/>
      <c r="AG61" s="2467"/>
      <c r="AH61" s="2467"/>
      <c r="AI61" s="2467"/>
      <c r="AJ61" s="2467"/>
      <c r="AK61" s="2467"/>
      <c r="AL61" s="2542"/>
      <c r="AM61" s="2542"/>
      <c r="AN61" s="2542"/>
      <c r="AO61" s="2542"/>
      <c r="AP61" s="2542"/>
      <c r="AQ61" s="2542"/>
      <c r="AR61" s="2542"/>
      <c r="AS61" s="2542"/>
      <c r="AT61" s="2542"/>
      <c r="AU61" s="2542"/>
      <c r="AV61" s="2543"/>
      <c r="AW61" s="2543"/>
      <c r="AX61" s="2543"/>
      <c r="AY61" s="2543"/>
      <c r="AZ61" s="2543"/>
      <c r="BA61" s="2467"/>
    </row>
    <row r="62" s="2463" customFormat="true" ht="15" hidden="false" customHeight="false" outlineLevel="0" collapsed="false">
      <c r="A62" s="2554"/>
      <c r="B62" s="2460" t="s">
        <v>2080</v>
      </c>
      <c r="C62" s="2461"/>
      <c r="H62" s="2465"/>
      <c r="I62" s="2465"/>
      <c r="J62" s="2466"/>
      <c r="K62" s="2466"/>
      <c r="L62" s="2467"/>
      <c r="M62" s="2467"/>
      <c r="O62" s="2467"/>
      <c r="P62" s="2467"/>
      <c r="Q62" s="2466"/>
      <c r="R62" s="2466"/>
      <c r="S62" s="2540"/>
      <c r="T62" s="2467"/>
      <c r="U62" s="2467"/>
      <c r="V62" s="2467"/>
      <c r="W62" s="2467"/>
      <c r="X62" s="2467"/>
      <c r="Y62" s="2467"/>
      <c r="Z62" s="2540"/>
      <c r="AA62" s="2541"/>
      <c r="AB62" s="2541"/>
      <c r="AC62" s="2541"/>
      <c r="AD62" s="2467"/>
      <c r="AE62" s="2469"/>
      <c r="AF62" s="2467"/>
      <c r="AG62" s="2467"/>
      <c r="AH62" s="2467"/>
      <c r="AI62" s="2467"/>
      <c r="AJ62" s="2467"/>
      <c r="AK62" s="2467"/>
      <c r="AL62" s="2542"/>
      <c r="AM62" s="2542"/>
      <c r="AN62" s="2542"/>
      <c r="AO62" s="2542"/>
      <c r="AP62" s="2542"/>
      <c r="AQ62" s="2542"/>
      <c r="AR62" s="2542"/>
      <c r="AS62" s="2542"/>
      <c r="AT62" s="2542"/>
      <c r="AU62" s="2542"/>
      <c r="AV62" s="2543"/>
      <c r="AW62" s="2543"/>
      <c r="AX62" s="2543"/>
      <c r="AY62" s="2543"/>
      <c r="AZ62" s="2543"/>
      <c r="BA62" s="2467"/>
    </row>
    <row r="63" s="2463" customFormat="true" ht="15" hidden="false" customHeight="false" outlineLevel="0" collapsed="false">
      <c r="A63" s="2554"/>
      <c r="B63" s="2460" t="s">
        <v>2069</v>
      </c>
      <c r="C63" s="2461"/>
      <c r="H63" s="2465"/>
      <c r="I63" s="2465"/>
      <c r="J63" s="2466"/>
      <c r="K63" s="2466"/>
      <c r="L63" s="2467"/>
      <c r="M63" s="2467"/>
      <c r="O63" s="2467"/>
      <c r="P63" s="2467"/>
      <c r="Q63" s="2466"/>
      <c r="R63" s="2466"/>
      <c r="S63" s="2540"/>
      <c r="T63" s="2467"/>
      <c r="U63" s="2467"/>
      <c r="V63" s="2467"/>
      <c r="W63" s="2467"/>
      <c r="X63" s="2467"/>
      <c r="Y63" s="2467"/>
      <c r="Z63" s="2540"/>
      <c r="AA63" s="2541"/>
      <c r="AB63" s="2541"/>
      <c r="AC63" s="2541"/>
      <c r="AD63" s="2467"/>
      <c r="AE63" s="2469"/>
      <c r="AF63" s="2467"/>
      <c r="AG63" s="2467"/>
      <c r="AH63" s="2467"/>
      <c r="AI63" s="2467"/>
      <c r="AJ63" s="2467"/>
      <c r="AK63" s="2467"/>
      <c r="AL63" s="2542"/>
      <c r="AM63" s="2542"/>
      <c r="AN63" s="2542"/>
      <c r="AO63" s="2542"/>
      <c r="AP63" s="2542"/>
      <c r="AQ63" s="2542"/>
      <c r="AR63" s="2542"/>
      <c r="AS63" s="2542"/>
      <c r="AT63" s="2542"/>
      <c r="AU63" s="2542"/>
      <c r="AV63" s="2543"/>
      <c r="AW63" s="2543"/>
      <c r="AX63" s="2543"/>
      <c r="AY63" s="2543"/>
      <c r="AZ63" s="2543"/>
      <c r="BA63" s="2467"/>
    </row>
    <row r="64" s="2463" customFormat="true" ht="15" hidden="false" customHeight="false" outlineLevel="0" collapsed="false">
      <c r="A64" s="2554"/>
      <c r="B64" s="2460" t="s">
        <v>2048</v>
      </c>
      <c r="C64" s="2461"/>
      <c r="H64" s="2465"/>
      <c r="I64" s="2465"/>
      <c r="J64" s="2466"/>
      <c r="K64" s="2466"/>
      <c r="L64" s="2467"/>
      <c r="M64" s="2467"/>
      <c r="O64" s="2467"/>
      <c r="P64" s="2467"/>
      <c r="Q64" s="2466"/>
      <c r="R64" s="2466"/>
      <c r="S64" s="2540"/>
      <c r="T64" s="2467"/>
      <c r="U64" s="2467"/>
      <c r="V64" s="2467"/>
      <c r="W64" s="2467"/>
      <c r="X64" s="2467"/>
      <c r="Y64" s="2467"/>
      <c r="Z64" s="2540"/>
      <c r="AA64" s="2541"/>
      <c r="AB64" s="2541"/>
      <c r="AC64" s="2541"/>
      <c r="AD64" s="2467"/>
      <c r="AE64" s="2469"/>
      <c r="AF64" s="2467"/>
      <c r="AG64" s="2467"/>
      <c r="AH64" s="2467"/>
      <c r="AI64" s="2467"/>
      <c r="AJ64" s="2467"/>
      <c r="AK64" s="2467"/>
      <c r="AL64" s="2542"/>
      <c r="AM64" s="2542"/>
      <c r="AN64" s="2542"/>
      <c r="AO64" s="2542"/>
      <c r="AP64" s="2542"/>
      <c r="AQ64" s="2542"/>
      <c r="AR64" s="2542"/>
      <c r="AS64" s="2542"/>
      <c r="AT64" s="2542"/>
      <c r="AU64" s="2542"/>
      <c r="AV64" s="2543"/>
      <c r="AW64" s="2543"/>
      <c r="AX64" s="2543"/>
      <c r="AY64" s="2543"/>
      <c r="AZ64" s="2543"/>
      <c r="BA64" s="2467"/>
    </row>
    <row r="65" s="2545" customFormat="true" ht="15" hidden="false" customHeight="false" outlineLevel="0" collapsed="false">
      <c r="A65" s="2554"/>
      <c r="B65" s="2514" t="s">
        <v>1154</v>
      </c>
      <c r="C65" s="2515"/>
      <c r="H65" s="2546"/>
      <c r="I65" s="2546"/>
      <c r="J65" s="2547"/>
      <c r="K65" s="2547"/>
      <c r="L65" s="2548"/>
      <c r="M65" s="2548"/>
      <c r="O65" s="2548"/>
      <c r="P65" s="2548"/>
      <c r="Q65" s="2547"/>
      <c r="R65" s="2547"/>
      <c r="S65" s="2549"/>
      <c r="T65" s="2548"/>
      <c r="U65" s="2548"/>
      <c r="V65" s="2548"/>
      <c r="W65" s="2548"/>
      <c r="X65" s="2548"/>
      <c r="Y65" s="2548"/>
      <c r="Z65" s="2549"/>
      <c r="AA65" s="2550"/>
      <c r="AB65" s="2550"/>
      <c r="AC65" s="2550"/>
      <c r="AD65" s="2548"/>
      <c r="AE65" s="2551"/>
      <c r="AF65" s="2548"/>
      <c r="AG65" s="2548"/>
      <c r="AH65" s="2548"/>
      <c r="AI65" s="2548"/>
      <c r="AJ65" s="2548"/>
      <c r="AK65" s="2548"/>
      <c r="AL65" s="2552"/>
      <c r="AM65" s="2552"/>
      <c r="AN65" s="2552"/>
      <c r="AO65" s="2552"/>
      <c r="AP65" s="2552"/>
      <c r="AQ65" s="2552"/>
      <c r="AR65" s="2552"/>
      <c r="AS65" s="2552"/>
      <c r="AT65" s="2552"/>
      <c r="AU65" s="2552"/>
      <c r="AV65" s="2553"/>
      <c r="AW65" s="2553"/>
      <c r="AX65" s="2553"/>
      <c r="AY65" s="2553"/>
      <c r="AZ65" s="2553"/>
      <c r="BA65" s="2548"/>
    </row>
    <row r="66" s="2463" customFormat="true" ht="15" hidden="false" customHeight="false" outlineLevel="0" collapsed="false">
      <c r="A66" s="2554"/>
      <c r="B66" s="2555" t="s">
        <v>1986</v>
      </c>
      <c r="C66" s="2461" t="s">
        <v>2139</v>
      </c>
      <c r="H66" s="2465"/>
      <c r="I66" s="2465"/>
      <c r="J66" s="2466"/>
      <c r="K66" s="2466"/>
      <c r="L66" s="2467"/>
      <c r="M66" s="2467"/>
      <c r="O66" s="2467"/>
      <c r="P66" s="2467"/>
      <c r="Q66" s="2466"/>
      <c r="R66" s="2466"/>
      <c r="S66" s="2540"/>
      <c r="T66" s="2467"/>
      <c r="U66" s="2467"/>
      <c r="V66" s="2467"/>
      <c r="W66" s="2467"/>
      <c r="X66" s="2467"/>
      <c r="Y66" s="2467"/>
      <c r="Z66" s="2540"/>
      <c r="AA66" s="2541"/>
      <c r="AB66" s="2541"/>
      <c r="AC66" s="2541"/>
      <c r="AD66" s="2467"/>
      <c r="AE66" s="2469"/>
      <c r="AF66" s="2467"/>
      <c r="AG66" s="2467"/>
      <c r="AH66" s="2467"/>
      <c r="AI66" s="2467"/>
      <c r="AJ66" s="2467"/>
      <c r="AK66" s="2467"/>
      <c r="AL66" s="2542"/>
      <c r="AM66" s="2542"/>
      <c r="AN66" s="2542"/>
      <c r="AO66" s="2542"/>
      <c r="AP66" s="2542"/>
      <c r="AQ66" s="2542"/>
      <c r="AR66" s="2542"/>
      <c r="AS66" s="2542"/>
      <c r="AT66" s="2542"/>
      <c r="AU66" s="2542"/>
      <c r="AV66" s="2543"/>
      <c r="AW66" s="2543"/>
      <c r="AX66" s="2543"/>
      <c r="AY66" s="2543"/>
      <c r="AZ66" s="2543"/>
      <c r="BA66" s="2467"/>
    </row>
    <row r="67" s="2463" customFormat="true" ht="60" hidden="false" customHeight="true" outlineLevel="0" collapsed="false">
      <c r="A67" s="2554"/>
      <c r="B67" s="2555" t="s">
        <v>1988</v>
      </c>
      <c r="C67" s="2461" t="s">
        <v>2142</v>
      </c>
      <c r="H67" s="2465"/>
      <c r="I67" s="2465"/>
      <c r="J67" s="2466"/>
      <c r="K67" s="2466"/>
      <c r="L67" s="2467"/>
      <c r="M67" s="2467"/>
      <c r="O67" s="2467"/>
      <c r="P67" s="2467"/>
      <c r="Q67" s="2466"/>
      <c r="R67" s="2466"/>
      <c r="S67" s="2540"/>
      <c r="T67" s="2467"/>
      <c r="U67" s="2467"/>
      <c r="V67" s="2467"/>
      <c r="W67" s="2467"/>
      <c r="X67" s="2467"/>
      <c r="Y67" s="2467"/>
      <c r="Z67" s="2540"/>
      <c r="AA67" s="2541"/>
      <c r="AB67" s="2541"/>
      <c r="AC67" s="2541"/>
      <c r="AD67" s="2467"/>
      <c r="AE67" s="2469"/>
      <c r="AF67" s="2467"/>
      <c r="AG67" s="2467"/>
      <c r="AH67" s="2467"/>
      <c r="AI67" s="2467"/>
      <c r="AJ67" s="2467"/>
      <c r="AK67" s="2467"/>
      <c r="AL67" s="2542"/>
      <c r="AM67" s="2542"/>
      <c r="AN67" s="2542"/>
      <c r="AO67" s="2542"/>
      <c r="AP67" s="2542"/>
      <c r="AQ67" s="2542"/>
      <c r="AR67" s="2542"/>
      <c r="AS67" s="2542"/>
      <c r="AT67" s="2542"/>
      <c r="AU67" s="2542"/>
      <c r="AV67" s="2543"/>
      <c r="AW67" s="2543"/>
      <c r="AX67" s="2543"/>
      <c r="AY67" s="2543"/>
      <c r="AZ67" s="2543"/>
      <c r="BA67" s="2467"/>
    </row>
    <row r="68" s="2463" customFormat="true" ht="15" hidden="false" customHeight="false" outlineLevel="0" collapsed="false">
      <c r="A68" s="2554"/>
      <c r="B68" s="2555" t="s">
        <v>2074</v>
      </c>
      <c r="C68" s="2461" t="s">
        <v>2145</v>
      </c>
      <c r="H68" s="2465"/>
      <c r="I68" s="2465"/>
      <c r="J68" s="2466"/>
      <c r="K68" s="2466"/>
      <c r="L68" s="2467"/>
      <c r="M68" s="2467"/>
      <c r="O68" s="2467"/>
      <c r="P68" s="2467"/>
      <c r="Q68" s="2466"/>
      <c r="R68" s="2466"/>
      <c r="S68" s="2540"/>
      <c r="T68" s="2467"/>
      <c r="U68" s="2467"/>
      <c r="V68" s="2467"/>
      <c r="W68" s="2467"/>
      <c r="X68" s="2467"/>
      <c r="Y68" s="2467"/>
      <c r="Z68" s="2540"/>
      <c r="AA68" s="2541"/>
      <c r="AB68" s="2541"/>
      <c r="AC68" s="2541"/>
      <c r="AD68" s="2467"/>
      <c r="AE68" s="2469"/>
      <c r="AF68" s="2467"/>
      <c r="AG68" s="2467"/>
      <c r="AH68" s="2467"/>
      <c r="AI68" s="2467"/>
      <c r="AJ68" s="2467"/>
      <c r="AK68" s="2467"/>
      <c r="AL68" s="2542"/>
      <c r="AM68" s="2542"/>
      <c r="AN68" s="2542"/>
      <c r="AO68" s="2542"/>
      <c r="AP68" s="2542"/>
      <c r="AQ68" s="2542"/>
      <c r="AR68" s="2542"/>
      <c r="AS68" s="2542"/>
      <c r="AT68" s="2542"/>
      <c r="AU68" s="2542"/>
      <c r="AV68" s="2543"/>
      <c r="AW68" s="2543"/>
      <c r="AX68" s="2543"/>
      <c r="AY68" s="2543"/>
      <c r="AZ68" s="2543"/>
      <c r="BA68" s="2467"/>
    </row>
    <row r="69" s="2545" customFormat="true" ht="15" hidden="false" customHeight="false" outlineLevel="0" collapsed="false">
      <c r="A69" s="2554"/>
      <c r="B69" s="2556" t="s">
        <v>2085</v>
      </c>
      <c r="C69" s="2515" t="s">
        <v>2185</v>
      </c>
      <c r="H69" s="2546"/>
      <c r="I69" s="2546"/>
      <c r="J69" s="2547"/>
      <c r="K69" s="2547"/>
      <c r="L69" s="2548"/>
      <c r="M69" s="2548"/>
      <c r="O69" s="2548"/>
      <c r="P69" s="2548"/>
      <c r="Q69" s="2547"/>
      <c r="R69" s="2547"/>
      <c r="S69" s="2549"/>
      <c r="T69" s="2548"/>
      <c r="U69" s="2548"/>
      <c r="V69" s="2548"/>
      <c r="W69" s="2548"/>
      <c r="X69" s="2548"/>
      <c r="Y69" s="2548"/>
      <c r="Z69" s="2549"/>
      <c r="AA69" s="2550"/>
      <c r="AB69" s="2550"/>
      <c r="AC69" s="2550"/>
      <c r="AD69" s="2548"/>
      <c r="AE69" s="2551"/>
      <c r="AF69" s="2548"/>
      <c r="AG69" s="2548"/>
      <c r="AH69" s="2548"/>
      <c r="AI69" s="2548"/>
      <c r="AJ69" s="2548"/>
      <c r="AK69" s="2548"/>
      <c r="AL69" s="2552"/>
      <c r="AM69" s="2552"/>
      <c r="AN69" s="2552"/>
      <c r="AO69" s="2552"/>
      <c r="AP69" s="2552"/>
      <c r="AQ69" s="2552"/>
      <c r="AR69" s="2552"/>
      <c r="AS69" s="2552"/>
      <c r="AT69" s="2552"/>
      <c r="AU69" s="2552"/>
      <c r="AV69" s="2553"/>
      <c r="AW69" s="2553"/>
      <c r="AX69" s="2553"/>
      <c r="AY69" s="2553"/>
      <c r="AZ69" s="2553"/>
      <c r="BA69" s="2548"/>
    </row>
    <row r="70" s="2567" customFormat="true" ht="18" hidden="false" customHeight="true" outlineLevel="0" collapsed="false">
      <c r="A70" s="2557" t="s">
        <v>2304</v>
      </c>
      <c r="B70" s="2558" t="s">
        <v>2305</v>
      </c>
      <c r="C70" s="2461" t="s">
        <v>2235</v>
      </c>
      <c r="D70" s="2559" t="s">
        <v>2306</v>
      </c>
      <c r="E70" s="2499" t="s">
        <v>2307</v>
      </c>
      <c r="F70" s="2560" t="n">
        <v>45572</v>
      </c>
      <c r="G70" s="2483" t="n">
        <v>37200</v>
      </c>
      <c r="H70" s="2481"/>
      <c r="I70" s="2561"/>
      <c r="J70" s="2560"/>
      <c r="K70" s="2463"/>
      <c r="L70" s="2487"/>
      <c r="M70" s="2481"/>
      <c r="N70" s="2562"/>
      <c r="O70" s="2563"/>
      <c r="P70" s="2559"/>
      <c r="Q70" s="2559"/>
      <c r="R70" s="2559"/>
      <c r="S70" s="2481"/>
      <c r="T70" s="2481"/>
      <c r="U70" s="2481"/>
      <c r="V70" s="2559"/>
      <c r="W70" s="2559"/>
      <c r="X70" s="2481" t="s">
        <v>1616</v>
      </c>
      <c r="Y70" s="2481" t="s">
        <v>362</v>
      </c>
      <c r="Z70" s="2481" t="s">
        <v>362</v>
      </c>
      <c r="AA70" s="2481" t="s">
        <v>966</v>
      </c>
      <c r="AB70" s="2481" t="s">
        <v>966</v>
      </c>
      <c r="AC70" s="2481" t="s">
        <v>966</v>
      </c>
      <c r="AD70" s="2481" t="s">
        <v>966</v>
      </c>
      <c r="AE70" s="2481" t="s">
        <v>1592</v>
      </c>
      <c r="AF70" s="2481" t="s">
        <v>966</v>
      </c>
      <c r="AG70" s="2499"/>
      <c r="AH70" s="2481"/>
      <c r="AI70" s="2559"/>
      <c r="AJ70" s="2482"/>
      <c r="AK70" s="2559"/>
      <c r="AL70" s="2559"/>
      <c r="AM70" s="2559"/>
      <c r="AN70" s="2476" t="n">
        <v>300000000</v>
      </c>
      <c r="AO70" s="2477"/>
      <c r="AP70" s="2476" t="n">
        <v>400000000</v>
      </c>
      <c r="AQ70" s="2564" t="n">
        <v>235200000000</v>
      </c>
      <c r="AR70" s="2559"/>
      <c r="AS70" s="2559"/>
      <c r="AT70" s="2559"/>
      <c r="AU70" s="2559"/>
      <c r="AV70" s="2559"/>
      <c r="AW70" s="2565" t="n">
        <v>45692</v>
      </c>
      <c r="AX70" s="2559"/>
      <c r="AY70" s="2481" t="s">
        <v>2308</v>
      </c>
      <c r="AZ70" s="2481" t="s">
        <v>2308</v>
      </c>
      <c r="BA70" s="2481" t="s">
        <v>2309</v>
      </c>
      <c r="BB70" s="2566" t="s">
        <v>2310</v>
      </c>
    </row>
    <row r="71" s="2567" customFormat="true" ht="15" hidden="false" customHeight="false" outlineLevel="0" collapsed="false">
      <c r="A71" s="2557"/>
      <c r="B71" s="2481" t="s">
        <v>2311</v>
      </c>
      <c r="C71" s="2559"/>
      <c r="D71" s="2559"/>
      <c r="E71" s="2499" t="s">
        <v>2312</v>
      </c>
      <c r="F71" s="2560" t="n">
        <v>45671</v>
      </c>
      <c r="G71" s="2483"/>
      <c r="H71" s="2481"/>
      <c r="I71" s="2561" t="n">
        <v>46484</v>
      </c>
      <c r="J71" s="2560"/>
      <c r="K71" s="2463"/>
      <c r="L71" s="2487"/>
      <c r="M71" s="2561" t="n">
        <v>47184</v>
      </c>
      <c r="N71" s="2562"/>
      <c r="O71" s="2563"/>
      <c r="P71" s="2559"/>
      <c r="Q71" s="2559"/>
      <c r="R71" s="2559"/>
      <c r="S71" s="2481"/>
      <c r="T71" s="2481"/>
      <c r="U71" s="2481"/>
      <c r="V71" s="2559"/>
      <c r="W71" s="2559"/>
      <c r="X71" s="2467"/>
      <c r="Y71" s="2481"/>
      <c r="Z71" s="2481"/>
      <c r="AA71" s="2481"/>
      <c r="AB71" s="2481"/>
      <c r="AC71" s="2481"/>
      <c r="AD71" s="2481"/>
      <c r="AE71" s="2481"/>
      <c r="AF71" s="2481"/>
      <c r="AG71" s="2499"/>
      <c r="AH71" s="2481"/>
      <c r="AI71" s="2463"/>
      <c r="AJ71" s="2482"/>
      <c r="AK71" s="2463"/>
      <c r="AL71" s="2463"/>
      <c r="AM71" s="2463"/>
      <c r="AN71" s="2476"/>
      <c r="AO71" s="2477"/>
      <c r="AP71" s="2476"/>
      <c r="AQ71" s="2564"/>
      <c r="AR71" s="2559"/>
      <c r="AS71" s="2559"/>
      <c r="AT71" s="2559"/>
      <c r="AU71" s="2559"/>
      <c r="AV71" s="2559"/>
      <c r="AW71" s="2559"/>
      <c r="AX71" s="2559"/>
      <c r="AY71" s="2467"/>
      <c r="AZ71" s="2467"/>
      <c r="BA71" s="2481"/>
      <c r="BB71" s="2566"/>
    </row>
    <row r="72" s="2567" customFormat="true" ht="15" hidden="false" customHeight="false" outlineLevel="0" collapsed="false">
      <c r="A72" s="2557"/>
      <c r="B72" s="2481" t="s">
        <v>2313</v>
      </c>
      <c r="C72" s="2559"/>
      <c r="D72" s="2559"/>
      <c r="E72" s="2499" t="s">
        <v>2314</v>
      </c>
      <c r="F72" s="2560" t="n">
        <v>45671</v>
      </c>
      <c r="G72" s="2483"/>
      <c r="H72" s="2481"/>
      <c r="I72" s="2561" t="n">
        <v>46484</v>
      </c>
      <c r="J72" s="2560"/>
      <c r="K72" s="2463"/>
      <c r="L72" s="2487"/>
      <c r="M72" s="2561" t="n">
        <v>47184</v>
      </c>
      <c r="N72" s="2562"/>
      <c r="O72" s="2563"/>
      <c r="P72" s="2559"/>
      <c r="Q72" s="2559"/>
      <c r="R72" s="2559"/>
      <c r="S72" s="2481"/>
      <c r="T72" s="2481"/>
      <c r="U72" s="2481"/>
      <c r="V72" s="2559"/>
      <c r="W72" s="2559"/>
      <c r="X72" s="2467"/>
      <c r="Y72" s="2481"/>
      <c r="Z72" s="2481"/>
      <c r="AA72" s="2481"/>
      <c r="AB72" s="2481"/>
      <c r="AC72" s="2481"/>
      <c r="AD72" s="2481"/>
      <c r="AE72" s="2481"/>
      <c r="AF72" s="2481"/>
      <c r="AG72" s="2499"/>
      <c r="AH72" s="2481"/>
      <c r="AI72" s="2463"/>
      <c r="AJ72" s="2482"/>
      <c r="AK72" s="2463"/>
      <c r="AL72" s="2463"/>
      <c r="AM72" s="2463"/>
      <c r="AN72" s="2476"/>
      <c r="AO72" s="2477"/>
      <c r="AP72" s="2476"/>
      <c r="AQ72" s="2564"/>
      <c r="AR72" s="2559"/>
      <c r="AS72" s="2559"/>
      <c r="AT72" s="2559"/>
      <c r="AU72" s="2559"/>
      <c r="AV72" s="2559"/>
      <c r="AW72" s="2559"/>
      <c r="AX72" s="2559"/>
      <c r="AY72" s="2467"/>
      <c r="AZ72" s="2467"/>
      <c r="BA72" s="2481"/>
      <c r="BB72" s="2566"/>
    </row>
    <row r="73" s="2567" customFormat="true" ht="15" hidden="false" customHeight="false" outlineLevel="0" collapsed="false">
      <c r="A73" s="2557"/>
      <c r="B73" s="2481" t="s">
        <v>2315</v>
      </c>
      <c r="C73" s="2559"/>
      <c r="D73" s="2559"/>
      <c r="E73" s="2499" t="s">
        <v>2316</v>
      </c>
      <c r="F73" s="2560" t="n">
        <v>45671</v>
      </c>
      <c r="G73" s="2483"/>
      <c r="H73" s="2481"/>
      <c r="I73" s="2561" t="n">
        <v>46484</v>
      </c>
      <c r="J73" s="2560"/>
      <c r="K73" s="2463"/>
      <c r="L73" s="2487"/>
      <c r="M73" s="2561" t="n">
        <v>47184</v>
      </c>
      <c r="N73" s="2562"/>
      <c r="O73" s="2563"/>
      <c r="P73" s="2559"/>
      <c r="Q73" s="2559"/>
      <c r="R73" s="2559"/>
      <c r="S73" s="2481"/>
      <c r="T73" s="2481"/>
      <c r="U73" s="2481"/>
      <c r="V73" s="2559"/>
      <c r="W73" s="2559"/>
      <c r="X73" s="2467"/>
      <c r="Y73" s="2481"/>
      <c r="Z73" s="2481"/>
      <c r="AA73" s="2481"/>
      <c r="AB73" s="2481"/>
      <c r="AC73" s="2481"/>
      <c r="AD73" s="2481"/>
      <c r="AE73" s="2481"/>
      <c r="AF73" s="2481"/>
      <c r="AG73" s="2499"/>
      <c r="AH73" s="2481"/>
      <c r="AI73" s="2463"/>
      <c r="AJ73" s="2482"/>
      <c r="AK73" s="2463"/>
      <c r="AL73" s="2463"/>
      <c r="AM73" s="2463"/>
      <c r="AN73" s="2476"/>
      <c r="AO73" s="2477"/>
      <c r="AP73" s="2476"/>
      <c r="AQ73" s="2564"/>
      <c r="AR73" s="2559"/>
      <c r="AS73" s="2559"/>
      <c r="AT73" s="2559"/>
      <c r="AU73" s="2559"/>
      <c r="AV73" s="2559"/>
      <c r="AW73" s="2559"/>
      <c r="AX73" s="2559"/>
      <c r="AY73" s="2467"/>
      <c r="AZ73" s="2467"/>
      <c r="BA73" s="2481"/>
      <c r="BB73" s="2566"/>
    </row>
    <row r="74" s="2567" customFormat="true" ht="15" hidden="false" customHeight="false" outlineLevel="0" collapsed="false">
      <c r="A74" s="2557"/>
      <c r="B74" s="2481" t="s">
        <v>2317</v>
      </c>
      <c r="C74" s="2559"/>
      <c r="D74" s="2559"/>
      <c r="E74" s="2499" t="s">
        <v>2318</v>
      </c>
      <c r="F74" s="2560" t="n">
        <v>45671</v>
      </c>
      <c r="G74" s="2483"/>
      <c r="H74" s="2481"/>
      <c r="I74" s="2561" t="n">
        <v>46484</v>
      </c>
      <c r="J74" s="2560"/>
      <c r="K74" s="2463"/>
      <c r="L74" s="2487"/>
      <c r="M74" s="2561" t="n">
        <v>47184</v>
      </c>
      <c r="N74" s="2562"/>
      <c r="O74" s="2563"/>
      <c r="P74" s="2559"/>
      <c r="Q74" s="2559"/>
      <c r="R74" s="2559"/>
      <c r="S74" s="2481"/>
      <c r="T74" s="2481"/>
      <c r="U74" s="2481"/>
      <c r="V74" s="2559"/>
      <c r="W74" s="2559"/>
      <c r="X74" s="2467"/>
      <c r="Y74" s="2481"/>
      <c r="Z74" s="2481"/>
      <c r="AA74" s="2481"/>
      <c r="AB74" s="2481"/>
      <c r="AC74" s="2481"/>
      <c r="AD74" s="2481"/>
      <c r="AE74" s="2481"/>
      <c r="AF74" s="2481"/>
      <c r="AG74" s="2499"/>
      <c r="AH74" s="2481"/>
      <c r="AI74" s="2463"/>
      <c r="AJ74" s="2482"/>
      <c r="AK74" s="2463"/>
      <c r="AL74" s="2463"/>
      <c r="AM74" s="2463"/>
      <c r="AN74" s="2476"/>
      <c r="AO74" s="2477"/>
      <c r="AP74" s="2476"/>
      <c r="AQ74" s="2564"/>
      <c r="AR74" s="2559"/>
      <c r="AS74" s="2559"/>
      <c r="AT74" s="2559"/>
      <c r="AU74" s="2559"/>
      <c r="AV74" s="2559"/>
      <c r="AW74" s="2559"/>
      <c r="AX74" s="2559"/>
      <c r="AY74" s="2467"/>
      <c r="AZ74" s="2467"/>
      <c r="BA74" s="2481"/>
      <c r="BB74" s="2566"/>
    </row>
    <row r="75" s="2567" customFormat="true" ht="15" hidden="false" customHeight="false" outlineLevel="0" collapsed="false">
      <c r="A75" s="2557"/>
      <c r="B75" s="2481" t="s">
        <v>2319</v>
      </c>
      <c r="C75" s="2559"/>
      <c r="D75" s="2559"/>
      <c r="E75" s="2499" t="s">
        <v>2320</v>
      </c>
      <c r="F75" s="2560" t="n">
        <v>45671</v>
      </c>
      <c r="G75" s="2483"/>
      <c r="H75" s="2481"/>
      <c r="I75" s="2561" t="n">
        <v>46484</v>
      </c>
      <c r="J75" s="2560"/>
      <c r="K75" s="2463"/>
      <c r="L75" s="2487"/>
      <c r="M75" s="2561" t="n">
        <v>47184</v>
      </c>
      <c r="N75" s="2562"/>
      <c r="O75" s="2563"/>
      <c r="P75" s="2559"/>
      <c r="Q75" s="2559"/>
      <c r="R75" s="2559"/>
      <c r="S75" s="2481"/>
      <c r="T75" s="2481"/>
      <c r="U75" s="2481"/>
      <c r="V75" s="2559"/>
      <c r="W75" s="2559"/>
      <c r="X75" s="2467"/>
      <c r="Y75" s="2481"/>
      <c r="Z75" s="2481"/>
      <c r="AA75" s="2481"/>
      <c r="AB75" s="2481"/>
      <c r="AC75" s="2481"/>
      <c r="AD75" s="2481"/>
      <c r="AE75" s="2481"/>
      <c r="AF75" s="2481"/>
      <c r="AG75" s="2499"/>
      <c r="AH75" s="2481"/>
      <c r="AI75" s="2463"/>
      <c r="AJ75" s="2482"/>
      <c r="AK75" s="2463"/>
      <c r="AL75" s="2463"/>
      <c r="AM75" s="2463"/>
      <c r="AN75" s="2476"/>
      <c r="AO75" s="2477"/>
      <c r="AP75" s="2476"/>
      <c r="AQ75" s="2564"/>
      <c r="AR75" s="2559"/>
      <c r="AS75" s="2559"/>
      <c r="AT75" s="2559"/>
      <c r="AU75" s="2559"/>
      <c r="AV75" s="2559"/>
      <c r="AW75" s="2559"/>
      <c r="AX75" s="2559"/>
      <c r="AY75" s="2467"/>
      <c r="AZ75" s="2467"/>
      <c r="BA75" s="2481"/>
      <c r="BB75" s="2566"/>
    </row>
    <row r="76" s="2574" customFormat="true" ht="15" hidden="false" customHeight="false" outlineLevel="0" collapsed="false">
      <c r="A76" s="2557"/>
      <c r="B76" s="2517" t="s">
        <v>2321</v>
      </c>
      <c r="C76" s="2515"/>
      <c r="D76" s="2515"/>
      <c r="E76" s="2518" t="s">
        <v>2322</v>
      </c>
      <c r="F76" s="2568" t="n">
        <v>45671</v>
      </c>
      <c r="G76" s="2520"/>
      <c r="H76" s="2517"/>
      <c r="I76" s="2569" t="n">
        <v>46484</v>
      </c>
      <c r="J76" s="2568"/>
      <c r="K76" s="2545"/>
      <c r="L76" s="2522"/>
      <c r="M76" s="2569" t="n">
        <v>47184</v>
      </c>
      <c r="N76" s="2570"/>
      <c r="O76" s="2571"/>
      <c r="P76" s="2515"/>
      <c r="Q76" s="2515"/>
      <c r="R76" s="2515"/>
      <c r="S76" s="2517"/>
      <c r="T76" s="2517"/>
      <c r="U76" s="2517"/>
      <c r="V76" s="2515"/>
      <c r="W76" s="2515"/>
      <c r="X76" s="2548"/>
      <c r="Y76" s="2517"/>
      <c r="Z76" s="2517"/>
      <c r="AA76" s="2517"/>
      <c r="AB76" s="2517"/>
      <c r="AC76" s="2517"/>
      <c r="AD76" s="2517"/>
      <c r="AE76" s="2517"/>
      <c r="AF76" s="2517"/>
      <c r="AG76" s="2518"/>
      <c r="AH76" s="2517"/>
      <c r="AI76" s="2545"/>
      <c r="AJ76" s="2572"/>
      <c r="AK76" s="2545"/>
      <c r="AL76" s="2545"/>
      <c r="AM76" s="2545"/>
      <c r="AN76" s="2530"/>
      <c r="AO76" s="2531"/>
      <c r="AP76" s="2530"/>
      <c r="AQ76" s="2573"/>
      <c r="AR76" s="2515"/>
      <c r="AS76" s="2515"/>
      <c r="AT76" s="2515"/>
      <c r="AU76" s="2515"/>
      <c r="AV76" s="2515"/>
      <c r="AW76" s="2515"/>
      <c r="AX76" s="2515"/>
      <c r="AY76" s="2548"/>
      <c r="AZ76" s="2548"/>
      <c r="BA76" s="2517"/>
      <c r="BB76" s="2566"/>
    </row>
    <row r="77" s="2577" customFormat="true" ht="15" hidden="false" customHeight="false" outlineLevel="0" collapsed="false">
      <c r="A77" s="2575" t="s">
        <v>2323</v>
      </c>
      <c r="B77" s="2558" t="s">
        <v>2305</v>
      </c>
      <c r="C77" s="2559"/>
      <c r="D77" s="2487" t="s">
        <v>2324</v>
      </c>
      <c r="E77" s="2481" t="s">
        <v>2325</v>
      </c>
      <c r="F77" s="2560" t="n">
        <v>45671</v>
      </c>
      <c r="G77" s="2576" t="n">
        <v>31000</v>
      </c>
      <c r="H77" s="2559"/>
      <c r="I77" s="2561"/>
      <c r="J77" s="2559"/>
      <c r="K77" s="2463"/>
      <c r="L77" s="2559"/>
      <c r="M77" s="2561"/>
      <c r="N77" s="2562"/>
      <c r="O77" s="2563"/>
      <c r="P77" s="2559"/>
      <c r="Q77" s="2559"/>
      <c r="R77" s="2559"/>
      <c r="S77" s="2559"/>
      <c r="T77" s="2559"/>
      <c r="U77" s="2559"/>
      <c r="V77" s="2559"/>
      <c r="W77" s="2559"/>
      <c r="X77" s="2559"/>
      <c r="Y77" s="2559"/>
      <c r="Z77" s="2559"/>
      <c r="AA77" s="2559"/>
      <c r="AB77" s="2559"/>
      <c r="AC77" s="2559"/>
      <c r="AD77" s="2559"/>
      <c r="AE77" s="2559"/>
      <c r="AF77" s="2559"/>
      <c r="AG77" s="2559"/>
      <c r="AH77" s="2559"/>
      <c r="AI77" s="2559"/>
      <c r="AJ77" s="2559"/>
      <c r="AK77" s="2559"/>
      <c r="AL77" s="2559"/>
      <c r="AM77" s="2559"/>
      <c r="AN77" s="2559"/>
      <c r="AO77" s="2559"/>
      <c r="AP77" s="2559"/>
      <c r="AQ77" s="2559"/>
      <c r="AR77" s="2559"/>
      <c r="AS77" s="2559"/>
      <c r="AT77" s="2559"/>
      <c r="AU77" s="2559"/>
      <c r="AV77" s="2559"/>
      <c r="AW77" s="2559"/>
      <c r="AX77" s="2559"/>
      <c r="AY77" s="2559"/>
      <c r="AZ77" s="2559"/>
      <c r="BA77" s="2463"/>
      <c r="BB77" s="2463"/>
    </row>
    <row r="78" s="2577" customFormat="true" ht="15" hidden="false" customHeight="false" outlineLevel="0" collapsed="false">
      <c r="A78" s="2575"/>
      <c r="B78" s="2481" t="s">
        <v>2326</v>
      </c>
      <c r="C78" s="2559"/>
      <c r="D78" s="2559"/>
      <c r="E78" s="2481" t="s">
        <v>2327</v>
      </c>
      <c r="F78" s="2560" t="n">
        <v>45671</v>
      </c>
      <c r="G78" s="2559"/>
      <c r="H78" s="2559"/>
      <c r="I78" s="2561" t="n">
        <v>46850</v>
      </c>
      <c r="J78" s="2559"/>
      <c r="K78" s="2559"/>
      <c r="L78" s="2559"/>
      <c r="M78" s="2561" t="n">
        <v>47914</v>
      </c>
      <c r="N78" s="2562"/>
      <c r="O78" s="2563"/>
      <c r="P78" s="2559"/>
      <c r="Q78" s="2559"/>
      <c r="R78" s="2559"/>
      <c r="S78" s="2559"/>
      <c r="T78" s="2559"/>
      <c r="U78" s="2559"/>
      <c r="V78" s="2559"/>
      <c r="W78" s="2559"/>
      <c r="X78" s="2559"/>
      <c r="Y78" s="2559"/>
      <c r="Z78" s="2559"/>
      <c r="AA78" s="2559"/>
      <c r="AB78" s="2559"/>
      <c r="AC78" s="2559"/>
      <c r="AD78" s="2559"/>
      <c r="AE78" s="2559"/>
      <c r="AF78" s="2463"/>
      <c r="AG78" s="2463"/>
      <c r="AH78" s="2559"/>
      <c r="AI78" s="2559"/>
      <c r="AJ78" s="2559"/>
      <c r="AK78" s="2559"/>
      <c r="AL78" s="2559"/>
      <c r="AM78" s="2559"/>
      <c r="AN78" s="2559"/>
      <c r="AO78" s="2559"/>
      <c r="AP78" s="2559"/>
      <c r="AQ78" s="2559"/>
      <c r="AR78" s="2559"/>
      <c r="AS78" s="2559"/>
      <c r="AT78" s="2559"/>
      <c r="AU78" s="2559"/>
      <c r="AV78" s="2559"/>
      <c r="AW78" s="2559"/>
      <c r="AX78" s="2559"/>
      <c r="AY78" s="2559"/>
      <c r="AZ78" s="2559"/>
      <c r="BA78" s="2463"/>
      <c r="BB78" s="2463"/>
    </row>
    <row r="79" s="2577" customFormat="true" ht="15" hidden="false" customHeight="false" outlineLevel="0" collapsed="false">
      <c r="A79" s="2575"/>
      <c r="B79" s="2481" t="s">
        <v>2328</v>
      </c>
      <c r="C79" s="2559"/>
      <c r="D79" s="2559"/>
      <c r="E79" s="2481" t="s">
        <v>2329</v>
      </c>
      <c r="F79" s="2560" t="n">
        <v>45671</v>
      </c>
      <c r="G79" s="2559"/>
      <c r="H79" s="2559"/>
      <c r="I79" s="2561" t="n">
        <v>46850</v>
      </c>
      <c r="J79" s="2559"/>
      <c r="K79" s="2487" t="s">
        <v>71</v>
      </c>
      <c r="L79" s="2559"/>
      <c r="M79" s="2561" t="n">
        <v>47914</v>
      </c>
      <c r="N79" s="2562"/>
      <c r="O79" s="2563"/>
      <c r="P79" s="2559"/>
      <c r="Q79" s="2559"/>
      <c r="R79" s="2559"/>
      <c r="S79" s="2559"/>
      <c r="T79" s="2559"/>
      <c r="U79" s="2559"/>
      <c r="V79" s="2559"/>
      <c r="W79" s="2559"/>
      <c r="X79" s="2559"/>
      <c r="Y79" s="2559"/>
      <c r="Z79" s="2559"/>
      <c r="AA79" s="2559"/>
      <c r="AB79" s="2559"/>
      <c r="AC79" s="2559"/>
      <c r="AD79" s="2559"/>
      <c r="AE79" s="2559"/>
      <c r="AF79" s="2559"/>
      <c r="AG79" s="2559"/>
      <c r="AH79" s="2559"/>
      <c r="AI79" s="2559"/>
      <c r="AJ79" s="2559"/>
      <c r="AK79" s="2559"/>
      <c r="AL79" s="2559"/>
      <c r="AM79" s="2559"/>
      <c r="AN79" s="2559"/>
      <c r="AO79" s="2559"/>
      <c r="AP79" s="2559"/>
      <c r="AQ79" s="2559"/>
      <c r="AR79" s="2559"/>
      <c r="AS79" s="2559"/>
      <c r="AT79" s="2559"/>
      <c r="AU79" s="2559"/>
      <c r="AV79" s="2559"/>
      <c r="AW79" s="2559"/>
      <c r="AX79" s="2559"/>
      <c r="AY79" s="2559"/>
      <c r="AZ79" s="2559"/>
      <c r="BA79" s="2463"/>
      <c r="BB79" s="2463"/>
    </row>
    <row r="80" s="2577" customFormat="true" ht="15" hidden="false" customHeight="false" outlineLevel="0" collapsed="false">
      <c r="A80" s="2575"/>
      <c r="B80" s="2481" t="s">
        <v>2330</v>
      </c>
      <c r="C80" s="2463"/>
      <c r="D80" s="2463"/>
      <c r="E80" s="2481" t="s">
        <v>2331</v>
      </c>
      <c r="F80" s="2560" t="n">
        <v>45671</v>
      </c>
      <c r="G80" s="2463"/>
      <c r="H80" s="2463"/>
      <c r="I80" s="2561" t="n">
        <v>46850</v>
      </c>
      <c r="J80" s="2463"/>
      <c r="K80" s="2463"/>
      <c r="L80" s="2463"/>
      <c r="M80" s="2561" t="n">
        <v>47914</v>
      </c>
      <c r="N80" s="2578"/>
      <c r="O80" s="2579"/>
      <c r="P80" s="2463"/>
      <c r="Q80" s="2463"/>
      <c r="R80" s="2463"/>
      <c r="S80" s="2463"/>
      <c r="T80" s="2463"/>
      <c r="U80" s="2463"/>
      <c r="V80" s="2463"/>
      <c r="W80" s="2463"/>
      <c r="X80" s="2463"/>
      <c r="Y80" s="2463"/>
      <c r="Z80" s="2463"/>
      <c r="AA80" s="2463"/>
      <c r="AB80" s="2463"/>
      <c r="AC80" s="2463"/>
      <c r="AD80" s="2463"/>
      <c r="AE80" s="2463"/>
      <c r="AF80" s="2463"/>
      <c r="AG80" s="2463"/>
      <c r="AH80" s="2463"/>
      <c r="AI80" s="2463"/>
      <c r="AJ80" s="2463"/>
      <c r="AK80" s="2463"/>
      <c r="AL80" s="2463"/>
      <c r="AM80" s="2463"/>
      <c r="AN80" s="2463"/>
      <c r="AO80" s="2463"/>
      <c r="AP80" s="2463"/>
      <c r="AQ80" s="2463"/>
      <c r="AR80" s="2463"/>
      <c r="AS80" s="2463"/>
      <c r="AT80" s="2463"/>
      <c r="AU80" s="2463"/>
      <c r="AV80" s="2463"/>
      <c r="AW80" s="2463"/>
      <c r="AX80" s="2463"/>
      <c r="AY80" s="2463"/>
      <c r="AZ80" s="2463"/>
      <c r="BA80" s="2463"/>
      <c r="BB80" s="2463"/>
    </row>
    <row r="81" s="2577" customFormat="true" ht="15" hidden="false" customHeight="false" outlineLevel="0" collapsed="false">
      <c r="A81" s="2575"/>
      <c r="B81" s="2481" t="s">
        <v>2332</v>
      </c>
      <c r="C81" s="2463"/>
      <c r="D81" s="2463"/>
      <c r="E81" s="2481" t="s">
        <v>2333</v>
      </c>
      <c r="F81" s="2560" t="n">
        <v>45671</v>
      </c>
      <c r="G81" s="2463"/>
      <c r="H81" s="2463"/>
      <c r="I81" s="2561" t="n">
        <v>46850</v>
      </c>
      <c r="J81" s="2463"/>
      <c r="K81" s="2463"/>
      <c r="L81" s="2463"/>
      <c r="M81" s="2561" t="n">
        <v>47914</v>
      </c>
      <c r="N81" s="2578"/>
      <c r="O81" s="2579"/>
      <c r="P81" s="2463"/>
      <c r="Q81" s="2463"/>
      <c r="R81" s="2463"/>
      <c r="S81" s="2463"/>
      <c r="T81" s="2463"/>
      <c r="U81" s="2463"/>
      <c r="V81" s="2463"/>
      <c r="W81" s="2463"/>
      <c r="X81" s="2463"/>
      <c r="Y81" s="2463"/>
      <c r="Z81" s="2463"/>
      <c r="AA81" s="2463"/>
      <c r="AB81" s="2463"/>
      <c r="AC81" s="2463"/>
      <c r="AD81" s="2463"/>
      <c r="AE81" s="2463"/>
      <c r="AF81" s="2463"/>
      <c r="AG81" s="2463"/>
      <c r="AH81" s="2463"/>
      <c r="AI81" s="2463"/>
      <c r="AJ81" s="2463"/>
      <c r="AK81" s="2463"/>
      <c r="AL81" s="2463"/>
      <c r="AM81" s="2463"/>
      <c r="AN81" s="2463"/>
      <c r="AO81" s="2463"/>
      <c r="AP81" s="2463"/>
      <c r="AQ81" s="2463"/>
      <c r="AR81" s="2463"/>
      <c r="AS81" s="2463"/>
      <c r="AT81" s="2463"/>
      <c r="AU81" s="2463"/>
      <c r="AV81" s="2463"/>
      <c r="AW81" s="2463"/>
      <c r="AX81" s="2463"/>
      <c r="AY81" s="2463"/>
      <c r="AZ81" s="2463"/>
      <c r="BA81" s="2463"/>
      <c r="BB81" s="2463"/>
    </row>
    <row r="82" s="2577" customFormat="true" ht="15" hidden="false" customHeight="false" outlineLevel="0" collapsed="false">
      <c r="A82" s="2575"/>
      <c r="B82" s="2481" t="s">
        <v>2334</v>
      </c>
      <c r="C82" s="2463"/>
      <c r="D82" s="2463"/>
      <c r="E82" s="2481" t="s">
        <v>2335</v>
      </c>
      <c r="F82" s="2560" t="n">
        <v>45671</v>
      </c>
      <c r="G82" s="2463"/>
      <c r="H82" s="2463"/>
      <c r="I82" s="2561" t="n">
        <v>46850</v>
      </c>
      <c r="J82" s="2463"/>
      <c r="K82" s="2463"/>
      <c r="L82" s="2463"/>
      <c r="M82" s="2561" t="n">
        <v>47914</v>
      </c>
      <c r="N82" s="2578"/>
      <c r="O82" s="2579"/>
      <c r="P82" s="2463"/>
      <c r="Q82" s="2463"/>
      <c r="R82" s="2463"/>
      <c r="S82" s="2463"/>
      <c r="T82" s="2463"/>
      <c r="U82" s="2463"/>
      <c r="V82" s="2463"/>
      <c r="W82" s="2463"/>
      <c r="X82" s="2463"/>
      <c r="Y82" s="2463"/>
      <c r="Z82" s="2463"/>
      <c r="AA82" s="2463"/>
      <c r="AB82" s="2463"/>
      <c r="AC82" s="2463"/>
      <c r="AD82" s="2463"/>
      <c r="AE82" s="2463"/>
      <c r="AF82" s="2463"/>
      <c r="AG82" s="2463"/>
      <c r="AH82" s="2463"/>
      <c r="AI82" s="2463"/>
      <c r="AJ82" s="2463"/>
      <c r="AK82" s="2463"/>
      <c r="AL82" s="2463"/>
      <c r="AM82" s="2463"/>
      <c r="AN82" s="2463"/>
      <c r="AO82" s="2463"/>
      <c r="AP82" s="2463"/>
      <c r="AQ82" s="2463"/>
      <c r="AR82" s="2463"/>
      <c r="AS82" s="2463"/>
      <c r="AT82" s="2463"/>
      <c r="AU82" s="2463"/>
      <c r="AV82" s="2463"/>
      <c r="AW82" s="2463"/>
      <c r="AX82" s="2463"/>
      <c r="AY82" s="2463"/>
      <c r="AZ82" s="2463"/>
      <c r="BA82" s="2463"/>
      <c r="BB82" s="2463"/>
    </row>
    <row r="83" s="2577" customFormat="true" ht="15" hidden="false" customHeight="false" outlineLevel="0" collapsed="false">
      <c r="A83" s="2575"/>
      <c r="B83" s="2481" t="s">
        <v>2336</v>
      </c>
      <c r="C83" s="2463"/>
      <c r="D83" s="2559"/>
      <c r="E83" s="2481" t="s">
        <v>2337</v>
      </c>
      <c r="F83" s="2560" t="n">
        <v>45671</v>
      </c>
      <c r="G83" s="2463"/>
      <c r="H83" s="2463"/>
      <c r="I83" s="2561" t="n">
        <v>46850</v>
      </c>
      <c r="J83" s="2463"/>
      <c r="K83" s="2463"/>
      <c r="L83" s="2463"/>
      <c r="M83" s="2561" t="n">
        <v>47914</v>
      </c>
      <c r="N83" s="2578"/>
      <c r="O83" s="2579"/>
      <c r="P83" s="2463"/>
      <c r="Q83" s="2463"/>
      <c r="R83" s="2463"/>
      <c r="S83" s="2463"/>
      <c r="T83" s="2463"/>
      <c r="U83" s="2463"/>
      <c r="V83" s="2463"/>
      <c r="W83" s="2463"/>
      <c r="X83" s="2463"/>
      <c r="Y83" s="2463"/>
      <c r="Z83" s="2463"/>
      <c r="AA83" s="2463"/>
      <c r="AB83" s="2463"/>
      <c r="AC83" s="2463"/>
      <c r="AD83" s="2463"/>
      <c r="AE83" s="2463"/>
      <c r="AF83" s="2463"/>
      <c r="AG83" s="2463"/>
      <c r="AH83" s="2463"/>
      <c r="AI83" s="2463"/>
      <c r="AJ83" s="2463"/>
      <c r="AK83" s="2463"/>
      <c r="AL83" s="2463"/>
      <c r="AM83" s="2463"/>
      <c r="AN83" s="2463"/>
      <c r="AO83" s="2463"/>
      <c r="AP83" s="2463"/>
      <c r="AQ83" s="2463"/>
      <c r="AR83" s="2463"/>
      <c r="AS83" s="2463"/>
      <c r="AT83" s="2463"/>
      <c r="AU83" s="2463"/>
      <c r="AV83" s="2463"/>
      <c r="AW83" s="2463"/>
      <c r="AX83" s="2463"/>
      <c r="AY83" s="2463"/>
      <c r="AZ83" s="2463"/>
      <c r="BA83" s="2463"/>
      <c r="BB83" s="2463"/>
    </row>
    <row r="84" customFormat="false" ht="15" hidden="false" customHeight="false" outlineLevel="0" collapsed="false">
      <c r="P84" s="934"/>
    </row>
    <row r="85" customFormat="false" ht="15" hidden="false" customHeight="false" outlineLevel="0" collapsed="false">
      <c r="P85" s="934"/>
    </row>
    <row r="86" customFormat="false" ht="15" hidden="false" customHeight="false" outlineLevel="0" collapsed="false">
      <c r="P86" s="934"/>
    </row>
    <row r="87" customFormat="false" ht="15" hidden="false" customHeight="false" outlineLevel="0" collapsed="false">
      <c r="P87" s="934"/>
    </row>
    <row r="88" customFormat="false" ht="15" hidden="false" customHeight="false" outlineLevel="0" collapsed="false">
      <c r="P88" s="934"/>
    </row>
    <row r="89" customFormat="false" ht="15" hidden="false" customHeight="false" outlineLevel="0" collapsed="false">
      <c r="P89" s="934"/>
    </row>
    <row r="90" customFormat="false" ht="15" hidden="false" customHeight="false" outlineLevel="0" collapsed="false">
      <c r="P90" s="934"/>
    </row>
    <row r="91" customFormat="false" ht="15" hidden="false" customHeight="false" outlineLevel="0" collapsed="false">
      <c r="P91" s="934"/>
    </row>
    <row r="92" customFormat="false" ht="15" hidden="false" customHeight="false" outlineLevel="0" collapsed="false">
      <c r="P92" s="934"/>
    </row>
    <row r="93" customFormat="false" ht="15" hidden="false" customHeight="false" outlineLevel="0" collapsed="false">
      <c r="P93" s="934"/>
    </row>
    <row r="94" customFormat="false" ht="15" hidden="false" customHeight="false" outlineLevel="0" collapsed="false">
      <c r="P94" s="934"/>
    </row>
    <row r="95" customFormat="false" ht="15" hidden="false" customHeight="false" outlineLevel="0" collapsed="false">
      <c r="P95" s="934"/>
    </row>
    <row r="96" customFormat="false" ht="15" hidden="false" customHeight="false" outlineLevel="0" collapsed="false">
      <c r="P96" s="934"/>
    </row>
    <row r="97" customFormat="false" ht="15" hidden="false" customHeight="false" outlineLevel="0" collapsed="false">
      <c r="P97" s="934"/>
    </row>
    <row r="98" customFormat="false" ht="15" hidden="false" customHeight="false" outlineLevel="0" collapsed="false">
      <c r="P98" s="934"/>
    </row>
    <row r="99" customFormat="false" ht="15" hidden="false" customHeight="false" outlineLevel="0" collapsed="false">
      <c r="P99" s="934"/>
    </row>
    <row r="100" customFormat="false" ht="15" hidden="false" customHeight="false" outlineLevel="0" collapsed="false">
      <c r="P100" s="934"/>
    </row>
    <row r="101" customFormat="false" ht="15" hidden="false" customHeight="false" outlineLevel="0" collapsed="false">
      <c r="P101" s="934"/>
    </row>
    <row r="102" customFormat="false" ht="15" hidden="false" customHeight="false" outlineLevel="0" collapsed="false">
      <c r="P102" s="934"/>
    </row>
    <row r="103" customFormat="false" ht="15" hidden="false" customHeight="false" outlineLevel="0" collapsed="false">
      <c r="P103" s="934"/>
    </row>
    <row r="104" customFormat="false" ht="15" hidden="false" customHeight="false" outlineLevel="0" collapsed="false">
      <c r="P104" s="934"/>
    </row>
    <row r="105" customFormat="false" ht="15" hidden="false" customHeight="false" outlineLevel="0" collapsed="false">
      <c r="P105" s="934"/>
    </row>
    <row r="106" customFormat="false" ht="15" hidden="false" customHeight="false" outlineLevel="0" collapsed="false">
      <c r="P106" s="934"/>
    </row>
    <row r="107" customFormat="false" ht="15" hidden="false" customHeight="false" outlineLevel="0" collapsed="false">
      <c r="P107" s="934"/>
    </row>
    <row r="108" customFormat="false" ht="15" hidden="false" customHeight="false" outlineLevel="0" collapsed="false">
      <c r="P108" s="934"/>
    </row>
    <row r="109" customFormat="false" ht="15" hidden="false" customHeight="false" outlineLevel="0" collapsed="false">
      <c r="P109" s="934"/>
    </row>
    <row r="110" customFormat="false" ht="15" hidden="false" customHeight="false" outlineLevel="0" collapsed="false">
      <c r="P110" s="934"/>
    </row>
  </sheetData>
  <autoFilter ref="A2:BB8"/>
  <mergeCells count="10">
    <mergeCell ref="A4:A8"/>
    <mergeCell ref="A9:A11"/>
    <mergeCell ref="A12:A18"/>
    <mergeCell ref="A22:A30"/>
    <mergeCell ref="A31:A39"/>
    <mergeCell ref="A40:A47"/>
    <mergeCell ref="A48:A69"/>
    <mergeCell ref="A70:A76"/>
    <mergeCell ref="BB70:BB76"/>
    <mergeCell ref="A77:A83"/>
  </mergeCells>
  <dataValidations count="2">
    <dataValidation allowBlank="true" errorStyle="stop" operator="between" showDropDown="false" showErrorMessage="true" showInputMessage="true" sqref="AJ3 AN4:AN18 AJ19:AJ69 AJ84:AJ1083" type="list">
      <formula1>"YES,NO,-"</formula1>
      <formula2>0</formula2>
    </dataValidation>
    <dataValidation allowBlank="false" errorStyle="stop" operator="between" showDropDown="false" showErrorMessage="true" showInputMessage="true" sqref="N3 P4:P18 L70:L76" type="list">
      <formula1>'Back up'!$D$3:$D$8</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7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2: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4" activeCellId="0" sqref="L24"/>
    </sheetView>
  </sheetViews>
  <sheetFormatPr defaultColWidth="8.57421875" defaultRowHeight="16.5" zeroHeight="false" outlineLevelRow="0" outlineLevelCol="0"/>
  <cols>
    <col collapsed="false" customWidth="true" hidden="false" outlineLevel="0" max="4" min="4" style="0" width="31.88"/>
  </cols>
  <sheetData>
    <row r="2" customFormat="false" ht="17.9" hidden="false" customHeight="false" outlineLevel="0" collapsed="false">
      <c r="D2" s="1917" t="s">
        <v>1856</v>
      </c>
    </row>
    <row r="3" customFormat="false" ht="16.5" hidden="false" customHeight="false" outlineLevel="0" collapsed="false">
      <c r="D3" s="2156" t="s">
        <v>2338</v>
      </c>
    </row>
    <row r="4" customFormat="false" ht="16.5" hidden="false" customHeight="false" outlineLevel="0" collapsed="false">
      <c r="D4" s="2156" t="s">
        <v>2339</v>
      </c>
    </row>
    <row r="5" customFormat="false" ht="16.5" hidden="false" customHeight="false" outlineLevel="0" collapsed="false">
      <c r="D5" s="2156" t="s">
        <v>2340</v>
      </c>
    </row>
    <row r="6" customFormat="false" ht="16.5" hidden="false" customHeight="false" outlineLevel="0" collapsed="false">
      <c r="D6" s="2156" t="s">
        <v>2341</v>
      </c>
    </row>
    <row r="7" customFormat="false" ht="16.5" hidden="false" customHeight="false" outlineLevel="0" collapsed="false">
      <c r="D7" s="2156" t="s">
        <v>2342</v>
      </c>
    </row>
    <row r="8" customFormat="false" ht="16.5" hidden="false" customHeight="false" outlineLevel="0" collapsed="false">
      <c r="D8" s="2156" t="s">
        <v>2343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57421875" defaultRowHeight="16.5" zeroHeight="false" outlineLevelRow="0" outlineLevelCol="0"/>
  <cols>
    <col collapsed="false" customWidth="true" hidden="false" outlineLevel="0" max="1" min="1" style="0" width="13.88"/>
    <col collapsed="false" customWidth="true" hidden="false" outlineLevel="0" max="2" min="2" style="0" width="18.25"/>
    <col collapsed="false" customWidth="true" hidden="false" outlineLevel="0" max="3" min="3" style="0" width="7.88"/>
    <col collapsed="false" customWidth="true" hidden="false" outlineLevel="0" max="8" min="4" style="0" width="6.88"/>
    <col collapsed="false" customWidth="true" hidden="false" outlineLevel="0" max="11" min="9" style="0" width="5.75"/>
    <col collapsed="false" customWidth="true" hidden="false" outlineLevel="0" max="12" min="12" style="0" width="12"/>
    <col collapsed="false" customWidth="true" hidden="false" outlineLevel="0" max="13" min="13" style="0" width="11.75"/>
    <col collapsed="false" customWidth="true" hidden="false" outlineLevel="0" max="14" min="14" style="0" width="10.62"/>
    <col collapsed="false" customWidth="true" hidden="false" outlineLevel="0" max="15" min="15" style="0" width="12"/>
    <col collapsed="false" customWidth="true" hidden="false" outlineLevel="0" max="16" min="16" style="0" width="16"/>
    <col collapsed="false" customWidth="true" hidden="false" outlineLevel="0" max="17" min="17" style="0" width="13.63"/>
    <col collapsed="false" customWidth="true" hidden="false" outlineLevel="0" max="18" min="18" style="0" width="17.12"/>
    <col collapsed="false" customWidth="true" hidden="false" outlineLevel="0" max="19" min="19" style="0" width="13.63"/>
    <col collapsed="false" customWidth="true" hidden="false" outlineLevel="0" max="20" min="20" style="0" width="2.63"/>
    <col collapsed="false" customWidth="true" hidden="false" outlineLevel="0" max="21" min="21" style="0" width="17.12"/>
    <col collapsed="false" customWidth="true" hidden="false" outlineLevel="0" max="22" min="22" style="0" width="13.63"/>
    <col collapsed="false" customWidth="true" hidden="false" outlineLevel="0" max="23" min="23" style="0" width="17.12"/>
    <col collapsed="false" customWidth="true" hidden="false" outlineLevel="0" max="24" min="24" style="0" width="13.63"/>
    <col collapsed="false" customWidth="true" hidden="false" outlineLevel="0" max="25" min="25" style="0" width="17.12"/>
    <col collapsed="false" customWidth="true" hidden="false" outlineLevel="0" max="26" min="26" style="0" width="13.63"/>
    <col collapsed="false" customWidth="true" hidden="false" outlineLevel="0" max="27" min="27" style="0" width="17.12"/>
    <col collapsed="false" customWidth="true" hidden="false" outlineLevel="0" max="28" min="28" style="0" width="12.25"/>
    <col collapsed="false" customWidth="true" hidden="false" outlineLevel="0" max="29" min="29" style="0" width="16"/>
    <col collapsed="false" customWidth="true" hidden="false" outlineLevel="0" max="30" min="30" style="0" width="12"/>
    <col collapsed="false" customWidth="true" hidden="false" outlineLevel="0" max="31" min="31" style="0" width="18"/>
    <col collapsed="false" customWidth="true" hidden="false" outlineLevel="0" max="32" min="32" style="0" width="14.37"/>
    <col collapsed="false" customWidth="true" hidden="false" outlineLevel="0" max="33" min="33" style="0" width="29.12"/>
    <col collapsed="false" customWidth="true" hidden="false" outlineLevel="0" max="34" min="34" style="0" width="26"/>
    <col collapsed="false" customWidth="true" hidden="false" outlineLevel="0" max="35" min="35" style="0" width="18"/>
    <col collapsed="false" customWidth="true" hidden="false" outlineLevel="0" max="36" min="36" style="0" width="14.37"/>
    <col collapsed="false" customWidth="true" hidden="false" outlineLevel="0" max="37" min="37" style="0" width="18"/>
    <col collapsed="false" customWidth="true" hidden="false" outlineLevel="0" max="38" min="38" style="0" width="14.37"/>
    <col collapsed="false" customWidth="true" hidden="false" outlineLevel="0" max="39" min="39" style="0" width="29.12"/>
    <col collapsed="false" customWidth="true" hidden="false" outlineLevel="0" max="40" min="40" style="0" width="26"/>
    <col collapsed="false" customWidth="true" hidden="false" outlineLevel="0" max="41" min="41" style="0" width="18"/>
    <col collapsed="false" customWidth="true" hidden="false" outlineLevel="0" max="42" min="42" style="0" width="14.37"/>
    <col collapsed="false" customWidth="true" hidden="false" outlineLevel="0" max="43" min="43" style="0" width="29.12"/>
    <col collapsed="false" customWidth="true" hidden="false" outlineLevel="0" max="44" min="44" style="0" width="26"/>
    <col collapsed="false" customWidth="true" hidden="false" outlineLevel="0" max="45" min="45" style="0" width="18"/>
    <col collapsed="false" customWidth="true" hidden="false" outlineLevel="0" max="46" min="46" style="0" width="14.37"/>
    <col collapsed="false" customWidth="true" hidden="false" outlineLevel="0" max="47" min="47" style="0" width="29.12"/>
    <col collapsed="false" customWidth="true" hidden="false" outlineLevel="0" max="48" min="48" style="0" width="26"/>
    <col collapsed="false" customWidth="true" hidden="false" outlineLevel="0" max="49" min="49" style="0" width="18"/>
    <col collapsed="false" customWidth="true" hidden="false" outlineLevel="0" max="50" min="50" style="0" width="14.37"/>
    <col collapsed="false" customWidth="true" hidden="false" outlineLevel="0" max="51" min="51" style="0" width="29.12"/>
    <col collapsed="false" customWidth="true" hidden="false" outlineLevel="0" max="52" min="52" style="0" width="26"/>
    <col collapsed="false" customWidth="true" hidden="false" outlineLevel="0" max="53" min="53" style="0" width="18"/>
    <col collapsed="false" customWidth="true" hidden="false" outlineLevel="0" max="54" min="54" style="0" width="14.37"/>
    <col collapsed="false" customWidth="true" hidden="false" outlineLevel="0" max="55" min="55" style="0" width="28.12"/>
    <col collapsed="false" customWidth="true" hidden="false" outlineLevel="0" max="56" min="56" style="0" width="24.88"/>
    <col collapsed="false" customWidth="true" hidden="false" outlineLevel="0" max="57" min="57" style="0" width="23.12"/>
    <col collapsed="false" customWidth="true" hidden="false" outlineLevel="0" max="58" min="58" style="0" width="20"/>
  </cols>
  <sheetData>
    <row r="1" customFormat="false" ht="16.5" hidden="false" customHeight="false" outlineLevel="0" collapsed="false">
      <c r="A1" s="933" t="s">
        <v>769</v>
      </c>
      <c r="B1" s="11" t="s">
        <v>2344</v>
      </c>
    </row>
    <row r="2" customFormat="false" ht="16.5" hidden="false" customHeight="false" outlineLevel="0" collapsed="false">
      <c r="A2" s="1186" t="s">
        <v>1852</v>
      </c>
      <c r="B2" s="11" t="s">
        <v>2344</v>
      </c>
    </row>
    <row r="4" customFormat="false" ht="16.5" hidden="false" customHeight="false" outlineLevel="0" collapsed="false">
      <c r="A4" s="0" t="s">
        <v>2345</v>
      </c>
    </row>
    <row r="5" customFormat="false" ht="16.5" hidden="false" customHeight="false" outlineLevel="0" collapsed="false">
      <c r="A5" s="1" t="n">
        <v>12325.18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f4cb18-255b-4ac9-9c15-8e428be72d9c" xsi:nil="true"/>
    <lcf76f155ced4ddcb4097134ff3c332f xmlns="077129c6-bde6-44bb-93f0-d61b664bb2a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A1438F5CB44643B4B58FAD98BEA073" ma:contentTypeVersion="16" ma:contentTypeDescription="Create a new document." ma:contentTypeScope="" ma:versionID="8106fd8e162c03246f345c315dd690a1">
  <xsd:schema xmlns:xsd="http://www.w3.org/2001/XMLSchema" xmlns:xs="http://www.w3.org/2001/XMLSchema" xmlns:p="http://schemas.microsoft.com/office/2006/metadata/properties" xmlns:ns2="077129c6-bde6-44bb-93f0-d61b664bb2ab" xmlns:ns3="15f4cb18-255b-4ac9-9c15-8e428be72d9c" targetNamespace="http://schemas.microsoft.com/office/2006/metadata/properties" ma:root="true" ma:fieldsID="f825634e155c6498872b3f90d89ac50e" ns2:_="" ns3:_="">
    <xsd:import namespace="077129c6-bde6-44bb-93f0-d61b664bb2ab"/>
    <xsd:import namespace="15f4cb18-255b-4ac9-9c15-8e428be72d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129c6-bde6-44bb-93f0-d61b664bb2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77cf586-854d-43e5-b936-fc37fb5dfa15"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f4cb18-255b-4ac9-9c15-8e428be72d9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626bcb1-2494-4262-aec4-d218d21dc5d6}" ma:internalName="TaxCatchAll" ma:showField="CatchAllData" ma:web="15f4cb18-255b-4ac9-9c15-8e428be72d9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6B5552-2784-44F8-A769-79C465609C12}">
  <ds:schemaRefs>
    <ds:schemaRef ds:uri="http://schemas.microsoft.com/sharepoint/v3/contenttype/forms"/>
  </ds:schemaRefs>
</ds:datastoreItem>
</file>

<file path=customXml/itemProps2.xml><?xml version="1.0" encoding="utf-8"?>
<ds:datastoreItem xmlns:ds="http://schemas.openxmlformats.org/officeDocument/2006/customXml" ds:itemID="{524C27B5-6E96-4C11-BF12-1782AF1DE514}">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15f4cb18-255b-4ac9-9c15-8e428be72d9c"/>
    <ds:schemaRef ds:uri="http://schemas.openxmlformats.org/package/2006/metadata/core-properties"/>
    <ds:schemaRef ds:uri="077129c6-bde6-44bb-93f0-d61b664bb2ab"/>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BCBED00D-15E6-4AF1-8B18-EAE49D725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129c6-bde6-44bb-93f0-d61b664bb2ab"/>
    <ds:schemaRef ds:uri="15f4cb18-255b-4ac9-9c15-8e428be72d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2024-02-01T03:58:52Z</dcterms:created>
  <dc:creator>Rex Yoo</dc:creator>
  <dc:description/>
  <dc:language>ko-KR</dc:language>
  <cp:lastModifiedBy/>
  <dcterms:modified xsi:type="dcterms:W3CDTF">2026-01-29T10:47:51Z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0x01010065A1438F5CB44643B4B58FAD98BEA073</vt:lpwstr>
  </property>
  <property fmtid="{D5CDD505-2E9C-101B-9397-08002B2CF9AE}" pid="3" name="MediaServiceImageTags">
    <vt:lpwstr/>
  </property>
</Properties>
</file>